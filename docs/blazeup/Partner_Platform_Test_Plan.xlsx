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4"/>
    <sheet state="visible" name="Partner Platform" sheetId="2" r:id="rId5"/>
    <sheet state="visible" name="Regression Suite" sheetId="3" r:id="rId6"/>
    <sheet state="visible" name="Execution Log" sheetId="4" r:id="rId7"/>
    <sheet state="visible" name="Test Scope" sheetId="5" r:id="rId8"/>
    <sheet state="visible" name="Bug_Tracker" sheetId="6" r:id="rId9"/>
  </sheets>
  <definedNames>
    <definedName hidden="1" localSheetId="1" name="_xlnm._FilterDatabase">'Partner Platform'!$A$2:$P$319</definedName>
    <definedName hidden="1" localSheetId="2" name="_xlnm._FilterDatabase">'Regression Suite'!$A$1:$F$98</definedName>
    <definedName hidden="1" localSheetId="3" name="_xlnm._FilterDatabase">'Execution Log'!$A$1:$H$101</definedName>
  </definedNames>
  <calcPr/>
  <extLst>
    <ext uri="GoogleSheetsCustomDataVersion2">
      <go:sheetsCustomData xmlns:go="http://customooxmlschemas.google.com/" r:id="rId10" roundtripDataChecksum="PoYJKycLeJg47PHssGDFwkNvBKweSAlrAS+KjVI7Kjg="/>
    </ext>
  </extLst>
</workbook>
</file>

<file path=xl/sharedStrings.xml><?xml version="1.0" encoding="utf-8"?>
<sst xmlns="http://schemas.openxmlformats.org/spreadsheetml/2006/main" count="6306" uniqueCount="1987">
  <si>
    <t xml:space="preserve">TEST PLAN SUMMARY </t>
  </si>
  <si>
    <t>PARTNER PLATFORM — MODULE STATUS SUMMARY</t>
  </si>
  <si>
    <t>partner-platform-prd-v1.8  |  Generated: 2026-05-20</t>
  </si>
  <si>
    <t>Item</t>
  </si>
  <si>
    <t>Description</t>
  </si>
  <si>
    <t>Summary</t>
  </si>
  <si>
    <t>Manual</t>
  </si>
  <si>
    <t>Automation</t>
  </si>
  <si>
    <t>No.</t>
  </si>
  <si>
    <t>BLOCK</t>
  </si>
  <si>
    <t>TOTAL</t>
  </si>
  <si>
    <t>COMPLETED</t>
  </si>
  <si>
    <t>PASSED</t>
  </si>
  <si>
    <t>FAILED</t>
  </si>
  <si>
    <t>Total number of tests</t>
  </si>
  <si>
    <t>NOT STARTED</t>
  </si>
  <si>
    <t>IN PROGRESS</t>
  </si>
  <si>
    <t>BLOCKED</t>
  </si>
  <si>
    <t>Number</t>
  </si>
  <si>
    <t>Percent</t>
  </si>
  <si>
    <t>COMMENT</t>
  </si>
  <si>
    <t>OWNER</t>
  </si>
  <si>
    <t>Number of tests PASSED</t>
  </si>
  <si>
    <t>Partner Platform</t>
  </si>
  <si>
    <t>Number of tests FAILED</t>
  </si>
  <si>
    <t>Execution Log</t>
  </si>
  <si>
    <t>Sprint / Release</t>
  </si>
  <si>
    <t>NOT_STARTED</t>
  </si>
  <si>
    <t>Date</t>
  </si>
  <si>
    <t>Number of tests that have not been started</t>
  </si>
  <si>
    <t>Build Version</t>
  </si>
  <si>
    <t>Module</t>
  </si>
  <si>
    <t>TC ID</t>
  </si>
  <si>
    <t>Executor</t>
  </si>
  <si>
    <t>Result</t>
  </si>
  <si>
    <t>Note</t>
  </si>
  <si>
    <t>Sprint 1</t>
  </si>
  <si>
    <t>Trang Le</t>
  </si>
  <si>
    <t>2026-05-20</t>
  </si>
  <si>
    <t>v0.1.0-alpha</t>
  </si>
  <si>
    <t>PARTNER_UI_001</t>
  </si>
  <si>
    <t>Not Started</t>
  </si>
  <si>
    <t>Initial smoke run — placeholder</t>
  </si>
  <si>
    <t>IN_PROGRESS</t>
  </si>
  <si>
    <t>Number of tests currently being tested</t>
  </si>
  <si>
    <t>Tests that could not be executed</t>
  </si>
  <si>
    <t>Status</t>
  </si>
  <si>
    <t>Count</t>
  </si>
  <si>
    <t>Pass</t>
  </si>
  <si>
    <t>Main Section</t>
  </si>
  <si>
    <t>REGRESSION SUITE — MODULE STATUS SUMMARY</t>
  </si>
  <si>
    <t>Main Feature/Function</t>
  </si>
  <si>
    <t>Test Case Name</t>
  </si>
  <si>
    <t>Test Case ID</t>
  </si>
  <si>
    <t>Action</t>
  </si>
  <si>
    <t>Test Type</t>
  </si>
  <si>
    <t>Priority</t>
  </si>
  <si>
    <t>Severity</t>
  </si>
  <si>
    <t>Manual Status</t>
  </si>
  <si>
    <t>Auto</t>
  </si>
  <si>
    <t>Automation Status</t>
  </si>
  <si>
    <t>Requirement Ref</t>
  </si>
  <si>
    <t>Docs Refer</t>
  </si>
  <si>
    <t>Bug ID</t>
  </si>
  <si>
    <t>Owner</t>
  </si>
  <si>
    <t>Test Description</t>
  </si>
  <si>
    <t>Test Step</t>
  </si>
  <si>
    <t>Primary Ref</t>
  </si>
  <si>
    <t>UI</t>
  </si>
  <si>
    <t>Commissions</t>
  </si>
  <si>
    <t>Commissions &amp; Payouts</t>
  </si>
  <si>
    <t>PARTNER_UI_COMMISSIONS_001</t>
  </si>
  <si>
    <t>Calculate - Type estimated annual value - Commission projection updates live</t>
  </si>
  <si>
    <t>Functional</t>
  </si>
  <si>
    <t>P1</t>
  </si>
  <si>
    <t>Critical</t>
  </si>
  <si>
    <t>Number of tests not started</t>
  </si>
  <si>
    <t>Number currently being tested</t>
  </si>
  <si>
    <t>NO</t>
  </si>
  <si>
    <t>§4.4, Risk R2</t>
  </si>
  <si>
    <t>partner-platform-prd-v1.8.md</t>
  </si>
  <si>
    <t>Type estimated annual value → commission projection updates live (in the deal-register wizard, step 2). Blocked on test data (verified live 2026-07-27): the test partner has no commission rate configured — /resources shows "Commission Rates: No rates configured yet. Contact your programme manager." The projection is Total rate × Estimated ACV, so with an empty rate it computes no value (probed: changing inputs shows no $ projection). Also the ACV isn't a direct input — "Estimated ACV / Rate / Projected commission" are collapsible display sections in the wizard (ACV appears derived from plan × seats), so there's nothing to "type" for a live rate×ACV calc. Unblock when a commission rate is configured for the test partner (via SA rate-table) so the projection produces a verifiable value.</t>
  </si>
  <si>
    <t>4.4</t>
  </si>
  <si>
    <t>PARTNER_UI_COMMISSIONS_002</t>
  </si>
  <si>
    <t>View - Commissions page - Earned pending and paid totals are visible</t>
  </si>
  <si>
    <t>Major</t>
  </si>
  <si>
    <t>YES</t>
  </si>
  <si>
    <t>§4.7</t>
  </si>
  <si>
    <t>PASSED (TC 12060402), verified 2026-07-28. Dashboard renders 3 KPI cards (Total pipeline ACV / Commission YTD / Active Tenants, each with a value) + 4 sections (Tier &amp; Performance, Territory Assignments, Action Required, Pipeline Snapshot). Read-only; empty data shows "No Data Found". First DASHBOARD content test (establishes DashboardPage). Negative N/A, Idempotency N/A.</t>
  </si>
  <si>
    <t>Open the Commissions page and confirm the earned/pending/paid summary totals + ledger status tabs render. Read-only: works with an empty ledger (amounts may be $0) — verifies the page structure, not specific data.</t>
  </si>
  <si>
    <t>REGRESSION SUITE — P1 Test Cases (All Modules)</t>
  </si>
  <si>
    <t>**Setup (precondition):** Log in as the channel-partner user; open `/commissions` via the shell and wait for the "Commissions" READY_MARKER; let the data settle.
**Test Steps:**
1. The 4 summary totals render, each with a $ amount.
   → Expected: **Pending Payout**, **Paid YTD**, **Total Earned**, **Clawback Risk** cards each show a $ value (e.g. $0 on an empty ledger).
2. All ledger status tabs are visible.
   → Expected: **All / Earned / Pending / Approved / Paid / Disputed / Clawback** tabs render.
**Expected (overall):** The Commissions page renders its summary totals + all ledger tabs (independent of how many commissions exist).</t>
  </si>
  <si>
    <t>4.7</t>
  </si>
  <si>
    <t>Auto-compiled from all P1 TCs across active modules  |  Run before every release</t>
  </si>
  <si>
    <t>PARTNER_UI_COMMISSIONS_003</t>
  </si>
  <si>
    <t>Trace - Commission row detail - Deal close to payment details are visible</t>
  </si>
  <si>
    <t>§4.7, §5.6</t>
  </si>
  <si>
    <t>The commission ledger is **empty** — the test partner has no **Won** deals, so no commission rows exist ("No commissions yet"). Nothing to open / verify. Data-dependency chain: rate configured (SA_PARTNER_MODULE_009, not deployed) → deal approved (SA deal queue blocked by BUG-025) → deal Won → commission row. Unblock once at least one commission exists in the ledger.</t>
  </si>
  <si>
    <t>Type (UI/API)</t>
  </si>
  <si>
    <t>PARTNER_UI_COMMISSIONS_004</t>
  </si>
  <si>
    <t>Submit - Commission dispute - Dispute is created from one text field</t>
  </si>
  <si>
    <t>Automation TC Mapping</t>
  </si>
  <si>
    <t xml:space="preserve">  Partner Platform</t>
  </si>
  <si>
    <t>Same as _003 — no commission rows in the ledger to dispute (partner has no Won deals → empty ledger). Needs a real commission entry first (rate → approved deal → Won).</t>
  </si>
  <si>
    <t>PARTNER_UI_COMMISSIONS_005</t>
  </si>
  <si>
    <t>Submit - Product failure waiver - Evidence can be linked and request submitted</t>
  </si>
  <si>
    <t>PARTNER_UI_PARTNER_PORTAL_SHELL_001</t>
  </si>
  <si>
    <t>Navigate - Open main menu routes - Correct page content is shown</t>
  </si>
  <si>
    <t>tests/ui/partner_002</t>
  </si>
  <si>
    <t>PARTNER_UI_DASHBOARD_001</t>
  </si>
  <si>
    <t>View - Partner shell loads for channel partner - Dashboard is displayed</t>
  </si>
  <si>
    <t>tests/ui/partner_001</t>
  </si>
  <si>
    <t>§4.7, §5.3</t>
  </si>
  <si>
    <t>Same as _003/_004 — no clawback-eligible commission row exists (empty ledger). Needs a commission in a clawback-eligible state first.</t>
  </si>
  <si>
    <t>PARTNER_UI_DASHBOARD_002</t>
  </si>
  <si>
    <t>Render - Dashboard KPI cards available - Actionable metrics are visible</t>
  </si>
  <si>
    <t>tests/ui/partner_003</t>
  </si>
  <si>
    <t>PARTNER_UI_COMMISSIONS_006</t>
  </si>
  <si>
    <t>PARTNER_UI_DASHBOARD_003</t>
  </si>
  <si>
    <t>Approve - Commission payout over $10K - Two-eye approval is enforced</t>
  </si>
  <si>
    <t>Render - Tier progress exists on dashboard - Progress to next tier is visible</t>
  </si>
  <si>
    <t>Security</t>
  </si>
  <si>
    <t>tests/ui/partner_004</t>
  </si>
  <si>
    <t>PARTNER_UI_DASHBOARD_004</t>
  </si>
  <si>
    <t>Render - Action Required list has pending tasks - Partner sees next actions</t>
  </si>
  <si>
    <t>tests/ui/partner_005</t>
  </si>
  <si>
    <t>§5.6, §7.5</t>
  </si>
  <si>
    <t>PARTNER_UI_DASHBOARD_005</t>
  </si>
  <si>
    <t>Needs (a) a payout &gt; $10K pending approval — which requires a Won deal → commission → payout (empty ledger, blocked as _003), and (b) the two-eye approval UI (SA-side, design PN012) which is **not deployed** on staging. Unblock when both the payout data + the two-eye approval UI exist.</t>
  </si>
  <si>
    <t>5.6</t>
  </si>
  <si>
    <t>Calculate - Tier qualification dashboard - T12M ARR threshold and next-tier delta are visible</t>
  </si>
  <si>
    <t>PARTNER_UI_DASHBOARD_006</t>
  </si>
  <si>
    <t>PARTNER_UI_COMMISSIONS_007</t>
  </si>
  <si>
    <t>Warn - Tier downgrade pending - 30-day notice and grace quarter are displayed</t>
  </si>
  <si>
    <t>Display - Clawback notification - Policy terms and product-failure waiver path are visible</t>
  </si>
  <si>
    <t>PARTNER_UI_MY_PIPELINE_001</t>
  </si>
  <si>
    <t>Register - Enter valid company details - Wizard advances to contact step</t>
  </si>
  <si>
    <t>tests/ui/partner_010</t>
  </si>
  <si>
    <t>PARTNER_UI_MY_PIPELINE_002</t>
  </si>
  <si>
    <t>The SA Commission **configuration** view (which holds Clawback settings + the Waiver Review Queue) is **not deployed on staging** (re-verified 2026-07-30, same finding as _009/_010: no "View configuration" entry on `/partners/commissions`, config routes 404). An earlier note here checked the partner-portal `/commissions` (its "Clawback" tab only filters the empty ledger) — the actual clawback-policy/waiver experience is SA-side per PN021. Unblock when FE deploys the Commission configuration view.</t>
  </si>
  <si>
    <t>Validate - Leave company name blank - Required field error is shown</t>
  </si>
  <si>
    <t>tests/ui/partner_011</t>
  </si>
  <si>
    <t>PARTNER_UI_COMMISSIONS_008</t>
  </si>
  <si>
    <t>PARTNER_UI_MY_PIPELINE_003</t>
  </si>
  <si>
    <t>Ask - Blazey commission question - Contextual answer is returned</t>
  </si>
  <si>
    <t>Validate - Enter invalid domain - Domain format error is shown</t>
  </si>
  <si>
    <t>P2</t>
  </si>
  <si>
    <t>tests/ui/partner_012</t>
  </si>
  <si>
    <t>PARTNER_UI_MY_PIPELINE_004</t>
  </si>
  <si>
    <t>§4.3, §10</t>
  </si>
  <si>
    <t>Warn - Domain already exists - Inline active-account warning is shown</t>
  </si>
  <si>
    <t>Depends on the **Blazey AI assistant** (deferred AI feature) + real commission context data. The assistant is not available/testable on the current build, and the ledger is empty (no commission context). Unblock when Blazey ships + commission data exists.</t>
  </si>
  <si>
    <t>tests/ui/partner_014</t>
  </si>
  <si>
    <t>PARTNER_UI_MY_PIPELINE_005</t>
  </si>
  <si>
    <t>Submit - Existing domain with warning - Deal enters conflict queue</t>
  </si>
  <si>
    <t>tests/ui/partner_015</t>
  </si>
  <si>
    <t>PARTNER_UI_COMMISSIONS_009</t>
  </si>
  <si>
    <t>PARTNER_UI_MY_PIPELINE_006</t>
  </si>
  <si>
    <t>Validate - Enter contact without email - Required field error is shown</t>
  </si>
  <si>
    <t>Edit - Payout details by region - Correct payment methods are available</t>
  </si>
  <si>
    <t>tests/ui/partner_016</t>
  </si>
  <si>
    <t>PARTNER_UI_MY_PIPELINE_007</t>
  </si>
  <si>
    <t>Validate - Enter malformed email - Email error is shown</t>
  </si>
  <si>
    <t>tests/ui/partner_017</t>
  </si>
  <si>
    <t>No payout/banking-details edit UI found on the partner build — `/commissions` is a read-only ledger; a payout-details/settings screen (per region) was not located. Needs the payout-details UI + region fixtures. Unblock when the payout-details screen is available.</t>
  </si>
  <si>
    <t>PARTNER_UI_MY_PIPELINE_008</t>
  </si>
  <si>
    <t>Select - Choose referral deal type - Direct billing model is implied</t>
  </si>
  <si>
    <t>tests/ui/partner_020</t>
  </si>
  <si>
    <t>PARTNER_UI_COMMISSIONS_010</t>
  </si>
  <si>
    <t>Process - Commission clawback on early churn - Clawback is applied</t>
  </si>
  <si>
    <t>PARTNER_UI_MY_PIPELINE_009</t>
  </si>
  <si>
    <t>Select - Choose reseller deal type - Reseller billing path is available</t>
  </si>
  <si>
    <t>tests/ui/partner_021</t>
  </si>
  <si>
    <t>PARTNER_UI_MY_PIPELINE_010</t>
  </si>
  <si>
    <t>Select - Choose co-sell deal type - Co-sell option is captured</t>
  </si>
  <si>
    <t>§5.6</t>
  </si>
  <si>
    <t>tests/ui/partner_022</t>
  </si>
  <si>
    <t>PARTNER_UI_MY_PIPELINE_011</t>
  </si>
  <si>
    <t>Confirm - Review registration summary - All entered data is displayed</t>
  </si>
  <si>
    <t>tests/ui/partner_023</t>
  </si>
  <si>
    <t>PARTNER_UI_MY_PIPELINE_012</t>
  </si>
  <si>
    <t>Submit - Valid deal registration - Success response appears within 2 seconds</t>
  </si>
  <si>
    <t>tests/ui/partner_024</t>
  </si>
  <si>
    <t>PARTNER_UI_MY_PIPELINE_013</t>
  </si>
  <si>
    <t>Complete - Registration on mobile viewport - Flow can finish under 90 seconds</t>
  </si>
  <si>
    <t>tests/ui/partner_025</t>
  </si>
  <si>
    <t>PARTNER_UI_MY_PIPELINE_014</t>
  </si>
  <si>
    <t>List - Open My Pipeline - All deal stages and counts are visible</t>
  </si>
  <si>
    <t>tests/ui/partner_026</t>
  </si>
  <si>
    <t>PARTNER_UI_MY_PIPELINE_015</t>
  </si>
  <si>
    <t>Open - Deal detail timeline - Registration and approval history is shown</t>
  </si>
  <si>
    <t>Figma design: [PN013] Process commission clawback on early churn. Candidate TC — not yet in the plan.
Verified live 2026-07-31 on the SA commission ledger (stgsa `/partners/commissions`): the ledger is **empty** ("No Data Found", 0 commissions) so there is no commission to clawback, and there is **no process-clawback action** in the UI (only a "Clawback Exposure" summary card + a Clawback status filter tab — no per-row "process clawback" control; design PN013 not deployed). Needs the full chain — rate configured → deal approved (blocked by BUG-025) → deal Won → commission — plus the process-clawback UI. Unblock when a churned-client commission exists + the process-clawback UI ships.</t>
  </si>
  <si>
    <t>tests/ui/partner_030</t>
  </si>
  <si>
    <t>PARTNER_UI_MY_PIPELINE_016</t>
  </si>
  <si>
    <t>Commission Display</t>
  </si>
  <si>
    <t>Accept - Co-sell override proposal - Partner acceptance is recorded</t>
  </si>
  <si>
    <t>PARTNER_UI_COMMISSIONS_011</t>
  </si>
  <si>
    <t>tests/ui/partner_034</t>
  </si>
  <si>
    <t>Display - Reseller deal commission - Reseller rate shown, not referral rate</t>
  </si>
  <si>
    <t>PARTNER_UI_MY_PIPELINE_017</t>
  </si>
  <si>
    <t>Block - Co-sell override under or equal $100K ACV - Override option is unavailable</t>
  </si>
  <si>
    <t>PARTNER_UI_MY_PIPELINE_018</t>
  </si>
  <si>
    <t>Require - Co-sell override above $100K ACV - Partner written agreement is required</t>
  </si>
  <si>
    <t>§3 Scenario B, §4.7, §5.3</t>
  </si>
  <si>
    <t>Needs a **Reseller-type partner** with a **Won reseller deal** and a reseller rate configured. The test partner is type Channel, the register wizard fixes deal type to Referral, and there is no configured rate / Won deal — so no reseller commission entry exists to verify. Unblock with a reseller partner + Won reseller deal + rate.</t>
  </si>
  <si>
    <t>PARTNER_UI_MY_CLIENTS_001</t>
  </si>
  <si>
    <t>Click - Action Required renewal CTA - Renewal registration flow opens</t>
  </si>
  <si>
    <t>tests/ui/partner_006</t>
  </si>
  <si>
    <t>Invoice &amp; Billing</t>
  </si>
  <si>
    <t>PARTNER_UI_COMMISSIONS_012</t>
  </si>
  <si>
    <t>Invoice - Reseller deal close - Invoice generated for partner not end-client</t>
  </si>
  <si>
    <t>PARTNER_UI_MY_CLIENTS_002</t>
  </si>
  <si>
    <t>List - Open My Clients - Post-close clients are displayed</t>
  </si>
  <si>
    <t>tests/ui/partner_036</t>
  </si>
  <si>
    <t>§3 Scenario B, §5.3</t>
  </si>
  <si>
    <t>PARTNER_UI_MY_CLIENTS_003</t>
  </si>
  <si>
    <t>Same dependency as _011 — needs a reseller partner + Won reseller deal that has passed commission processing, plus the invoice/billing UI (not seen on the partner build). Unblock with the reseller data + invoice UI.</t>
  </si>
  <si>
    <t>Open - Client health detail - ARR, renewal, usage, tickets, and CSM are visible</t>
  </si>
  <si>
    <t>3-B</t>
  </si>
  <si>
    <t>tests/ui/partner_040</t>
  </si>
  <si>
    <t>PARTNER_UI_MY_CLIENTS_004</t>
  </si>
  <si>
    <t>Register - Renewal deal from client detail - Renewal context is prefilled</t>
  </si>
  <si>
    <t>Dashboard</t>
  </si>
  <si>
    <t>tests/ui/partner_041</t>
  </si>
  <si>
    <t>PARTNER_UI_MY_CLIENTS_005</t>
  </si>
  <si>
    <t>Home KPIs &amp; Actions</t>
  </si>
  <si>
    <t>Add - MSP managed client - Provisioning form is shown</t>
  </si>
  <si>
    <t>tests/ui/partner_043</t>
  </si>
  <si>
    <t>PARTNER_UI_MY_CLIENTS_006</t>
  </si>
  <si>
    <t>Toggle - MSP ticket consent default - Consent is off by default</t>
  </si>
  <si>
    <t>tests/ui/partner_044</t>
  </si>
  <si>
    <t>§4.1, §4.2</t>
  </si>
  <si>
    <t>PASSED — verified 2026-07-28 (TC 12060401). Access-control style shell test: proves the partner portal exposes only partner routes and the Dashboard is the default landing page. Negative counterpart: N/A — access-control assertion is embedded (asserts SA-only routes are absent). Idempotency: N/A — read-only view.</t>
  </si>
  <si>
    <t>The partner shell loads for a channel-partner user and lands on the Dashboard. Confirms the shell chrome (brand + nav + profile), partner-only navigation (no SA/tenant-only routes leaked), and Dashboard content loading with no error/authorization banner.</t>
  </si>
  <si>
    <t>**Setup (precondition):** Log in as the channel-partner user; navigate to the portal root `/` (Dashboard is the default page) and wait for the "Tier &amp; Performance" READY_MARKER.
**Test Steps:**
1. Partner shell chrome renders.
   → Expected: the "PARTNER PORTAL" brand, ≥5 sidebar nav links, and the "Open profile menu" control are visible.
2. Only partner navigation is exposed.
   → Expected: partner routes `/dashboard`, `/deals`, `/commissions` present; NO SA/tenant-only routes (`/tenants`, `/billing`, `/plans`, `/partners`, `/connectors`, `/auditLog`).
3. Dashboard content loads with no error/authorization banner.
   → Expected: no "Something went wrong" / "not authorized" / "Unauthorized" / "403" / "Access denied"; the "Tier &amp; Performance" panel is visible in `&lt;main&gt;`.
**Expected (overall):** The partner shell loads for the channel partner with the Dashboard active, partner-scoped nav only, and no error/auth banner.</t>
  </si>
  <si>
    <t>§4.3</t>
  </si>
  <si>
    <t>PASSED — verified 2026-07-28 (TC 12060402). First DASHBOARD content test — establishes the `DashboardPage` page-object (KPI cards, sections). Empty partner data shows "No Data Found" in Action Required / Pipeline Snapshot. Negative counterpart: N/A — read-only view. Idempotency: N/A.</t>
  </si>
  <si>
    <t>Open the partner Dashboard and confirm the KPI metric cards + main section panels render. Read-only: works with empty data (values may be 0 / USD 0) — verifies the cards render, not specific figures.</t>
  </si>
  <si>
    <t>**Setup (precondition):** Log in as the channel-partner user; open `/dashboard` via the shell and wait for the "Tier &amp; Performance" READY_MARKER.
**Test Steps:**
1. KPI cards render, each with a metric value.
   → Expected: **Total pipeline ACV**, **Commission YTD**, **Active Tenants** each show a value (e.g. "USD 0" / 0).
2. The main dashboard sections render.
   → Expected: **Tier &amp; Performance**, **Territory Assignments**, **Action Required**, **Pipeline Snapshot** panels are visible.
**Expected (overall):** The dashboard renders its KPI metric cards + all main sections (independent of the data).</t>
  </si>
  <si>
    <t>4.3</t>
  </si>
  <si>
    <t>Fail</t>
  </si>
  <si>
    <t>§2.1, §4.3</t>
  </si>
  <si>
    <t>BUG-UI-014</t>
  </si>
  <si>
    <t>PASSED — verified 2026-07-28 (TC 12060403; current=SELECT, working towards ADVANCED, ARR USD 0). **Plan-vs-live:** the plan also lists a **threshold target**, a **progress bar**, and a **remaining delta** — this build does NOT render those (no `role=progressbar` element, no threshold/remaining text); it shows current tier + next-tier copy + ARR + deals/win-rate. The test asserts what the UI actually renders. Negative counterpart: N/A — read-only view. Idempotency: N/A.</t>
  </si>
  <si>
    <t>The dashboard Tier Progress component shows progress to the next tier. Read-only.</t>
  </si>
  <si>
    <t>**Setup (precondition):** Log in as the channel-partner user; open `/dashboard` and wait for the "Tier &amp; Performance" READY_MARKER.
**Test Steps:**
1. Tier Progress shows the current tier + "working towards" the next tier + current ARR.
   → Expected: "Tier Progress" present; the **current tier** (SELECT/ADVANCED/PREMIER), the **"Working towards \&lt;next tier\&gt;"** copy, and **T12M ARR** are shown.
2. Progress metrics are shown.
   → Expected: the **deal count** and **Win rate** are shown in the tier progress panel.
**Expected (overall):** Progress toward the next tier is visible (current tier + next-tier copy + ARR + metrics).</t>
  </si>
  <si>
    <t>In Progress</t>
  </si>
  <si>
    <t>Type</t>
  </si>
  <si>
    <t>No fixture / seeding path to make the Action Required list non-empty. The test partner (channel-partner) has empty data — the section renders its graceful empty state ("Action Required · No Data Found · Looks like there's nothing here yet"). Action-Required items are DERIVED (renewals due, deals needing partner action); there is no partner-side API to seed them, and the existing QA-AUTO deals (pending SA approval) do not surface here. The "has pending tasks" positive path cannot be verified until a partner account with real action items (or a seed hook) is available. Revisit with a data-seeded partner.</t>
  </si>
  <si>
    <t>BUG-UI-007,BUG-UI-014</t>
  </si>
  <si>
    <t>FAILED by design (be_gap) 2026-07-28 (TC 12060405). Build renders only current tier + "Working towards &lt;next&gt;" + current ARR + deal/win-rate ("0/0 deals"); NO ARR threshold, NO remaining delta, NO progress bar (no role=progressbar). Assertion fails with "confirm with BE". Complements DASHBOARD_003 (asserts only what UI renders); this TC pins the missing tier-qualification math. Excluded from merge gate. Negative/Idempotency: N/A (read-only calc).</t>
  </si>
  <si>
    <t>**Setup (precondition):** Log in as the channel-partner user; open `/dashboard` and wait for the "Tier &amp; Performance" READY_MARKER; locate the Tier Progress component.
**Test Steps:**
1. Current tier + current T12M ARR are shown (baseline).
   → Expected: current tier (SELECT/ADVANCED/PREMIER) + "T12M ARR" are shown. **(PASSES — build renders these.)**
2. Next-tier T12M ARR threshold target + remaining delta are shown.
   → Expected: a threshold/target/remaining figure toward the next tier is shown. **(FAILS — not rendered.)**
3. A progress bar toward the next-tier threshold is shown.
   → Expected: a `role=progressbar` / `&lt;progress&gt;` element is present. **(Would FAIL — none rendered.)**
**Expected (overall):** The tier-qualification threshold + remaining delta + progress bar are visible.</t>
  </si>
  <si>
    <t>Tier Progress</t>
  </si>
  <si>
    <t>API</t>
  </si>
  <si>
    <t>§2.1, §5.5</t>
  </si>
  <si>
    <t>The test partner is not in a **tier-downgrade-pending** state, and there is no way to seed one (tier downgrade is derived from T12M ARR falling below the current tier's threshold over a grace quarter). With no partner in that state, the 30-day-notice / grace-quarter warning cannot be triggered or verified. Also depends on the tier-qualification math that _005 showed is not fully rendered. Unblock with a partner fixture in the downgrade-pending state (+ the warning UI).</t>
  </si>
  <si>
    <t>Coverage</t>
  </si>
  <si>
    <t>5.5</t>
  </si>
  <si>
    <t>PARTNER_UI_DASHBOARD_007</t>
  </si>
  <si>
    <t>Validate - Dashboard hides vanity metrics - Only actionable/clickable values are shown</t>
  </si>
  <si>
    <t>Negative</t>
  </si>
  <si>
    <t>P3</t>
  </si>
  <si>
    <t>Minor</t>
  </si>
  <si>
    <t>Automated</t>
  </si>
  <si>
    <t>CODE COMPLETE, run PENDING VERIFY (TC 12060407) 2026-07-28. No green run yet: staging partner dashboard MFE degraded ~15:35 (&lt;main&gt;/"Tier &amp; Performance" not rendering within 90s; earlier probes rendered in ~8s — staging outage, not a test defect). Re-run when staging recovers. Negative TC by design. Idempotency N/A (read-only).</t>
  </si>
  <si>
    <t>(Negative guard) Dashboard hides vanity metrics — per PRD §4.3 the first dashboard view shows ONLY actionable/decision-supporting values (pipeline ACV, commission, active tenants, tier progress, action items, pipeline snapshot) and must NOT surface non-actionable vanity metrics (page/profile views, impressions, followers, bounce rate, login counts).</t>
  </si>
  <si>
    <t>Manual Only</t>
  </si>
  <si>
    <t>1. Log in as channel-partner; open /dashboard, wait for "Tier &amp; Performance" → Expected: dashboard ready.
2. Only actionable KPI metrics shown → Expected: Total pipeline ACV, Commission YTD, Active Tenants visible.
3. No vanity metrics present → Expected: none of {page views, profile views, impressions, followers, bounce rate, time on page, click-through, logins, vanity} in &lt;main&gt;.
4. Page hierarchy still highlights actionable sections → Expected: Action Required, Tier Progress, Pipeline Snapshot visible.</t>
  </si>
  <si>
    <t>Blazey AI Assistant</t>
  </si>
  <si>
    <t>PARTNER_UI_DASHBOARD_008</t>
  </si>
  <si>
    <t>Ask - Blazey deal status question on dashboard - Current deal stage and assigned rep contact are returned</t>
  </si>
  <si>
    <t>§4.3, §10.10</t>
  </si>
  <si>
    <t>Depends on the **Blazey AI assistant** (deferred AI feature) — the widget is not available/testable on the current build — plus real deal data for the partner. Unblock when Blazey ships + the partner has deals.</t>
  </si>
  <si>
    <t>PARTNER_UI_DASHBOARD_009</t>
  </si>
  <si>
    <t>Ask - Blazey tier projection question on dashboard - ARR needed and timeline to next tier are displayed</t>
  </si>
  <si>
    <t>P4</t>
  </si>
  <si>
    <t>Same as _008 — depends on the Blazey AI assistant (deferred) + tier data. Note the tier-qualification figures it would quote (threshold/gap) are also the ones _005 showed the UI doesn't fully render yet. Unblock when Blazey ships.</t>
  </si>
  <si>
    <t>My Clients</t>
  </si>
  <si>
    <t>Client Health &amp; MSP</t>
  </si>
  <si>
    <t>§4.3, §4.6</t>
  </si>
  <si>
    <t>module not deployed</t>
  </si>
  <si>
    <t>4.6</t>
  </si>
  <si>
    <t>§4.6</t>
  </si>
  <si>
    <t>§1.3, §4.6</t>
  </si>
  <si>
    <t>§3 Scenario F, §4.6</t>
  </si>
  <si>
    <t>§3 Scenario G, §7.3</t>
  </si>
  <si>
    <t>3-G</t>
  </si>
  <si>
    <t>§3 Scenario G, §7.3, §9.2</t>
  </si>
  <si>
    <t>PARTNER_UI_MY_CLIENTS_007</t>
  </si>
  <si>
    <t>Filter - Renewal This Quarter - Only qualifying clients are shown</t>
  </si>
  <si>
    <t>PARTNER_UI_MY_CLIENTS_008</t>
  </si>
  <si>
    <t>Filter - Health At Risk - At-risk clients are shown</t>
  </si>
  <si>
    <t>PARTNER_UI_MY_CLIENTS_009</t>
  </si>
  <si>
    <t>Search - Find client by name - Matching clients are displayed</t>
  </si>
  <si>
    <t>PARTNER_UI_MY_CLIENTS_010</t>
  </si>
  <si>
    <t>Display - Blazey client insight - Adoption recommendation appears</t>
  </si>
  <si>
    <t>Expansion Deal</t>
  </si>
  <si>
    <t>PARTNER_UI_MY_CLIENTS_011</t>
  </si>
  <si>
    <t>Register - Expansion deal from My Clients - Existing client pre-filled in wizard</t>
  </si>
  <si>
    <t>§3 Scenario F, §4.6, §4.4</t>
  </si>
  <si>
    <t>Expansion starts from My Clients — existing client context must pre-fill wizard, not blank form</t>
  </si>
  <si>
    <t>Validate the UI flow for expansion deal registration from My Clients so that existing client details are pre-filled in the deal wizard. Scope covers the My Clients list, client detail page, expansion deal CTA, deal registration wizard pre-fill behavior, and PRD coverage §3 Scenario F, §4.6, §4.4. Out of scope: commission calculation and tenant provisioning.</t>
  </si>
  <si>
    <t>1. Log in as an active partner with at least one existing closed client in My Clients.
2. Navigate to My Clients and open the client detail page.
3. Locate and click the "Register Expansion Deal" CTA.
4. Verify the deal registration wizard opens with company name, domain, and tenant reference pre-filled from the existing client record.
5. Confirm the wizard does not require re-entering client details already on file.
6. Submit the expansion deal and verify it appears in My Pipeline.</t>
  </si>
  <si>
    <t>3-F</t>
  </si>
  <si>
    <t>PARTNER_UI_MY_CLIENTS_012</t>
  </si>
  <si>
    <t>§3 Scenario F, §7.4</t>
  </si>
  <si>
    <t>Key invariant: expansion must reuse existing tenant_id — new tenant must NOT be provisioned</t>
  </si>
  <si>
    <t>Validate the UI flow for expansion deal submission so that existing tenant_id is reused and no new tenant is created. Scope covers the deal registration wizard review step, submission confirmation, deal detail page tenant reference, and PRD coverage §3 Scenario F, §7.4. Out of scope: commission calculation and billing.</t>
  </si>
  <si>
    <t>1. Submit an expansion deal for an existing client via the registration wizard (from TC_011 or equivalent fixture).
2. Open the submitted deal in My Pipeline and navigate to deal detail.
3. Verify the deal detail shows the existing client's tenant_id (not a new one).
4. Confirm no new tenant provisioning task or pending-tenant state is shown.
5. Verify the expansion deal is linked to the same client record in My Clients.</t>
  </si>
  <si>
    <t>PARTNER_UI_MY_CLIENTS_013</t>
  </si>
  <si>
    <t>§3 Scenario F, §4.6, §7.4</t>
  </si>
  <si>
    <t>After expansion close, ARR on client card must reflect the expanded value</t>
  </si>
  <si>
    <t>Validate the UI flow for post-close expansion deal so that ARR is updated in the My Clients client detail card. Scope covers the My Clients list, client detail page, ARR metric display, and PRD coverage §3 Scenario F, §4.6, §7.4. Out of scope: commission payout and new tenant provisioning.</t>
  </si>
  <si>
    <t>1. Log in as a partner with a Won expansion deal fixture for an existing client.
2. Navigate to My Clients and open the client detail page for that client.
3. Verify the ARR displayed on the client detail card reflects the updated value after the expansion close.
4. Confirm the ARR increase matches the expansion deal value.
5. Verify no duplicate client record was created — the same client entry shows the expanded ARR.</t>
  </si>
  <si>
    <t>My Pipeline</t>
  </si>
  <si>
    <t>Deal Registration</t>
  </si>
  <si>
    <t>§4.4</t>
  </si>
  <si>
    <t>PASSED (TC 12060201), verified 2026-07-24. Register-a-Deal wizard step 1: valid company details enable Next -&gt; advance to Step 2 (Deal info) -&gt; Back preserves company name. Plan-vs-live: plan says "advances to contact step" but contact is IN step 1; validation is via DISABLING Next (no inline error). Modal-only (no submit) — unaffected by the deals-list defect. Negative = _002. Idempotency N/A.</t>
  </si>
  <si>
    <t>tests/ui/partner_018</t>
  </si>
  <si>
    <t>Register-a-Deal wizard step 1: entering valid company details (name, domain, country) + primary contact enables Next, advances to Step 2 (Deal info), and preserves the company data when going Back. Modal-only; does not submit.</t>
  </si>
  <si>
    <t>**Setup (precondition):** Log in as the channel-partner user; open `/deals`; click "Register a deal" to open the wizard (opens on "Step 1 of 3 — Register company").
**Test Steps:**
1. Enter company details (name, domain, country) + primary contact (name, email), then verify each field holds the entered value.
   → Expected: every field **echoes** the entered value (company name, domain, contact name, email — no silent mutation/clear), a country is selected, and — with all required fields filled — "Next" becomes **enabled**. ("Valid" here = required-complete + values echoed; this build does not format-check the fields — that gap is _003.)
2. Click Next.
   → Expected: wizard advances to **Step 2 of 3 (Deal info)** and the Deal-info content renders (a step-2-only field, e.g. "Expected close date", is visible — proving it landed on Deal info, not just a counter change). Deep Deal-info field testing is _008–_012.
3. Go Back to step 1.
   → Expected: returns to Step 1 of 3 and the **company name is preserved**.</t>
  </si>
  <si>
    <t>tests/ui/partner_045</t>
  </si>
  <si>
    <t>PASSED (TC 12060202), verified 2026-07-24. Negative of _001: with company name blank, Next stays disabled and the wizard cannot advance; filling company name enables Next -&gt; proves it is required. Plan-vs-live: plan says "required error shown" but this build has NO inline error text — required fields are enforced by disabling Next. Idempotency N/A (no submit).</t>
  </si>
  <si>
    <t>Negative counterpart of _001: leaving the required company name blank blocks the wizard from advancing (Next stays disabled); providing it unblocks — proving company name is required.</t>
  </si>
  <si>
    <t>**Setup (precondition):** Open `/deals`; launch the Register-a-Deal wizard (Step 1 of 3).
**Test Steps:**
1. Fill everything EXCEPT company name (domain, country, contact name, email).
   → Expected: "Next" stays **disabled** and the wizard stays on Step 1 of 3 (cannot advance with a blank required field).
2. Fill the company name.
   → Expected: "Next" becomes **enabled** (company name was the blocking required field).</t>
  </si>
  <si>
    <t>tests/ui/partner_046</t>
  </si>
  <si>
    <t>tests/ui/partner_047</t>
  </si>
  <si>
    <t>Negative (fail-by-design): an invalid/malformed domain in the register wizard must be rejected with a domain-format error (block advancing or flag the field). All cases run (collected).</t>
  </si>
  <si>
    <t>tests/ui/partner_048</t>
  </si>
  <si>
    <t>**Setup (precondition):** Open the Register-a-Deal wizard (step 1) with valid company name, country, and primary contact; vary only the Domain field.
**Test Steps:** (each = enter a malformed domain, blur, check it is rejected)
1. `@@@` → Expected: rejected (Next disabled or field flagged). **Currently FAILS** — accepted (Next stays enabled, field not flagged).
2. `ab cd` (space) → Expected: rejected. **Currently FAILS** — accepted.
3. `notadomain` (no TLD) → Expected: rejected. **Currently FAILS** — accepted.
4. `http://x.com` (scheme, not a bare domain) → Expected: rejected. **Currently FAILS** — accepted.
**Expected (overall):** A malformed domain is rejected with a clear format error; no deal is created.</t>
  </si>
  <si>
    <t>tests/ui/partner_069</t>
  </si>
  <si>
    <t>§3 Scenario D, §4.4</t>
  </si>
  <si>
    <t>PASSED — verified 2026-07-27 (TC 12060204). On blur the field calls `GET /v1/partner/portal/</t>
  </si>
  <si>
    <t>PARTNER_UI_SA_PARTNER_MODULE_001</t>
  </si>
  <si>
    <t>In the register wizard, entering a domain (subdomain label) already reserved by another active deal shows an inline active-account/conflict warning; a free domain shows none. UI-only (no submit).</t>
  </si>
  <si>
    <t>Resolve - Conflict queue with reasoning - Decision is saved and parties notified</t>
  </si>
  <si>
    <t>tests/ui/partner_066</t>
  </si>
  <si>
    <t>**Setup (precondition):** Prove via the partner `check-domain` API which candidate label is reserved (`available=false`) vs free (`available=true`) — so the UI assertion is not circular. Open the wizard with valid company/country/contact. NOTE: the "Domain" field is a **subdomain label** (lowercase/numbers/hyphens, no dots) — placeholder "acme.com" is misleading; a value with dots returns 400 from check-domain.
**Test Steps:**
1. Enter the RESERVED domain (proven `available=false`, e.g. "test").
   → Expected: inline warning shows, e.g. **"This domain is reserved by another active deal. Register will get a conflict queue."** (Next stays enabled — the deal would enter the conflict queue on submit, not blocked.)
2. Enter an AVAILABLE domain (proven `available=true`) — control.
   → Expected: no reserved/active-deal warning.
**Expected (overall):** A reserved domain surfaces the inline active-account/conflict warning; a free domain does not.</t>
  </si>
  <si>
    <t>PARTNER_UI_SA_PARTNER_MODULE_002</t>
  </si>
  <si>
    <t>Resolve - Conflict queue decision - Prospect confirmation and written reasoning are visible</t>
  </si>
  <si>
    <t>PARTNER_UI_SA_PARTNER_MODULE_003</t>
  </si>
  <si>
    <t>Admin - Partner directory loads - Filters and partner rows are visible</t>
  </si>
  <si>
    <t>tests/ui/partner_060</t>
  </si>
  <si>
    <t>§3 Scenario D, §5.2</t>
  </si>
  <si>
    <t>PARTNER_UI_SA_PARTNER_MODULE_004</t>
  </si>
  <si>
    <t>PASSED — verified 2026-07-27 (TC 12060205). Full e2e submit works: reserved-domain warning → Deal info → **submit → 201** (deal id logged in the run for manual lookup). **PENDING (verify step — intentionally not asserted yet):** confirming the deal actually LANDS in the conflict queue is deferred — the partner deals-list endpoint is 400 (`_024`) so the deal isn't listable, and there is no delete API to clean up the created deal. **To improve once BE provides a way to fetch/remove the created deal** (user following up with BE). Side-effect: each run creates one non-deletable deal. Negative/conflict-detection is covered by _004 (UI warning) + API `2060204`. Idempotency: N/A here (duplicate-register is _022).</t>
  </si>
  <si>
    <t>Review - Partner application FSM - SA Review Legal Countersign and Final Approval stages are visible</t>
  </si>
  <si>
    <t>Submit the full register wizard on an already-reserved domain (the conflict path). Fills every step (company + contact + reserved domain; deal info: plan / seats / region / expected close date) and submits; a deal is created (would enter the conflict queue).</t>
  </si>
  <si>
    <t>tests/ui/partner_061</t>
  </si>
  <si>
    <t>**Setup (precondition):** Prove via `check-domain` API a reserved label (available=false). Open the wizard.
**Test Steps:**
1. Step 1 with the RESERVED domain → the inline conflict warning shows ("reserved by another active deal … conflict queue"); advance.
   → Expected: warning shown; wizard advances to Deal info.
2. Fill Deal info — plan (billing cycle auto-sets), granted seats, region, expected close date (next month) → advance to Summary.
   → Expected: with Deal info complete, "Next" is enabled; wizard reaches Step 3 of 3 (Summary).
3. Submit.
   → Expected: submission succeeds — `POST /v1/partner/portal/deals` returns **201** and a deal id.
**Expected (overall):** The wizard submits end-to-end on a reserved domain and the deal is created.</t>
  </si>
  <si>
    <t>3-D</t>
  </si>
  <si>
    <t>PARTNER_UI_SA_PARTNER_MODULE_005</t>
  </si>
  <si>
    <t>Block - Missing signed agreement - SA cannot advance to legal countersign</t>
  </si>
  <si>
    <t>tests/ui/partner_062</t>
  </si>
  <si>
    <t>PARTNER_UI_SA_PARTNER_MODULE_006</t>
  </si>
  <si>
    <t>Approve - Partner final approval - Portal account creation is triggered</t>
  </si>
  <si>
    <t>tests/ui/partner_063</t>
  </si>
  <si>
    <t>PASSED — verified 2026-07-27 (TC 12060206). Same mechanism as _002: required fields enforced by disabling "Next" (no inline error text). Idempotency: N/A (validation, no submit).</t>
  </si>
  <si>
    <t>Negative (required): leaving the primary-contact **email** blank blocks the wizard from advancing; providing a valid email unblocks — proving the email is required.</t>
  </si>
  <si>
    <t>**Setup (precondition):** Open the wizard (Step 1); fill every other required field (company name, domain, country, contact name).
**Test Steps:**
1. Leave contact email blank (others filled).
   → Expected: email field confirmed blank while others hold values; "Next" stays **disabled** — block attributable only to the missing email.
2. Fill a valid email.
   → Expected: "Next" becomes **enabled**.
**Expected (overall):** A blank required email prevents advancing; a valid email allows it.</t>
  </si>
  <si>
    <t>PARTNER_UI_SA_PARTNER_MODULE_007</t>
  </si>
  <si>
    <t>Review - SA deal approval queue - Pending and conflict queues are visible</t>
  </si>
  <si>
    <t>tests/ui/partner_064</t>
  </si>
  <si>
    <t>PARTNER_UI_SA_PARTNER_MODULE_008</t>
  </si>
  <si>
    <t>Approve - SA assigns rep to co-sell deal - Approval starts protection clock</t>
  </si>
  <si>
    <t>tests/ui/partner_065</t>
  </si>
  <si>
    <t>PARTNER_UI_SA_PARTNER_MODULE_009</t>
  </si>
  <si>
    <t>Negative (fail-by-design): a malformed contact **email** must be rejected with a format error (block advancing or flag the field). All cases run (collected).</t>
  </si>
  <si>
    <t>Configure - Commission rate table - Versioned rates can be edited</t>
  </si>
  <si>
    <t>**Setup (precondition):** Open the wizard (Step 1) with valid company/domain/country/contact-name; vary only the email.
**Test Steps:** (each = enter a malformed email, blur, check it is rejected)
1. `notanemail` (no @) → Expected: rejected. **Currently FAILS** — accepted (field keeps value, Next enabled, not flagged).
2. `abc@` (no domain) → Expected: rejected. **Currently FAILS** — accepted.
3. `abc@x` (no TLD) → Expected: rejected. **Currently FAILS** — accepted.
4. `a b@x.com` (space) → Expected: rejected. **Currently FAILS** — accepted.
**Expected (overall):** A malformed email is rejected with a clear format error; no deal is created.</t>
  </si>
  <si>
    <t>tests/ui/partner_067</t>
  </si>
  <si>
    <t>PARTNER_UI_SECURITY_COMPLIANCE_001</t>
  </si>
  <si>
    <t>Deny - Cross-partner data access in UI - Other partner data is not visible</t>
  </si>
  <si>
    <t>tests/ui/partner_073</t>
  </si>
  <si>
    <t>PARTNER_UI_SECURITY_COMPLIANCE_002</t>
  </si>
  <si>
    <t>§2.2, §2.3, §4.4</t>
  </si>
  <si>
    <t>Audit - SA action completed - Activity log entry is visible</t>
  </si>
  <si>
    <t>PASSED — verified 2026-07-27 (TC 12060208). On this build the deal type is a **fixed read-only "Referral" badge** (reseller/co-sell are NOT selectable — clicking it opens nothing, there's no deal-type dropdown, and no "Reseller"/"Co-sell" text). Referral implies the direct billing model (business rule); the UI shows only the type label "Referral" (no explicit "direct billing" text). No submit → no side-effect. Idempotency: N/A.</t>
  </si>
  <si>
    <t>tests/ui/partner_074</t>
  </si>
  <si>
    <t>Choosing the referral deal type: on this wizard the deal type is Referral (default), and it persists to the Summary. UI-only (no submit).</t>
  </si>
  <si>
    <t>**Setup (precondition):** Open the wizard; complete step 1 (company/domain/country/contact).
**Test Steps:**
1. On Deal info, the deal type shows **Referral** (Reseller/Co-sell are not offered — see _009/_010).
   → Expected: "Referral" visible; no "Reseller" option present.
2. Complete Deal info (plan/seats/region/date) → continue to Summary.
   → Expected: reaches Step 3 of 3 (Summary).
3. Summary persists the deal type.
   → Expected: Summary shows **Deal type = Referral**.
**Expected (overall):** Referral deal type is captured and persists across navigation to the Summary.</t>
  </si>
  <si>
    <t>PARTNER_UI_SECURITY_COMPLIANCE_003</t>
  </si>
  <si>
    <t>Validate - Deal registration prospect data minimization - Only allowed prospect fields are requested</t>
  </si>
  <si>
    <t>PARTNER_API_AUTH_ACCESS_CONTROL_001</t>
  </si>
  <si>
    <t>Authenticate - Valid partner JWT - Partner-scoped request succeeds</t>
  </si>
  <si>
    <t>§2.2, §3 Scenario B, §4.4</t>
  </si>
  <si>
    <t>tests/api/partner_001</t>
  </si>
  <si>
    <t>Choose reseller deal type → reseller billing path. Blocked (verified live 2026-07-27): the register wizard does **not offer a reseller deal type** — the deal type is a fixed read-only "Referral" badge (no deal-type dropdown; clicking it opens nothing; "Reseller" text is absent). There is no UI control to select reseller, so the reseller billing path cannot be exercised from the wizard. (The API supports dealType `reseller` — see `make_deal` / API deal TCs — so this is a UI gap.) Unblock when the wizard exposes a deal-type selector with reseller.</t>
  </si>
  <si>
    <t>PARTNER_API_AUTH_ACCESS_CONTROL_002</t>
  </si>
  <si>
    <t>Reject - Tenant JWT on partner API - Request is unauthorized</t>
  </si>
  <si>
    <t>tests/api/partner_002</t>
  </si>
  <si>
    <t>PARTNER_API_AUTH_ACCESS_CONTROL_003</t>
  </si>
  <si>
    <t>Reject - Partner JWT accessing another partner - Request is forbidden</t>
  </si>
  <si>
    <t>tests/api/partner_003</t>
  </si>
  <si>
    <t>PARTNER_API_AUTH_ACCESS_CONTROL_004</t>
  </si>
  <si>
    <t>§2.3, §3 Scenario C, §4.4</t>
  </si>
  <si>
    <t>Enforce - Admin MFA policy - Protected action requires MFA</t>
  </si>
  <si>
    <t>Choose co-sell deal type → co-sell option captured. Blocked (verified live 2026-07-27): same as _009 — the wizard's deal type is a fixed read-only "Referral" badge with no selector; "Co-sell" is not offered in the UI. No control to choose co-sell. (API supports `co_sell`.) Unblock when the wizard exposes a deal-type selector with co-sell.
#### PARTNER_UI_MY_PIPELINE_011</t>
  </si>
  <si>
    <t>tests/api/partner_004</t>
  </si>
  <si>
    <t>PARTNER_API_AUTH_ACCESS_CONTROL_005</t>
  </si>
  <si>
    <t>Guard - MSP accesses payroll data - Request is forbidden</t>
  </si>
  <si>
    <t>tests/api/partner_027</t>
  </si>
  <si>
    <t>PARTNER_API_AUTH_ACCESS_CONTROL_006</t>
  </si>
  <si>
    <t>Guard - MSP exports employee records - Request is forbidden</t>
  </si>
  <si>
    <t>tests/api/partner_028</t>
  </si>
  <si>
    <t>PARTNER_API_DASHBOARD_DATA_001</t>
  </si>
  <si>
    <t>PASSED — verified 2026-07-27 (TC 12060211). Uses 4 unique text inputs (company/domain/contact/email) asserted verbatim on the Summary → strong proof the entered data is displayed. Verified pre-submit (no submit → no side-effect). Idempotency: N/A.</t>
  </si>
  <si>
    <t>GET - Partner dashboard stats - KPI schema is returned</t>
  </si>
  <si>
    <t>The review Summary (step 3) displays all entered data. Fills the wizard with known unique values (company / domain / contact name / email) + deal info, reaches the Summary, and confirms every entered value is shown for review. Verified at the Summary (pre-submit); no submit → no deal created.</t>
  </si>
  <si>
    <t>tests/api/partner_005</t>
  </si>
  <si>
    <t>**Setup (precondition):** Open the wizard; fill step 1 (company/domain/country/contact) + Deal info (plan/seats/region/expected close date) with known data.
**Test Steps:**
1. Summary shows the entered COMPANY + CONTACT values.
   → Expected: the unique company name, domain, contact name, and email are all visible on the Summary.
2. Summary shows the DEAL section fields.
   → Expected: Deal type = **Referral**, plus Expected close date, Plan source, and Country rows are shown.
**Expected (overall):** The Summary reflects every entered value for review before submission.</t>
  </si>
  <si>
    <t>PARTNER_API_DEAL_REGISTRATION_001</t>
  </si>
  <si>
    <t>Validate - Missing required registration fields - 400 response includes field errors</t>
  </si>
  <si>
    <t>tests/api/partner_010</t>
  </si>
  <si>
    <t>Performance</t>
  </si>
  <si>
    <t>PARTNER_API_DEAL_REGISTRATION_PIPELINE_001</t>
  </si>
  <si>
    <t>POST - Register referral deal - Deal is created pending approval</t>
  </si>
  <si>
    <t>tests/api/partner_006</t>
  </si>
  <si>
    <t>PARTNER_API_DEAL_REGISTRATION_PIPELINE_002</t>
  </si>
  <si>
    <t>POST - Register reseller deal - Billing model reseller is stored</t>
  </si>
  <si>
    <t>PASSED — verified 2026-07-27 (TC 12060212; observed ~642 ms). Measures the register API round-trip (server + network), not full UI render. Side-effect: submitting creates a real deal (no delete API — see _005; deal id logged in the run). A staging blip can push it over 2s → re-run before filing a perf bug. Idempotency: N/A here (duplicate-register is _022).</t>
  </si>
  <si>
    <t>Performance — a valid deal registration returns a success response within 2 seconds. Submits the full wizard with a valid (available) domain and measures the register API's own network round-trip.</t>
  </si>
  <si>
    <t>tests/api/partner_007</t>
  </si>
  <si>
    <t>**Setup (precondition):** Open the wizard; fill step 1 (company/domain/country/contact) + Deal info (plan/seats/region/expected close date) with a unique available domain.
**Test Steps:**
1. Submit the deal.
   → Expected: `POST /v1/partner/portal/deals` returns **2xx** (201) with a deal id.
2. Measure the response time.
   → Expected: the request→response round-trip is **&lt; 2000 ms** (measured from the request's network timing: responseEnd − requestStart; excludes UI render).
**Expected (overall):** A valid registration succeeds and the API responds within the 2s budget.</t>
  </si>
  <si>
    <t>PARTNER_API_DEAL_REGISTRATION_PIPELINE_003</t>
  </si>
  <si>
    <t>POST - Register co-sell deal - Co-sell metadata is stored</t>
  </si>
  <si>
    <t>tests/api/partner_008</t>
  </si>
  <si>
    <t>PARTNER_API_DEAL_REGISTRATION_PIPELINE_004</t>
  </si>
  <si>
    <t>POST - Register deal with existing domain - Conflict status is raised</t>
  </si>
  <si>
    <t>tests/api/partner_009</t>
  </si>
  <si>
    <t>PARTNER_API_DEAL_REGISTRATION_PIPELINE_005</t>
  </si>
  <si>
    <t>CRON - Protection expiry with recent activity - Auto-extend once</t>
  </si>
  <si>
    <t>tests/api/partner_018</t>
  </si>
  <si>
    <t>PARTNER_API_DEAL_REGISTRATION_PIPELINE_006</t>
  </si>
  <si>
    <t>CRON - Protection expiry without activity - Deal expires</t>
  </si>
  <si>
    <t>tests/api/partner_019</t>
  </si>
  <si>
    <t>PASSED — verified 2026-07-27 (TC 12060213; observed ~6 s, well under 90 s). All wizard controls (dropdowns, date picker, submit) work at 375×812. Side-effect: submitting creates a real deal (no delete API — see _005; deal id logged). Partner UI login can flake (login page slow to render) → the run may BLOCK on a login timeout; re-run. Idempotency: N/A.</t>
  </si>
  <si>
    <t>PARTNER_API_DEAL_REGISTRATION_PIPELINE_007</t>
  </si>
  <si>
    <t>Performance/mobile — the deal registration flow finishes under 90 seconds on a mobile viewport (375×812). Completes the full wizard and submits at mobile width, timing the whole flow (open wizard → submitted).</t>
  </si>
  <si>
    <t>CRON - Protection already auto-extended - Second auto-extension is blocked</t>
  </si>
  <si>
    <t>**Setup (precondition):** Resize the page to 375×812; open the wizard.
**Test Steps:**
1. At mobile width, fill step 1 (company/domain/country/contact) and advance.
2. Fill Deal info (plan/seats/region/expected close date) and advance to Summary.
3. Submit → the register succeeds and the whole flow completes within budget.
   → Expected: `POST /v1/partner/portal/deals` 2xx (201); elapsed from opening the wizard to the success response is **&lt; 90 s**.
**Expected (overall):** The registration is completable on mobile within 90 seconds.</t>
  </si>
  <si>
    <t>tests/api/partner_020</t>
  </si>
  <si>
    <t>PARTNER_API_DEAL_REGISTRATION_PIPELINE_008</t>
  </si>
  <si>
    <t>Pipeline Management</t>
  </si>
  <si>
    <t>PATCH - Internal deal approve - Rate and rate table version are stamped</t>
  </si>
  <si>
    <t>tests/api/partner_049</t>
  </si>
  <si>
    <t>PARTNER_API_DEAL_REGISTRATION_PIPELINE_009</t>
  </si>
  <si>
    <t>PATCH - Resolve conflict - Decision and reasoning are immutable</t>
  </si>
  <si>
    <t>tests/api/partner_051</t>
  </si>
  <si>
    <t>PARTNER_API_DEAL_REGISTRATION_PIPELINE_010</t>
  </si>
  <si>
    <t>Sync - Deal approved event - CRM owner and stage are updated</t>
  </si>
  <si>
    <t>tests/api/partner_056</t>
  </si>
  <si>
    <t>§4.5</t>
  </si>
  <si>
    <t>PASSED — verified 2026-07-24 (TC 12060214). All 6 stages render with counts (0 on the empty test pipeline); summary + Register CTA visible. First MY_PIPELINE content test — establishes the `DealsPage` page-object (stage tabs, counts, controls) reused by the filter/card TCs (_024/_025/_026/_027/_033). Negative counterpart: N/A — a read-only view has no invalid-input surface. Idempotency: N/A — read-only (creates nothing).</t>
  </si>
  <si>
    <t>PARTNER_API_DEAL_REGISTRATION_PIPELINE_011</t>
  </si>
  <si>
    <t>Calculate - Co-sell split default - 70/30 split is stored for standard co-sell deal</t>
  </si>
  <si>
    <t>Open My Pipeline (the Deals page) and confirm all deal stages and their counts are visible — the pipeline shows the 6 stage tabs (All / Pending / Approved / Won / Lost / Expired), each with a numeric deal count, plus the pipeline summary and the Register CTA. Read-only: works with an empty pipeline (counts may be 0) — it verifies the stages RENDER, not any specific data.</t>
  </si>
  <si>
    <t>**Setup (precondition):** Log in once as the configured channel-partner user; open `/deals` via the shell and wait for the "Deal Pipeline" READY_MARKER.
**Test Steps:**
1. All 6 pipeline stage tabs are visible.
   → Expected: All, Pending, Approved, Won, Lost, Expired tabs all render (role=tab).
2. Every stage tab shows a numeric deal count.
   → Expected: each tab shows an integer count ≥ 0 (e.g. "All 0").
3. Pipeline summary + Register CTA are visible.
   → Expected: "… deals in your pipeline" summary and the "Register a deal" button are visible.
**Expected (overall):** The pipeline renders all 6 stages with counts + summary + Register CTA (independent of how many deals exist).</t>
  </si>
  <si>
    <t>4.5</t>
  </si>
  <si>
    <t>PARTNER_API_DEAL_REGISTRATION_PIPELINE_012</t>
  </si>
  <si>
    <t>Reject - Co-sell split override at or below $100K ACV - Override is not accepted</t>
  </si>
  <si>
    <t>PARTNER_API_DEAL_REGISTRATION_PIPELINE_013</t>
  </si>
  <si>
    <t>Resolve - Conflict with prospect confirmation - Confirmed partner wins conflict</t>
  </si>
  <si>
    <t>§4.5, §9.4</t>
  </si>
  <si>
    <t>deal detail timeline / approval history: deals-list 400 "Invalid id: 'pro-v1'" → pipeline empty, no deal to open; same BE defect as _024</t>
  </si>
  <si>
    <t>PARTNER_API_DEAL_REGISTRATION_PIPELINE_014</t>
  </si>
  <si>
    <t>Resolve - Conflict with unreachable prospect - First registered deal wins tiebreaker</t>
  </si>
  <si>
    <t>PARTNER_API_DEAL_REGISTRATION_PIPELINE_015</t>
  </si>
  <si>
    <t>Enforce - Multi-partner influenced deal with no registration - No attribution or commission is created on tenant provisioning</t>
  </si>
  <si>
    <t>§3 Scenario C, §5.2, §8.5</t>
  </si>
  <si>
    <t>accept co-sell override proposal: co-sell deal type not offered in the wizard + needs a proposal; feature absent</t>
  </si>
  <si>
    <t>PARTNER_API_PIPELINE_MANAGEMENT_001</t>
  </si>
  <si>
    <t>3-C</t>
  </si>
  <si>
    <t>GET - Partner deals list - Only own deals are returned</t>
  </si>
  <si>
    <t>tests/api/partner_012</t>
  </si>
  <si>
    <t>PARTNER_API_TENANT_PROVISIONING_ATTRIBUTION_001</t>
  </si>
  <si>
    <t>POST - Accept co-sell override - Override is locked at approval</t>
  </si>
  <si>
    <t>tests/api/partner_016</t>
  </si>
  <si>
    <t>§3 Scenario C, §5.2</t>
  </si>
  <si>
    <t>PARTNER_API_TENANT_PROVISIONING_ATTRIBUTION_002</t>
  </si>
  <si>
    <t>Negative: co-sell override ≤ $100K unavailable: co-sell not offered in the UI</t>
  </si>
  <si>
    <t>POST - Referral close - Tenant provision and commission events are emitted</t>
  </si>
  <si>
    <t>tests/api/partner_029</t>
  </si>
  <si>
    <t>PARTNER_API_TENANT_PROVISIONING_ATTRIBUTION_003</t>
  </si>
  <si>
    <t>POST - Reseller close - Invoice targets reseller partner</t>
  </si>
  <si>
    <t>tests/api/partner_030</t>
  </si>
  <si>
    <t>PARTNER_API_TENANT_PROVISIONING_ATTRIBUTION_004</t>
  </si>
  <si>
    <t>POST - Expansion close - Existing tenant line items are updated</t>
  </si>
  <si>
    <t>co-sell override &gt; $100K requires written agreement: co-sell not offered in the UI</t>
  </si>
  <si>
    <t>tests/api/partner_031</t>
  </si>
  <si>
    <t>PARTNER_API_TENANT_PROVISIONING_ATTRIBUTION_005</t>
  </si>
  <si>
    <t>Calculate - Expansion commission NN stage - Full configured rate applies</t>
  </si>
  <si>
    <t>tests/api/partner_032</t>
  </si>
  <si>
    <t>PARTNER_UI_MY_PIPELINE_019</t>
  </si>
  <si>
    <t>Enrich - Blur valid domain - Company enrichment data is populated</t>
  </si>
  <si>
    <t>PARTNER_API_TENANT_PROVISIONING_ATTRIBUTION_006</t>
  </si>
  <si>
    <t>Calculate - Expansion commission EN stage - Lower configured rate applies</t>
  </si>
  <si>
    <t>tests/api/partner_033</t>
  </si>
  <si>
    <t>§4.4, §8.5</t>
  </si>
  <si>
    <t>PARTNER_API_TENANT_PROVISIONING_ATTRIBUTION_007</t>
  </si>
  <si>
    <t>Sync - Deal won event - CRM opportunity closes won with tenant ID</t>
  </si>
  <si>
    <t>enrich on blur valid domain: no enrichment feature — verified live 2026-07-30, Headcount is a manual "Select range" dropdown + Logo is a manual URL field; blur only derives the tenant subdomain</t>
  </si>
  <si>
    <t>tests/api/partner_057</t>
  </si>
  <si>
    <t>PARTNER_API_TENANT_PROVISIONING_ATTRIBUTION_008</t>
  </si>
  <si>
    <t>PARTNER_UI_MY_PIPELINE_020</t>
  </si>
  <si>
    <t>Store - Tenant attribution block - Permanent partner fields are written</t>
  </si>
  <si>
    <t>Select - Choose modules of interest - Selected modules persist to confirmation</t>
  </si>
  <si>
    <t>tests/api/partner_058</t>
  </si>
  <si>
    <t>PARTNER_API_TENANT_PROVISIONING_ATTRIBUTION_009</t>
  </si>
  <si>
    <t>Override - Tenant attribution by SA - Two-eye approval and history are required</t>
  </si>
  <si>
    <t>choose modules of interest: no modules-of-interest selection in the wizard — verified live 2026-07-30, step 2 has deal type/plan/seats/region/close date only</t>
  </si>
  <si>
    <t>tests/api/partner_059</t>
  </si>
  <si>
    <t>PARTNER_API_TENANT_PROVISIONING_ATTRIBUTION_010</t>
  </si>
  <si>
    <t>Lock - Co-sell override after partner acceptance - Approved split cannot be renegotiated</t>
  </si>
  <si>
    <t>PARTNER_UI_MY_PIPELINE_021</t>
  </si>
  <si>
    <t>Register - Conflict-lost prospect after 90 days - New registration path is available</t>
  </si>
  <si>
    <t>PARTNER_API_CLIENT_HEALTH_MSP_001</t>
  </si>
  <si>
    <t>GET - Partner clients - Post-close tenants are returned</t>
  </si>
  <si>
    <t>tests/api/partner_021</t>
  </si>
  <si>
    <t>register conflict-lost prospect after 90 days: needs a conflict-lost deal aged 90 days — time-based data not available</t>
  </si>
  <si>
    <t>PARTNER_API_CLIENT_HEALTH_MSP_002</t>
  </si>
  <si>
    <t>GET - Client health metrics - Usage renewal and ticket metrics are returned</t>
  </si>
  <si>
    <t>PARTNER_UI_MY_PIPELINE_022</t>
  </si>
  <si>
    <t>tests/api/partner_022</t>
  </si>
  <si>
    <t>Block - No deal registration by either partner - Commission is not awarded to any party</t>
  </si>
  <si>
    <t>PARTNER_API_CLIENT_HEALTH_MSP_003</t>
  </si>
  <si>
    <t>GET - Client tickets without MSP consent - Only count and severity are returned</t>
  </si>
  <si>
    <t>tests/api/partner_023</t>
  </si>
  <si>
    <t>§3 Scenario I</t>
  </si>
  <si>
    <t>Negative: no registration by either partner → commission not awarded: behavioural/backend outcome, no partner-UI action to exercise</t>
  </si>
  <si>
    <t>3-I</t>
  </si>
  <si>
    <t>PARTNER_API_CLIENT_HEALTH_MSP_004</t>
  </si>
  <si>
    <t>GET - Client tickets with MSP consent - Ticket content is returned</t>
  </si>
  <si>
    <t>tests/api/partner_024</t>
  </si>
  <si>
    <t>PARTNER_UI_MY_PIPELINE_023</t>
  </si>
  <si>
    <t>Register - Reseller deal type - End-client price field is absent</t>
  </si>
  <si>
    <t>PARTNER_API_CLIENT_HEALTH_MSP_005</t>
  </si>
  <si>
    <t>PATCH - Revoke MSP consent - Content access stops immediately</t>
  </si>
  <si>
    <t>tests/api/partner_025</t>
  </si>
  <si>
    <t>§1.2, §3 Scenario B, §4.4</t>
  </si>
  <si>
    <t>PARTNER_API_CLIENT_HEALTH_MSP_006</t>
  </si>
  <si>
    <t>reseller deal → end-client price field absent: reseller deal type not offered in the wizard; feature absent</t>
  </si>
  <si>
    <t>POST - MSP tenant provision - partner_managed tenant is created</t>
  </si>
  <si>
    <t>tests/api/partner_026</t>
  </si>
  <si>
    <t>PARTNER_API_CLIENT_HEALTH_MSP_007</t>
  </si>
  <si>
    <t>Transfer - MSP handoff - Old history preserved and event emitted</t>
  </si>
  <si>
    <t>tests/api/partner_060</t>
  </si>
  <si>
    <t>PARTNER_UI_MY_PIPELINE_024</t>
  </si>
  <si>
    <t>Click - Pipeline deal row - Deal Detail drawer opens</t>
  </si>
  <si>
    <t>PARTNER_API_CLIENT_HEALTH_MSP_008</t>
  </si>
  <si>
    <t>Calculate - MSP tier qualification - Total managed ARR is used</t>
  </si>
  <si>
    <t>tests/api/partner_062</t>
  </si>
  <si>
    <t>§4.3, §4.5</t>
  </si>
  <si>
    <t>PARTNER_API_CLIENT_HEALTH_MSP_009</t>
  </si>
  <si>
    <t>Audit - MSP consent grant and revoke - Event includes actor timestamps and access changes immediately</t>
  </si>
  <si>
    <t>PASSED — verified 2026-10-14 (TC 12060224). Unblocked after the BE fixed `GET /v1/partner/portal/deals` (was 400 "Invalid id: 'pro-v1'" on legacy-slug plan refs) — re-probed live 2026-10-02: 200, 20 rows/page, total 102. Negative/Idempotency: N/A — read-only view.</t>
  </si>
  <si>
    <t>Click a deal row in My Pipeline and confirm the Deal Detail drawer opens in place (no route change).</t>
  </si>
  <si>
    <t>PARTNER_API_COMMISSIONS_PAYOUTS_001</t>
  </si>
  <si>
    <t>Calculate - Renewal EE stage - Lowest configured rate applies</t>
  </si>
  <si>
    <t>**Setup (precondition):** Log in once as the shared channel-partner user (a partner WITH deals — 102 live on 2026-10-02); open `/deals` via the shell, wait for the "Deal Pipeline" READY_MARKER and for the deals list to settle.
**Test Steps:**
1. Click the first deal row → the Deal Detail drawer opens.
   → Expected: a dialog with the heading "Deal Detail" becomes visible.
2. The drawer opens in place (URL stays on /deals).
   → Expected: the page URL is unchanged — detail is a drawer, not a new route.
**Teardown:** none — read-only.
**Expected (overall):** a deal row opens its detail drawer on the pipeline page.</t>
  </si>
  <si>
    <t>tests/api/partner_034</t>
  </si>
  <si>
    <t>PARTNER_API_COMMISSIONS_PAYOUTS_002</t>
  </si>
  <si>
    <t>PARTNER_UI_MY_PIPELINE_025</t>
  </si>
  <si>
    <t>GET - Commission history - Partner commission ledger is returned</t>
  </si>
  <si>
    <t>Click - Filter button - Filter builder popover opens</t>
  </si>
  <si>
    <t>tests/api/partner_035</t>
  </si>
  <si>
    <t>PARTNER_API_COMMISSIONS_PAYOUTS_003</t>
  </si>
  <si>
    <t>POST - Commission dispute - Dispute log entry is created</t>
  </si>
  <si>
    <t>tests/api/partner_036</t>
  </si>
  <si>
    <t>PASSED — verified 2026-10-14 (TC 12060225). Unblocked after the BE fixed `GET /v1/partner/portal/deals` (was 400 "Invalid id: 'pro-v1'" on legacy-slug plan refs) — re-probed live 2026-10-02: 200, 20 rows/page, total 102. **Re-scoped:** the original intent was "filter by company text", but the portal has **no free-text search box** — filtering is a radix "builder" (field combobox, default Deal Type, + Add Filter). This TC covers the entry point; applying a filter and asserting narrowed results needs a dedicated builder-interaction spec (follow-up). Real list narrowing is covered by _035 (stage control). Negative/Idempotency: N/A — read-only.</t>
  </si>
  <si>
    <t>Open the Filter control on My Pipeline and confirm the filter builder popover opens.</t>
  </si>
  <si>
    <t>**Setup (precondition):** Log in once as the shared channel-partner user (a partner WITH deals — 102 live on 2026-10-02); open `/deals` via the shell, wait for the "Deal Pipeline" READY_MARKER and for the deals list to settle.
**Test Steps:**
1. Click Filter → the filter popover opens.
   → Expected: the radix filter popover is visible.
2. The popover exposes the filter builder ('Add Filter' control).
   → Expected: an "Add Filter" control is present inside the popover.
**Teardown:** none — read-only.
**Expected (overall):** the advanced-filter entry point opens and is interactive.</t>
  </si>
  <si>
    <t>PARTNER_UI_MY_PIPELINE_026</t>
  </si>
  <si>
    <t>Filter - Select deal type - Pipeline list is filtered</t>
  </si>
  <si>
    <t>filter by deal type: deals-list 400 → pipeline empty; a Filter button exists but filtering can't be verified with 0 deals; same BE defect as _024/_025</t>
  </si>
  <si>
    <t>PARTNER_UI_MY_PIPELINE_027</t>
  </si>
  <si>
    <t>Filter - Select module - Pipeline list is filtered</t>
  </si>
  <si>
    <t>filter by module: same deals-list 400 + no "module" concept in the deal model/wizard</t>
  </si>
  <si>
    <t>PARTNER_UI_MY_PIPELINE_028</t>
  </si>
  <si>
    <t>Add - Deal shared note - Note appears with author and timestamp</t>
  </si>
  <si>
    <t>§3 Scenario C, §4.5</t>
  </si>
  <si>
    <t>add shared note to a deal: no deal detail — deals-list 400, pipeline empty, no deal to open</t>
  </si>
  <si>
    <t>PARTNER_UI_MY_PIPELINE_029</t>
  </si>
  <si>
    <t>Upload - Deal document - Document appears in deal detail</t>
  </si>
  <si>
    <t>upload document to a deal: no deal detail — same as _028</t>
  </si>
  <si>
    <t>PARTNER_UI_MY_PIPELINE_030</t>
  </si>
  <si>
    <t>View - Assigned BlazeUp rep - Name, photo, email, and scheduling CTA are visible</t>
  </si>
  <si>
    <t>§3 Scenario A, §4.5</t>
  </si>
  <si>
    <t>view assigned BlazeUp rep: a rep is assigned on SA approval (blocked by BUG-025) + deals-list 400, no deal to open</t>
  </si>
  <si>
    <t>3-A</t>
  </si>
  <si>
    <t>PARTNER_UI_MY_PIPELINE_031</t>
  </si>
  <si>
    <t>Request - Manual protection extension - Request is submitted with reason</t>
  </si>
  <si>
    <t>§5.2, §8.5</t>
  </si>
  <si>
    <t>request manual protection extension: needs an approved deal with a running protection clock + deal detail — deals-list 400 / no SA approval</t>
  </si>
  <si>
    <t>5.2</t>
  </si>
  <si>
    <t>PARTNER_UI_MY_PIPELINE_032</t>
  </si>
  <si>
    <t>List - My Pipeline deals table - Rows and expected columns render</t>
  </si>
  <si>
    <t>PASSED — verified 2026-10-14 (TC 12060234). New TC (2026-10-14) — numbered _034 because _015-_033 are reserved for other scenarios. Negative/Idempotency: N/A — read-only.</t>
  </si>
  <si>
    <t>On a partner with deals, the My Pipeline deals table renders rows and the expected columns.</t>
  </si>
  <si>
    <t>**Setup (precondition):** Log in once as the shared channel-partner user (a partner WITH deals — 102 live on 2026-10-02); open `/deals` via the shell, wait for the "Deal Pipeline" READY_MARKER and for the deals list to settle.
**Test Steps:**
1. The deals table shows the expected column headers.
   → Expected: headers include DEAL ID, DOMAIN, DEAL TYPE, ESTIMATED ACV, STATUS.
2. At least one deal row is rendered.
   → Expected: ≥ 1 data row (not the "No deals found" empty state).
3. The first row carries a Deal ID and a STATUS value.
   → Expected: both cells are non-empty.
**Teardown:** none — read-only.
**Expected (overall):** the deals list renders (the regression that blocked _024/_025).</t>
  </si>
  <si>
    <t>PARTNER_UI_MY_PIPELINE_033</t>
  </si>
  <si>
    <t>Click - Pipeline stage control - List filters to that status</t>
  </si>
  <si>
    <t>PASSED — verified 2026-10-14 (TC 12060235). Stage controls are BUTTONS "&amp;lt;Stage&amp;gt; &amp;lt;count&amp;gt;" (All/Pending/Approved/In Progress/Won/Lost/Expired). Negative/Idempotency: N/A — read-only.</t>
  </si>
  <si>
    <t>A pipeline stage control filters the list to that status.</t>
  </si>
  <si>
    <t>**Setup (precondition):** Log in once as the shared channel-partner user (a partner WITH deals — 102 live on 2026-10-02); open `/deals` via the shell, wait for the "Deal Pipeline" READY_MARKER and for the deals list to settle.
**Test Steps:**
1. Pick a non-empty stage that fits on one page (1..20 deals).
   → Expected: a non-'All' stage button whose count is 1..20 exists.
2. Click the stage and the list shows exactly its deals.
   → Expected: rendered row count equals the stage's count (polled — the table re-renders client-side).
3. Every rendered row has that stage's STATUS.
   → Expected: each row's STATUS matches the stage.
**Teardown:** none — read-only.
**Expected (overall):** stage controls narrow the list correctly.</t>
  </si>
  <si>
    <t>PARTNER_UI_MY_PIPELINE_034</t>
  </si>
  <si>
    <t>Click - Pipeline deal row - Detail drawer shows the clicked deal's info</t>
  </si>
  <si>
    <t>PASSED — verified 2026-10-14 (TC 12060236). Negative/Idempotency: N/A — read-only.</t>
  </si>
  <si>
    <t>The Deal Detail drawer shows the clicked deal's info.</t>
  </si>
  <si>
    <t>**Setup (precondition):** Log in once as the shared channel-partner user (a partner WITH deals — 102 live on 2026-10-02); open `/deals` via the shell, wait for the "Deal Pipeline" READY_MARKER and for the deals list to settle.
**Test Steps:**
1. The drawer shows the DEAL INFO and COMPANY INFO sections.
   → Expected: both section headings are visible in the drawer (opened from the first row in Setup).
2. The drawer reflects the clicked deal (its company/domain text appears).
   → Expected: a token from the row's DOMAIN cell appears inside the Deal Detail dialog.
**Teardown:** none — read-only.
**Expected (overall):** the drawer shows the deal that was clicked, not a blank shell.</t>
  </si>
  <si>
    <t>PARTNER_UI_MY_PIPELINE_035</t>
  </si>
  <si>
    <t>Paginate - Go to page 2 - A different set of deals loads</t>
  </si>
  <si>
    <t>PASSED — verified 2026-10-14 (TC 12060238). Footer: "Showing 1 - 20 of 102 | 20 / page | 1..6 | Go to page". Negative/Idempotency: N/A — read-only.</t>
  </si>
  <si>
    <t>Pagination — page 2 loads a different set of deals.</t>
  </si>
  <si>
    <t>**Setup (precondition):** Log in once as the shared channel-partner user (a partner WITH deals — 102 live on 2026-10-02); open `/deals` via the shell, wait for the "Deal Pipeline" READY_MARKER and for the deals list to settle. More than one page of deals (All &amp;gt; 20); otherwise the TC reports BLOCKED.
**Test Steps:**
1. Jump to page 2 → a new page of deals loads.
   → Expected: via the "Go to page" input, the first row changes and rows still render.
2. Page 2's first deal differs from page 1.
   → Expected: page-2 first Deal ID ≠ page-1 first Deal ID.
**Teardown:** none — read-only.
**Expected (overall):** paging through the pipeline loads new rows.</t>
  </si>
  <si>
    <t>PARTNER_UI_MY_PIPELINE_036</t>
  </si>
  <si>
    <t>List - Deal rows - DEAL TYPE / ESTIMATED ACV / STATUS are well-formed</t>
  </si>
  <si>
    <t>PASSED — verified 2026-10-14 (TC 12060239). Soft-collect (`soft=gaps`) so one bad row never hides others. Negative/Idempotency: N/A — read-only.</t>
  </si>
  <si>
    <t>Each deal row's DEAL TYPE / ESTIMATED ACV / STATUS are well-formed.</t>
  </si>
  <si>
    <t>**Setup (precondition):** Log in once as the shared channel-partner user (a partner WITH deals — 102 live on 2026-10-02); open `/deals` via the shell, wait for the "Deal Pipeline" READY_MARKER and for the deals list to settle.
**Test Steps:** (one step per row, first ≤ 5 rows; failures collected)
1..N. Row i: DEAL TYPE / ESTIMATED ACV / STATUS are valid.
   → Expected: DEAL TYPE ∈ Referral/Reseller/Co-sell; ESTIMATED ACV contains an amount; STATUS ∈ Pending/Approved/Won/Lost/Expired/In Progress/Registered.
**Teardown:** none — read-only.
**Expected (overall):** the typed columns render valid values on every row.</t>
  </si>
  <si>
    <t>PARTNER_UI_MY_PIPELINE_037</t>
  </si>
  <si>
    <t>Click - Zero-count stage - 'No deals found' empty state is shown</t>
  </si>
  <si>
    <t>BUG-API-043</t>
  </si>
  <si>
    <t>PASSED — verified 2026-10-14 (TC 12060240). Negative/Idempotency: N/A — read-only. Numbered _040: _037 is reserved in the Excel test plan (reseller billing tag).</t>
  </si>
  <si>
    <t>A zero-count stage shows the "No deals found" empty state.</t>
  </si>
  <si>
    <t>**Setup (precondition):** Log in once as the shared channel-partner user (a partner WITH deals — 102 live on 2026-10-02); open `/deals` via the shell, wait for the "Deal Pipeline" READY_MARKER and for the deals list to settle.
**Test Steps:**
1. Find a stage with a zero deal count.
   → Expected: a stage button shows 0 (e.g. In Progress / Lost / Expired).
2. Switching to it shows the 'No deals found' empty state.
   → Expected: the empty-state message is visible.
3. No deal data rows are listed under the empty stage.
   → Expected: 0 rows carrying a "D#…" Deal ID (the single placeholder row is the empty-state message).
**Teardown:** none — read-only.
**Expected (overall):** an empty stage renders a clear empty state, no stale rows.</t>
  </si>
  <si>
    <t>Deal Management</t>
  </si>
  <si>
    <t>PARTNER_UI_MY_PIPELINE_038</t>
  </si>
  <si>
    <t>Won - Reseller marks deal Won - Partner self-confirms close without SA approval</t>
  </si>
  <si>
    <t>§3 Scenario B, §4.4, §5.2</t>
  </si>
  <si>
    <t>reseller marks deal Won / self-confirm: reseller deal type not offered in the UI</t>
  </si>
  <si>
    <t>Deal List View</t>
  </si>
  <si>
    <t>PARTNER_UI_MY_PIPELINE_039</t>
  </si>
  <si>
    <t>Display - Pipeline deal card - Reseller billing model tag is visible</t>
  </si>
  <si>
    <t>§3 Scenario B, §4.5</t>
  </si>
  <si>
    <t>pipeline card shows reseller billing tag: deals-list 400 → no card renders + reseller not offered</t>
  </si>
  <si>
    <t>Partner Portal Shell</t>
  </si>
  <si>
    <t>Navigation &amp; Shell</t>
  </si>
  <si>
    <t>§4.2</t>
  </si>
  <si>
    <t>Open every primary nav route of the partner portal shell and confirm each page's content module renders (correct page content shown, no micro-frontend error). One looping test walks all pages via direct URL and soft-collects failures → a single verdict naming any bad page.</t>
  </si>
  <si>
    <t>**Setup (precondition):** Log in once as the configured channel-partner user (session-cached partner UI login). Warm up the SPA (open Dashboard once) so the first page in the loop isn't charged the one-off bootstrap.
**Test Steps:** (each page = one `page.goto(route)` then wait for its READY_MARKER in `&lt;main&gt;`, fast-fail on the "Something went wrong" MFE panel) — primary nav verified live 2026-07-23:
1. Dashboard → `/dashboard` → Expected: page title **"Tier &amp; Performance"** visible in `&lt;main&gt;`, no error panel.
2. Deals → `/deals` → Expected: **"Deal Pipeline"** visible.
3. Commissions → `/commissions` → Expected: **"Commissions"** visible.
4. Resources → `/resources` → Expected: **"Resources"** visible.
5. My Apps → `/apps` → Expected: **"My Apps"** visible.
**Expected (overall):** All 5 primary pages render their content module (no MFE error panel); a broken page fast-fails naming which one.</t>
  </si>
  <si>
    <t>4.2</t>
  </si>
  <si>
    <t>Responsive Layout</t>
  </si>
  <si>
    <t>PARTNER_UI_PARTNER_PORTAL_SHELL_002</t>
  </si>
  <si>
    <t>Responsive - Partner portal mobile layout - Controls remain usable</t>
  </si>
  <si>
    <t>§4.1, §4.4</t>
  </si>
  <si>
    <t>BUG-UI-010</t>
  </si>
  <si>
    <t>FAILED by design (TC 12060102), verified 2026-07-24. Mobile 375x812. 3/5 pages fit + mobile nav works (icon-bar sidebar, tap routes OK), but Deals (+162px) and My Apps (+263px) overflow horizontally at 375px = responsive-layout defects (content doesn't fit small screens -&gt; sideways scroll). Confirm with FE. Negative N/A (responsive smoke). Idempotency N/A (read-only).</t>
  </si>
  <si>
    <t>Open the partner portal at a common mobile viewport (375x812) and confirm the shell stays usable on every primary nav page: section renders, sidebar nav reachable, and layout does not overflow horizontally. Then tap a sidebar link to prove mobile navigation works. One looping test reports a single verdict naming any bad page.</t>
  </si>
  <si>
    <t>**Setup (precondition):** Log in once as the configured channel-partner user; resize the page to 375×812; warm up the SPA (open Dashboard once).
**Test Steps:** (per page at mobile width: shell READY_MARKER visible + ≥1 nav link visible + horizontal overflow ≤ 5px scrollbar allowance) — verified live 2026-07-24:
1. Dashboard `/dashboard` → Expected: renders, nav reachable, no h-overflow. → **PASS** (overflow 0px).
2. Deals `/deals` → Expected: no h-overflow. → **FAILS** — content overflows the 375px viewport by **+162px** (tabs/filter/view controls don't fit → sideways scroll).
3. Commissions `/commissions` → Expected: no h-overflow. → **PASS** (0px).
4. Resources `/resources` → Expected: no h-overflow. → **PASS** (0px).
5. My Apps `/apps` → Expected: no h-overflow. → **FAILS** — overflows by **+263px**.
6. Tap sidebar link at mobile → Commissions routes + renders. → **PASS** (mobile nav is usable).
**Expected (overall):** Every primary page fits the mobile viewport (no horizontal overflow) with the nav reachable; tapping nav routes correctly.</t>
  </si>
  <si>
    <t>4.1</t>
  </si>
  <si>
    <t>Dual Account Switcher</t>
  </si>
  <si>
    <t>PARTNER_UI_PARTNER_PORTAL_SHELL_003</t>
  </si>
  <si>
    <t>Switch - Dual account partner activates account switcher - Pack and Channel dashboards toggle correctly</t>
  </si>
  <si>
    <t>§3-H</t>
  </si>
  <si>
    <t>Dual-account partner switching between **Pack** and **Channel** dashboards. Cannot automate — the feature and the test data do not exist on staging (verified live 2026-07-24): (a) **no account-switcher control** in the portal shell — the header "Select" is the tier badge (tier=`select`), not an account switcher, and the profile menu only offers Profile/Logout; (b) the logged-in partner is a **single account** — `GET /v1/partner/auth/me` returns one `partnerId` with `type:"channel"`, `tier:"select"`, no accounts array; (c) **no "Pack" concept** — the partner `type` enum is channel/referral/msp/system_integrator (no "pack"), so a Pack↔Channel dual-account cannot even be represented. Unblock when BE ships multi-account membership (one user → a Pack + a Channel account) + a shell account switcher, AND a dual-account test partner is provisioned.</t>
  </si>
  <si>
    <t>3-H</t>
  </si>
  <si>
    <t>Partner Team</t>
  </si>
  <si>
    <t>Team &amp; Referral Links</t>
  </si>
  <si>
    <t>PARTNER_UI_PARTNER_TEAM_001</t>
  </si>
  <si>
    <t>Invite - Partner team member - Invitation is sent with role</t>
  </si>
  <si>
    <t>§4.10</t>
  </si>
  <si>
    <t>PASSED — verified 2026-07-30 (TC 12060601). Partner-side team management on `/directory` (Invite User → email/name/role → Send → one-time credential → member Active). New config section `PARTNER.ui.PARTNER_TEAM = 6`. Side-effect: each run creates a real Active member (unique `qa.auto+…` email; no UI delete — members accumulate). Negative counterpart: N/A here (could add required-field validation later). Idempotency: N/A (unique email each run).</t>
  </si>
  <si>
    <t>Invite a partner team member. On the partner Directory (`/directory`), open "Invite User", fill the new member's email + name + role, send the invite, and confirm the invitation is created (one-time credential shown) and the member appears in the team table with its role.</t>
  </si>
  <si>
    <t>**Setup (precondition):** Log in as the channel-partner user (stgpartners, 2FA); open `/directory` and wait for the "Directory" READY_MARKER.
**Test Steps:**
1. The member table + Invite User action render.
   → Expected: MEMBER / ROLE / STATUS / LAST LOGIN columns + "Invite User" button.
2. The Invite dialog exposes email + name + a role selector.
   → Expected: Email*, First name*, Last name*, Role (default "Viewer") fields + Send Invite.
3. Send the invite → "User invited" confirmation.
   → Expected: the credential dialog ("User invited" — one-time temporary password) appears; close via Done.
4. The invited member appears in the Directory with its role.
   → Expected: a row for the invited email shows role "Viewer" and status Active.
**Expected (overall):** The invitation is created with the role and the new member is visible in the Directory.</t>
  </si>
  <si>
    <t>4.10</t>
  </si>
  <si>
    <t>PARTNER_UI_PARTNER_TEAM_002</t>
  </si>
  <si>
    <t>Create - Campaign referral link - Link and analytics row are created</t>
  </si>
  <si>
    <t>§4.10, §8.4</t>
  </si>
  <si>
    <t>create campaign referral link: no referral-link UI found on `/directory`; feature not located on the partner portal — recheck if/when a referral-link area ships</t>
  </si>
  <si>
    <t>PARTNER_UI_PARTNER_TEAM_003</t>
  </si>
  <si>
    <t>Copy - Referral link - Clipboard action succeeds</t>
  </si>
  <si>
    <t>copy referral link: same — no referral-link UI found</t>
  </si>
  <si>
    <t>Resources</t>
  </si>
  <si>
    <t>Resources &amp; Sandbox</t>
  </si>
  <si>
    <t>PARTNER_UI_RESOURCES_001</t>
  </si>
  <si>
    <t>Reset - Demo sandbox - Profile selection and reset confirmation are shown</t>
  </si>
  <si>
    <t>§4.9, §8.3, §12.1 B5</t>
  </si>
  <si>
    <t>demo sandbox reset: no sandbox UI</t>
  </si>
  <si>
    <t>4.9</t>
  </si>
  <si>
    <t>PARTNER_UI_RESOURCES_002</t>
  </si>
  <si>
    <t>Configure - Demo sandbox weekly auto-reset - Toggle is default off with reset warning</t>
  </si>
  <si>
    <t>sandbox weekly auto-reset toggle: no sandbox UI</t>
  </si>
  <si>
    <t>PARTNER_UI_RESOURCES_003</t>
  </si>
  <si>
    <t>Download - Marketing resource - Correct file is served</t>
  </si>
  <si>
    <t>§4.9</t>
  </si>
  <si>
    <t>download marketing resource: no marketing-assets UI</t>
  </si>
  <si>
    <t>PARTNER_UI_RESOURCES_004</t>
  </si>
  <si>
    <t>Generate - Co-branded pitch deck - Partner logo is inserted</t>
  </si>
  <si>
    <t>generate co-branded pitch deck: no generator UI</t>
  </si>
  <si>
    <t>PARTNER_UI_RESOURCES_005</t>
  </si>
  <si>
    <t>Open - ROI calculator - Prospect PDF can be generated</t>
  </si>
  <si>
    <t>ROI calculator → prospect PDF: no calculator UI</t>
  </si>
  <si>
    <t>SA Partner Module</t>
  </si>
  <si>
    <t>Deal Conflict Queue</t>
  </si>
  <si>
    <t>§3 Scenario D, §5.2, §9.4</t>
  </si>
  <si>
    <t>Blocked by the SA Deal Approval Queue backend defect (see _007 / BUG-025). The Conflict Queue (`/partners/deals` → Conflicts tab) fails to load any deals — every tab shows "Server Error — Invalid id: 'pro-v1'" — so no conflicted deal can be opened to resolve. Revisit once BUG-025 is fixed and a two-parties-same-domain conflict fixture exists.</t>
  </si>
  <si>
    <t>Same as _001 — the Conflict Queue deal list fails to load (BUG-025), so the conflict-decision detail UI cannot be reached. Needs BUG-025 fixed + a conflict fixture with prospect-confirmation data.</t>
  </si>
  <si>
    <t>Partner Directory</t>
  </si>
  <si>
    <t>§5.1</t>
  </si>
  <si>
    <t>PASSED 2026-07-29 (TC 12060503). First SA_PARTNER_MODULE test; establishes stgsa SA-side surface via ShellPage + new PartnerDirectoryPage (make_page/super-admin, not partner portal). Config PARTNER.ui.SA_PARTNER_MODULE=5. Empty-safe (verified 0 rows + 1 row). Negative/Idempotency: N/A (read-only load). stgsa flapped during verify; passed once stable.</t>
  </si>
  <si>
    <t>5.1</t>
  </si>
  <si>
    <t>PARTNER_UI_SA_PARTNER_MODULE_013</t>
  </si>
  <si>
    <t>Open - Partner detail page - Overview, deals, commission, members are visible</t>
  </si>
  <si>
    <t>Figma design: [PN002] View Partner Detail page.
PASSED, verified 2026-07-31 (TC 12060513). Read-only load check (empty-safe). Negative counterpart: N/A — read-only load. Idempotency: N/A.</t>
  </si>
  <si>
    <t>The SA-side Partner Detail page (stgsa `/partners/&lt;id&gt;`) loads with its detail chrome — the Overview / Deals / Commission / Members tabs, the Tier &amp; Performance + Territory Assignments sections, the partner info (id + type + tier), and the Partner-actions control.</t>
  </si>
  <si>
    <t>**Setup (precondition):** Log in as super-admin (stgsa); self-seed a throwaway partner via **Onboard Partner** (the Directory list is unreliable on staging), then open its detail.
**Test Steps:**
1. The detail tabs render.
   → Expected: **Overview**, **Deals**, **Commission**, **Members** tabs are visible (Radix `role="tab"`). **(PASSES.)**
2. The Overview sections + partner info render.
   → Expected: **Tier &amp; Performance** + **Territory Assignments** sections + partner company name + **Channel** type + **PAR-…** id are visible. **(PASSES.)**
3. The Partner-actions control renders.
   → Expected: the **Partner actions** kebab control is visible on the header. **(PASSES.)**
**Expected (overall):** The SA Partner Detail loads with tabs, sections, partner info, and the actions control.</t>
  </si>
  <si>
    <t>PARTNER_UI_SA_PARTNER_MODULE_014</t>
  </si>
  <si>
    <t>Manage - Partner team member - Deactivate and reactivate a member</t>
  </si>
  <si>
    <t>Figma design: [PN014] View and manage partner team members. 
PASSED, verified 2026-08-03 (TC 12060514). Password for the throwaway staging user is generated and never logged. **Scope:** the Members tab exposes only **Add User** (create) + a per-row **Reset Password** action — there is **NO member deactivate / reactivate / suspend / remove** control on this build (verified live 2026-08-03: full row HTML + hover + keyword scan), so the deactivate/reactivate half of the original _014 intent is **not automatable** (UI not implemented). If/when that control ships, extend this TC. Negative counterpart: N/A — happy-path add (form-validation negatives are a separate TC). Idempotency: N/A — each add creates a distinct user (unique email)..</t>
  </si>
  <si>
    <t>From the SA Partner Detail → **Members** tab, an SA adds a portal user (member) to an active partner; the new user appears in the Portal Users list with **Active** status.</t>
  </si>
  <si>
    <t>**Setup (precondition):** Log in as super-admin (stgsa); self-seed a throwaway partner, **Approve** it (Pending → Active), open the Members tab.
**Test Steps:**
1. The Members tab shows the Portal Users list (empty).
   → Expected: **Portal Users** heading + an **Add User** / **Add First User** control; empty-state "No portal users yet". **(PASSES.)**
2. Add a portal user (First / Last / Email / Password / Role via the Add-User form → **Create Portal User**).
   → Expected: **"Portal user created successfully"** confirmation. **(PASSES.)**
3. The new user appears as an Active row.
   → Expected: the new user's row shows the email + **Viewer** role + **Active** status; the header reads **Portal Users (1)**. **(PASSES.)**
**Expected (overall):** An SA can add a portal user to a partner; it appears Active in the Portal Users list.</t>
  </si>
  <si>
    <t>PARTNER_UI_SA_PARTNER_MODULE_015</t>
  </si>
  <si>
    <t>Suspend - Active partner account - Partner is suspended with a reason</t>
  </si>
  <si>
    <t xml:space="preserve">Figma design: [PN015] Suspend active partner account. 
</t>
  </si>
  <si>
    <t>From the SA Partner Detail page, an Active partner is suspended via **Partner actions → Deactivate**. Expected: the partner transitions out of Active (Suspended/Inactive) and portal access is revoked.</t>
  </si>
  <si>
    <t>**Setup (precondition):** Log in as super-admin (stgsa); self-seed a throwaway partner, **Approve** it (Pending → Active).
**Test Steps:**
1. Deactivate (suspend) the active partner — Partner actions → Deactivate → confirm the "Deactivate Partner" dialog.
   → Expected: the request succeeds. **(FAILS.)**
2. The partner is suspended and no error is shown.
   → Expected: no error banner; partner is no longer Active (Suspended/Inactive). **(FAILS.)**
**Expected (overall):** An SA can suspend an Active partner from the UI; the partner loses portal access.</t>
  </si>
  <si>
    <t>PARTNER_UI_SA_PARTNER_MODULE_016</t>
  </si>
  <si>
    <t>Reactivate - Suspended partner account - Partner is reactivated</t>
  </si>
  <si>
    <t>Figma design: [PN016] Reactivate suspended partner account.
Cannot reach the **Suspended** precondition. Suspending a partner is broken by **BUG-028** — the "Deactivate Partner" confirm dialog sends no `reason`, so the deactivate API rejects it ("reason should not be empty / must be a string / ≤ 2000 chars") and the partner stays Active. With no way to produce a Suspended partner through the UI (and no SA-side reactivate control reachable until one exists), the reactivate flow is untestable. **Unblock when BUG-028 is fixed** (then build: onboard → Approve → Deactivate → Reactivate → assert Active). Negative counterpart: N/A. Idempotency: N/A.</t>
  </si>
  <si>
    <t>From the SA Partner Detail page, a **Suspended** partner is reactivated via **Partner actions → Reactivate**; the partner returns to Active and regains portal access.</t>
  </si>
  <si>
    <t>SA Operations</t>
  </si>
  <si>
    <t>§5.1, §12.1 B3</t>
  </si>
  <si>
    <t>The FSM review UI is **not deployed on staging** (re-verified 2026-07-30, thorough probe). The pending-application **fixture IS creatable**: stgsa Partners→Directory→"Onboard Partner" creates a partner in **Pending** status (verified — onboarded PAR-795503, Pending Approval 0→1). BUT even a pending partner's detail page shows only Overview / Deals / Commission / Members tabs — **no SA Review / Legal Countersign / Final Approval stages, no Approve/</t>
  </si>
  <si>
    <t>5.1a</t>
  </si>
  <si>
    <t>Same as _004 — FSM review UI (SA Review stage / Advance-to-Legal-Countersign / agreement-attach) not deployed on staging. Fixture creatable via Onboard Partner; unblock when the FSM UI ships.</t>
  </si>
  <si>
    <t>PARTNER_API_COMMISSIONS_PAYOUTS_004</t>
  </si>
  <si>
    <t>Countersign - Legal countersigns partner agreement - Final approval becomes available</t>
  </si>
  <si>
    <t>POST - Product failure waiver - Waiver request stores evidence</t>
  </si>
  <si>
    <t>§5.1, §9.4, §12.1 B3</t>
  </si>
  <si>
    <t>Same as _004/_005 — the Legal-Countersign stage of the FSM review UI is not deployed on staging. Unblock when the FSM UI ships.</t>
  </si>
  <si>
    <t>tests/api/partner_037</t>
  </si>
  <si>
    <t>PARTNER_API_COMMISSIONS_PAYOUTS_005</t>
  </si>
  <si>
    <t>POST - Waiver decision - Final outcome event is emitted</t>
  </si>
  <si>
    <t>tests/api/partner_038</t>
  </si>
  <si>
    <t>§5.2</t>
  </si>
  <si>
    <t>The SA Deal Approval Queue (stgsa /partners/deals, PRD §5.2) renders its shell — the Deal Type + Conflicts only filters and the deals table header — then loads its deals with no backend error. (Page redesigned 2026-08-05: status is now custom span chips All/Pending/Approved/In Progress/Won/Expired/Lost/Rejected; the old "All Deals/Pending Approval/Conflicts" tabs no longer exist — readiness/assertions key off the stable filters + table header, not the chips.)</t>
  </si>
  <si>
    <t>**Setup (precondition):** Log in as super-admin (stgsa); open `/partners/deals` and wait for the **Deal Type** filter (queue shell) to render.
**Test Steps:**
1. The queue shell renders — filters + deals table header.
   → Expected: **Deal Type** + **Conflicts only** filters visible; table header **DEAL ID, DOMAIN, COMPANY, PARTNER, ESTIMATED ACV, DEAL TYPE, PLAN, STATUS, ACTIONS**. **(PASSES.)**
2. The deal list loads without a server error (waits for the async deal-list fetch to settle first).
   → Expected: no backend error; deal rows load (partners have open deals). **(FAILS.)**
**Expected (overall):** The SA deal approval queue renders and loads its deals.</t>
  </si>
  <si>
    <t>PARTNER_API_COMMISSIONS_PAYOUTS_006</t>
  </si>
  <si>
    <t>PUT - Commission rates - New version is created and cached</t>
  </si>
  <si>
    <t>tests/api/partner_052</t>
  </si>
  <si>
    <t>§5.2, §6.2</t>
  </si>
  <si>
    <t>PARTNER_API_COMMISSIONS_PAYOUTS_007</t>
  </si>
  <si>
    <t>POST - Commission approve over threshold - Second approver is required</t>
  </si>
  <si>
    <t>tests/api/partner_054</t>
  </si>
  <si>
    <t>PARTNER_API_COMMISSIONS_PAYOUTS_008</t>
  </si>
  <si>
    <t>Expire - Referral attribution after 40 days - No partner attribution or commission is created</t>
  </si>
  <si>
    <t>PARTNER_API_COMMISSIONS_PAYOUTS_009</t>
  </si>
  <si>
    <t>Notify - Referral link signup - Partner notification and commission trigger are created</t>
  </si>
  <si>
    <t>§5.3, §8.2</t>
  </si>
  <si>
    <t>The Commission **configuration** view is **not deployed on staging** (re-verified 2026-07-30, thorough probe: full-page text + all clickables + routes). `/partners/commissions` renders only the payout ledger (Pending Payout / Paid YTD / Clawback Exposure + payout table) — there is **no "View configuration" entry point**, no rate/version text anywhere, and config routes (`/partners/commissions/configuration`, `/partners/commission-rates`, …) 404 / "Invalid id". Design PN020 is ready-for-dev but the config UI is not live yet. Unblock when FE deploys the Commission configuration view.
#### PARTNER_UI_SA_PARTNER_MODULE_010 — BLOCKED (config UI not deployed)</t>
  </si>
  <si>
    <t>PARTNER_API_COMMISSIONS_PAYOUTS_010</t>
  </si>
  <si>
    <t>5.3</t>
  </si>
  <si>
    <t>Apply - Clawback inside 12 months - 50 percent debit is created for referral and co-sell</t>
  </si>
  <si>
    <t>PARTNER_API_COMMISSIONS_PAYOUTS_011</t>
  </si>
  <si>
    <t>PARTNER_UI_SA_PARTNER_MODULE_010</t>
  </si>
  <si>
    <t>Skip - Reseller churn clawback - No clawback is created for reseller margin deal</t>
  </si>
  <si>
    <t>Configure - SPIFF programme - Bonus programme is created</t>
  </si>
  <si>
    <t>PARTNER_API_COMMISSIONS_PAYOUTS_012</t>
  </si>
  <si>
    <t>Decide - Product-failure waiver - SLA due date and ledger credit are recorded without deleting rows</t>
  </si>
  <si>
    <t>§5.3</t>
  </si>
  <si>
    <t>Same as _009 — the SPIFF configuration lives in the same Commission configuration view, which is not deployed on staging. Unblock when FE deploys it.</t>
  </si>
  <si>
    <t>PARTNER_API_REFERRAL_ATTRIBUTION_001</t>
  </si>
  <si>
    <t>GET - Referral click - Redis attribution is stored for 30 days</t>
  </si>
  <si>
    <t>tests/api/partner_041</t>
  </si>
  <si>
    <t>PARTNER_UI_SA_PARTNER_MODULE_011</t>
  </si>
  <si>
    <t>View - SA analytics dashboard - Funnel and waiver metrics are displayed</t>
  </si>
  <si>
    <t>PARTNER_API_REFERRAL_ATTRIBUTION_002</t>
  </si>
  <si>
    <t>Attribute - Multiple referral clicks - First-touch attribution wins</t>
  </si>
  <si>
    <t>§5.5</t>
  </si>
  <si>
    <t>The SA Partner Programme Analytics dashboard (stgsa `/partners/analytics`, PRD §7) — funnel + KPI + tier-distribution + top-partners render and load with no backend error.</t>
  </si>
  <si>
    <t>**Setup (precondition):** Log in as super-admin (stgsa); open `/partners/analytics` and wait for the "Deal Funnel" section.
**Test Steps:**
1. Summary KPI cards + Deal Funnel stages render.
   → Expected: Total Partners, Total ARR, Avg Deal Size, Win Rate, Pending Payouts, Clawback Exposure + funnel stages Registered/Approved/In Progress/Won. **(PASSES.)**
2. The Tier Distribution + Top Partners sections render.
   → Expected: Deal Funnel, Tier Distribution, Top Partners by ARR sections visible. **(PASSES.)**
3. The analytics data loads without a server error.
   → Expected: no backend error. **(FAILS.)**
**Expected (overall):** The analytics dashboard shows the funnel + KPIs + sections with data loaded.</t>
  </si>
  <si>
    <t>tests/api/partner_042</t>
  </si>
  <si>
    <t>PARTNER_API_PARTNER_ACCOUNT_MANAGEMENT_001</t>
  </si>
  <si>
    <t>GET - Internal partners list - SA filters are applied</t>
  </si>
  <si>
    <t>PARTNER_UI_SA_PARTNER_MODULE_012</t>
  </si>
  <si>
    <t>tests/api/partner_045</t>
  </si>
  <si>
    <t>Assign - Territory exclusivity - Assignment saves with effective dates</t>
  </si>
  <si>
    <t>PARTNER_API_PARTNER_ACCOUNT_MANAGEMENT_002</t>
  </si>
  <si>
    <t>POST - Internal partner create - Pending partner account is created</t>
  </si>
  <si>
    <t>tests/api/partner_046</t>
  </si>
  <si>
    <t>§5.4</t>
  </si>
  <si>
    <t>PARTNER_API_PARTNER_ACCOUNT_MANAGEMENT_003</t>
  </si>
  <si>
    <t>The Territory page is **not deployed on staging** (re-verified 2026-07-30). `/partners/territory` and `/partners/territories` return "Server Error — Invalid id: 'territory'" (route not registered), and the partner-detail Territory section is read-only "No territories assigned to this partner" with no "+ Assign Territory" control / assignment form / exclusivity-conflict warning. Design PN021 is ready-for-dev but the Territory management UI is not live. Unblock when FE deploys it.</t>
  </si>
  <si>
    <t>POST - Partner approve - Activation user and approval event are created</t>
  </si>
  <si>
    <t>5.4</t>
  </si>
  <si>
    <t>tests/api/partner_047</t>
  </si>
  <si>
    <t>Partner Application</t>
  </si>
  <si>
    <t>PARTNER_API_PARTNER_ACCOUNT_MANAGEMENT_004</t>
  </si>
  <si>
    <t>PATCH - Partner application decline - Mandatory reason is audit logged</t>
  </si>
  <si>
    <t>tests/api/partner_048</t>
  </si>
  <si>
    <t>PARTNER_UI_SA_PARTNER_MODULE_017</t>
  </si>
  <si>
    <t>Reject - Partner application - Application moves to Rejected with a reason</t>
  </si>
  <si>
    <t>PARTNER_API_PARTNER_ACCOUNT_MANAGEMENT_005</t>
  </si>
  <si>
    <t>Publish - Tier changed event - Portal and SA analytics can refresh</t>
  </si>
  <si>
    <t>tests/api/partner_061</t>
  </si>
  <si>
    <t>PARTNER_API_PARTNER_ACCOUNT_MANAGEMENT_006</t>
  </si>
  <si>
    <t>Enforce - Reseller sell price - End-client price is not stored</t>
  </si>
  <si>
    <t>Figma design: [PN004] Reject partner application.</t>
  </si>
  <si>
    <t>tests/api/partner_064</t>
  </si>
  <si>
    <t>PARTNER_API_PARTNER_ACCOUNT_MANAGEMENT_007</t>
  </si>
  <si>
    <t>JOB - Quarterly tier calculation - Upgrade immediate and downgrade grace are applied</t>
  </si>
  <si>
    <t>PARTNER_UI_SA_PARTNER_MODULE_018</t>
  </si>
  <si>
    <t>Resend - Expired activation invite - Invite email is re-sent</t>
  </si>
  <si>
    <t>PARTNER_API_PARTNER_ACCOUNT_MANAGEMENT_008</t>
  </si>
  <si>
    <t>Enforce - Downgrade grace quarter - Partner retains current-tier benefits during grace</t>
  </si>
  <si>
    <t>PARTNER_API_CRM_INTEGRATION_001</t>
  </si>
  <si>
    <t>Sync - Deal registered event - Dogfood CRM opportunity is created</t>
  </si>
  <si>
    <t>tests/api/partner_055</t>
  </si>
  <si>
    <t xml:space="preserve">Figma design: [PN005] Resend expired activation invite. </t>
  </si>
  <si>
    <t>PARTNER_API_EVENT_ARCHITECTURE_001</t>
  </si>
  <si>
    <t>Validate - Kafka envelope - Standard event metadata is present</t>
  </si>
  <si>
    <t>tests/api/partner_068</t>
  </si>
  <si>
    <t>PARTNER_API_SECURITY_COMPLIANCE_001</t>
  </si>
  <si>
    <t>Audit - SA action - Audit log contains actor action reasoning and correlation ID</t>
  </si>
  <si>
    <t>PARTNER_UI_SA_PARTNER_MODULE_019</t>
  </si>
  <si>
    <t>tests/api/partner_066</t>
  </si>
  <si>
    <t>Request - Additional info from applicant - Request is sent</t>
  </si>
  <si>
    <t>PARTNER_API_SECURITY_COMPLIANCE_002</t>
  </si>
  <si>
    <t>Validate - Prospect data minimization - Unnecessary PII is rejected or not persisted</t>
  </si>
  <si>
    <t xml:space="preserve">Figma design: [PN027] Request additional information from applicant. </t>
  </si>
  <si>
    <t>Security / Compliance</t>
  </si>
  <si>
    <t>Security &amp; Compliance</t>
  </si>
  <si>
    <t>§9.1</t>
  </si>
  <si>
    <t>Security: deny cross-partner data access — needs ≥2 partner fixtures + a defined cross-access attempt surface; the portal already scopes to the logged-in partner but there is no set-up to attempt viewing another partner's data)</t>
  </si>
  <si>
    <t>9.1</t>
  </si>
  <si>
    <t>§9.4</t>
  </si>
  <si>
    <t>Security: audit — SA-action activity-log entry visible; the partner portal has no audit log (6-item nav), the Audit Log is SA-side (stgsa); needs an SA action + the log</t>
  </si>
  <si>
    <t>9.4</t>
  </si>
  <si>
    <t>Risk R7, §4.4, §9.3</t>
  </si>
  <si>
    <t>Security: deal-registration prospect data minimization). The one TC touching an existing partner surface — the register wizard requests a known field set (company name, domain, country, headcount, logo URL + contact name/email/phone/title). Buildable as an assertion that the requested field set ⊆ an allowed policy list — **needs the PRD-defined allowlist** of permitted prospect fields to assert against (not blocked by missing UI, blocked by a missing spec</t>
  </si>
  <si>
    <t>9.3</t>
  </si>
  <si>
    <t>PARTNER_UI_SECURITY_COMPLIANCE_004</t>
  </si>
  <si>
    <t>Flag - SA impersonation partner notification - Pending legal decision is surfaced as placeholder</t>
  </si>
  <si>
    <t>Compliance</t>
  </si>
  <si>
    <t>§12.2 OQ-18, §9.4</t>
  </si>
  <si>
    <t>Compliance: SA impersonation → "pending legal decision" placeholder; the impersonation/legal-placeholder feature is not implemented on this build</t>
  </si>
  <si>
    <t>Training</t>
  </si>
  <si>
    <t>Training &amp; Certification</t>
  </si>
  <si>
    <t>PARTNER_UI_TRAINING_001</t>
  </si>
  <si>
    <t>View - Training page - Certifications and progress are displayed</t>
  </si>
  <si>
    <t>§2.4, §4.8</t>
  </si>
  <si>
    <t>view Training page: certifications + progress + locked/unlocked modules — module not deployed</t>
  </si>
  <si>
    <t>4.8</t>
  </si>
  <si>
    <t>PARTNER_UI_TRAINING_002</t>
  </si>
  <si>
    <t>Earn - Certification completed - Certification status updates</t>
  </si>
  <si>
    <t>§2.4, §4.8, §8.3</t>
  </si>
  <si>
    <t>certification completed → status updates: module not deployed</t>
  </si>
  <si>
    <t>PARTNER_UI_TRAINING_003</t>
  </si>
  <si>
    <t>Continue - In-progress learning path - Current module opens</t>
  </si>
  <si>
    <t>§4.8</t>
  </si>
  <si>
    <t>continue in-progress learning path → current module opens: module not deployed</t>
  </si>
  <si>
    <t>API / Backend</t>
  </si>
  <si>
    <t>Auth &amp; Access</t>
  </si>
  <si>
    <t>Auth &amp; Access Control</t>
  </si>
  <si>
    <t>§4.1, §9.1</t>
  </si>
  <si>
    <t>partner-platform-prd-v1.8.md, https://api.stg.blazeup.ai/sa-partners-api/api-docs</t>
  </si>
  <si>
    <t>PASSED — verified 2026-06-25. GET /partner/auth/me; /me returns the identity at the top level (no data wrapper). Session minted self-contained from the SA side; no sa-plans dependency.</t>
  </si>
  <si>
    <t>Valid partner JWT authorizes a partner-scoped request</t>
  </si>
  <si>
    <t>**Setup (precondition):**
1. SA creates a partner.
2. SA approves the partner (pending → active).
3. SA invites a partner user (returns email + tempPassword).
4. Log in as that user → obtain a partner JWT.
**Test Steps:**
1. GET /partner/auth/me with the partner JWT.
   → Expected: 200, identity (userId + email) returned.
**Expected (overall):** A valid partner JWT authorizes partner-scoped requests.</t>
  </si>
  <si>
    <t>Reject - Non-partner/missing token on partner API - 401</t>
  </si>
  <si>
    <t>PASSED — verified 2026-06-25. Approximates a non-partner token with the SA admin token (SA token on the partner API → 401). No sa-plans dependency.</t>
  </si>
  <si>
    <t>Non-partner / missing token on the partner API is unauthorized.</t>
  </si>
  <si>
    <t>**Test Steps:**
1. GET /partner/auth/me with no token → 401.
2. GET /partner/auth/me with a non-partner (SA admin) token → 401.
**Expected (overall):** Missing / non-partner tokens are rejected (401).</t>
  </si>
  <si>
    <t>PASSED — verified 2026-07-23. Rule-5 cross-entity case. BE now returns **404** for cross-partner access (hides the resource's existence); the earlier gap (400 mislabel) is fixed. Tenant isolation holds (no data leak). Stale `be_gap` marker to be removed from code; Bug_Tracker entry can be closed.</t>
  </si>
  <si>
    <t>Cross-partner access — a partner JWT cannot read another partner's deal (tenant isolation)</t>
  </si>
  <si>
    <t>**Setup (precondition):**
1. Mint partner A (SA create → approve → invite → login) and register a deal for A; capture its id.
2. Mint partner B (separate partner, same SA-mint flow).
**Test Steps:**
1. Partner B calls GET /partner/portal/deals/{A_deal_id}.
   → Expected: refused with **404** (preferred — hides existence) or **403** — never 400 — and A's deal is NOT in the body.</t>
  </si>
  <si>
    <t>§9.1, §12.2 OQ-14</t>
  </si>
  <si>
    <t>Requirement has OQ-14 unresolved; execute after MFA policy decision.</t>
  </si>
  <si>
    <t>§3 Scenario G, §9.2</t>
  </si>
  <si>
    <t>BLOCKED — no API surface</t>
  </si>
  <si>
    <t>9.2</t>
  </si>
  <si>
    <t>§9.2</t>
  </si>
  <si>
    <t>PARTNER_API_AUTH_ACCESS_CONTROL_007</t>
  </si>
  <si>
    <t>Refresh - Valid refresh token - New access token issued</t>
  </si>
  <si>
    <t>PASSED — verified 2026-06-30. POST /sa-partners-api/v1/partner/auth/refresh. A valid refreshToken returns a new accessToken (different from the original, 200) that authorizes /me; an invalid refresh token → 401.</t>
  </si>
  <si>
    <t>Valid refresh token issues a new access token (no re-login).</t>
  </si>
  <si>
    <t>**Setup (precondition):** SA create → approve → invite → login a partner user; capture the access + refresh tokens.
**Test Steps:**
1. POST /partner/auth/refresh with the captured refresh token.
   → Expected: 200, a new accessToken (different from the original).
2. The new access token authorizes GET /partner/auth/me.
   → Expected: 200.
3. POST /partner/auth/refresh with an invalid refresh token.
   → Expected: 401.
**Expected (overall):** Refresh mints a working new access token; invalid refresh rejected.</t>
  </si>
  <si>
    <t>PARTNER_API_AUTH_ACCESS_CONTROL_008</t>
  </si>
  <si>
    <t>Logout - Active session - Refresh token invalidated</t>
  </si>
  <si>
    <t>PASSED — verified 2026-06-30. POST /sa-partners-api/v1/partner/auth/logout → 204; afterward the refresh token is invalidated (POST /refresh → 401).</t>
  </si>
  <si>
    <t>Logout invalidates the refresh token.</t>
  </si>
  <si>
    <t>**Setup (precondition):** SA create → approve → invite → login a partner user; capture the access + refresh tokens (session active).
**Test Steps:**
1. POST /partner/auth/logout with the access token.
   → Expected: 200/204.
2. POST /partner/auth/refresh with the (now-invalidated) refresh token.
   → Expected: 401.
**Expected (overall):** After logout the refresh token can no longer mint an access token.</t>
  </si>
  <si>
    <t>PARTNER_API_AUTH_ACCESS_CONTROL_009</t>
  </si>
  <si>
    <t>Change password - Valid current credentials - Updated; new works, old fails</t>
  </si>
  <si>
    <t>BUG-API-045</t>
  </si>
  <si>
    <t>PASSED — verified 2026-06-30. POST /sa-partners-api/v1/partner/auth/change-password. Wrong currentPassword → 401 ("Current password is incorrect"); correct → 204; new password logs in (200); old password → 401.</t>
  </si>
  <si>
    <t>Change password updates credentials (new works, old fails)</t>
  </si>
  <si>
    <t>**Setup (precondition):** SA create → approve → invite → login a partner user; capture the access token (session active).
**Test Steps:**
1. POST /partner/auth/change-password with a WRONG currentPassword.
   → Expected: 401 ("Current password is incorrect").
2. POST /partner/auth/change-password with the correct currentPassword.
   → Expected: 200/204.
3. Log in with the NEW password.
   → Expected: 200/201 + accessToken.
4. Log in with the OLD password.
   → Expected: 401.
**Expected (overall):** Password change rejects a wrong current; new credentials work, old are rejected.</t>
  </si>
  <si>
    <t>PARTNER_API_AUTH_ACCESS_CONTROL_010</t>
  </si>
  <si>
    <t>POST - Forgot password - Credential rotated, old one dies</t>
  </si>
  <si>
    <t>PASSED. This endpoint was recorded 'không build được - không đọc được inbox' on 2026-09-16; that was wrong. forgotPassword rotates the password and only THEN mails it (partner-auth.service.ts:798), so the effect is observable without an inbox - measured 2026-09-24, the old password answers 401 immediately after the request. Also asserts the response is the fixed generic message and carries no tempPassword or token: a reset endpoint that echoed the new credential would be worse than useless. Spends ONE call against the shared per-IP budget.</t>
  </si>
  <si>
    <t>POST /v1/partner/auth/forgot-password proven by effect, no mailbox needed: a throwaway user logs in, requests a reset, and the password that worked a moment ago must stop working.</t>
  </si>
  <si>
    <t>See docs/blazeup/PARTNER_TEST_CASES.md</t>
  </si>
  <si>
    <t>PARTNER_API_AUTH_ACCESS_CONTROL_011</t>
  </si>
  <si>
    <t>POST - Forgot password enumeration and flood - Refused</t>
  </si>
  <si>
    <t>PASSED. Measured 2026-09-24: a registered and an unknown email return the SAME status and the SAME body - any observable difference would turn this endpoint into a user-enumeration oracle, which is why the controller is written never to branch on the service outcome. The per-email limit fires with 429 after 5 requests in the 15-minute window; without it anyone can flood a known address with reset mail and rotate its password repeatedly. WARNING: the quota is also per client IP (20 / 15 min) and shared - this module spends ~9 calls a run, so a third run inside the same window will see 429s. The TC treats an early 429 as proof the limit exists rather than as a failure.</t>
  </si>
  <si>
    <t>Negative/security counterpart of _010: an unknown email must be indistinguishable from a registered one, a malformed email refused, and the per-email rate limit must actually fire.</t>
  </si>
  <si>
    <t>Deals</t>
  </si>
  <si>
    <t>Deal Registration &amp; Pipeline</t>
  </si>
  <si>
    <t>POST - Register a partner deal - Deal is created in 'registered' status</t>
  </si>
  <si>
    <t>§3 Scenario A, §4.4, §8.5</t>
  </si>
  <si>
    <t>PASSED — verified 2026-06-30. POST /sa-partners-api/v1/sa/deals. Required: partnerId, dealType (enum: referral|reseller|co_sell), prospectName, prospectCountry, estimatedAcvCents, expectedCloseDate, planId (a published plan from sa-plans-api /v1/billing-plans, or inline billingPlan), AND tenantDomain + numberOfEmployee + billingCycle (CreateDealDto contract drift — added 2026-06-30). HTTP 201 / body statusCode 200; deal created in status 'registered' with protectionExpiresAt + conflictStatus='none'. NOTE: no DELETE-deal API → cleanup deletes the parent partner; prospect tagged QA-AUTO.</t>
  </si>
  <si>
    <t>Happy-path deal registration on POST /v1/sa/deals: a valid payload (partnerId + planId + dealType + prospect + ACV + expectedCloseDate) returns HTTP 201, persists the deal with a server-assigned id, starts it in status "registered" with a protection window (protectionExpiresAt), and echoes the submitted fields (dealType/partner/ACV). Registration is confirmed to persist via a follow-up GET.</t>
  </si>
  <si>
    <t>**Setup (precondition):** SA creates a partner; pick a published billing plan; build the deal payload (all fields).
**Test Steps:**
1. POST /v1/sa/deals with all fields (partnerId, planId, dealType='referral', prospect*, ACV, closeDate, notes) → register the deal.
   → Expected: request sent.
2. Verify the deal is accepted + persisted.
   → Expected: HTTP 201 (envelope statusCode 200); success message; server-assigned _id.
3. Verify EVERY submitted field is stored (no silent mutation).
   → Expected: all fields echoed; expectedCloseDate preserves the requested date.
4. Verify lifecycle.
   → Expected: status 'registered', protectionExpiresAt set, conflictStatus 'none'.
5. GET /v1/sa/deals/{id} (persistence).
   → Expected: same deal returned, status 'registered'.
**Teardown:** delete the parent partner (deals have no delete endpoint).
**Expected (overall):** Deal registered with all fields persisted exactly, protection window opened, retrievable.</t>
  </si>
  <si>
    <t>§3 Scenario B, §7.2, §8.5</t>
  </si>
  <si>
    <t>PASSED — verified 2026-06-30. POST /sa-partners-api/v1/sa/deals with dealType="reseller" → stored dealType = "reseller" (billing model). Same required fields as _001 (incl. tenantDomain + numberOfEmployee + billingCycle). No reseller-specific required field observed once the full CreateDealDto is sent — the earlier 400 probe was caused by the missing drift fields, now fixed. (Resolved — no longer PENDING.)</t>
  </si>
  <si>
    <t>Register a deal with dealType="reseller" via POST /v1/sa/deals and verify the reseller billing model is persisted (stored dealType == "reseller"), all submitted fields are echoed, the deal starts "registered" with a protection window, and it is retrievable by id.</t>
  </si>
  <si>
    <t>**Setup (precondition):** SA creates a partner; pick a published billing plan; build a deal payload with dealType='reseller'.
**Test Steps:**
1. POST /v1/sa/deals (register the reseller deal).
   → Expected: accepted (HTTP 201, envelope statusCode 200) + server-assigned _id.
2. Verify billing model stored + fields echoed.
   → Expected: stored dealType == 'reseller'; all other fields echoed unchanged; expectedCloseDate date preserved.
3. Verify lifecycle + retrievable (GET /v1/sa/deals/{id}).
   → Expected: status 'registered', protectionExpiresAt set; fetched deal keeps dealType 'reseller'.
**Teardown:** delete the parent partner.
**Expected (overall):** Reseller deal registered; dealType='reseller' IS the stored billing model (no separate field).</t>
  </si>
  <si>
    <t>§3 Scenario C, §8.5</t>
  </si>
  <si>
    <t>PASSED — verified 2026-06-30. POST /sa-partners-api/v1/sa/deals with dealType="co_sell" → stored dealType = "co_sell". At register time a co_sell deal has NO extra metadata field — record shape identical to referral/reseller. Same required fields as _001. The 70/30 co-sell split is a downstream calculation (TC _011 "Calculate" — BLOCKED: no API to read the computed split).</t>
  </si>
  <si>
    <t>Register a deal with dealType="co_sell" via POST /v1/sa/deals and verify the co-sell model is persisted (stored dealType == "co_sell"), all submitted fields echoed, status "registered" with a protection window, and retrievable by id. The co-sell split calculation is downstream (_011) and out of scope.</t>
  </si>
  <si>
    <t>**Setup (precondition):** SA creates a partner; pick a published billing plan; build a deal payload with dealType='co_sell'.
**Test Steps:**
1. POST /v1/sa/deals (register the co-sell deal).
   → Expected: accepted (HTTP 201, envelope statusCode 200) + server-assigned _id.
2. Verify co-sell metadata stored + fields echoed.
   → Expected: stored dealType == 'co_sell'; all other fields echoed unchanged; expectedCloseDate date preserved.
3. Verify lifecycle + retrievable (GET /v1/sa/deals/{id}).
   → Expected: status 'registered', protectionExpiresAt set; fetched deal keeps dealType 'co_sell'.
**Teardown:** delete the parent partner.
**Expected (overall):** Co-sell deal registered; dealType='co_sell' IS the stored metadata. The 70/30 split is computed downstream (_011, blocked) — out of scope here.</t>
  </si>
  <si>
    <t>POST - Register deal for an already-registered prospect - Conflict status is raised</t>
  </si>
  <si>
    <t>PASSED — verified 2026-06-30. Deal-protection / conflict. When a SECOND partner registers a deal for a prospect already registered by a FIRST partner (same prospect identity = prospectName + prospectEmail), the second deal is still created (201) but flagged: conflictStatus="flagged" + conflictingDealId → the first deal; the flag persists (GET). Conflict triggers on prospect identity (name+email), NOT on email-domain alone (same domain + different local-part → no conflict). NOTE: the SAME partner re-registering that prospect → 400 "active deal already exists" (hard dedup) is a different behavior, covered by _022 — not this TC.</t>
  </si>
  <si>
    <t>Verify deal-protection conflict handling: when a second partner registers a deal for a prospect already registered by a first partner (same prospectName + prospectEmail), the second deal is accepted (201) but flagged — conflictStatus="flagged" and conflictingDealId points at the first deal — and the flag persists (GET).</t>
  </si>
  <si>
    <t>**Setup (precondition):** SA creates two partners; pick a published billing plan; build one shared prospect identity (name + email) used by both.
**Test Steps:**
1. Partner 1 registers the deal first.
   → Expected: deal A accepted, conflictStatus 'none' (no prior deal).
2. Partner 2 registers the SAME prospect.
   → Expected: HTTP 201 (deal B still created, not rejected); conflictStatus 'flagged'; conflictingDealIds includes deal A's id.
3. GET /v1/sa/deals/{id} on deal B.
   → Expected: conflictStatus still 'flagged' (persisted).
**Teardown:** delete both partners.
**Expected (overall):** Cross-partner same-prospect deal is created but flagged against the first deal (queued for conflict resolution).</t>
  </si>
  <si>
    <t>§5.2, §8.2, §8.3</t>
  </si>
  <si>
    <t>BLOCKED — CRON/time-driven job (protection-expiry sweep). Auto-extends a deal ONCE when there is recent activity near expiry. No on-demand trigger endpoint exposed and no clock control on staging → cannot force the expiry window to elapse. Path note: SA endpoint /internal/deals → /v1/sa/deals. Unblock when BE exposes a manual job trigger or a test clock.</t>
  </si>
  <si>
    <t>§5.2, §8.3</t>
  </si>
  <si>
    <t>BLOCKED — CRON/time-driven job (protection-expiry sweep). With NO recent activity the deal must expire at protectionExpiresAt. No on-demand trigger endpoint and no clock control on staging → cannot fast-forward to expiry. Path note: SA endpoint /internal/deals → /v1/sa/deals. Unblock when BE exposes a manual job trigger or a test clock.</t>
  </si>
  <si>
    <t>§5.2, §8.2</t>
  </si>
  <si>
    <t>BLOCKED — CRON/time-driven job. A deal already auto-extended once must NOT be auto-extended a second time (cap enforced). Depends on _005 (first auto-extend) running first, plus a second expiry cycle — both require the scheduled job + clock control, neither available on staging. Path note: SA endpoint /internal/deals → /v1/sa/deals. Unblock when BE exposes a manual job trigger or a test clock.</t>
  </si>
  <si>
    <t>§5.2, §6.3, §8.5</t>
  </si>
  <si>
    <t>Approve a registered deal (POST /v1/sa/deals/{id}/approve): status → approved, reviewer stamped; rate + rate-table version expected.</t>
  </si>
  <si>
    <t>**Setup (precondition):** SA creates a partner; register a deal; confirm status 'registered'.
**Test Steps:**
1. Approve the registered deal (reviewNotes='QA-AUTO approve').
   → Expected: accepted (HTTP 201, envelope statusCode 200); status 'approved'.
2. Verify the reviewer is stamped.
   → Expected: reviewedAt + reviewedBy present.
3. Verify rate + rate-table version are stamped (per plan).
   → Expected: rate + rateTableVersion present in the response. **Currently FAILS** — neither is exposed.
**Teardown:** delete the parent partner.
**Expected (overall):** Deal approved + reviewer stamped; rate / rate-table-version stamping pending BE.</t>
  </si>
  <si>
    <t>PASSED — re-verified 2026-06-30. POST /sa-partners-api/v1/sa/deals/{id}/resolve-conflict. Body ResolveConflictDto{decision (enum: resolved_for_partner|resolved_against_partner), reasoning} — both required. Resolving a FLAGGED deal → conflictStatus = decision, stamps conflictResolution{decision, reasoning, resolvedBy, resolvedAt}. IMMUTABLE: a second resolve → 400 "not in FLAGGED conflict state". Precondition: create a conflict (2 partners, same prospect → deal B flagged, as in _004). Negative in _029.</t>
  </si>
  <si>
    <t>Verify POST /v1/sa/deals/{id}/resolve-conflict stamps the SA decision + reasoning and locks them (immutable): a second resolve is rejected and a re-read confirms the original values are unchanged.</t>
  </si>
  <si>
    <t>**Setup (precondition):** SA creates two partners; both register the SAME prospect so the second deal (deal B) is 'flagged'.
**Test Steps:**
1. Resolve the conflict (decision='resolved_for_partner', reasoning) — decision + reasoning are stamped.
   → Expected: HTTP 201 (envelope statusCode 200); conflictStatus='resolved_for_partner'; conflictResolution{decision, reasoning, resolvedBy, resolvedAt} stamped and matches what was sent.
2. Immutability: a second resolve with a different decision/reasoning.
   → Expected: rejected (4xx); message explains the deal is no longer in FLAGGED conflict state.
3. Re-read GET /v1/sa/deals/{id}.
   → Expected: decision + reasoning are still the original (unchanged) — immutable.
**Teardown:** delete both partners.
**Expected (overall):** Conflict resolved once; decision + reasoning are immutable.</t>
  </si>
  <si>
    <t>§6.2</t>
  </si>
  <si>
    <t>PASSED — re-verified 2026-06-30. Approving a deal emits event 'partner.deal.approved' (recorded in the SA audit log: actor sa-staff, before{status:registered}→after{status:approved}). The test asserts the event IS PUBLISHED (observable via GET /v1/sa/audit-logs). The actual CRM owner/stage update is a DOWNSTREAM service (connectors/CRM Integration) — out of scope here, covered by CRM Integration TCs.</t>
  </si>
  <si>
    <t>Approving a deal emits a "partner.deal.approved" event (recorded in the SA audit log with the before/after status) — the trigger the CRM integration consumes to update CRM owner + stage. This test asserts the API-observable signal (the event is published). The actual CRM owner/stage update is a downstream service (connectors/CRM Integration) and is out of scope (covered by CRM Integration TCs).</t>
  </si>
  <si>
    <t>**Setup (precondition):** SA creates a partner; register a deal (status 'registered').
**Test Steps:**
1. Approve the deal.
   → Expected: status 'approved'.
2. Verify a 'deal approved' event is published to the audit log (GET /v1/sa/audit-logs, retry up to 3× for eventual consistency).
   → Expected: an event whose action mentions deal + approve references this deal id, and its `after.status == 'approved'` (records the registered→approved transition).
**Teardown:** delete the parent partner.
**Expected (overall):** Deal-approved event is published. CRM owner/stage update is a downstream service (connectors/CRM Integration), out of scope.</t>
  </si>
  <si>
    <t>6.2</t>
  </si>
  <si>
    <t>§2.3, §3 Scenario C</t>
  </si>
  <si>
    <t>BLOCKED — not automated (no script; was mislabeled PASSED/Auto=YES → corrected to BLOCKED/Auto=NO). The co-sell 70/30 split is computed DOWNSTREAM; at register time the deal record carries no split field (verified via _003) and there is no API to read the computed split, so the 70/30 default cannot be asserted. Same dependency family as _012. Path note: SA endpoint /internal/deals → /v1/sa/deals. Unblock when BE exposes the computed split (or a split-calc API).</t>
  </si>
  <si>
    <t>BLOCKED — depends on the co-sell split-calculation engine (feature _011 "Calculate"), which is downstream and not exposed as an API. There is no endpoint to submit a co-sell split override, so the "override at/below $100K ACV is not accepted" rule cannot be exercised. Note: threshold is ABOVE $100K ACV (≤$100K → override rejected). Path note: SA endpoint /internal/deals → /v1/sa/deals. Unblock when BE exposes the split-override API (and _011 calc is implemented).</t>
  </si>
  <si>
    <t>PASSED — verified 2026-06-30. POST /sa-partners-api/v1/sa/deals/{id}/resolve-conflict, decision=resolved_for_partner (prospect confirmed) → that deal WINS (conflictStatus=resolved_for_partner) and the conflicting deal auto-flips to resolved_against_partner; both stay status 'registered'. Precondition: a flagged conflict (2 partners, same prospect, as _004). Immutability in _009; negative in _029.</t>
  </si>
  <si>
    <t>Resolving the flagged deal for its partner (citing prospect confirmation) makes that deal win (conflictStatus=resolved_for_partner) and auto-flips the conflicting deal to resolved_against_partner</t>
  </si>
  <si>
    <t>**Setup (precondition):** SA creates two partners; both register the SAME prospect (name+email) → deal A (first) + deal B (second, flagged).
**Test Steps:**
1. Resolve the flagged deal B FOR its partner (decision='resolved_for_partner', reasoning cites prospect confirmation).
   → Expected: HTTP 201 (envelope statusCode 200); deal B conflictStatus='resolved_for_partner'; conflictResolution recorded.
2. Check the conflicting deal A (GET by id) — auto-flipped to the loser.
   → Expected: deal A conflictStatus='resolved_against_partner'.
3. Re-read the winner deal B (GET by id) — outcome persists.
   → Expected: deal B still 'resolved_for_partner' and status 'registered'.
**Teardown:** delete both partners.
**Expected (overall):** the confirmed partner wins the conflict and the other deal is flipped to the loser.</t>
  </si>
  <si>
    <t>BLOCKED — no distinct API surface. resolve-conflict (POST /v1/sa/deals/{id}/resolve-conflict) is an SA-manual decision (enum resolved_for_partner|resolved_against_partner); it accepts no "prospect unreachable" signal and applies no automatic "first-registered-wins" tiebreaker. The only executable path (SA manually resolving for the earlier deal) is mechanically identical to _013, so there is nothing distinct to assert. Path note: SA endpoint /internal/deals → /v1/sa/deals. Unblock if BE implements an automatic tiebreaker; otherwise covered by _013.</t>
  </si>
  <si>
    <t>§3 Scenario I, §8.5</t>
  </si>
  <si>
    <t>BLOCKED — depends on tenant-provisioning + commission infrastructure not reachable from this test domain. Verifying "no registration → no attribution/commission" requires POST /internal/tenants/provision (internal-only), reading tenant.attribution.partnerId == null, asserting no partner_commissions row, and confirming no blazeup.partner.commission.earned event — none of these surfaces are exposed to QA here. Negative companion of PARTNER_API_006 (§3 Scenario I). Unblock when the provisioning endpoint + commission/event verification become available.</t>
  </si>
  <si>
    <t>PARTNER_API_DEAL_REGISTRATION_PIPELINE_016</t>
  </si>
  <si>
    <t>POST - Request manual protection extension - Request is queued for SA</t>
  </si>
  <si>
    <t>PASSED — verified 2026-06-30. Implemented as SA-DIRECT extension: POST /sa-partners-api/v1/sa/deals/{id}/extend-protection {addedDays (1..180), reasoning} → HTTP 201; protectionExpiresAt moves out by exactly addedDays from the OLD expiry; deal stays 'registered'. NOTE: the plan frames this as a partner-QUEUED request (POST /v1/partner/deals/:id/protection-extend-request) which is NOT in the dev build — only the SA-direct endpoint exists. E ("Request is queued for SA") reflects the plan, not what's implemented. Negative in _030.</t>
  </si>
  <si>
    <t>SA manually extends a registered deal's protection window (POST /v1/sa/deals/{id}/extend-protection, body addedDays + reasoning)</t>
  </si>
  <si>
    <t>**Setup (precondition):** SA creates a partner; pick a published plan; register a deal and capture its current protectionExpiresAt (old expiry).
**Test Steps:**
1. SA extends the protection window (addedDays=30 + reasoning).
   → Expected: accepted (HTTP 201, envelope statusCode 200); message confirms the extension.
2. Verify the window moved later by the requested days.
   → Expected: new protectionExpiresAt &gt; old; delta is EXACTLY 30 days; deal stays 'registered'.
3. Verify the new window persists (GET /v1/sa/deals/{id}).
   → Expected: persisted protectionExpiresAt == the extended value.
**Teardown:** delete the parent partner.
**Expected (overall):** SA manual extension pushes the protection window out by exactly the requested days.</t>
  </si>
  <si>
    <t>PARTNER_API_DEAL_REGISTRATION_PIPELINE_017</t>
  </si>
  <si>
    <t>Allow - Re-register conflict-lost prospect after 90 days - Registration is accepted when no close exists</t>
  </si>
  <si>
    <t>§3 Scenario D, §8.5</t>
  </si>
  <si>
    <t>PARTNER_API_DEAL_REGISTRATION_PIPELINE_018</t>
  </si>
  <si>
    <t>Win - SA marks deal as won - Tenant provisioning and commission events are emitted</t>
  </si>
  <si>
    <t>§7.1</t>
  </si>
  <si>
    <t>SA marks an approved deal as won (POST /v1/sa/deals/{id}/win, WinDealDto = tenant-provisioning intake): status → 'won', actualAcvCents + intake stored, and a partner.deal.won event is emitted (tenant provisioning + commission are downstream/async).</t>
  </si>
  <si>
    <t>**Setup (precondition):** SA creates a partner; register a deal; approve it (status 'approved'); build the win intake (companyWebsite, industry, admin*, tenantDomain, region, billingCycle, actualAcvCents…).
**Test Steps:**
1. Mark the approved deal as won (capture tenant-provisioning intake).
   → Expected: accepted (HTTP 201, envelope statusCode 200); status 'won'; confirm message.
2. Verify the won deal stores actualAcvCents + the submitted intake fields.
   → Expected: actualAcvCents echoed; companyWebsite/industry/adminFirstName/adminLastName/tenantDomain stored as sent.
3. Verify a 'partner.deal.won' audit event is emitted (approved → won).
   → Expected: an audit entry (action 'partner.deal.won') for this deal with after.status == 'won'.
4. Verify the won status persists (GET /v1/sa/deals/{id}).
   → Expected: status 'won', actualAcvCents persisted.
**Teardown:** delete the parent partner.
**Expected (overall):** An approved deal transitions to 'won' with the intake stored and a won-event emitted; tenant provisioning + commission are downstream (async — the commission does not appear synchronously in /v1/sa/commissions), out of scope here.</t>
  </si>
  <si>
    <t>7.1</t>
  </si>
  <si>
    <t>PARTNER_API_DEAL_REGISTRATION_PIPELINE_019</t>
  </si>
  <si>
    <t>Lose - SA marks deal as lost - Deal status updated and partner notified</t>
  </si>
  <si>
    <t>§5.2,§6.2</t>
  </si>
  <si>
    <t>PASSED — verified 2026-06-30. POST /sa-partners-api/v1/sa/deals/{id}/lose on an APPROVED deal → HTTP 201 / statusCode 200; status becomes 'lost' (persisted on GET). Precondition: register + approve (lose requires an approved deal). Negative in _032.</t>
  </si>
  <si>
    <t>Approved deal → lost (POST /deals/{id}/lose)</t>
  </si>
  <si>
    <t>**Setup (precondition):** SA creates a partner; pick a plan; register a deal and approve it (status 'approved').
**Test Steps:**
1. Mark the deal as lost (notes).
   → Expected: accepted (HTTP 201, envelope statusCode 200); status becomes 'lost'.
2. Verify the lost status persists (GET /v1/sa/deals/{id}).
   → Expected: fetched deal status still 'lost'.
**Teardown:** delete the parent partner.
**Expected (overall):** An approved deal transitions to 'lost' (partner notification is downstream, out of scope).</t>
  </si>
  <si>
    <t>PARTNER_API_DEAL_REGISTRATION_PIPELINE_020</t>
  </si>
  <si>
    <t>Get - SA retrieves single deal by ID - Full deal record with timeline is returned</t>
  </si>
  <si>
    <t>PASSED — verified 2026-06-30. GET /sa-partners-api/v1/sa/deals/{id} → HTTP 200, full deal record (id, partnerId, dealType, status, prospect fields), no sensitive field leaked. Negative (ghost/malformed id) in _031.</t>
  </si>
  <si>
    <t>SA retrieves a single deal by id (GET /v1/sa/deals/{id}) — full record.</t>
  </si>
  <si>
    <t>**Setup (precondition):** SA creates a partner; pick a plan; register a deal and capture its id.
**Test Steps:**
1. GET the deal by id.
   → Expected: HTTP 200 (envelope statusCode 200); the returned id matches the requested deal.
2. Verify the full record.
   → Expected: required fields present (partnerId, dealType, prospectName, prospectCountry, estimatedAcvCents, status, protectionExpiresAt, conflictStatus); status 'registered'; no sensitive field (password/token/secret) is leaked.
**Teardown:** delete the parent partner.
**Expected (overall):** Get-by-id returns the full, correct deal record with no sensitive leak.</t>
  </si>
  <si>
    <t>PARTNER_API_DEAL_REGISTRATION_PIPELINE_021</t>
  </si>
  <si>
    <t>POST - Register deal invalid/missing fields - Rejected with 400</t>
  </si>
  <si>
    <t>PASSED — verified 2026-07-23. BE fixed the gap (case 12): a non-existent planId is now rejected with **404** (was accepted 201). All 12 cases pass. Stale `be_gap` marker to be removed from code; Bug_Tracker entry can be closed.</t>
  </si>
  <si>
    <t>Negative counterpart of register (_001): every invalid/incomplete payload must be rejected with 4xx + a descriptive message and create no deal. All cases run (failures collected) so one gap never hides the others.</t>
  </si>
  <si>
    <t>**Setup (precondition):** SA creates a partner; pick a published plan (valid baseline payload). FK-absence proof (rule 3): GET the ghost planId 'no-such-plan-qa' and assert it returns 4xx (genuinely absent) before using it below.
**Test Steps:** (each case = one POST /v1/sa/deals with the baseline payload mutated; expected 4xx + message hint)
1. Missing partnerId → 4xx, message mentions "partner".
2. Missing dealType → "dealtype must be one of".
3. Invalid dealType ('wholesale') → "dealtype must be one of".
4. Missing prospectName → "prospectname".
5. Missing prospectCountry → "prospectcountry".
6. Invalid prospectEmail ('not-an-email') → "must be an email".
7. Missing estimatedAcvCents → "estimatedacvcents".
8. Negative ACV (-100) → "must not be less than".
9. Missing expectedCloseDate → "iso 8601".
10. Bad date format ('31-12-2026') → "iso 8601".
11. Ghost partnerId (000000000000000000000000) → "not found".
12. Ghost planId ('no-such-plan-qa', verified absent above) → expected "plan" rejection. **Currently FAILS** — accepted (HTTP 201).
**Teardown:** delete the parent partner (removes any deal accidentally created by the planId gap).
**Expected (overall):** Every invalid register payload is rejected with a clear message and no deal is created; planId should be validated against the catalog.</t>
  </si>
  <si>
    <t>PARTNER_API_DEAL_REGISTRATION_PIPELINE_022</t>
  </si>
  <si>
    <t>POST - Register duplicate deal (same partner, same prospect) - Rejected with 400, no second deal</t>
  </si>
  <si>
    <t>Idempotency/duplicate counterpart of _001: the SAME partner registering the SAME prospect twice is rejected (no second deal).</t>
  </si>
  <si>
    <t>**Setup (precondition):** SA creates one partner; pick a published plan; build a unique prospect identity reused for both register calls.
**Test Steps:**
1. First registration by the partner succeeds.
   → Expected: HTTP 201, server-assigned id, conflictStatus 'none'.
2. The SAME partner re-registers the SAME prospect (name+email).
   → Expected: HTTP 400, message contains "already exists".
3. Verify no second deal was created (inspect the rejected response body).
   → Expected: no deal id (_id/id) in the body — hard reject, not the flagged path.
**Teardown:** delete the parent partner.
**Expected (overall):** Same-partner duplicate is a hard 400 reject; distinct from _004 (a DIFFERENT partner → 201 + conflictStatus 'flagged').</t>
  </si>
  <si>
    <t>PARTNER_API_DEAL_REGISTRATION_PIPELINE_028</t>
  </si>
  <si>
    <t>POST - Approve invalid/illegal-state deal - Rejected with a clear error</t>
  </si>
  <si>
    <t>PASSED — verified 2026-07-23. BE fixed the ghost-id gap (case 1): a well-formed non-existent id now returns **404** "not found" (was 400). All 3 cases pass. Stale `be_gap` marker to be removed from code; Bug_Tracker entry can be closed.</t>
  </si>
  <si>
    <t>Negative counterpart of _008 (approve): three illegal approve targets, each rejected with its own code + a clear message (never silently succeed). All cases run (failures collected).</t>
  </si>
  <si>
    <t>**Setup (precondition):** SA creates a partner; register a deal and approve it (status 'approved') so the illegal-transition case has a target.
**Test Steps:** (each case = one POST /v1/sa/deals/{id}/approve)
1. Ghost id (well-formed but non-existent, 000000000000000000000000) → **404** Not Found, message "not found".
2. Malformed id ('not-an-id') → **400** Bad Request, message "invalid id".
3. Already-approved deal (illegal transition) → **400** 'cannot transition' (409 Conflict would be more precise, but 400 is accepted).
**Teardown:** delete the parent partner.
**Expected (overall):** Non-existent id → 404; malformed id → 400; illegal transition → 400/409. Never 5xx.</t>
  </si>
  <si>
    <t>PARTNER_API_DEAL_REGISTRATION_PIPELINE_029</t>
  </si>
  <si>
    <t>POST - Resolve-conflict invalid input - Rejected with a clear error</t>
  </si>
  <si>
    <t>PASSED — verified 2026-07-23. BE fixed the ghost-id gap (case 6): a well-formed non-existent id now returns **404** "not found" (was 400). All 6 cases pass. Stale `be_gap` marker to be removed from code; Bug_Tracker entry can be closed.</t>
  </si>
  <si>
    <t>Negative counterpart of _009 (resolve-conflict): six invalid inputs, each rejected with its own code + a clear message. All cases run (failures collected).</t>
  </si>
  <si>
    <t>**Setup (precondition):** SA creates a partner; register a deal (status 'registered', conflictStatus 'none' — a non-flagged target).
**Test Steps:** (each case = one POST /v1/sa/deals/{id}/resolve-conflict)
1. Invalid decision enum ('whatever') → **400** 'decision must be one of'.
2. Missing decision → **400** 'decision must be one of'.
3. Missing reasoning → **400** message mentions "reasoning".
4. Malformed id ('not-an-id') → **400** 'invalid id'.
5. Non-flagged deal (illegal state) → **400** message mentions "flagged" (409 Conflict would be more precise, but 400 is accepted).
6. Ghost id (well-formed but non-existent, 000000000000000000000000) → **404** Not Found, message "not found".
**Teardown:** delete the parent partner.
**Expected (overall):** Validation/format/state errors → 400; non-existent id → 404. Never 5xx.</t>
  </si>
  <si>
    <t>PARTNER_API_DEAL_REGISTRATION_PIPELINE_030</t>
  </si>
  <si>
    <t>POST - Extend-protection invalid input - Rejected with a clear error</t>
  </si>
  <si>
    <t>PASSED — verified 2026-07-23. BE fixed the ghost-id gap (case 8): a well-formed non-existent id now returns **404** "not found" (was 400). All 8 cases pass. Stale `be_gap` marker to be removed from code; Bug_Tracker entry can be closed.</t>
  </si>
  <si>
    <t>Negative counterpart of _016 (extend-protection): eight invalid inputs, each rejected with its own code + a clear message. BE validates the body BEFORE the deal lookup, so field cases are self-proving on a ghost id (no real deal needed). All cases run (failures collected).</t>
  </si>
  <si>
    <t>**Setup (precondition):** none — cases target a ghost/malformed id directly (body validation fires first; no sa-plans dependency).
**Test Steps:** (each case = one POST /v1/sa/deals/{id}/extend-protection)
1. Missing addedDays → **400** message "addeddays".
2. Missing reasoning → **400** message "reasoning".
3. addedDays = 0 → **400** "less than 1".
4. Negative addedDays → **400** "less than 1".
5. addedDays over max (181) → **400** "greater than 180".
6. Non-numeric addedDays ('abc') → **400** message "addeddays".
7. Malformed id ('not-an-id') → **400** "invalid id".
8. Ghost deal id (valid body, well-formed but non-existent) → **404** Not Found, message "not found".
**Expected (overall):** Body-validation / boundary / format / malformed → 400; non-existent id → 404. Never 5xx. Spec constraint: addedDays ∈ 1..180; reasoning required + non-empty.</t>
  </si>
  <si>
    <t>PARTNER_API_DEAL_REGISTRATION_PIPELINE_031</t>
  </si>
  <si>
    <t>Get - SA single deal by ID, invalid - Ghost/malformed deal id is rejected (4xx)</t>
  </si>
  <si>
    <t>PASSED — verified 2026-07-23. BE fixed the ghost-id gap (case 1): a well-formed non-existent id now returns **404** "not found" (was 400, status contradicting the message). Both cases pass. This was the root-cause TC for the systemic ghost→404 gap. Stale `be_gap` marker to be removed from code; Bug_Tracker entry can be closed.</t>
  </si>
  <si>
    <t>Negative counterpart of _020 (get-by-id): two distinct rejection semantics — a malformed id is a bad request (400), a ghost id is a missing resource (404). Self-proving; GET → no idempotency concern. All cases run (failures collected).</t>
  </si>
  <si>
    <t>**Test Steps:** (each case = one GET /v1/sa/deals/{id}; expected code + message hint, never 5xx)
1. Ghost id (well-formed but non-existent, 000000000000000000000000) → **404** Not Found, message mentions "not found".
2. Malformed id ('not-an-id') → **400** Bad Request, message mentions "invalid id".
**Expected (overall):** A malformed id → 400; a well-formed but non-existent id → 404. Never 5xx, no record returned.</t>
  </si>
  <si>
    <t>PARTNER_API_DEAL_REGISTRATION_PIPELINE_032</t>
  </si>
  <si>
    <t>Lose - SA marks deal as lost, invalid - Illegal lose targets are rejected (4xx)</t>
  </si>
  <si>
    <t>PASSED — verified 2026-07-23. BE fixed the ghost-id gap (case 2): a well-formed non-existent id now returns **404** "not found" (was 400). All 3 cases pass. Stale `be_gap` marker to be removed from code; Bug_Tracker entry can be closed.</t>
  </si>
  <si>
    <t>Negative counterpart of _019 (lose): three illegal lose targets, each rejected with its own code + a clear message (never 5xx). All cases run (failures collected).</t>
  </si>
  <si>
    <t>**Setup (precondition):** SA creates a partner; register a deal (status 'registered', NOT approved — lose requires 'approved').
**Test Steps:** (each case = one POST /v1/sa/deals/{id}/lose)
1. Registered deal (illegal transition — not approved) → **400** 'cannot transition' (409 Conflict would be more precise, but 400 is accepted here).
2. Ghost id (well-formed but non-existent, 000000000000000000000000) → **404** Not Found, message "not found".
3. Malformed id ('not-an-id') → **400** Bad Request, message "invalid id".
**Teardown:** delete the parent partner.
**Expected (overall):** Illegal transition → 400/409; malformed id → 400; non-existent id → 404. Never 5xx.</t>
  </si>
  <si>
    <t>PARTNER_API_DEAL_REGISTRATION_PIPELINE_033</t>
  </si>
  <si>
    <t>Extend-protection repeat - Additive (not no-op, not capped)</t>
  </si>
  <si>
    <t xml:space="preserve">PASSED. Probed per rule 8 (mutating action ≠ POST-create): behaviour is additive (exp0 +30 → +30 = +60). BE stamps each extension in protectionExtensions[] (extendedBy/at, previous/newExpiresAt, addedDays, trigger, reasoning).
</t>
  </si>
  <si>
    <t>Idempotency counterpart of _016 (extend-protection): a repeat extension is ADDITIVE, not a no-op or a cap.</t>
  </si>
  <si>
    <t>**Setup (precondition):** SA creates a partner; pick a plan; register a deal and capture its protectionExpiresAt (exp0).
**Test Steps:**
1. First extend (+30 days).
   → Expected: exp1 == exp0 + 30d.
2. Second extend (+30 days) — repeat behaviour.
   → Expected: HTTP 200; exp2 == exp1 + 30d (stacks from the current expiry); deal stays 'registered'.
3. Verify the total window persists (GET /v1/sa/deals/{id}).
   → Expected: persisted window == exp0 + 60d (2×addedDays).
**Teardown:** delete the parent partner.
**Expected (overall):** extend-protection is a parameterized mutating action — repeats are additive by design (not an idempotent no-op, not capped). Each call is also recorded in protectionExtensions[].</t>
  </si>
  <si>
    <t>PARTNER_API_DEAL_REGISTRATION_PIPELINE_034</t>
  </si>
  <si>
    <t>FAILED (by design / `be_gap`, excluded from merge gate; tracked in Bug_Tracker). Gap (cases 1–4): WinDealDto declares companyWebsite/industry/adminFirstName/adminLastName as required, but the BE accepts a win with any/all missing (even an empty body → 201, deal won) — required-intake validation is not enforced. Cases 5–8 are correct (note: win returns 404 for a ghost id, unlike other SA endpoints). Confirm with BE.</t>
  </si>
  <si>
    <t>Negative counterpart of _018 (win): illegal transitions + bad ids are rejected with the correct code; the DTO's required intake fields should be enforced too. All cases run (failures collected).</t>
  </si>
  <si>
    <t>**Setup (precondition):** SA creates a partner; a fresh approved deal is built per required-field case (a successful win consumes the deal).
**Test Steps:** (each case = one POST /v1/sa/deals/{id}/win)
1. Missing companyWebsite → expected **400** (required). **Currently FAILS** — BE returns 201 (won).
2. Missing industry → expected **400**. **Currently FAILS** — BE returns 201.
3. Missing adminFirstName → expected **400**. **Currently FAILS** — BE returns 201.
4. Missing adminLastName → expected **400**. **Currently FAILS** — BE returns 201.
5. Win a non-approved (registered) deal → **400** 'cannot transition'.
6. Ghost deal id (well-formed, absent) → **404** 'not found'. (Win correctly returns 404 here.)
7. Malformed deal id ('not-an-id') → **400** 'invalid id'.
8. Re-win an already-won deal → **400** 'cannot transition from won to won' (repeat rejected; mutating action, not a create).
**Teardown:** delete the parent partner.
**Expected (overall):** Missing required intake → 400; non-approved/already-won → 400; ghost id → 404; malformed id → 400.</t>
  </si>
  <si>
    <t>PARTNER_API_DEAL_REGISTRATION_PIPELINE_035</t>
  </si>
  <si>
    <t>GET - SA lists deals - Every filter narrows the result; total counts the set not the page</t>
  </si>
  <si>
    <t>PASSED. Written against a specific failure mode: a filter that is accepted and then ignored. BUG-API-023 is exactly that on `/directory/users/{userId}/deals`, so each filter here is asserted to narrow rather than merely to return 200.</t>
  </si>
  <si>
    <t>SA lists deals: GET /sa-partners-api/v1/sa/deals returns the SA-wide deal list and every filter actually narrows it — partnerId, status, dealType and limit.</t>
  </si>
  <si>
    <t>**Setup (precondition):** An ACTIVE partner with a portal session registers one deal, so the TC owns a row it can find again. The unfiltered list holds 1406 rows on staging, so nothing may be assumed about it.
**Test Steps:**
1. GET the list with limit=5.
   → Expected: HTTP 200; envelope {statusCode, data[], total, message}; total an int &amp;gt; 0; at most 5 rows.
2. Filter by partnerId.
   → Expected: every row belongs to that partner, and the deal registered in setup is present.
3. Verify the deal row.
   → Expected: _id/partnerId/dealType/status/prospectName/createdAt present; status within the enum (registered|approved|in_progress|won|lost|expired|rejected); dealType within (referral|reseller|co_sell); no password/token/secret/credential key.
4. Filter by status.
   → Expected: every row carries that status.
5. Filter by dealType.
   → Expected: every row carries that type.
6. Compare limit=1 against limit=50.
   → Expected: exactly 1 row, and `total` unchanged — it counts the result set, not the page.
**Teardown:** delete the parent partner.
**Expected (overall):** the SA deal list is well-formed and every filter narrows the result.</t>
  </si>
  <si>
    <t>PARTNER_API_DEAL_REGISTRATION_PIPELINE_036</t>
  </si>
  <si>
    <t>GET - SA deal list invalid filter - Rejected; empty result distinguished from an error</t>
  </si>
  <si>
    <t>FAILED by design at step 3 — **BUG-API-025**. `limit=-1` IS refused with 400, so the guard exists; `limit=0` and `page='abc'` slip past it and the endpoint answers 200 with **all 1406 rows in one page**. The impact is a full-table dump per request rather than a mere validation gap. Steps 1, 2 and 4 all pass. Worth checking whether other list endpoints share the same guard.</t>
  </si>
  <si>
    <t>Negative counterpart of _035: values outside an enum, a malformed id, bad pagination, and a well-formed id that matches nothing.</t>
  </si>
  <si>
    <t>**Setup (precondition):** None — read-only.
**Test Steps:**
1. status='bogus', then dealType='bogus'.
   → Expected: HTTP 400 on both, each body listing every allowed value.
2. partnerId='not-an-id'.
   → Expected: HTTP 400.
3. limit=-1, limit=0, page='abc'.
   → Expected: HTTP 400 on all three — a nonsensical page size is refused, never resolved to unbounded.
4. partnerId=&amp;lt;ghost, well-formed&amp;gt;.
   → Expected: HTTP 200 with total=0 — an empty result is not an error.
**Teardown:** none.
**Expected (overall):** every invalid filter is refused with a 4xx that names the problem, and an empty result is distinguished from an error.</t>
  </si>
  <si>
    <t>PARTNER_API_DEAL_REGISTRATION_PIPELINE_037</t>
  </si>
  <si>
    <t>POST - Link provisioned tenant guards - Every invalid link refused</t>
  </si>
  <si>
    <t>§7.5</t>
  </si>
  <si>
    <t>PASSED, NEGATIVE-ONLY by necessity. The success path cannot be reached: Guard 3 calls tenantExists() against the real tenants collection so a fabricated tenantId is always a 400, and Guard 7 lets one tenant back only ONE won deal, so borrowing a real staging tenant would consume it and corrupt an existing attribution. There is therefore no positive counterpart to pair with under rule 1. Measured 2026-09-24: non-WON deal 400, ghost tenantId 400, platform tenant 400, 9-char reason 400, goLiveAt future/before-closedAt/not-a-date 400 each, ghost deal id 404, malformed deal id 400. The last step is the one the others cannot cover: after nine refused calls the deal still has no wonTenantId and is still 'awaited' - a guard that returns an error but writes anyway is worse than no guard.</t>
  </si>
  <si>
    <t>POST /v1/sa/deals/{id}/link-tenant walked guard by guard, each with a payload valid in every other respect so the refusal can only come from the guard under test.</t>
  </si>
  <si>
    <t>Deal Approval Queue</t>
  </si>
  <si>
    <t>PARTNER_API_DEAL_APPROVAL_QUEUE_001</t>
  </si>
  <si>
    <t>PATCH - Internal deal reject - Rejection reason is persisted</t>
  </si>
  <si>
    <t>PASSED — verified 2026-06-30. POST /sa-partners-api/v1/sa/deals/{id}/reject {reviewNotes} on a registered (queued) deal → HTTP 201 / statusCode 200; status becomes 'rejected' (persisted on GET). The TC says PATCH /internal/deals/:id/reject but BE is POST /v1/sa/deals/{id}/reject. Negative in _011. NOTE: this is the POSITIVE reject — col F (Test Type) should be Functional, not Negative.</t>
  </si>
  <si>
    <t>SA rejects a queued (registered) deal from the approval queue (POST /v1/sa/deals/{id}/reject, body reviewNotes).</t>
  </si>
  <si>
    <t>**Setup (precondition):** SA creates a partner; pick a plan; register a deal (status 'registered' = queued for review).
**Test Steps:**
1. Reject the deal with a reason (reviewNotes).
   → Expected: accepted (HTTP 201, envelope statusCode 200); status becomes 'rejected'.
2. Verify the rejection persists (GET /v1/sa/deals/{id}).
   → Expected: fetched deal status still 'rejected'.
**Teardown:** delete the parent partner.
**Expected (overall):** A registered deal is rejected and stays rejected.</t>
  </si>
  <si>
    <t>PARTNER_API_DEAL_APPROVAL_QUEUE_011</t>
  </si>
  <si>
    <t>Negative counterpart of _001 (reject): three illegal reject targets, each rejected with its own code + a clear message. All cases run (failures collected).</t>
  </si>
  <si>
    <t>**Setup (precondition):** SA creates a partner; register a deal and reject it (status 'rejected') so the illegal-transition case has a target.
**Test Steps:** (each case = one POST /v1/sa/deals/{id}/reject)
1. Ghost id (well-formed but non-existent, 000000000000000000000000) → **404** Not Found, message "not found".
2. Malformed id ('not-an-id') → **400** Bad Request, message "invalid id".
3. Already-rejected deal (illegal transition) → **400** 'cannot transition' (409 Conflict would be more precise, but 400 is accepted).
**Teardown:** delete the parent partner.
**Expected (overall):** Non-existent id → 404; malformed id → 400; illegal transition → 400/409. Never 5xx.</t>
  </si>
  <si>
    <t>Deal Collaboration</t>
  </si>
  <si>
    <t>PARTNER_API_DEAL_COLLABORATION_001</t>
  </si>
  <si>
    <t>PATCH - Deal notes - Note is added with actor and timestamp</t>
  </si>
  <si>
    <t>§4.5, §8.5</t>
  </si>
  <si>
    <t>BLOCKED — no collaboration/notes-thread API. The endpoint to add a note with actor + timestamp (PATCH /v1/partner/deals/:id) is NOT in the dev build. A deal carries only a single flat `notes` string (set at register / via deal update) — there is no comment/activity-thread surface to add, list, or attribute collaboration entries. Re-scope with BE: if "collaboration" is just the flat notes field, it's already covered by register/update TCs; otherwise the endpoint doesn't exist yet. Unblock when BE ships the notes/collaboration endpoint.</t>
  </si>
  <si>
    <t>PARTNER_API_DEAL_COLLABORATION_002</t>
  </si>
  <si>
    <t>PATCH - Deal documents - Document metadata is attached</t>
  </si>
  <si>
    <t>BLOCKED — no deal-documents/attachment API. There is no endpoint to upload, list, or download deal documents or attach document metadata. (Path note: SA deal endpoint /internal/deals → /v1/sa/deals, but it has no documents sub-resource.) Build when BE exposes a deal-documents surface.</t>
  </si>
  <si>
    <t>TEST SCOPE</t>
  </si>
  <si>
    <t>§4.5, §8.5, §9.1</t>
  </si>
  <si>
    <t>PASSED — verified 2026-06-30. GET /sa-partners-api/v1/partner/portal/deals (partner JWT) → HTTP 200; returns ONLY the caller's own deals (every row partnerId == own — no cross-partner leakage). Path moved: /v1/partner/deals → /v1/partner/portal/deals. Session minted self-contained from the SA side.</t>
  </si>
  <si>
    <t>A partner lists its deals (GET /partner/portal/deals) — only its OWN deals are returned (scoped)</t>
  </si>
  <si>
    <t>**Setup (precondition):** Mint a partner-portal session (SA creates → approves → invites the partner user → logs in for a partner JWT); the partner registers one deal via the portal.
**Test Steps:**
1. GET the partner's own deals list (GET /partner/portal/deals?limit=20).
   → Expected: HTTP 200; `data` is a non-empty list.
2. Verify the registered deal appears AND the list is scoped to the caller.
   → Expected: the registered deal id is in the list AND every row's partnerId == the caller's partner (no cross-partner leakage).
**Teardown:** close the portal session; delete the partner.
**Expected (overall):** The own-deals list is correctly scoped to the authenticated partner.</t>
  </si>
  <si>
    <t>Document: partner-platform-prd-v1.8  |  Last updated: 2026-05-20  |  Status: Living Document</t>
  </si>
  <si>
    <t>PARTNER_API_PIPELINE_MANAGEMENT_002</t>
  </si>
  <si>
    <t>GET - Partner deals filtered by status - Status filter is applied</t>
  </si>
  <si>
    <t>✅  IN SCOPE</t>
  </si>
  <si>
    <t>PASSED — verified 2026-06-30. GET /sa-partners-api/v1/partner/portal/deals?status=registered → HTTP 200; every returned deal has status 'registered' (filter applied). Valid status enum: registered, approved, in_progress, won, lost, expired, rejected. Path moved: /v1/partner/deals → /v1/partner/portal/deals. NOTE: E ("Stage type and module filters") is inaccurate — the test filters by STATUS; and col S has a stray "**Expected (overall):**" markdown line to remove.</t>
  </si>
  <si>
    <t>A partner filters its deals list by status (GET /partner/portal/deals?status=registered)</t>
  </si>
  <si>
    <t>**Setup (precondition):** Mint a partner-portal session; the partner registers one deal (status 'registered').
**Test Steps:**
1. Filter the own-deals list by status=registered (GET /partner/portal/deals?limit=20&amp;status=registered).
   → Expected: HTTP 200; non-empty; every returned deal has status 'registered' AND the freshly-registered deal is included.
**Teardown:** close the portal session; delete the partner.
**Expected (overall):** The status filter is applied correctly.</t>
  </si>
  <si>
    <t>PARTNER_API_PIPELINE_MANAGEMENT_011</t>
  </si>
  <si>
    <t>GET - Partner deals invalid filter - Invalid filter/pagination handled (4xx, never 5xx)</t>
  </si>
  <si>
    <t>Category</t>
  </si>
  <si>
    <t>PASSED — verified 2026-06-30. Negative of _001/_002. GET /partner/portal/deals?status=bogus → 400 ("status must be one of ..."); ?limit=999999 → 400 ("limit must not exceed 100"). Never 5xx. NOTE: E ("Only own deals are returned") is wrong — this is the invalid-filter negative; and col S is missing the leading "1." on step 1.</t>
  </si>
  <si>
    <t>Negative counterpart of _001/_002: an invalid filter / oversized pagination is validated by the BE and rejected with 4xx + a clear message (never 5xx). All cases run (failures collected).</t>
  </si>
  <si>
    <t>**Setup (precondition):** Mint a partner-portal session.
**Test Steps:** (each case = one GET /partner/portal/deals with an invalid query)
1. status=bogus (out-of-enum) → **400**, message mentions "status".
2. limit=999999 (over max) → **400**, message mentions "limit".
**Teardown:** close the portal session; delete the partner.
**Expected (overall):** Invalid filter/pagination is rejected (4xx), never 5xx.</t>
  </si>
  <si>
    <t>PARTNER_API_PIPELINE_MANAGEMENT_012</t>
  </si>
  <si>
    <t>GET - SA pipeline KPIs across all partners - Filters narrow</t>
  </si>
  <si>
    <t>In Scope</t>
  </si>
  <si>
    <t>Partner portal shell: navigation, dashboard, KPI cards, tier progress, action-required list.</t>
  </si>
  <si>
    <t>QA Team</t>
  </si>
  <si>
    <t>Active</t>
  </si>
  <si>
    <t>PASSED. Measured 2026-09-24: total 1412 across every partner, byProvisioningState {awaited 0, overdue 81, resolved 0, legacy_unknown 0}. Step 3 is the assertion worth the most: the aggregate must agree with the list it summarises - stats total == GET /v1/sa/deals total == sum(byStatus) - which is what catches a stats match stage that has drifted from the list query. Step 5 proves partnerId narrows (1 of 1412) rather than being accepted and ignored; an SA figure that ignored it would report platform-wide numbers on a single partner's page. NOTE: the requirement row for this endpoint is §5.5 SA Analytics, but its TCs sit in the PIPELINE_MANAGEMENT registry section - requirement taxonomy and test-registry taxonomy differ here by design.</t>
  </si>
  <si>
    <t>GET /v1/sa/deals/stats - the SA-wide twin of DASHBOARD_DATA_002: same counters plus byProvisioningState, which belongs here and only here.</t>
  </si>
  <si>
    <t>Deal registration wizard: referral, reseller, co-sell deal types; validation, conflict detection, commission projection.</t>
  </si>
  <si>
    <t>PARTNER_API_PIPELINE_MANAGEMENT_013</t>
  </si>
  <si>
    <t>GET - SA pipeline KPIs invalid filter - Rejected</t>
  </si>
  <si>
    <t>Pipeline management: deal list, filters, deal detail, timeline, notes, documents, BlazeUp rep view.</t>
  </si>
  <si>
    <t>Client health: client list, health detail (ARR, renewal, usage, tickets), MSP managed client provisioning, consent toggle.</t>
  </si>
  <si>
    <t>Commissions: earned/pending/paid totals, commission trace, dispute submission, product failure waiver, payout details.</t>
  </si>
  <si>
    <t>PASSED. status, dealType, conflictStatus and provisioningState each -&amp;gt; 400 listing their allowed values; malformed partnerId -&amp;gt; 400; ghost partnerId -&amp;gt; 200 with a zeroed aggregate whose buckets (including byProvisioningState) are all still present. Zero-filling has to survive an empty match or an SA dashboard renders blanks.</t>
  </si>
  <si>
    <t>Negative counterpart of _012: every enum filter, a malformed id, and a well-formed id that matches nothing.</t>
  </si>
  <si>
    <t>Training &amp; Resources: certifications, learning paths, marketing assets, co-branded deck, ROI calculator, sandbox reset.</t>
  </si>
  <si>
    <t>Tenancy &amp; Attribution</t>
  </si>
  <si>
    <t>Team &amp; Referral: team member invite, campaign referral link creation and analytics.</t>
  </si>
  <si>
    <t>Tenant Provisioning &amp; Attribution</t>
  </si>
  <si>
    <t>SA Partner Module: partner directory, application FSM (staged approval), deal approval/conflict queues, commission config, territory, analytics, ledger approval.</t>
  </si>
  <si>
    <t>Backend APIs: ms-sa-partners endpoints, Kafka events, MongoDB/Redis persistence, commission engine, tenant provisioning, MSP scope guard, audit trail.</t>
  </si>
  <si>
    <t>Security: partner JWT separation, cross-partner isolation, MFA gates, MSP consent enforcement, SA two-eye approvals, data residency.</t>
  </si>
  <si>
    <t>BLOCKED — endpoint not in dev build. Accepting/locking a co-sell split override needs POST /v1/partner/deals/:id/cosell-split-accept, not yet implemented. Counterpart of _010 (lock-after-accept). Unblock when BE ships it.</t>
  </si>
  <si>
    <t>🚫  OUT OF SCOPE</t>
  </si>
  <si>
    <t xml:space="preserve">  Pack Partner</t>
  </si>
  <si>
    <t>§7.1, §8.3</t>
  </si>
  <si>
    <t>Out of Scope</t>
  </si>
  <si>
    <t>Pack Partner</t>
  </si>
  <si>
    <t>Pack Partner marketplace features — only separation from Channel Partner accounts is validated.</t>
  </si>
  <si>
    <t>N/A</t>
  </si>
  <si>
    <t>Scope is the provision leg ONLY; the commission/accrual leg stays blocked on _005/_006 (needs `COMMISSION_ACCRUAL_ENABLED=true` + a `payment.gateway.payment.succeeded` event). Currently FAILS by design: on staging no won deal reaches 'resolved' (byProvisioningState.resolved=0, overdue=117, won=262 as of 2026-10-01); `wonTenantId`/`goLiveAt` never stamped. §7.1 is marked BE=Done but the provisioning worker appears not to run on staging — raised at Khoa's request as BUG-API-033. Turns PASS once provisioning completes, making it the §7.1 regression guard.</t>
  </si>
  <si>
    <t>Excluded</t>
  </si>
  <si>
    <t>Provision leg of the close→provision→commission chain (PRD v1.8 §7.1). Registers, approves and WINS a referral deal, then asserts the win actually provisions a tenant: `wonTenantId` + `goLiveAt` stamped and `provisioningState='resolved'` within a bounded poll. `goLiveAt` anchors the commission eligibility window, so this is the gate every downstream commission step depends on.</t>
  </si>
  <si>
    <t>**Setup (precondition):** A fresh seeded partner + a published billing plan; a referral deal registered and approved (status 'approved'). The approve/win path is runnable via API (approve supplies a catalog plan `_id`; win supplies the required `adminPhoneNumber`).
**Test Steps:**
1. Mark the approved deal as won (win intake incl. the required `adminPhoneNumber{number,countryCode}`).
   → Expected: HTTP 201; status='won'; body message confirms provisioning kicked off.
2. Poll the deal (≤90s, every 10s) until provisioning completes.
   → Expected: within the window, `wonTenantId` and `goLiveAt` are both set on the deal.
3. The WON deal has `wonTenantId` + `goLiveAt` stamped.
   → Expected: `wonTenantId` non-empty (tenant provisioned) and `goLiveAt` set (commission-window anchor).
4. `provisioningState` reached 'resolved'.
   → Expected: `provisioningState='resolved'` (not 'awaited'/'overdue') — the deal is no longer awaiting provisioning.
**Teardown:** none (the won deal + any provisioned tenant persist on staging; QA-AUTO data).
**Expected (overall):** winning an approved deal drives the async provision chain to completion — the tenant is provisioned and the commission eligibility window can begin.</t>
  </si>
  <si>
    <t>Final Legal/Compliance decisions pending sign-off — related test cases are placeholders only.</t>
  </si>
  <si>
    <t>Exact commission rates/window durations for NN/EN/EE stages — SA will configure values before launch; exact figures not testable yet.</t>
  </si>
  <si>
    <t>Pending</t>
  </si>
  <si>
    <t>§7.2</t>
  </si>
  <si>
    <t>BLOCKED — depends on win/close + billing/invoice downstream. "Reseller close → invoice targets the reseller partner" needs winning a reseller deal and inspecting the generated invoice/billing target (downstream, not reachable). Unblock when win + billing/invoice verification are available.</t>
  </si>
  <si>
    <t>Third-party training platform vendor behavior — deferred until build-vs-buy decision is finalized.</t>
  </si>
  <si>
    <t>7.2</t>
  </si>
  <si>
    <t xml:space="preserve">  Other Modules</t>
  </si>
  <si>
    <t>Other Modules</t>
  </si>
  <si>
    <t>9 remaining modules (CRM, etc.) — not yet assigned; will be added as requirements are provided.</t>
  </si>
  <si>
    <t>BLOCKED — depends on win/close + a pre-provisioned tenant + billing line-items downstream. "Expansion close → existing tenant line items updated" needs an existing tenant and the billing line-item surface, neither reachable here. Unblock when expansion-close + billing verification are exposed.</t>
  </si>
  <si>
    <t>7.4</t>
  </si>
  <si>
    <t>📌  ASSUMPTIONS</t>
  </si>
  <si>
    <t xml:space="preserve">  All Modules</t>
  </si>
  <si>
    <t>Assumption</t>
  </si>
  <si>
    <t>§7.4, §8.2, §12.1 B6</t>
  </si>
  <si>
    <t>All Modules</t>
  </si>
  <si>
    <t>This is a living document. New modules will be added as requirements are provided by the team.</t>
  </si>
  <si>
    <t>BLOCKED — commission-calc engine is downstream with no API to read the computed commission. "Expansion NN stage → full configured rate" cannot be asserted without a commission-read surface. Same family as _011 split-calc. Unblock when BE exposes computed commissions.</t>
  </si>
  <si>
    <t>Requirement-phase automation mappings are placeholders; executable automation will be updated after requirements stabilize.</t>
  </si>
  <si>
    <t>BLOCKED — same as _005: commission-calc downstream, no read API. "Expansion EN stage → lower configured rate" cannot be asserted. Unblock when BE exposes computed commissions.</t>
  </si>
  <si>
    <t>All test statuses default to Not Started. Status logic: Fail if any = Fail; Pass if Manual = Pass and Automation = Pass/Not Started; else Not Started.</t>
  </si>
  <si>
    <t>§6.2, §7.1</t>
  </si>
  <si>
    <t>Automation mapping IDs (e.g. tests/ui/partner_001) are placeholders — replace with real script paths when automation is implemented.</t>
  </si>
  <si>
    <t>BLOCKED — depends on the deal-win flow + CRM sync. The 'deal won' event (CRM opportunity closes won with tenant id) requires winning a deal (DEAL_018 — deferred) and a downstream CRM connector to verify. The event may be observable via audit-logs, but the win precondition is the blocker. Unblock when win is safely runnable.</t>
  </si>
  <si>
    <t>partner.blazeup.ai (dogfood tenant) is the test target. Auth Phase 0 hooks/mocks are used for non-auth slices; live partner auth tested only after auth gate lands.</t>
  </si>
  <si>
    <t>Dev Team</t>
  </si>
  <si>
    <t>🔑  ENTRY &amp; EXIT CRITERIA</t>
  </si>
  <si>
    <t>BLOCKED — needs a provisioned tenant (post-win) to inspect tenant.attribution permanent partner fields; the tenant record is a downstream surface not reachable here, and provisioning requires the deferred win flow. Unblock when the tenant/attribution read surface is exposed.</t>
  </si>
  <si>
    <t>7.5</t>
  </si>
  <si>
    <t>§7.5, §12.1 B4</t>
  </si>
  <si>
    <t>Entry Criteria</t>
  </si>
  <si>
    <t>PRD v1.8 is baselined and available to QA team.</t>
  </si>
  <si>
    <t>PM</t>
  </si>
  <si>
    <t>BLOCKED — no exposed API for an SA tenant-attribution override with two-eye (dual) approval + history. The override/approval surface isn't reachable from this domain. Unblock when BE exposes the attribution-override endpoint (with approval + audit history).</t>
  </si>
  <si>
    <t>Test environment is deployed: Partner Portal, SA Partner Module, ms-sa-partners, dogfood CRM bridge, tenant provisioning, billing, Kafka test topics.</t>
  </si>
  <si>
    <t>Seed data is ready: partners, deals, clients, commissions, sandbox profiles, conflict fixtures.</t>
  </si>
  <si>
    <t>Auth Phase 0 test hooks or mocks are available for non-auth test slices.</t>
  </si>
  <si>
    <t>BLOCKED — endpoint not in dev build. Locking a co-sell split so it can't be renegotiated after partner acceptance needs POST /v1/partner/deals/:id/cosell-split-accept (lock-after-accept); the agreement must also be recorded on the deal record. Same endpoint as _001. Unblock when BE ships it.</t>
  </si>
  <si>
    <t>Exit Criteria</t>
  </si>
  <si>
    <t>All P1 test cases executed with zero unresolved Critical or Major release-blocking defects.</t>
  </si>
  <si>
    <t>Requirement coverage = 100% for all active testable PRD sections.</t>
  </si>
  <si>
    <t>PARTNER_API_TENANT_PROVISIONING_ATTRIBUTION_011</t>
  </si>
  <si>
    <t>Validate - Invalid expected close date - 400 response is returned</t>
  </si>
  <si>
    <t>Regression Suite P1 cases pass on the release candidate build.</t>
  </si>
  <si>
    <t>Execution Log is updated with build version, executor, result, and defect references for all executed TCs.</t>
  </si>
  <si>
    <t>Redundant — invalid expectedCloseDate → 400 đã cover bởi DEAL_REGISTRATION_PIPELINE_021 (case bad-date). Không build riêng để tránh trùng. Verified via _021 (PASSED).</t>
  </si>
  <si>
    <t>PARTNER_API_TENANT_PROVISIONING_ATTRIBUTION_012</t>
  </si>
  <si>
    <t>GET - SA attribution ledger - All partners, filters narrow</t>
  </si>
  <si>
    <t>PASSED. Measured 2026-09-23: total=10 across 6 distinct partners; the partnerId filter narrowed 10 -&amp;gt; 1; the detail route returned the requested row. Step 3 (SA view spans more than one partner) is the load-bearing assertion and pairs with CLIENT_HEALTH_MSP_010 step 4 - together they pin both halves of the scope boundary. Rows are READ, never seeded: automation cannot create an attribution, so every id is discovered at run time and nothing is written. The G2 note that no attribution exists was too broad - our win creates none, but 10 rows from 2026-08-05 are still there.</t>
  </si>
  <si>
    <t>SA reads the tenant-partner attribution ledger (GET /sa-partners-api/v1/sa/partner-attributions) and one row by id. Asserts the envelope, the row schema, that the partnerId and status filters actually narrow, that the detail route returns the row asked for, and that the SA view spans MORE THAN ONE partner.</t>
  </si>
  <si>
    <t>See docs/blazeup/PARTNER_TEST_CASES.md section TENANT_PROVISIONING_ATTRIBUTION</t>
  </si>
  <si>
    <t>PARTNER_API_TENANT_PROVISIONING_ATTRIBUTION_013</t>
  </si>
  <si>
    <t>GET - SA attribution ledger invalid input - Rejected</t>
  </si>
  <si>
    <t>BUG-API-028</t>
  </si>
  <si>
    <t>FAILED by design at step 4 - BUG-API-028. Steps 1-3 pass in full: status/clientLifecycleState outside the enum -&amp;gt; 400 listing allowed values, malformed partnerId and malformed attribution id -&amp;gt; 400, ghost partnerId -&amp;gt; 200 empty, ghost attribution id -&amp;gt; 400. Step 4: limit=-1 is correctly refused with 400 but limit=0 and page=abc both answer 200 with the entire 10-row ledger - unlike the portal twin this list is NOT empty, so the caller really does get the whole SA-wide ledger in one page. FOURTH endpoint with the identical root cause after BUG-API-025, 026 and 027; recommend one shared fix closing all four.</t>
  </si>
  <si>
    <t>Negative counterpart of _012: values outside an enum, a malformed id on both the filter and the path, a well-formed id that matches nothing, and nonsensical pagination.</t>
  </si>
  <si>
    <t>Referral Attribution</t>
  </si>
  <si>
    <t>§3 Scenario E, §8.4, §8.6</t>
  </si>
  <si>
    <t>BLOCKED — referral-attribution endpoints not in dev build. Storing a referral click's attribution in Redis for 30 days needs GET/POST /v1/partner/referral-links, not yet implemented. Even once shipped, the 30-day TTL needs clock control to verify expiry. Unblock when BE ships the referral-links API (+ a test clock for the TTL).</t>
  </si>
  <si>
    <t>3-E</t>
  </si>
  <si>
    <t>§8.4, Risk R4</t>
  </si>
  <si>
    <t>BLOCKED — referral-attribution endpoints (GET/POST /v1/partner/referral-links) not in dev build. "First-touch wins on multiple clicks" can't be tested without the click-capture/attribution API. Unblock when BE ships it.</t>
  </si>
  <si>
    <t>8.4</t>
  </si>
  <si>
    <t>PARTNER_API_REFERRAL_ATTRIBUTION_003</t>
  </si>
  <si>
    <t>Attribute - Signup after 40 days - No partner attribution is applied</t>
  </si>
  <si>
    <t>§8.4</t>
  </si>
  <si>
    <t>BLOCKED — referral-attribution endpoints not in dev build, AND the rule needs a 40-day-old click (past the 30-day window) → also requires clock control. "Signup after 40 days → no attribution" cannot be exercised yet. Unblock when BE ships the referral-links API + a test clock.</t>
  </si>
  <si>
    <t>PARTNER_API_REFERRAL_ATTRIBUTION_004</t>
  </si>
  <si>
    <t>Attribute - Direct signup with no cookie - Tenant remains direct</t>
  </si>
  <si>
    <t>BLOCKED — referral-attribution endpoints not in dev build. "Direct signup with no referral cookie → tenant stays 'direct'" needs the referral-attribution/signup path to assert no attribution is applied. Unblock when BE ships the referral-links API.</t>
  </si>
  <si>
    <t>Clients</t>
  </si>
  <si>
    <t>GET - My Clients list + detail - own rows only, scoped by JWT</t>
  </si>
  <si>
    <t>§4.6, §8.5</t>
  </si>
  <si>
    <t>PASSED. Module was recorded BLOCKED against /v1/partner/clients/* (2026-06-30); it shipped under /v1/partner/portal/clients - re-probed 2026-09-21, old path 404, portal path 200. Step 3 is the load-bearing one: the BE comment states partnerId "never comes from the query string", and this asserts it.</t>
  </si>
  <si>
    <t>A partner reads its own post-close tenants (GET /sa-partners-api/v1/partner/portal/clients) and the per-client detail route. Proves the envelope, that an empty list is the correct answer rather than an error, and that the read is scoped by the JWT rather than by a query parameter.</t>
  </si>
  <si>
    <t>**Setup (precondition):** An ACTIVE partner with a portal session and no attributions.
**Test Steps:**
1. GET My Clients.
   -&amp;gt; Expected: HTTP 200; envelope {statusCode, data[], total, message}; total = 0 and data = [] for a partner that has never won a deal; a non-empty message.
2. Check every row returned against the portal mapper.
   -&amp;gt; Expected: each row carries id/clientTenantId/clientTenantName/arrCents/currency/clientLifecycleState/billingModel/source/attachedAt, and carries NONE of attributionHistory/commissionStructure/suspensionTrigger/partnerId, nor any password/token/secret/credential key.
3. Mint a second partner, then repeat the GET passing partnerId = the second partner id in the query.
   -&amp;gt; Expected: total unchanged - the scope comes from the JWT, never from the query string.
4. GET with limit=5 and page=1.
   -&amp;gt; Expected: at most 5 rows and total unchanged.
**Teardown:** delete both partners.</t>
  </si>
  <si>
    <t>§1.3, §4.6, §8.5</t>
  </si>
  <si>
    <t>BLOCKED — endpoint absent (live spec 2026-06-30). GET /v1/partner/clients/:tenantId/health (usage/renewal/ticket metrics) not implemented. Unblock when the /v1/partner/clients/* module ships.</t>
  </si>
  <si>
    <t>BLOCKED — endpoint absent (live spec 2026-06-30). GET /v1/partner/clients/:tenantId/tickets (no MSP consent → count + severity only) not implemented. Pairs with _004. Unblock when the clients/tickets module ships.</t>
  </si>
  <si>
    <t>BLOCKED — endpoint absent (live spec 2026-06-30). GET /v1/partner/clients/:tenantId/tickets (with MSP consent → full ticket content) not implemented. Pairs with _003. Unblock when the clients/tickets module ships.</t>
  </si>
  <si>
    <t>§9.2, §8.3</t>
  </si>
  <si>
    <t>BLOCKED — endpoint absent (live spec 2026-06-30). PATCH MSP consent under /v1/partner/clients/* (revoke → content access stops immediately) not implemented. Unblock when the clients/MSP-consent module ships.</t>
  </si>
  <si>
    <t>BLOCKED — endpoint absent (live spec 2026-06-30). POST MSP tenant provision under /v1/partner/clients/* (creates a partner_managed tenant) not implemented. Unblock when the MSP provisioning module ships.</t>
  </si>
  <si>
    <t>§7.5, §8.3, §12.1 B4</t>
  </si>
  <si>
    <t>BLOCKED — endpoint absent (live spec 2026-06-30). MSP handoff/transfer under /v1/partner/clients/* (preserve old history + emit event) not implemented. Unblock when the MSP module ships.</t>
  </si>
  <si>
    <t>§2.2, §11</t>
  </si>
  <si>
    <t>BLOCKED — endpoint absent (live spec 2026-06-30). MSP tier qualification (total managed ARR) under /v1/partner/clients/* not implemented; also a downstream calc. Unblock when the MSP module + a qualification-read surface ship.</t>
  </si>
  <si>
    <t>2.2</t>
  </si>
  <si>
    <t>§3 Scenario G, §8.3, §9.2, §9.4</t>
  </si>
  <si>
    <t>BLOCKED — endpoint absent (live spec 2026-06-30). MSP consent grant/revoke audit under /v1/partner/clients/* (event with actor + timestamps, access changes immediately) not implemented. Unblock when the MSP-consent + audit module ships.</t>
  </si>
  <si>
    <t>PARTNER_API_CLIENT_HEALTH_MSP_010</t>
  </si>
  <si>
    <t>GET - My Clients invalid id / bad paging - Rejected</t>
  </si>
  <si>
    <t>BUG-API-042</t>
  </si>
  <si>
    <t>FAILED by design at step 4 - BUG-API-027. Steps 1-3 pass: both bad ids answer 400 and neither refusal leaks row fields. limit=-1 is correctly refused with 400, but limit=0 and page=abc both answer 200. Third endpoint with the same root cause after BUG-API-025 (/v1/sa/deals) and BUG-API-026 (/portal/modules) - one shared fix, not three.</t>
  </si>
  <si>
    <t>Negative counterpart of _001: an attribution id that does not exist, one that is not an id at all, and nonsensical pagination.</t>
  </si>
  <si>
    <t>**Setup (precondition):** An ACTIVE partner with a portal session.
**Test Steps:**
1. GET /portal/clients/{ghost id} using a well-formed id that cannot exist.
   -&amp;gt; Expected: a 4xx naming what was not found - never 200 with a record, never 5xx.
2. GET /portal/clients/not-an-id.
   -&amp;gt; Expected: HTTP 400.
3. Check the bodies of both refusals.
   -&amp;gt; Expected: neither carries client row fields.
4. GET /portal/clients with limit=-1, limit=0, page=abc.
   -&amp;gt; Expected: HTTP 400 on all three.
**Teardown:** delete the parent partner.</t>
  </si>
  <si>
    <t>BLOCKED — downstream commission-calc, no trigger/read API. "Renewal EE → lowest configured rate" needs the win→renewal commission pipeline (win deferred, DEAL_018) and there is no API to read the computed rate. /v1/sa/commissions exists but has no commission to assert against. Unblock when a commission can be created + its rate is readable.</t>
  </si>
  <si>
    <t>§4.7, §8.5</t>
  </si>
  <si>
    <t>PASSED. Read-only SA commission ledger (GET /v1/sa/commissions). No setup/cleanup. Commission rows are created downstream on deal-win (DEAL_018, deferred) → ledger empty on staging, per-row schema/filter WARN-skip; list contract holds. Negative counterpart: _017.</t>
  </si>
  <si>
    <t>SA lists the commission ledger: GET /sa-partners-api/v1/sa/commissions returns a paginated, filterable, well-formed ledger (envelope {statusCode, data[], total, message}; page size ≤ limit; entry has id + valid status enum; no sensitive leak; status filter matches).</t>
  </si>
  <si>
    <t>**Test Steps:**
1. GET /v1/sa/commissions (page=1, limit=5).
   → Expected: HTTP 200; envelope {statusCode, data[], total, message}.
2. Verify pagination.
   → Expected: returned page size ≤ requested limit (5).
3. Verify each entry's schema + no sensitive leak (data-dependent).
   → Expected: each entry carries an id and a valid status enum (earned/pending_approval/approved/paid/disputed/clawback/cancelled); no password/token/secret key. WARN-skips if the ledger is empty.
4. Verify a status filter returns only matching entries (data-dependent).
   → Expected: status=&lt;first entry's status&gt; returns only that status. WARN-skips if empty.
**Expected (overall):** Commission-ledger list returns a correct, paginated, filterable, non-sensitive envelope.</t>
  </si>
  <si>
    <t>BLOCKED (positive) — POST /v1/partner/portal/commissions/{id}/dispute exists, but disputing needs a real commission {id}, only created by the deferred win pipeline → none to dispute. The negative (dispute a ghost id → 4xx) is buildable now as a separate case. Unblock when a commission record can be created.</t>
  </si>
  <si>
    <t>§4.7, §5.3, §8.5</t>
  </si>
  <si>
    <t>BLOCKED — endpoint absent. Product-failure waiver POST /v1/partner/commissions/:id/waiver not in the deployed spec (confirmed 2026-06-30: no waiver path). Unblock when BE ships the waiver endpoint.</t>
  </si>
  <si>
    <t>§5.3, §8.3, §8.5</t>
  </si>
  <si>
    <t>BLOCKED — endpoint absent (no waiver path, 2026-06-30). Waiver decision / final-outcome event endpoint not implemented. Pairs with _004/_012. Unblock when BE ships the waiver flow.</t>
  </si>
  <si>
    <t>§5.3, §8.2, §8.6</t>
  </si>
  <si>
    <t>PASSED. Upsert rate POST /v1/sa/rate-table (plan said PUT /internal/commission/rates — method/path changed). In-place per (tier,dealType,commissionType) combo; prior kept in previousRate (1-level version); no dup row. rate 0..1. Redis-cache side not API-observable (_014). Test restores original rate in teardown. Negative: _018.</t>
  </si>
  <si>
    <t>SA upserts a commission rate (POST /v1/sa/rate-table): new rate stored in place, prior value kept under previousRate (version trail), combo never duplicated.</t>
  </si>
  <si>
    <t>**Setup (precondition):** GET the rate table; pick an EXISTING combo (tier, dealType, commissionType) and capture its original rate + clawbackWindowDays. Register a teardown that RESTORES the original rate (there is no DELETE endpoint, so the test never creates a new combo).
**Test Steps:**
1. Upsert the SAME combo with a new rate.
   → Expected: accepted (HTTP 201, envelope statusCode 200); confirm message.
2. Verify the new rate is stored + the prior value is kept under previousRate (version trail).
   → Expected: stored rate == new rate; previousRate.rate == the original rate; the combo (tier/dealType/commissionType) is unchanged.
3. Verify GET reflects the new rate AND the combo is still exactly ONE row (in-place, no duplicate).
   → Expected: one matching row with the new rate and the same _id.
4. Repeat the upsert with a 2nd new rate (mutating action — probe the repeat behavior).
   → Expected: in-place update — still one row; rate == 2nd value; previousRate advances to the 1st value (not a duplicate create).
**Teardown:** restore the combo's original rate.
**Expected (overall):** Rate upsert stores the new rate in place, versions the prior value via previousRate, and never duplicates the combo.</t>
  </si>
  <si>
    <t>BLOCKED — endpoint absent. Two-approver "approve over threshold" needs /v1/sa/commissions/{id}/approve-payout (dual approval), NOT in the spec — only a single POST /{id}/approve exists. Also needs a commission record. Unblock when BE ships the dual-approval/approve-payout flow.</t>
  </si>
  <si>
    <t>BLOCKED — referral-attribution endpoints absent (0 referral paths, 2026-06-30) + 40-day TTL needs clock control. "Referral attribution expires after 40 days → no commission" cannot be exercised. Same root as REFERRAL_ATTRIBUTION_003. Unblock when referral-links API + a test clock ship.</t>
  </si>
  <si>
    <t>§3 Scenario E, §8.3, §8.4</t>
  </si>
  <si>
    <t>BLOCKED — referral-link endpoints absent (0 referral paths, 2026-06-30). "Referral-link signup → partner notification + commission trigger" needs the referral-link/signup path. Unblock when BE ships the referral-links API.</t>
  </si>
  <si>
    <t>Feature</t>
  </si>
  <si>
    <t>BLOCKED — POST /v1/sa/commissions/{id}/clawback exists, but applying a clawback needs an existing commission (deferred win pipeline) + 12-month timing control. No commission to clawback. Unblock when a commission can be created + timing is controllable.</t>
  </si>
  <si>
    <t>Expected</t>
  </si>
  <si>
    <t>Actual</t>
  </si>
  <si>
    <t>Evidence / Assertion</t>
  </si>
  <si>
    <t>Reported By</t>
  </si>
  <si>
    <t>Date Opened</t>
  </si>
  <si>
    <t>Date Closed</t>
  </si>
  <si>
    <t>Notes</t>
  </si>
  <si>
    <t>§5.3, §7.2</t>
  </si>
  <si>
    <t>BLOCKED — downstream + needs a reseller commission. "Reseller churn → NO clawback (margin collected at invoice)" requires a reseller commission record + a churn event, both downstream/unavailable. Unblock when reseller commissions + churn signals are reachable.</t>
  </si>
  <si>
    <t>§4.7, §5.3, §9.4</t>
  </si>
  <si>
    <t>BLOCKED — endpoint absent (no waiver path, 2026-06-30). Waiver SLA/decision + ledger-credit-without-deleting-rows endpoint not implemented. Pairs with _004/_005. Unblock when BE ships the waiver flow.</t>
  </si>
  <si>
    <t>BUG-API-001</t>
  </si>
  <si>
    <t>PARTNER_API_COMMISSIONS_PAYOUTS_013</t>
  </si>
  <si>
    <t>POST - SPIFF programme - Valid date range and tiers are stored</t>
  </si>
  <si>
    <t>PARTNER_API_PARTNER_ACCOUNT_MANAGEMENT_022</t>
  </si>
  <si>
    <t>Partner</t>
  </si>
  <si>
    <t>Certifications</t>
  </si>
  <si>
    <t>Close</t>
  </si>
  <si>
    <t>Re-granting the same certification to the same user creates a duplicate</t>
  </si>
  <si>
    <t>Re-grant is idempotent (or 409) — no second active cert</t>
  </si>
  <si>
    <t>Returns 201 and creates a 2nd active cert</t>
  </si>
  <si>
    <t>AssertionError: re-granting must not duplicate active cert</t>
  </si>
  <si>
    <t>Trangqle</t>
  </si>
  <si>
    <t>§5.3, §8.5</t>
  </si>
  <si>
    <t>BUG-API-002</t>
  </si>
  <si>
    <t>BLOCKED — endpoint absent. SPIFF programme POST /internal/commission/spiff not in the deployed spec (0 spiff paths, 2026-06-30). Unblock when BE ships the SPIFF endpoint.</t>
  </si>
  <si>
    <t>Deal Approval</t>
  </si>
  <si>
    <t>Approving a deal does not stamp rate / rateTableVersion</t>
  </si>
  <si>
    <t>Approved deal exposes rate + rateTableVersion</t>
  </si>
  <si>
    <t>Fields not stamped/exposed</t>
  </si>
  <si>
    <t>AssertionError: approved deal must stamp rate + rate table version</t>
  </si>
  <si>
    <t>PARTNER_API_COMMISSIONS_PAYOUTS_014</t>
  </si>
  <si>
    <t>Cache - Rate table update - Redis cached rates are invalidated</t>
  </si>
  <si>
    <t>BUG-API-003</t>
  </si>
  <si>
    <t>Deal registration accepts a non-existent (ghost) planId</t>
  </si>
  <si>
    <t>Reject 4xx when planId absent (FK validation)</t>
  </si>
  <si>
    <t>Returns 201 registered</t>
  </si>
  <si>
    <t>CHECK ghost planId (verified absent) -&amp;gt; FAIL (status=201)</t>
  </si>
  <si>
    <t>§8.6</t>
  </si>
  <si>
    <t>Re-check is PASS</t>
  </si>
  <si>
    <t>BLOCKED (cache aspect not API-verifiable). POST /v1/sa/rate-table exists (the update), but "Redis cached rates are invalidated" is an internal side-effect with no API to observe cache state. Re-scope to "rate-table update persists + is reflected on next read" (buildable, overlaps _006), or keep blocked for the literal cache-invalidation assertion.</t>
  </si>
  <si>
    <t>BUG-API-004</t>
  </si>
  <si>
    <t>8.6</t>
  </si>
  <si>
    <t>PARTNER_API_PARTNER_USERS_013</t>
  </si>
  <si>
    <t>Partner Users</t>
  </si>
  <si>
    <t>Inviting a duplicate email creates a second user</t>
  </si>
  <si>
    <t>Reject (409) or idempotent — no duplicate user</t>
  </si>
  <si>
    <t>Returns 201; two users share one login</t>
  </si>
  <si>
    <t>AssertionError: re-inviting must not duplicate user</t>
  </si>
  <si>
    <t>PARTNER_API_COMMISSIONS_PAYOUTS_015</t>
  </si>
  <si>
    <t>Protect - Pack partner and channel partner ledgers - Revenue streams remain separate</t>
  </si>
  <si>
    <t>BUG-API-005</t>
  </si>
  <si>
    <t xml:space="preserve">PARTNER_API_AUTH_ACCESS_CONTROL_003
</t>
  </si>
  <si>
    <t>Auth &amp;amp; Access Control</t>
  </si>
  <si>
    <t>§1.2, §3 Scenario H</t>
  </si>
  <si>
    <t>Cross-partner deal access returns 400 instead of 404/403</t>
  </si>
  <si>
    <t>404 (preferred, hides existence) or 403 for cross-partner access</t>
  </si>
  <si>
    <t>Returns 400 (mislabels a valid request as malformed); isolation holds (no data leak)</t>
  </si>
  <si>
    <t>AssertionError: cross-partner access should be 404 (preferred) or 403, got 400</t>
  </si>
  <si>
    <t>BLOCKED — needs commissions for two partner types in the ledger. "Pack vs channel partner ledgers stay separate" requires existing commissions for a pack partner and a channel partner to compare scoping; no commission records (deferred win pipeline). The list endpoint exists; the data doesn't. Unblock when commissions can be created.</t>
  </si>
  <si>
    <t>BUG-API-006</t>
  </si>
  <si>
    <t>DEAL_REGISTRATION_PIPELINE</t>
  </si>
  <si>
    <t>PARTNER_API_COMMISSIONS_PAYOUTS_016</t>
  </si>
  <si>
    <t>Protect - Payout banking details - Sensitive fields never returned by the API (CRUD chain)</t>
  </si>
  <si>
    <t>GET deal by a well-formed but non-existent id returns 400 instead of 404</t>
  </si>
  <si>
    <t>404 Not Found for a well-formed but non-existent deal id</t>
  </si>
  <si>
    <t>400 Bad Request with message "Deal 000000000000000000000000 not found" (status contradicts message)</t>
  </si>
  <si>
    <t>test_partner_api_deal_registration_pipeline_031 [1/2]: expected 404, got 400, msg="Deal 000000000000000000000000 not found"</t>
  </si>
  <si>
    <t>BUG-API-007</t>
  </si>
  <si>
    <t>§4.7, §9.3</t>
  </si>
  <si>
    <t>lose deal on a well-formed but non-existent id returns 400 instead of 404</t>
  </si>
  <si>
    <t>test_partner_api_deal_registration_pipeline_032 [2/3]: expected 404, got 400, msg="Deal 000000000000000000000000 not found"</t>
  </si>
  <si>
    <t>PASSED. The old BLOCKED note was wrong on one point and right on another. Wrong: it said there is 'no payout/banking endpoint' - /v1/partner/portal/bank-accounts exists and ships all four routes. Right: CSFLE encryption AT REST is a storage property and still cannot be confirmed through the API; that half still needs a DB/infra review. What this TC proves is the API-observable half of PRD 9.3: the raw identifiers are never returned, asserted by searching each response body for the literal digits sent, not merely by checking the field name is absent. Also verified: a new account starts 'unverified', the sole account is auto-promoted to primary, and promote demotes the previous primary in the same atomic write.</t>
  </si>
  <si>
    <t>The full payout-account CRUD chain a partner admin owns - list, add, promote to primary, remove - with every response searched for the raw account number, routing number and IBAN that were sent.</t>
  </si>
  <si>
    <t>BUG-API-008</t>
  </si>
  <si>
    <t>See docs/blazeup/PARTNER_TEST_CASES.md section COMMISSIONS_PAYOUTS</t>
  </si>
  <si>
    <t>approve deal on a well-formed but non-existent id returns 400 instead of 404</t>
  </si>
  <si>
    <t>test_partner_api_deal_registration_pipeline_028 [1/3]: expected 404, got 400, msg="Deal 000000000000000000000000 not found"</t>
  </si>
  <si>
    <t>PARTNER_API_COMMISSIONS_PAYOUTS_017</t>
  </si>
  <si>
    <t>BUG-API-009</t>
  </si>
  <si>
    <t>resolve-conflict on a well-formed but non-existent id returns 400 instead of 404</t>
  </si>
  <si>
    <t>test_partner_api_deal_registration_pipeline_029 [6/6]: expected 404, got 400, msg="Deal 000000000000000000000000 not found"</t>
  </si>
  <si>
    <t>BUG-API-010</t>
  </si>
  <si>
    <t>PASSED. Negative of _002 (commission ledger). New line. GET read-only → no idempotency TC. limit=0 leniently defaulted (200) — weak-validation, confirm with BE.</t>
  </si>
  <si>
    <t>Negative of _002: invalid filter/pagination on GET /v1/sa/commissions is rejected with the correct code (never 5xx); all cases run (failures collected).</t>
  </si>
  <si>
    <t>**Test Steps:** (each case = one GET /v1/sa/commissions with the param under test)
1. Bad status enum ('bogus') → **400** 'status must be one of'.
2. Malformed partnerId ('not-an-id') → **400** 'partnerId must be a mongodb id'.
3. page=0 → **400** 'skip must be a non-negative integer'.
4. page=-1 → **400** 'skip must be a non-negative integer'.
5. limit over max (999999) → **400** 'limit must not exceed 100'.
6. limit=0 → **200** (leniently defaulted — observed, never 5xx).
**Expected (overall):** Validated invalid filter/pagination → 400; limit=0 defaults gracefully; never 5xx.</t>
  </si>
  <si>
    <t>extend-protection on a well-formed but non-existent id returns 400 instead of 404</t>
  </si>
  <si>
    <t>test_partner_api_deal_registration_pipeline_030 [8/8]: expected 404, got 400, msg="Deal 000000000000000000000000 not found"</t>
  </si>
  <si>
    <t>BUG-API-011</t>
  </si>
  <si>
    <t>DEAL_APPROVAL_QUEUE</t>
  </si>
  <si>
    <t>PARTNER_API_COMMISSIONS_PAYOUTS_018</t>
  </si>
  <si>
    <t>reject deal on a well-formed but non-existent id returns 400 instead of 404</t>
  </si>
  <si>
    <t>test_partner_api_deal_approval_queue_011 [1/3]: expected 404, got 400, msg="Deal 000000000000000000000000 not found"</t>
  </si>
  <si>
    <t>BUG-API-012</t>
  </si>
  <si>
    <t>PARTNER_API_PARTNER_ACCOUNT_MANAGEMENT_013</t>
  </si>
  <si>
    <t>PARTNER_ACCOUNT_MANAGEMENT</t>
  </si>
  <si>
    <t>approve partner: well-formed but non-existent partner id returns 400 instead of 404</t>
  </si>
  <si>
    <t>404 Not Found for a well-formed but non-existent partner id</t>
  </si>
  <si>
    <t>400 Bad Request with message "Partner 000000000000000000000000 not found" (status contradicts message)</t>
  </si>
  <si>
    <t>test_partner_api_partner_account_management_013 [1/3]: expected 404, got 400, msg="Partner 000000000000000000000000 not found"</t>
  </si>
  <si>
    <t>PASSED. New negative line paired with _006.</t>
  </si>
  <si>
    <t>BUG-API-013</t>
  </si>
  <si>
    <t>Negative counterpart of _006 (rate upsert): invalid input is rejected with 400 + a field-level message BEFORE any write (no combo created/mutated). All cases run (failures collected).</t>
  </si>
  <si>
    <t>PARTNER_API_PARTNER_ACCOUNT_MANAGEMENT_014</t>
  </si>
  <si>
    <t>deactivate partner: well-formed but non-existent partner id returns 400 instead of 404</t>
  </si>
  <si>
    <t>**Test Steps:** (each case = one POST /v1/sa/rate-table with the field under test broken)
1. Invalid tier enum ('platinum') → **400** 'tier must be one of'.
2. Invalid dealType enum ('wholesale') → **400** 'dealType must be one of'.
3. Invalid commissionType enum ('bogus') → **400** 'commissionType must be one of'.
4. Missing tier → **400** 'tier must be one of'.
5. Missing dealType → **400** 'dealType must be one of'.
6. Missing commissionType → **400** 'commissionType must be one of'.
7. Missing rate → **400** message mentions "rate must".
8. Negative rate (-0.1) → **400** 'rate must not be less than 0'.
9. Rate over 1 (1.5) → **400** 'rate must not be greater than 1'.
10. Non-numeric rate ('abc') → **400** 'rate must be a number'.
**Expected (overall):** Every invalid rate upsert is rejected with 400 and nothing is persisted (rate must be 0..1). No teardown needed (no write).</t>
  </si>
  <si>
    <t>test_partner_api_partner_account_management_014 [1/3]: expected 404, got 400, msg="Partner 000000000000000000000000 not found"</t>
  </si>
  <si>
    <t>BUG-API-014</t>
  </si>
  <si>
    <t>PARTNER_API_PARTNER_ACCOUNT_MANAGEMENT_015</t>
  </si>
  <si>
    <t>PARTNER_API_COMMISSIONS_PAYOUTS_019</t>
  </si>
  <si>
    <t>change-tier partner: well-formed but non-existent partner id returns 400 instead of 404</t>
  </si>
  <si>
    <t>GET - SA commission summary - Well-formed, self-consistent totals</t>
  </si>
  <si>
    <t>test_partner_api_partner_account_management_015 [6/6]: expected 404, got 400, msg="Partner 000000000000000000000000 not found"</t>
  </si>
  <si>
    <t>BUG-API-015</t>
  </si>
  <si>
    <t>PARTNER_API_PARTNER_ACCOUNT_MANAGEMENT_020</t>
  </si>
  <si>
    <t>grant-certification on a well-formed but non-existent userId returns 400 instead of 404</t>
  </si>
  <si>
    <t>404 Not Found for a well-formed but non-existent userId</t>
  </si>
  <si>
    <t>400 Bad Request with message "User 000000000000000000000000 not found" (status contradicts message)</t>
  </si>
  <si>
    <t>test_partner_api_partner_account_management_020 [4/4]: expected 404, got 400, msg="User 000000000000000000000000 not found"</t>
  </si>
  <si>
    <t>PASSED. Measured 2026-09-23: all four totals 0, ledger empty - consistent. Asserting a specific figure is impossible (a commission only accrues after the provisioned tenant's first payment, G1), which is why step 4 cross-checks against GET /v1/sa/commissions instead: that is what would catch a summary that stopped reading the ledger, and it stays meaningful once real commissions appear. Types are asserted strictly - a float cents total is a rounding bug waiting to happen.</t>
  </si>
  <si>
    <t>GET /v1/sa/commissions/summary - the four SA-wide cents totals over every partner. Asserts the envelope, the types, the sign, and that the totals do not contradict the ledger they summarise.</t>
  </si>
  <si>
    <t>BUG-API-016</t>
  </si>
  <si>
    <t>PARTNER_API_PARTNER_USERS_014</t>
  </si>
  <si>
    <t>PARTNER_USERS</t>
  </si>
  <si>
    <t>PARTNER_API_COMMISSIONS_PAYOUTS_020</t>
  </si>
  <si>
    <t>GET - Own commission ledger - Scoped and summary-consistent</t>
  </si>
  <si>
    <t>reset-password on a well-formed but non-existent userId returns 400 instead of 404</t>
  </si>
  <si>
    <t>test_partner_api_partner_users_014 [1/2]: expected 404, got 400, msg="User 000000000000000000000000 not found"</t>
  </si>
  <si>
    <t>BUG-API-017</t>
  </si>
  <si>
    <t>PARTNER_API_TERRITORIES_014</t>
  </si>
  <si>
    <t>TERRITORIES</t>
  </si>
  <si>
    <t>get-territory-by-id on a well-formed but non-existent id returns 400 instead of 404</t>
  </si>
  <si>
    <t>404 Not Found for a well-formed but non-existent / already-removed territory id</t>
  </si>
  <si>
    <t>400 Bad Request with message "Territory ... not found" (status contradicts message)</t>
  </si>
  <si>
    <t>test_partner_api_territories_014 [1/2]: expected 404, got 400, msg="Territory 000000000000000000000000 not found"</t>
  </si>
  <si>
    <t>BUG-API-018</t>
  </si>
  <si>
    <t>PARTNER_API_TERRITORIES_015</t>
  </si>
  <si>
    <t>PASSED. No commission exists anywhere on staging - a row only accrues after a provisioned tenant's first payment (G1) - so the ledger's CONTENTS are out of reach and the TC says so rather than pretending otherwise. Step 4 is the one that keeps its value once commissions appear: it compares two views of the same data (list vs summary) instead of checking a constant, so an empty ledger with non-zero totals fails today and a drifted summary fails later. Step 3 cannot show a filter NARROWS on an empty ledger, but it does show that a legitimate status is not rejected - which is what breaks if the enum drifts from the schema.</t>
  </si>
  <si>
    <t>GET /v1/partner/portal/commissions. An empty ledger is the correct answer for every partner on staging (G1), so the TC asserts the properties that survive that: the envelope, that all eight status values are accepted, that the ledger agrees with its own summary, and that a partnerId smuggled into the query cannot widen the JWT scope.</t>
  </si>
  <si>
    <t>delete territory on a non-existent / already-removed id returns 400 instead of 404</t>
  </si>
  <si>
    <t>test_partner_api_territories_015 [1/3] + [3/3]: expected 404, got 400 (ghost id AND already-removed), msg="Territory ... not found"</t>
  </si>
  <si>
    <t>BUG-API-019</t>
  </si>
  <si>
    <t>PARTNER_API_CERTIFICATIONS_SA_012</t>
  </si>
  <si>
    <t>CERTIFICATIONS_SA</t>
  </si>
  <si>
    <t>PARTNER_API_COMMISSIONS_PAYOUTS_021</t>
  </si>
  <si>
    <t>revoke-certification not-found targets (ghost user / cert-not-held / already-revoked) return 400 instead of 404</t>
  </si>
  <si>
    <t>POST/PATCH/DELETE - Payout account invalid input and non-admin - Rejected</t>
  </si>
  <si>
    <t>400 Bad Request with a "not found" message (User ... not found / Active ... certification not found)</t>
  </si>
  <si>
    <t>test_partner_api_certifications_sa_012: cases 2,3,5 expected 404, got 400 (msg contains not found)</t>
  </si>
  <si>
    <t>BUG-API-020</t>
  </si>
  <si>
    <t>Win deal: WinDealDto required fields not enforced (companyWebsite/industry/adminFirstName/adminLastName)</t>
  </si>
  <si>
    <t>400 when a required win-intake field is missing (per WinDealDto required list)</t>
  </si>
  <si>
    <t>201 - deal is won even with all required fields missing (empty body also wins)</t>
  </si>
  <si>
    <t>test_partner_api_deal_registration_pipeline_034 [1-4/8]: missing companyWebsite/industry/adminFirstName/adminLastName each returned 201 (expected 400)</t>
  </si>
  <si>
    <t>§9.3</t>
  </si>
  <si>
    <t>BUG-API-021</t>
  </si>
  <si>
    <t>(no TC yet — DELETE partner is never asserted)</t>
  </si>
  <si>
    <t>PASSED. Measured 2026-09-23: all six required-field omissions -&amp;gt; 400 naming the field; payoutMethod outside the enum -&amp;gt; 400 listing all four methods; removing the PRIMARY while another account exists -&amp;gt; 409; a ghost account id -&amp;gt; 404 on both DELETE and PATCH primary; a VIEWER session -&amp;gt; 403 on all four routes, with no account created by the refused writes. Step 5 is the rule-5 'token of a different role' case and is proven with an actual login, not by reading the guard.</t>
  </si>
  <si>
    <t>Negative counterpart of _016 covering three refusal classes: DTO validation, state guards, and admin-only authorization proven with a real viewer session.</t>
  </si>
  <si>
    <t>Open</t>
  </si>
  <si>
    <t>Soft delete is INTENTIONAL (confirmed by BE) — but a deleted partner and a suspended one both end up with status='suspended', so no client can tell them apart. The business status 'suspended' has effectively lost its meaning, and QA has no way to remove test data.</t>
  </si>
  <si>
    <t>Keep the soft delete. Add a way to DISTINGUISH the two states — e.g. a read-only deletedAt / isDeleted field, or an optional filter on GET /v1/sa/partners. No behaviour change needed and SA can still see every partner. Separately: a supported way for QA to purge its own test data (maintenance endpoint, or an agreed manual DB cleanup).</t>
  </si>
  <si>
    <t>DELETE returns 200 {"message":"Partner deleted successfully"}; the record stays, status flips pending/active -&amp;gt; 'suspended' and internalNotes -&amp;gt; 'Deleted by SA'. That free-text note is the ONLY signal separating a deleted partner from a genuinely suspended one. Measured on stgsa 2026-08-10: 2371 of 2416 partners are 'suspended', and 2369 of those carry 'Deleted by SA' — so only 2 are real suspensions. Volume is also growing: 1808 partners on 2026-08-06 -&amp;gt; 2416 on 2026-08-10 (+608 in 4 days), and nothing can remove them.</t>
  </si>
  <si>
    <t>PARTNER_API_COMMISSIONS_PAYOUTS_022</t>
  </si>
  <si>
    <t>Probe on stgsa 2026-08-06: create partner -&amp;gt; DELETE (200) -&amp;gt; GET /v1/sa/partners?search=&amp;lt;name&amp;gt; still returns it at +0s/+3s/+10s with status='suspended', internalNotes='Deleted by SA'. Reproduced from a UI run: 'CLEANUP LEAK: DELETE partner ... returned HTTP 200 but the record is STILL listed'.</t>
  </si>
  <si>
    <t>QA (review)</t>
  </si>
  <si>
    <t>POST - Duplicate payout account - Rejected, still one on file</t>
  </si>
  <si>
    <t>BE DESIGN CONFIRMED (Khoa Nguyen, 2026-08-10): partners are never hard-deleted on purpose — SA must see every partner, and the status has to be revertible. So this is NOT a request to hard delete; the remaining ask is only a field that separates 'deleted' from 'suspended'. | Impact on automation: created_resources cleanup receives 200 and reports success while removing nothing — that is how ~2.4k QA-AUTO partners accumulated unnoticed. utils/ui_cleanup.py and utils/cleanup_staging.py now re-read the record after DELETE and report CLEANUP LEAK instead of trusting the status code. | Impact on testing: PARTNER_UI_SA_PARTNER_MODULE_016 (reactivate) needs a genuinely Suspended partner and only 2 candidates exist among 2371 rows. | Also missing, tracked here for now: no DELETE for deals, and no delete/revoke for partner-users (only certifications), so data created by PARTNER_UI_MY_PIPELINE_005 and PARTNER_UI_PARTNER_TEAM_001 cannot be cleaned by any route. | Open question back to Product: should 'application declined' and 'active partner suspended' really share one status too? deactivate serves both.</t>
  </si>
  <si>
    <t>BUG-API-022</t>
  </si>
  <si>
    <t>PARTNER_API_PARTNER_TEAM_001</t>
  </si>
  <si>
    <t>PARTNER_TEAM</t>
  </si>
  <si>
    <t>partner team directory - invited member appears in list and detail.</t>
  </si>
  <si>
    <t>PASSED. The backend's answer is REJECT, not an idempotent no-op: 400 'This payout account is already on file for the partner', and the partner is left with exactly ONE account. Step 2 confirms the match is on the normalised value (the same number with spaces is also caught), step 3 that a genuinely different account is still accepted - so the guard is shown to be correct rather than over-broad, which a guard refusing everything would not be.</t>
  </si>
  <si>
    <t>Rule-8 duplicate/idempotency as its own TC: adding the same payout account twice.</t>
  </si>
  <si>
    <t>FAIL | [6/6] Read the session user by id → must return THAT user (259ms) -- AssertionError: GET /directory/users/{userId} ignored the path parameter: asked for 6aaa783b5a1d688484cf3045, got 6aaa783f5a1d688484cf3059 (team.qa.auto+aaron35-aa19222eed3b@</t>
  </si>
  <si>
    <t>FAIL | [6/6] Read the session user by id → must return THAT user (259ms) -- AssertionError: GET /directory/users/{userId} ignored the path parameter: asked for 6aaa783b5a1d688484cf3045, got 6aaa783f5a1d688484cf3059 (team.qa.auto+aaron35-aa19222eed3b@mailinator.com). A ghost id and a malformed id ret</t>
  </si>
  <si>
    <t>BUG-API-023</t>
  </si>
  <si>
    <t>PARTNER_API_COMMISSIONS_PAYOUTS_023</t>
  </si>
  <si>
    <t>PARTNER_API_PARTNER_TEAM_003</t>
  </si>
  <si>
    <t>GET - SA commission detail and filters invalid input - Rejected</t>
  </si>
  <si>
    <t>team member deals and commissions - own records, scoped.</t>
  </si>
  <si>
    <t>FAIL | [6/7] The rollup must DISCRIMINATE between members (547ms) -- AssertionError: GET /directory/users/{userId}/deals ignores the path parameter: the member 6aab91e1b8ca8e4baea2a4ca registered NO deals, yet asking for it returns the same 1 row(s)</t>
  </si>
  <si>
    <t>FAIL | [6/7] The rollup must DISCRIMINATE between members (547ms) -- AssertionError: GET /directory/users/{userId}/deals ignores the path parameter: the member 6aab91e1b8ca8e4baea2a4ca registered NO deals, yet asking for it returns the same 1 row(s) as the session user who registered them. A ghost u</t>
  </si>
  <si>
    <t>BUG-API-024</t>
  </si>
  <si>
    <t>PARTNER_API_PARTNER_ACCOUNT_MANAGEMENT_024</t>
  </si>
  <si>
    <t>PASSED. ghost id -&amp;gt; 400, malformed id -&amp;gt; 400, bad status filter -&amp;gt; 400, malformed partnerId -&amp;gt; 400, ghost partnerId -&amp;gt; 200 empty. Step 3 is the unusual one: it requests 'summary' as a literal id to prove the route order holds. If ':id' were ever declared before '/summary', the summary endpoint would silently start answering 'commission not found' and the SA dashboard would just show nothing - a regression no other test would catch.</t>
  </si>
  <si>
    <t>Negative counterpart of _019, and where GET /v1/sa/commissions/{id} is covered. Automation cannot create a commission (G1), so every case that route has is a refusal.</t>
  </si>
  <si>
    <t>PATCH /v1/sa/partners/:id accepts fields UpdatePartnerDto does not expose. _id -&amp;gt; HTTP 500 leaking the MongoDB error; code and status are silently written. Writing status moves a PENDING partner straight to active.</t>
  </si>
  <si>
    <t>A field outside UpdatePartnerDto is ignored or refused with 400 — never a 5xx, never a write. status must change only through POST /partners/:id/approve|deactivate, so the 3-stage approval FSM (PRD §12.1 B3: SA Review -&amp;gt; Legal Countersign -&amp;gt; SA Final Approval) cannot be skipped. Error bodies must not expose the storage engine.</t>
  </si>
  <si>
    <t>PATCH {"_id": "&amp;lt;ghost&amp;gt;"} -&amp;gt; 500 "Plan executor error during findAndModify :: caused by :: Performing an update on the path '_id' would modify the immutable field '_id'". PATCH {"code": "QA-HACKED"} -&amp;gt; 200 and the partner code is overwritten. PATCH {"status": "active"} -&amp;gt; 200 and a pending partner becomes active without approve.</t>
  </si>
  <si>
    <t>PARTNER_API_PARTNER_ACCOUNT_MANAGEMENT_024 step [5/5], staging 2026-09-17, BE v26 @ 0b35609. Each field sent on its own so the failing one is named. The positive TC _023 passes: the 6 declared fields persist and a repeat PATCH is idempotent.</t>
  </si>
  <si>
    <t>NEEDS BE CONFIRMATION on the status part: is writing status through PATCH intended for SA, or an FSM bypass? The _id 500 and the writable code are defects either way.</t>
  </si>
  <si>
    <t>PARTNER_API_COMMISSIONS_PAYOUTS_024</t>
  </si>
  <si>
    <t>GET - Own commission ledger invalid input - Rejected</t>
  </si>
  <si>
    <t>BUG-API-025</t>
  </si>
  <si>
    <t>GET /v1/sa/deals: limit=0 and page=abc are accepted and the endpoint returns the ENTIRE result set in one page (1406 deals). limit=-1 is correctly refused with 400.</t>
  </si>
  <si>
    <t>Any nonsensical pagination value is refused with 400, the same way limit=-1 already is. A page size must never resolve to unbounded.</t>
  </si>
  <si>
    <t>GET /v1/sa/deals?limit=0  -&amp;gt; 200, data[] holds 1406 rows. GET /v1/sa/deals?page=abc -&amp;gt; 200, data[] holds 1406 rows. GET /v1/sa/deals?limit=-1 -&amp;gt; 400 "Invalid pagination: limit must be a positive integer".</t>
  </si>
  <si>
    <t>PARTNER_API_DEAL_REGISTRATION_PIPELINE_036 step [3/4], staging 2026-09-21, BE v26 @ 0b35609. The positive TC _035 passes: partnerId, status and dealType all narrow correctly and limit=1 caps the page.</t>
  </si>
  <si>
    <t>Impact is a full-table dump per request, not just a validation gap — worth checking whether other list endpoints share the same pagination guard.</t>
  </si>
  <si>
    <t>BUG-API-026</t>
  </si>
  <si>
    <t>PARTNER_API_PARTNER_PORTAL_008</t>
  </si>
  <si>
    <t>PARTNER_PORTAL</t>
  </si>
  <si>
    <t>GET /v1/partner/portal/modules: groupByCategory=true returns rows that are only {"_id": "undefined"}, and no pagination value is validated (limit=-1, limit=0 and page=abc all answer 200 with the whole catalogue).</t>
  </si>
  <si>
    <t>groupByCategory=true returns usable groups (a category name and its modules). Nonsensical pagination is refused with 400 — GET /v1/sa/deals already refuses limit=-1, so the service knows how to do this.</t>
  </si>
  <si>
    <t>GET /portal/modules?groupByCategory=true -&amp;gt; 200, total=23, data[] holds 10 objects each exactly {"_id": "undefined"} — the literal JS string "undefined", no name, no members. GET /portal/modules?limit=-1 -&amp;gt; 200 (1 row); ?limit=0 and ?page=abc -&amp;gt; 200 with all 23 rows.</t>
  </si>
  <si>
    <t>PARTNER_API_PARTNER_PORTAL_008 steps [4/5] and [5/5], staging 2026-09-21, BE v26 @ 0b35609. The positive TC _007 passes: the plain catalogue, the name filter, and both team-certification filters all narrow correctly.</t>
  </si>
  <si>
    <t>The pagination half is the same class as BUG-API-025 on /v1/sa/deals but a different endpoint and stricter: /sa/deals at least refuses limit=-1, this one refuses nothing.</t>
  </si>
  <si>
    <t>BUG-API-027</t>
  </si>
  <si>
    <t>CLIENT_HEALTH_MSP</t>
  </si>
  <si>
    <t>FAILED by design at step 3 - BUG-API-030. Step 2 passes: status='bogus' -&amp;gt; 400 listing all eight statuses. Step 3: limit=-1 is correctly refused with 400 but limit=0 and page=abc both answer 200. FIFTH endpoint with the identical root cause after BUG-API-025, 026, 027 and 028 - five independent misses of the same two values is not plausible, so this is one shared pagination validator and one fix should close all five. Filed separately only so each failing TC has a traceable row.</t>
  </si>
  <si>
    <t>Negative counterpart of _020: a status outside the enum, and nonsensical pagination.</t>
  </si>
  <si>
    <t>GET /v1/partner/portal/clients: limit=0 and page=abc are not validated and answer 200. limit=-1 IS refused with 400, so the guard exists on this very endpoint and simply misses the other two values.</t>
  </si>
  <si>
    <t>A nonsensical page size or page number is refused with 400, consistently with limit=-1 on the same endpoint and with GET /v1/sa/deals.</t>
  </si>
  <si>
    <t>GET /portal/clients?limit=-1 -&amp;gt; 400 (correct). ?limit=0 -&amp;gt; 200. ?page=abc -&amp;gt; 200. Both returned 0 rows, but only because the caller had no clients: the value was accepted rather than rejected, so the row count proves nothing about the guard.</t>
  </si>
  <si>
    <t>PARTNER_API_CLIENT_HEALTH_MSP_010 step [4/4], staging 2026-09-21, BE v26 @ 0b35609. The rest of the TC passes: a ghost attribution id and a malformed id are both refused with 400 and neither refusal leaks client row fields. The positive TC _001 passes in full, including JWT scoping (a partnerId in the query does not widen the result).</t>
  </si>
  <si>
    <t>Third endpoint with the same root cause, after BUG-API-025 (/v1/sa/deals) and BUG-API-026 (/v1/partner/portal/modules) — worth ONE shared fix rather than three. Severity is lower here only because this list is empty on staging (no attribution is reachable, G2); the same miss on /sa/deals dumps 1406 rows in a single page, so the impact returns as soon as a partner owns clients.</t>
  </si>
  <si>
    <t>Partner Lifecycle</t>
  </si>
  <si>
    <t>TENANT_PROVISIONING_ATTRIBUTION</t>
  </si>
  <si>
    <t>GET /v1/sa/partner-attributions: limit=0 and page=abc are not validated and answer 200 with the whole ledger. limit=-1 IS refused with 400, so the guard exists on this very endpoint and misses the other two values.</t>
  </si>
  <si>
    <t>A nonsensical page size or page number is refused with 400, consistently with limit=-1 on the same endpoint.</t>
  </si>
  <si>
    <t>GET /v1/sa/partner-attributions?limit=-1 -&amp;gt; 400 "Invalid pagination: limit must be a positive integer" (correct). ?limit=0 -&amp;gt; 200 with all 10 rows. ?page=abc -&amp;gt; 200 with all 10 rows. Unlike the portal twin this list is NOT empty, so the caller receives the entire SA-wide ledger in one page.</t>
  </si>
  <si>
    <t>PARTNER_API_TENANT_PROVISIONING_ATTRIBUTION_013 step [4/4], staging 2026-09-23, BE v26. The rest of the TC passes: status/clientLifecycleState outside the enum -&amp;gt; 400 listing the allowed values, malformed partnerId and malformed attribution id -&amp;gt; 400, ghost partnerId -&amp;gt; 200 empty, ghost attribution id -&amp;gt; 400. The positive TC _012 passes in full (10 rows across 6 distinct partners, partnerId filter narrows 10 -&amp;gt; 1, detail route returns the requested row).</t>
  </si>
  <si>
    <t>FOURTH endpoint with the identical root cause: BUG-API-025 (/v1/sa/deals), BUG-API-026 (/v1/partner/portal/modules), BUG-API-027 (/v1/partner/portal/clients), now this one. Every instance refuses limit=-1 and accepts limit=0 and page=abc, which points at one shared pagination validator rather than four separate misses. Recommend BE fix it once at that layer and close all four together.</t>
  </si>
  <si>
    <t>Partner Account Management</t>
  </si>
  <si>
    <t>BUG-API-029</t>
  </si>
  <si>
    <t>PARTNER_API_PARTNER_PORTAL_010</t>
  </si>
  <si>
    <t>GET /v1/partner/portal/plans/{planId}: the path parameter named planId is the only value it will NOT accept. The route matches on the mongo _id; a plan's own planId slug answers 400 'Invalid id'.</t>
  </si>
  <si>
    <t>The parameter documented by the route's own @ApiParam as a 'Kebab-case plan key, e.g. pro-annual' resolves the plan. Either the implementation should query { planId: &amp;lt;slug&amp;gt; }, or the route, @ApiParam and the service docstring should all say _id.</t>
  </si>
  <si>
    <t>GET /portal/plans returns rows carrying both _id and planId. GET /portal/plans/6aa76eab1e7d8bcb2279dd3f (the _id) -&amp;gt; 200 with the plan. GET /portal/plans/full-modules-ss (that same row's planId) -&amp;gt; 400 "Invalid id: 'full-modules-ss'". partner-lookup.service.ts getPlanByPlanId queries { _id: planId, status: PUBLISHED } while its docstring says 'Fetches a published billing plan by its planId slug'.</t>
  </si>
  <si>
    <t>PARTNER_API_PARTNER_PORTAL_010 step [2/4], staging 2026-09-23, BE v26. The rest of the pair passes: _009 verifies the catalogue is published standard editions only with unique ids/slugs and an exact detail match by _id; _010 confirms a ghost key -&amp;gt; 404 naming it and 'not-a-plan'/'%20'/'null' -&amp;gt; 400.</t>
  </si>
  <si>
    <t>Contract-level, not a crash: the deal-registration form works because it passes _id. The cost is that any client written from the OpenAPI spec fails 100% of the time, and the naming actively misleads - a reader has no way to tell from the route that planId means _id. Low fix cost either way; BE only needs to decide which side is authoritative. NOT related to the pagination family (BUG-API-025/026/027/028).</t>
  </si>
  <si>
    <t>BUG-API-030</t>
  </si>
  <si>
    <t>COMMISSIONS_PAYOUTS</t>
  </si>
  <si>
    <t>§5.1, §8.5</t>
  </si>
  <si>
    <t>GET /v1/partner/portal/commissions: limit=0 and page=abc are not validated and answer 200. limit=-1 IS refused with 400 on the same endpoint.</t>
  </si>
  <si>
    <t>?limit=-1 -&amp;gt; 400 'Invalid pagination: limit must be a positive integer' (correct). ?limit=0 -&amp;gt; 200. ?page=abc -&amp;gt; 200. Both returned 0 rows, but only because no commission exists anywhere on staging (G1): the value was accepted rather than rejected, so the row count proves nothing about the guard.</t>
  </si>
  <si>
    <t>PASSED — verified 2026-06-30. GET /sa-partners-api/v1/sa/partners (SA JWT) → 200, envelope {statusCode, data[], total, message}; honours page/limit; filters (status/tier/search) restrict when data exists; SA-only (no cross-partner leak). Filter asserts are data-dependent (empty dir → data:[]/total:0). Negative in _011.</t>
  </si>
  <si>
    <t>PARTNER_API_COMMISSIONS_PAYOUTS_024 step [3/3], staging 2026-09-24, BE v26. The rest of the pair passes: status='bogus' -&amp;gt; 400 listing all eight statuses; the positive TC _020 passes in full (envelope, all 8 status values accepted, ledger agrees with its summary, a partnerId in the query does not widen the JWT scope).</t>
  </si>
  <si>
    <t>Validate the SA partner-list API contract: GET /sa-partners-api/v1/sa/partners (JWT, SA role) returns HTTP 200 with the envelope {statusCode, data[], total, message} and honours pagination (page/limit). Filter params (e.g. status, tier, search) must restrict results when partner data exists. Scope: HTTP status, response schema, pagination bounds, SA-only access (no cross-partner leakage). Out of scope: UI rendering; filter assertions require seeded partners (data-dependent — empty directory returns data:[] / total:0). PRD §5.1, §8.5.</t>
  </si>
  <si>
    <t>FIFTH endpoint with the identical root cause: BUG-API-025 (/v1/sa/deals), 026 (/v1/partner/portal/modules), 027 (/v1/partner/portal/clients), 028 (/v1/sa/partner-attributions), now this one. Every instance refuses limit=-1 and accepts limit=0 and page=abc. Five independent misses of the same two values is not plausible - this is one shared pagination validator, and one fix at that layer should close all five together. Filed separately only so each failing TC has its own traceable row; recommend BE treat 025/026/027/028/030 as a single defect.</t>
  </si>
  <si>
    <t>**Setup (precondition):** authenticated SA client; request the first page with limit=5.
**Test Steps:**
1. GET /v1/sa/partners?page=1&amp;limit=5.
   → Expected: request sent (HTTP 200 asserted in the client).
2. Verify the partner-list API contract.
   → Expected: statusCode 200; `data` is a list; `total` ≥ 0; `message` present; returned page size ≤ requested limit (5).
3. Verify data integrity + SA filtering (data-dependent).
   → Expected: each partner is a non-empty object with a unique id; WARN-skips if staging has 0 partners.
4. Verify SA isolation / no cross-partner leakage.
   → Expected: SA-scoped directory only; WARN-skips when no data (deep cross-partner audit applies once multi-partner data exists).
**Expected (overall):** Partner list returns a valid paginated envelope, SA-scoped.</t>
  </si>
  <si>
    <t>BUG-API-031</t>
  </si>
  <si>
    <t>PARTNER_API_PARTNER_TEAM_002</t>
  </si>
  <si>
    <t>Partner team directory read-by-id ignores the path parameter: a ghost (well-formed, absent) userId is not rejected, and a malformed userId is not rejected.</t>
  </si>
  <si>
    <t>GET /v1/partner/directory/users/{userId}: a ghost (well-formed but non-existent) userId -&amp;gt; 404 not found; a malformed userId -&amp;gt; 400 invalid id.</t>
  </si>
  <si>
    <t>ghost userId 000000000000000000000000 -&amp;gt; HTTP 200 returning a DIFFERENT user (userId=6aba0a4b...); malformed userId 'not-an-id' -&amp;gt; HTTP 200. The path parameter is ignored, so a caller reading a member it never asked for gets no error at all.</t>
  </si>
  <si>
    <t>FAIL test_partner_api_partner_team_002 (run 2026-09-28): 'Validation gaps on /v1/partner/directory/users: ghost userId 000...000 returned HTTP 200 with userId=6aba0a4b... instead of 404; malformed userId not-an-id returned HTTP 200 instead of 400.'</t>
  </si>
  <si>
    <t>Negative counterpart of BUG-API-022 (2061401) - SAME root cause: GET /directory/users/{userId} ignores the path param. Fix together with BUG-API-022/023.</t>
  </si>
  <si>
    <t>BUG-API-032</t>
  </si>
  <si>
    <t>PARTNER_API_PARTNER_TEAM_004</t>
  </si>
  <si>
    <t>Team member deals/commissions read ignores the path parameter: a ghost/malformed userId is not rejected (reads as a member with no records).</t>
  </si>
  <si>
    <t>GET /v1/partner/directory/users/{userId}/{deals,commissions}: a ghost userId -&amp;gt; 404 not found; a malformed userId -&amp;gt; 400 invalid id.</t>
  </si>
  <si>
    <t>ghost userId -&amp;gt; HTTP 200 with 0 rows (expected 404); malformed userId -&amp;gt; HTTP 200 with 0 rows (expected 400). Path param ignored -&amp;gt; a non-existent member reads as one that simply has no records; the same call returns ANOTHER member's deals when there ARE any (see BUG-API-023 / _003) = cross-member data disclosure risk.</t>
  </si>
  <si>
    <t>FAIL test_partner_api_partner_team_004 (run 2026-09-28): 'Validation gaps on /v1/partner/directory/users/{userId}/{deals,commissions}: ghost userId answered 200 with 0 rows, expected 404 - the path parameter is ignored (BUG-API-023); malformed userId answered 200 with 0 rows, expected 400.'</t>
  </si>
  <si>
    <t>PASSED — verified 2026-06-30. POST /v1/sa/partners {name, email, type (channel|referral|msp|system_integrator)} → HTTP 201 / body statusCode 200; server assigns _id + code (PAR-xxxxxx); fields echoed; status='pending'; retrievable by id. Cleanup via DELETE /v1/sa/partners/{id}. Negative in _012; duplicate in _021.</t>
  </si>
  <si>
    <t>Negative counterpart of BUG-API-023 (2061403) - SAME root cause: GET /directory/users/{userId}/{deals,commissions} ignores the path param. Fix together with BUG-API-022/023.</t>
  </si>
  <si>
    <t>Verify that an SA user can create an internal partner via POST /v1/sa/partners. With the required fields (name, email, type) the API returns HTTP 201, persists the record with a server-assigned id and code, echoes back the submitted fields unchanged, and creates the account in "pending" status (awaiting SA activation). The created partner must be retrievable by id immediately after creation.</t>
  </si>
  <si>
    <t>BUG-API-033</t>
  </si>
  <si>
    <t>**Setup (precondition):** build a unique partner payload (name/email/type='channel'); cleanup (DELETE) is registered right after creation.
**Test Steps:**
1. POST /v1/sa/partners (create the partner).
   → Expected: request sent.
2. Verify the create-partner contract (accepted + persisted).
   → Expected: HTTP 201 (envelope statusCode 200); success message; server-assigned _id and a generated `code` (PAR-xxxxxx).
3. Verify the created record matches the request.
   → Expected: stored name/email/type == sent (no silent mutation).
4. Verify the new partner starts in 'pending' status.
   → Expected: status == 'pending' (awaits SA activation).
5. Verify the partner is retrievable (GET /v1/sa/partners/{id}).
   → Expected: same partner returned, still 'pending'.
**Teardown:** delete the created partner.
**Expected (overall):** Pending partner created, persisted, retrievable.</t>
  </si>
  <si>
    <t>Winning a deal never provisions a tenant on staging. After a successful win (status=won, message 'tenant provisioning kicked off'), the async provision chain never completes: provisioningState stays 'awaited', wonTenantId and goLiveAt are never stamped. Across ALL staging deals byProvisioningState.resolved=0 (won=262, overdue=117, awaited=3) — i.e. 0/262 won deals have ever provisioned.</t>
  </si>
  <si>
    <t>After win, the event-driven chain (blazeup.partner.deal.won -&amp;gt; ms-sa-partners -&amp;gt; SA /internal/tenants/provision -&amp;gt; blazeup.tenant.provisioned) completes within a bounded time: wonTenantId + goLiveAt stamped on the WON deal, provisioningState -&amp;gt; resolved, tenant appears in SA Tenant Management, admin creds email sent. (PRD v1.8 §7.1 Referral Close -&amp;gt; Provision Flow; partner_requirement §7.1 BE=Done.)</t>
  </si>
  <si>
    <t>Deal _id 6a44cd20ce54e808583cf38c (UI 583CF38C, reseller) won 2026-10-01 09:21:04Z. GET /v1/sa/deals/{id}: provisioningState='awaited', wonTenantId=null, goLiveAt=null; updatedAt frozen = closedAt (09:21:04Z) even 15+ min later -&amp;gt; nothing written to the deal after win. GET /v1/sa/deals/stats byProvisioningState = {awaited:3, overdue:117, resolved:0, legacy_unknown:0}, won=262.</t>
  </si>
  <si>
    <t>GET /v1/sa/deals/{id} + GET /v1/sa/deals/stats, staging 2026-10-01, BE v26.9. approve+win both succeed via API (approve needs plan catalog _id; win needs adminPhoneNumber{number,countryCode}). TCs PARTNER_API_TENANT_PROVISIONING_ATTRIBUTION_002 and _007 BLOCKED on this. Polled 95s + re-checked 15min: no change.</t>
  </si>
  <si>
    <t>Raised at Khoa's (BE) request. BLOCKER for the entire commission test group (A/B/C): provisioning is upstream of billing/payment/accrual, so commission cannot be reached until this is fixed (goLiveAt is required for the accrual eligibility window). partner_requirement §7.1 marked BE=Done but no deal provisions on staging -&amp;gt; the provisioning worker (deal.won consumer -&amp;gt; /internal/tenants/provision -&amp;gt; the tenant.provisioned consumer that stamps wonTenantId/goLiveAt) appears not running/deployed on staging. No public endpoint exists to trigger provision manually; /v1/sa/deals/{id}/link-tenant only links an already-provisioned tenant.</t>
  </si>
  <si>
    <t>BUG-API-034</t>
  </si>
  <si>
    <t>PARTNER_API_TERRITORIES_013</t>
  </si>
  <si>
    <t>list territories invalid filter/pagination - rejected (4xx, never 5xx).</t>
  </si>
  <si>
    <t>CHECK page=0 → FAIL (status=400, msg="['page must not be less than 1']")</t>
  </si>
  <si>
    <t>CLOSED 2026-10-08 - NOT A DEFECT (invalid). BE behavior is correct: page=0/page=-1 -&amp;gt; 400 "page must not be less than 1". The TC failed only because the test asserted a stale expected-message hint ("non-negative"); status 400 already matched. Auto-logged by AI Triage on 2026-10-05 when the BE FIXED pagination validation and the old hint stopped matching. Test hint corrected to "must not be less than 1" (2026-10-08); TC now PASSES.</t>
  </si>
  <si>
    <t>§5.1, §8.3, §12.1 B2</t>
  </si>
  <si>
    <t>BUG-API-035</t>
  </si>
  <si>
    <t>PARTNER_API_CERTIFICATIONS_SA_014</t>
  </si>
  <si>
    <t>PASSED — verified 2026-06-30. POST /v1/sa/partners/{id}/approve (no body) → 201/200; status pending→active; stamps approvedAt + approvedBy; persists (GET). Activation-user provisioning is a downstream event (out of scope). Negative in _013.</t>
  </si>
  <si>
    <t>Validate the partner-approval state transition on POST /v1/sa/partners/{id}/approve. Approving a pending partner must return HTTP 201, transition status from "pending" to "active", and record the approval event metadata (approvedAt + approvedBy). The transition must persist (confirmed by a follow-up GET). A pending partner is created as the precondition and removed on teardown so the test is self-contained and repeatable.</t>
  </si>
  <si>
    <t>list SA certifications invalid filter/pagination - rejected (4xx, never 5xx).</t>
  </si>
  <si>
    <t>**Setup (precondition):** SA creates a PENDING partner (assert it starts 'pending').
**Test Steps:**
1. POST /v1/sa/partners/{id}/approve.
   → Expected: request sent.
2. Verify the approve call is accepted.
   → Expected: HTTP 201 (envelope statusCode 200); success message; acts on the same partner id.
3. Verify status flipped to 'active' and the approval event is recorded.
   → Expected: status 'active'; approvedAt set; approvedBy present.
4. Verify the active status persisted (GET /v1/sa/partners/{id}).
   → Expected: fetched partner status 'active'.
**Teardown:** delete the partner.
**Expected (overall):** Pending partner approved to active with approval metadata; downstream activation-user is event-driven (out of scope). Negative/illegal-state counterpart is _013.</t>
  </si>
  <si>
    <t>BUG-API-036</t>
  </si>
  <si>
    <t>PARTNER_API_PARTNER_USERS_011</t>
  </si>
  <si>
    <t>list partner-users invalid pagination/filter - graceful, never 5xx.</t>
  </si>
  <si>
    <t>POST - Partner deactivate/suspend - Mandatory reason is audit logged</t>
  </si>
  <si>
    <t>BUG-API-037</t>
  </si>
  <si>
    <t>POST create internal partner - a pending account is created.</t>
  </si>
  <si>
    <t>status (201,)</t>
  </si>
  <si>
    <t>400: {"statusCode":400,"message":"The requester cannot be an approver on their own request","error":"Bad Request","timestamp":"2026-10-05T09:26:43.400Z","pat</t>
  </si>
  <si>
    <t>FAIL | [1/5] Call API: POST /v1/sa/partners (create 'QA-AUTO Obrien, Burton and Grant') (393ms) -- AssertionError: Expected status (201,), got 400: {"statusCode":400,"message":"The requester cannot be an approver on their own request","error":"Bad Request","timestamp":"2026-10-05T09:26:43.400Z","pat</t>
  </si>
  <si>
    <t>PASSED — re-verified 2026-06-30. Decline via POST /v1/sa/partners/{id}/deactivate (no dedicated decline endpoint; only partner action carrying 'reason'): status pending→suspended; reason stored in internalNotes + audit log (action=partner.account.deactivated, before/after + hash-chain). BE NOW ENFORCES mandatory reason — empty/whitespace reason → 400 "reason should not be empty" (earlier gap fixed). (Plan says PATCH; BE is POST /deactivate.) Negative in _014.</t>
  </si>
  <si>
    <t>BUG-API-038</t>
  </si>
  <si>
    <t xml:space="preserve"> Decline/suspend a partner via POST /v1/sa/partners/{id}/deactivate (the only partner action carrying a reason); reason is mandatory and audit-logged</t>
  </si>
  <si>
    <t>POST partner approve - activation + approval event are created.</t>
  </si>
  <si>
    <t>**Setup (precondition):** SA creates a PENDING partner; build a unique decline reason (findable in the audit log).
**Test Steps:**
1. Decline the partner WITH a reason.
   → Expected: accepted; status leaves pending/active (→ 'suspended').
2. Verify the decline reason is recorded in the audit log (GET /v1/sa/audit-logs, retry up to 3× for eventual consistency).
   → Expected: an audit entry contains the unique reason.
3. Enforce mandatory reason: decline three fresh partners with an absent / empty / whitespace-only reason.
   → Expected: each rejected with 400/422 (reason mandatory + non-empty).
**Teardown:** delete the created partners.
**Expected (overall):** Decline works, the reason is audit-logged, and a mandatory non-empty reason is enforced.</t>
  </si>
  <si>
    <t>BUG-API-039</t>
  </si>
  <si>
    <t>register a partner deal - deal is created (registered).</t>
  </si>
  <si>
    <t>BUG-API-040</t>
  </si>
  <si>
    <t>internal deal approve - approved + rate/rate-table version stamped.</t>
  </si>
  <si>
    <t>§2.1, §8.3</t>
  </si>
  <si>
    <t>PASSED — verified 2026-06-30. POST /v1/sa/partners/{id}/upgrade-tier {tier (registered|select|advanced|premier), reason?} → 201/200; updates stored tier + emits 'partner.tier.changed' (before/after + reason). Covers upgrade through all tiers + downgrade (premier→select); persists. Portal/analytics refresh = downstream consumer (out of scope). Negative in _015.</t>
  </si>
  <si>
    <t>BUG-API-041</t>
  </si>
  <si>
    <t>Tier change on POST /v1/sa/partners/{id}/upgrade-tier updates the stored tier AND emits a partner.tier.changed event (before/after) — the portal/analytics refresh signal. Covers both upgrade and downgrade.</t>
  </si>
  <si>
    <t>**Setup (precondition):** SA creates a partner (assert tier defaults to 'registered').
**Test Steps:**
1. Upgrade through all tiers: registered→select→advanced→premier (three upgrade-tier calls, each with a reason).
   → Expected: each HTTP 200; stored tier becomes select, then advanced, then premier.
2. Verify the upgrade event is recorded with before/after + reason.
   → Expected: a partner.tier.changed event for advanced→premier (before='advanced', after='premier') carrying the change reason.
3. Downgrade premier→select emits an event.
   → Expected: HTTP 200, tier 'select'; a partner.tier.changed event records before='premier', after='select'.
4. Verify the final tier persisted (GET /v1/sa/partners/{id}).
   → Expected: fetched tier == 'select'.
**Teardown:** delete the partner.
**Expected (overall):** Tier changes (up and down) update the stored tier and publish a before/after event; portal/analytics refresh is a downstream consumer (out of scope).</t>
  </si>
  <si>
    <t>SA marks an approved deal as won - status 'won' + provisioning/commission events emitted.</t>
  </si>
  <si>
    <t>2.1</t>
  </si>
  <si>
    <t>GET /v1/partner/portal/clients/:id returns 404 for a MALFORMED (non-ObjectId) id instead of 400. The route skips id-format validation and treats a malformed id as 'not found', inconsistent with the SA :id routes.</t>
  </si>
  <si>
    <t>A malformed (non-ObjectId) path id is rejected with 400 'Invalid id' (format validated before the existence/ownership check), consistent with /sa/partners/:id and the deal :id routes. A 400 for a malformed id does NOT weaken the no-existence-oracle property, which only requires ghost == foreign == 404.</t>
  </si>
  <si>
    <t>GET /v1/partner/portal/clients/not-an-id -&amp;gt; 404 'Client not-an-id not found' (staging 2026-10-06). A well-formed ghost id and a real foreign id both correctly return 404; only the malformed-id case is wrong (should be 400).</t>
  </si>
  <si>
    <t>PARTNER_API_CLIENT_HEALTH_MSP_010 step [3/5], staging 2026-10-06 (run_20261006_134511). Rest of the TC passes (ghost-&amp;gt;404, foreign-&amp;gt;404 identical no-oracle, pagination limit=-1/0 &amp;amp; page=abc-&amp;gt;400). -- [3/5] a malformed attribution id answered 404, expected 400</t>
  </si>
  <si>
    <t>Split from BUG-API-027 (pagination limit=0/page=abc -&amp;gt; 200), which is now FIXED (limit=0 -&amp;gt; 400) -&amp;gt; close BUG-API-027. This is the DISTINCT remaining cause on the same TC (2061510), surfaced by the triage 'signature changed' detection. Low severity: no data leak, no crash -- a status-code/contract inconsistency only (should mirror the SA endpoints' 400 'Invalid id'). Confirm with BE whether portal /clients/:id should validate id format (400) or intentionally returns 404 uniformly.</t>
  </si>
  <si>
    <t>§2.2, §7.2, §11</t>
  </si>
  <si>
    <t>POST /v1/sa/deals/{id}/win is UNCALLABLE: billingCycle case mismatch between WinDealDto (lowercase monthly|annual) and the downstream provisioning intake (UPPERCASE MONTHLY|ANNUAL). No value satisfies both validators, so an approved deal can no longer be won at all.</t>
  </si>
  <si>
    <t>ASSED. Reseller sell price enforcement / data-minimization: register reseller deal + end-client pricing (endClientPrice/sellPrice/resellerMarginCents) → 201, BE strips them (not stored), GET confirms. Same mechanism as SECURITY_COMPLIANCE_002. _016 is a cross-ref (same assertion). Happy-path reseller register = DEAL_202; idempotency N/A.</t>
  </si>
  <si>
    <t>Reseller sell price: registering a reseller deal with end-client pricing fields must not persist them (BlazeUp does not store the reseller's end-client price).</t>
  </si>
  <si>
    <t>Winning an approved deal with the DTO-documented billingCycle ('annual') returns 201 and status 'won' — the BE normalizes/maps the value when building the provisioning intake (e.g. toUpperCase), or the two enums use the same casing.</t>
  </si>
  <si>
    <t>billingCycle='annual' -&amp;gt; 400 'Tenant provisioning failed: [INVALID_PAYLOAD] intake.billingCycle: billingCycle must be one of the following values: MONTHLY, ANNUAL'. billingCycle='ANNUAL' -&amp;gt; 400 'billingCycle must be one of the following values: monthly, annual' (WinDealDto refuses it before provisioning). Both verified on staging 2026-10-06.</t>
  </si>
  <si>
    <t>PARTNER_API_TENANT_PROVISIONING_ATTRIBUTION_002 step [1/4], staging 2026-10-06 (run_20261006_154346). Sending 'ANNUAL' instead is refused by WinDealDto itself: 400 ['billingCycle must be one of the following values: monthly, annual'] (run_20261006_155040), so no value satisfies both validators. FAIL | [1/4] Mark the approved deal as won (win intake incl. required adminPhoneNumber) -&amp;gt; status 'won' (321ms) -- AssertionError: Expected status (201,), got 400: {"statusCode":400,"message":"Tenant provisioning failed: [INVALID_PAYLOAD] intake.billingCycle: billingCycle must be one of the following values: MONTHLY, ANNUAL","error":"Tenant provisioning failed: [INVALID_PAYLOAD] intake.billingCycle: billingCycle must be one of the following values: MONTHLY, ANNUAL","timestamp":"2026-10-06T08:43:53.300Z","path":"/sa-partners-api/v1/sa/deals/6ac4b4c8d1eeecba2e946c97/win"}</t>
  </si>
  <si>
    <t>**Setup (precondition):** SA creates a partner; pick a plan; build a RESELLER deal payload that injects end-client pricing fields (endClientPrice, sellPrice, resellerMarginCents — none defined on CreateDealDto).
**Test Steps:**
1. Register the reseller deal (with the end-client pricing fields).
   → Expected: accepted (HTTP 201, envelope statusCode 200) + server-assigned id; dealType == 'reseller'. The BE accepts + strips (does not reject).
2. Verify the create response stores NONE of the end-client-price fields.
   → Expected: endClientPrice / sellPrice / resellerMarginCents absent from the stored deal.
3. Verify a follow-up GET confirms the end-client price is not stored.
   → Expected: GET /v1/sa/deals/{id} returns none of those fields.
**Teardown:** delete the parent partner.
**Expected (overall):** The reseller's end-client price is not persisted (enforced / data-minimized) — the requirement is precisely that BlazeUp does NOT store it.</t>
  </si>
  <si>
    <t>REGRESSION: win returned 201 and reached status 'won' on 2026-10-02 (same TC). The BE has since wired the provisioning call into /win and now surfaces its INVALID_PAYLOAD, but the two enums disagree on case. BLOCKS the whole won -&amp;gt; provision -&amp;gt; bill -&amp;gt; commission chain, and blocks re-verifying BUG-API-033 (provisioning never completes) because win can no longer succeed. Also note register stores billingCycle lowercase ('annual'), so the lowercase form is the one the deal itself carries. Fix: normalize the value when mapping WinDealDto -&amp;gt; provisioning intake, or align the enums. Surfaced by the triage 'signature changed' detection (the old BUG-API-033 cause no longer reproduces).</t>
  </si>
  <si>
    <t>BUG-API-044</t>
  </si>
  <si>
    <t>register deal invalid/missing fields - rejected with 400.</t>
  </si>
  <si>
    <t>CHECK ghost planId (verified absent above) → FAIL (status=403, msg='Partner account is not active')</t>
  </si>
  <si>
    <t>BLOCKED — depends on the quarterly tier-calculation job (_007). The "downgrade grace quarter" rule (partner keeps current-tier benefits during grace) is applied by that scheduled job; no API to set the clock/quarter or trigger evaluation → not API-automatable. Negative pair = _018.</t>
  </si>
  <si>
    <t>Validate the backend/API contract for quarterly tier calculation so that upgrade immediate and downgrade grace are applied. Scope covers request authorization, input/fixture setup, response or job outcome, persistence side effects, emitted events/audit where applicable, and PRD coverage §2.1, §8.3. Out of scope: visual rendering and manual browser navigation.</t>
  </si>
  <si>
    <t>1. Prepare API fixtures, auth token/role, and partner/deal/client records required for: Quarterly tier calculation.
2. Execute scheduled job against the relevant partner API endpoint, scheduled job, or event consumer with the payload or clock/event state for this case.
3. Assert transport result, status code, and response schema match the contract.
4. Verify that upgrade immediate and downgrade grace are applied in persistence, cache, emitted event, ledger, audit log, or downstream CRM state as applicable.
5. Confirm isolation/security expectations from §2.1, §8.3: no cross-partner data leakage and no unintended side effects.</t>
  </si>
  <si>
    <t>§2.1</t>
  </si>
  <si>
    <t>[BLOCKED — NO API TRIGGER 2026-06-17] Depends on the quarterly tier-calculation job (_007): the "downgrade grace quarter" rule (partner keeps current-tier benefits during the grace period) is applied by that scheduled job, not a callable endpoint. No API to set the clock/quarter or trigger the grace evaluation → not API-automatable. BE unit/integration test territory. Confirm with BE.</t>
  </si>
  <si>
    <t>Validate the backend/API contract for downgrade grace quarter so that partner retains current-tier benefits during grace. Scope covers request authorization, input/fixture setup, response or job outcome, persistence side effects, emitted events/audit where applicable, and PRD coverage §2.1. Out of scope: visual rendering and manual browser navigation.</t>
  </si>
  <si>
    <t>1. Prepare API fixtures, auth token/role, and partner/deal/client records required for: Downgrade grace quarter.
2. Execute Enforce against the relevant partner API endpoint, scheduled job, or event consumer with the payload or clock/event state for this case.
3. Assert transport result, status code, and response schema match the contract.
4. Verify that partner retains current-tier benefits during grace in persistence, cache, emitted event, ledger, audit log, or downstream CRM state as applicable.
5. Confirm isolation/security expectations from §2.1: no cross-partner data leakage and no unintended side effects.</t>
  </si>
  <si>
    <t>PARTNER_API_PARTNER_ACCOUNT_MANAGEMENT_009</t>
  </si>
  <si>
    <t>Calculate - Premier PSM allocation - Dedicated PSM starts at $1.5M ARR</t>
  </si>
  <si>
    <t>§2.1, §11</t>
  </si>
  <si>
    <t>BLOCKED — no API (all 11 specs, 2026-06-17): 0 endpoint/field for PSM allocation or ARR thresholds. "$1.5M ARR → dedicated PSM" is an internal calc not exposed → not automatable. Confirm with product/BE where this lives. Negative pair = _019.</t>
  </si>
  <si>
    <t>Validate the backend/API contract for premier psm allocation so that dedicated psm starts at $1.5m arr. Scope covers request authorization, input/fixture setup, response or job outcome, persistence side effects, emitted events/audit where applicable, and PRD coverage §2.1, §11. Out of scope: visual rendering and manual browser navigation.</t>
  </si>
  <si>
    <t>1. Prepare API fixtures, auth token/role, and partner/deal/client records required for: Premier PSM allocation.
2. Execute Calculate against the relevant partner API endpoint, scheduled job, or event consumer with the payload or clock/event state for this case.
3. Assert transport result, status code, and response schema match the contract.
4. Verify that dedicated psm starts at $1.5m arr in persistence, cache, emitted event, ledger, audit log, or downstream CRM state as applicable.
5. Confirm isolation/security expectations from §2.1, §11: no cross-partner data leakage and no unintended side effects.</t>
  </si>
  <si>
    <t>PARTNER_API_PARTNER_ACCOUNT_MANAGEMENT_010</t>
  </si>
  <si>
    <t>Publish - Certification earned - Tier qualification re-evaluation is triggered</t>
  </si>
  <si>
    <t>PASSED — verified 2026-06-30. POST /v1/sa/partner-users/{userId}/certifications {certificationType (sales_certified|hr_specialist|crm_specialist|implementation_certified), score?, externalCertId?} → cert status 'active' + earnedAt/expiresAt, appears in the user's cert list, emits 'partner.certification.granted'. Needs a partner + invited partner-user. Tier re-evaluation = downstream (out of scope). Negative in _020; re-grant idempotency in _022.</t>
  </si>
  <si>
    <t>Verify granting a certification to a partner user creates an active certification (earnedAt/expiresAt), surfaces it in the partner's certification list, and emits a "partner.certification.granted" event — the "certification earned" signal that triggers downstream tier-qualification re-evaluation. The re-evaluation itself is a downstream consumer/job and is out of scope.</t>
  </si>
  <si>
    <t>**Setup (precondition):** SA creates a partner + invites a portal user (capture userId).
**Test Steps:**
1. Grant the certification (sales_certified, score=95) — certification earned.
   → Expected: HTTP 200 (envelope statusCode 200); status 'active'; earnedAt + expiresAt set; certificationType echoed.
2. Verify the cert appears in the partner's certification list (GET /v1/sa/partners/{partnerId}/certifications).
   → Expected: the granted cert appears and belongs to the invited user.
3. Verify a 'partner.certification.granted' event is recorded (GET /v1/sa/audit-logs, retry up to 3×).
   → Expected: an event records the cert type for that user.
**Teardown:** delete the parent partner.
**Expected (overall):** Certification earned, listed, and event published; tier re-evaluation is downstream (out of scope).</t>
  </si>
  <si>
    <t>2.4</t>
  </si>
  <si>
    <t>PARTNER_API_PARTNER_ACCOUNT_MANAGEMENT_011</t>
  </si>
  <si>
    <t>GET - Internal partners list with invalid pagination - Graceful 4xx, never 5xx</t>
  </si>
  <si>
    <t>PASSED — re-verified 2026-06-30. Negative of _001. GET /v1/sa/partners with invalid pagination now handled gracefully (earlier 500 crash FIXED): page=0 / page=-1 → 400 "page must not be less than 1"; limit&lt;1 → 400; limit&gt;100 → 400 "must not be greater than 100"; page=abc → 400. Never 5xx.</t>
  </si>
  <si>
    <t>Negative counterpart of _001 (GET list): invalid pagination is validated by the BE and rejected with 4xx (never 5xx). All cases run (failures collected).</t>
  </si>
  <si>
    <t>**Test Steps:** (each case = one GET /v1/sa/partners with invalid pagination)
1. page=0 → **4xx** (rejected), never 5xx.
2. page=-1 → **4xx** (rejected), never 5xx.
3. limit=-5 → **4xx** (rejected), never 5xx.
4. limit=999999 (over max) → **4xx** (rejected), never 5xx.
5. page=abc (non-numeric) → **4xx** (rejected), never 5xx.
**Expected (overall):** Every invalid pagination param is rejected with 4xx and never crashes the endpoint (5xx).</t>
  </si>
  <si>
    <t>PARTNER_API_PARTNER_ACCOUNT_MANAGEMENT_012</t>
  </si>
  <si>
    <t>Validate - Create partner with invalid/missing fields - 400 response includes field errors</t>
  </si>
  <si>
    <t>PASSED — verified 2026-06-30. Negative of _002. POST /v1/sa/partners requires name, email, type (enum channel|referral|msp|system_integrator). Each invalid/incomplete payload → 400 + field-level message, no partner persisted: missing name / missing email / missing type, malformed email, empty name, out-of-enum type. BE enforces CreatePartnerDto before writing.</t>
  </si>
  <si>
    <t>Negative counterpart of _002 (create): every invalid/incomplete payload is rejected with 400 + a field-level error naming the offending field, and creates NO record. All cases run (failures collected).</t>
  </si>
  <si>
    <t>**Test Steps:** (each case = one POST /v1/sa/partners with the field under test broken)
1. Missing name → **400**, error mentions "name", no record.
2. Missing email → **400**, error mentions "email", no record.
3. Missing type → **400**, error mentions "type", no record.
4. Malformed email ('not-an-email') → **400**, error mentions "email", no record.
5. Empty name ('') → **400**, error mentions "name", no record.
6. Invalid type enum ('foobar') → **400**, error mentions "type", no record.
**Expected (overall):** Every invalid create payload is rejected with 400, a field-level message, and no record persisted.</t>
  </si>
  <si>
    <t>POST - Partner approve illegal target - Rejected with a clear error</t>
  </si>
  <si>
    <t>FAILED (by design / `be_gap`, excluded from merge gate; tracked in Bug_Tracker). Gap (case 1): a well-formed non-existent partner id returns **400** ("not found") instead of **404** — same root cause as the deals get-by-id gap. Cases 2 &amp; 3 are correct. Confirm with BE.</t>
  </si>
  <si>
    <t>Negative counterpart of _003 (approve): three illegal approve targets, each rejected with its own code + a clear message. All cases run (failures collected).</t>
  </si>
  <si>
    <t>**Setup (precondition):** SA creates + approves a partner so it is already 'active' (target for the illegal-transition case).
**Test Steps:** (each case = one POST /v1/sa/partners/{id}/approve)
1. Ghost id (well-formed but non-existent, 000000000000000000000000) → expected **404** Not Found, message "not found". **Currently FAILS** — BE returns 400.
2. Malformed id ('not-an-id') → **400** Bad Request, message "invalid id".
3. Already-active partner (illegal transition) → **400** 'cannot be approved' (409 Conflict would be more precise, but 400 is accepted).
**Teardown:** delete the partner.
**Expected (overall):** Non-existent id → 404; malformed id → 400; illegal transition → 400/409. Never 5xx.</t>
  </si>
  <si>
    <t>POST - Partner deactivate invalid id - Rejected; repeat is idempotent</t>
  </si>
  <si>
    <t>FAILED (by design / `be_gap`, excluded from merge gate; tracked in Bug_Tracker). Gap (case 1): a well-formed non-existent partner id returns **400** ("not found") instead of **404** — same root cause as the deals get-by-id gap. Case 2 and the idempotency observation are correct. Confirm with BE.</t>
  </si>
  <si>
    <t>Negative counterpart of _004 (deactivate): invalid id rejected with the correct code; a repeat deactivate is idempotent. All invalid-id cases run (failures collected).</t>
  </si>
  <si>
    <t>**Test Steps:** (cases 1–2 = POST /v1/sa/partners/{id}/deactivate on a bad id)
1. Ghost id (well-formed but non-existent, 000000000000000000000000) → expected **404** Not Found, message "not found". **Currently FAILS** — BE returns 400.
2. Malformed id ('not-an-id') → **400** Bad Request, message "invalid id".
3. Idempotency: create a partner, deactivate it, then deactivate again.
   → Expected: never 5xx; stays 'suspended' (idempotent no-op, currently 201).
**Teardown:** delete the created partners.
**Expected (overall):** Non-existent id → 404; malformed id → 400; repeat deactivate is an idempotent no-op (never 5xx).</t>
  </si>
  <si>
    <t>POST - Partner change-tier invalid input - Rejected with a clear error</t>
  </si>
  <si>
    <t xml:space="preserve">FAILED (by design / `be_gap`, excluded from merge gate; tracked in Bug_Tracker). Gap (case 6): a well-formed non-existent partner id returns **400** ("not found") instead of **404** — same root cause as the deals get-by-id gap. Cases 1–5 are correct. Confirm with BE.
</t>
  </si>
  <si>
    <t>Negative counterpart of _005 (tier change): six invalid inputs, each rejected with its own code + a clear message (no event emitted). All cases run (failures collected).</t>
  </si>
  <si>
    <t>**Setup (precondition):** SA creates a partner (tier 'registered') as the valid-id target.
**Test Steps:** (each case = one POST /v1/sa/partners/{id}/upgrade-tier)
1. Invalid tier enum ('silver') → **400** 'tier must be one of'.
2. Empty tier ('') → **400** 'tier must be one of'.
3. Missing tier (no field) → **400** 'tier must be one of'.
4. Same tier (already at 'registered') → **400** 'already at tier'.
5. Malformed id ('not-an-id') → **400** 'invalid id'.
6. Ghost id (well-formed but non-existent, 000000000000000000000000) → expected **404** Not Found, message "not found". **Currently FAILS** — BE returns 400.
**Teardown:** delete the partner.
**Expected (overall):** Validation / same-tier / malformed → 400; non-existent id → 404. Never 5xx.</t>
  </si>
  <si>
    <t>PARTNER_API_PARTNER_ACCOUNT_MANAGEMENT_016</t>
  </si>
  <si>
    <t xml:space="preserve">PASSED. Negative/update-path counterpart of _006 (register path). UpdateDealDto's editable whitelist (dealType/prospectEmail/prospectPhone/estimatedAcvCents/planId/expectedCloseDate/notes/wonTenantId) has no end-client price field, so it is stripped or the update is rejected.
</t>
  </si>
  <si>
    <t>Negative counterpart of _006 (same enforcement — BlazeUp does not store the reseller's end-client price) via the UPDATE/PATCH entry point: the end-client price cannot be SET on an open reseller deal.</t>
  </si>
  <si>
    <t>**Setup (precondition):** SA creates a partner; pick a plan; register a RESELLER deal (open / editable).
**Test Steps:**
1. Update the deal with a valid editable field (notes) + end-client price fields (PATCH /v1/sa/deals/{id}).
   → Expected: HTTP 200; the valid field (notes) is applied; endClientPrice/sellPrice/resellerMarginCents are stripped (not persisted).
2. Update with ONLY end-client price fields (no editable field).
   → Expected: HTTP 400 "No editable fields provided" — the end-client price is not a recognized editable field.
3. Verify via GET.
   → Expected: the notes update persisted; no end-client price fields stored.
**Teardown:** delete the parent partner.
**Expected (overall):** The reseller's end-client price cannot be set via update — stripped when mixed with a valid field, rejected (400) when sent alone. Never persisted.</t>
  </si>
  <si>
    <t>PARTNER_API_PARTNER_ACCOUNT_MANAGEMENT_017</t>
  </si>
  <si>
    <t>JOB - Quarterly tier calculation - Upgrade immediate, downgrade deferred to next quarter</t>
  </si>
  <si>
    <t>BLOCKED — scheduled quarterly tier-recalc JOB, no manual-trigger endpoint → not API-automatable. Negative companion of _007. Manual tier change covered by _005.</t>
  </si>
  <si>
    <t>Negative-pair of _007 (BLOCKED). Quarterly tier-calculation job (upgrade immediate, downgrade deferred). No manual-trigger endpoint → not API-automatable. See Q.</t>
  </si>
  <si>
    <t>PARTNER_API_PARTNER_ACCOUNT_MANAGEMENT_018</t>
  </si>
  <si>
    <t>BLOCKED — depends on the quarterly job (_017); "downgrade grace quarter" is applied by the job with no API to trigger/set the clock. Negative companion of _008.</t>
  </si>
  <si>
    <t>BLOCKED. "Downgrade grace quarter" is applied by the quarterly job (_017); no API to trigger/set the clock → not API-automatable. See Q.</t>
  </si>
  <si>
    <t>PARTNER_API_PARTNER_ACCOUNT_MANAGEMENT_019</t>
  </si>
  <si>
    <t>BLOCKED. Premier PSM allocation ($1.5M ARR → dedicated PSM) is an internal calc with no API/field exposed. See Q.</t>
  </si>
  <si>
    <t>POST - Grant certification invalid input - Rejected with a clear error</t>
  </si>
  <si>
    <t>FAILED (by design / `be_gap`, excluded from merge gate; tracked in Bug_Tracker). Gap (case 4): a well-formed non-existent userId returns</t>
  </si>
  <si>
    <t>Negative counterpart of _010 (grant certification): four invalid inputs, each rejected with its own code + a clear message. All cases run (failures collected).</t>
  </si>
  <si>
    <t>**Setup (precondition):** SA creates a partner + invites a portal user (capture the valid userId).
**Test Steps:** (each case = one POST /v1/sa/partner-users/{userId}/certifications)
1. Invalid cert type ('ninja') → **400** 'certificationType must be one of'.
2. Missing cert type → **400** 'certificationType must be one of'.
3. Malformed userId ('not-an-id') → **400** 'invalid id'.
4. Ghost userId (well-formed but non-existent, 000000000000000000000000) → expected **404** Not Found, message "not found". **Currently FAILS** — BE returns 400 ("User 000… not found").
**Teardown:** delete the parent partner.
**Expected (overall):** Validation / malformed → 400; non-existent userId → 404. Never 5xx.</t>
  </si>
  <si>
    <t>PARTNER_API_PARTNER_ACCOUNT_MANAGEMENT_021</t>
  </si>
  <si>
    <t>POST - Create duplicate partner (same email) - Rejected with 400, no second account</t>
  </si>
  <si>
    <t xml:space="preserve">	§5.1, §8.5</t>
  </si>
  <si>
    <t>PASSED — verified 2026-06-30 (orig 2026-06-23). Idempotency/duplicate of _002. POST /v1/sa/partners with an already-used email → 400 "A partner with email ... already exists"; no second account created.</t>
  </si>
  <si>
    <t>Idempotency/duplicate counterpart of _002 (create): creating a partner with the same email twice is rejected (no second account).</t>
  </si>
  <si>
    <t>**Setup (precondition):** SA creates a partner with a unique email (the payload is reused for the duplicate attempt).
**Test Steps:**
1. Re-create with the SAME email → 400 duplicate.
   → Expected: HTTP 400, message contains "already exists".
2. Verify no second account was created (inspect the rejected response body).
   → Expected: no new partner id (or same id) — no duplicate account.
**Teardown:** delete the created partner.
**Expected (overall):** Same-email duplicate is a hard 400 reject; no duplicate partner account.</t>
  </si>
  <si>
    <t>POST - Re-grant same certification - Must not duplicate (idempotent or 409)</t>
  </si>
  <si>
    <t>PASSED. Negative (invalid pagination/filter) counterpart is _011.</t>
  </si>
  <si>
    <t>Idempotency/duplicate counterpart of _010 (certification earned): re-granting the same certification type to the same user must not create a duplicate (renew or 409).</t>
  </si>
  <si>
    <t>**Setup (precondition):** SA creates a partner + invites a portal user (capture userId).
**Test Steps:**
1. Grant 'sales_certified' (first time).
   → Expected: cert 'active'.
2. Re-grant the SAME certification type.
   → Expected: a defined outcome — renew (2xx) or reject (409).
3. Verify the user does NOT end up with a duplicate active cert (list the partner's certifications).
   → Expected: exactly 1 'sales_certified' cert. **Currently FAILS** — the list shows 2.
**Teardown:** delete the parent partner.
**Expected (overall):** Re-grant must not duplicate an active cert of the same type.</t>
  </si>
  <si>
    <t>PARTNER_API_PARTNER_ACCOUNT_MANAGEMENT_023</t>
  </si>
  <si>
    <t>PATCH - SA updates a partner - Every declared field is stored and re-PATCH is idempotent</t>
  </si>
  <si>
    <t>§8.5, §5.1</t>
  </si>
  <si>
    <t>PASSED. Read-back is the point: asserting only the PATCH response would pass even if nothing were stored.</t>
  </si>
  <si>
    <t>SA updates a partner: PATCH /sa-partners-api/v1/sa/partners/{id} stores every field UpdatePartnerDto accepts, proven by reading the partner back rather than trusting the write response.</t>
  </si>
  <si>
    <t>**Setup (precondition):** A partner exists — created through the `seeded_partner` fixture so the DELETE is registered before any assert.
**Test Steps:**
1. PATCH the partner with 6 fields (name, legalName, website, taxId, internalNotes, type).
   → Expected: HTTP 200; the response `_id` is the partner asked for.
2. GET the partner back.
   → Expected: all 6 fields hold exactly what was sent; `type` is within the enum (channel|referral|msp|system_integrator).
3. Verify the record is well-formed.
   → Expected: _id/code/email/status/tier present; no password/token/secret/credential key.
4. Repeat the identical PATCH.
   → Expected: idempotent — an update, not a create, so the record is unchanged.
**Teardown:** the fixture deletes the partner.
**Expected (overall):** every declared field persists, and repeating the same update changes nothing.</t>
  </si>
  <si>
    <t>PATCH - SA partner update invalid - Rejected; identifiers and status not writable</t>
  </si>
  <si>
    <t>FAILED by design at step 4 — **BUG-API-024**, three distinct defects. (a) `_id` answers **HTTP 500** and the body leaks the storage engine's own text: *"Plan executor error during findAndModify :: caused by :: Performing an update on the path '_id' would modify the immutable field '_id'"*. (b) `code` is silently **written** — the partner's business code can be overwritten. (c) `status` is silently **written**, moving a PENDING partner straight to `active` without `POST /partners/{id}/approve`, which would skip the 3-stage FSM in PRD §12.1 B3 (SA Review → Legal Countersign → SA Final Approval). Steps 1–3 all pass. **(c) needs BE confirmation** — it may be an intentional SA override rather than a bypass; (a) and (b) are defects either way.</t>
  </si>
  <si>
    <t>Negative counterpart of _023: a ghost id, a malformed id, an enum outside the spec, an empty body, and fields UpdatePartnerDto does not expose.</t>
  </si>
  <si>
    <t>**Setup (precondition):** A partner exists (`seeded_partner`), left PENDING — its status is what step 5 checks.
**Test Steps:**
1. PATCH a ghost id, then a malformed id.
   → Expected: refused on both. Self-proving — this endpoint is the one that must report it.
2. PATCH type='wizard'.
   → Expected: HTTP 400 whose body lists every allowed value.
3. PATCH an empty body.
   → Expected: a no-op, not an error — UpdatePartnerDto declares no required field.
4. PATCH `_id`, `code` and `status` one at a time (each is absent from the DTO).
   → Expected: each is ignored or refused with a 4xx; never a 5xx, and never written.
**Teardown:** the fixture deletes the partner.
**Expected (overall):** every invalid update is refused, and no identifier or lifecycle field is writable through PATCH.</t>
  </si>
  <si>
    <t>PARTNER_API_PARTNER_USERS_001</t>
  </si>
  <si>
    <t>GET - SA lists portal users for a partner - User list with roles is returned</t>
  </si>
  <si>
    <t>PASSED — verified 2026-06-25. GET /v1/sa/partner-users?partnerId= → {userId,email,firstName,lastName,role,status,partnerId}. Scoped to the partner; no password/tempPassword leak. Negative in _011. No sa-plans dependency.</t>
  </si>
  <si>
    <t>SA lists portal users for a partner: GET /sa-partners-api/v1/sa/partner-users?partnerId= returns the user list with roles.</t>
  </si>
  <si>
    <t>**Setup (precondition):** SA creates a partner + invites a portal user (capture userId).
**Test Steps:**
1. GET partner-users filtered by partnerId (limit=20).
   → Expected: HTTP 200; envelope {statusCode, data[], total, message}.
2. Verify the invited user appears with role + status, and the list is scoped.
   → Expected: the user is present with role + status + email; every row's partnerId == the requested partner.
3. Verify no sensitive field is leaked.
   → Expected: no password/token/secret/tempPassword key in any list row (invite carries tempPassword; the list must not).
**Teardown:** delete the parent partner.
**Expected (overall):** Partner-scoped user list with roles/status, no credential leak.</t>
  </si>
  <si>
    <t>PARTNER_API_PARTNER_USERS_002</t>
  </si>
  <si>
    <t>POST - SA invites a partner portal user - User created with role</t>
  </si>
  <si>
    <t>PASSED. TC↔BE: plan says "email sent + PENDING user", but BE creates an ACTIVE user + returns tempPassword (temp-password onboarding) — confirm with BE which model is intended. Negative (invalid fields) counterpart is _012; duplicate (same email) is _013.</t>
  </si>
  <si>
    <t>SA invites a partner-portal user: POST /sa-partners-api/v1/sa/partner-users creates the user with a role</t>
  </si>
  <si>
    <t>**Setup (precondition):** SA creates a partner; build an invite payload (partnerId + email + firstName + lastName + role='sales').
**Test Steps:**
1. Invite the portal user.
   → Expected: HTTP 201 (envelope statusCode 200); server-assigned userId.
2. Verify every submitted field is stored (no silent mutation).
   → Expected: partnerId/email/firstName/lastName/role echoed as sent.
3. Verify the user is usable (active + temp credential for hand-off).
   → Expected: status 'active' + a tempPassword issued.
4. Verify the user is retrievable in the partner's list.
   → Expected: the user appears in GET partner-users?partnerId.
**Teardown:** delete the parent partner.
**Expected (overall):** Invite creates a usable partner-portal user with the chosen role.</t>
  </si>
  <si>
    <t>PARTNER_API_PARTNER_USERS_003</t>
  </si>
  <si>
    <t>POST - SA resets partner portal user password - Fresh credential issued</t>
  </si>
  <si>
    <t>PASSED. TC↔BE: plan says "reset LINK sent", but BE returns a new tempPassword (temp-password model) — confirm with BE. Idempotency: reset is not a create — repeating it is valid, so no duplicate-create TC. Negative (invalid id) counterpart is _014.</t>
  </si>
  <si>
    <t>SA resets a partner-portal user's password: POST /sa-partners-api/v1/sa/partner-users/{userId}/reset-password issues a fresh credential</t>
  </si>
  <si>
    <t>**Setup (precondition):** SA creates a partner + invites a user (capture the invite tempPassword as the baseline).
**Test Steps:**
1. Reset the user's password.
   → Expected: HTTP 200; confirm message; response references the same userId.
2. Verify a fresh credential is issued.
   → Expected: a new tempPassword, different from the invite one.
3. Verify reset is repeatable (mutating action, not one-shot).
   → Expected: a second reset also returns 200.
**Teardown:** delete the parent partner.
**Expected (overall):** Reset issues a fresh hand-off credential and is a repeatable mutating action.</t>
  </si>
  <si>
    <t>GET - List partner-users invalid pagination/filter - Graceful, never 5xx</t>
  </si>
  <si>
    <t>PASSED. WEAK-VALIDATION note to confirm with BE: unlike the audit-log list (which 400s these), limit=0 / non-numeric page / unknown sort are silently defaulted (200) instead of rejected. (Ghost partnerId here is a query FILTER → 200-empty is correct, distinct from a ghost PATH id → 404.)</t>
  </si>
  <si>
    <t>Negative counterpart of _001 (list partner-users): invalid pagination/filter handled with the correct code — validated cases 4xx, a ghost filter 200-empty, lenient params default gracefully — never 5xx. All cases run (failures collected).</t>
  </si>
  <si>
    <t>**Test Steps:** (each = one GET /v1/sa/partner-users with the param under test)
1. page=0 → **400** 'skip must be a non-negative integer'.
2. page=-1 → **400** 'skip must be a non-negative integer'.
3. limit over max (999999) → **400** 'limit must not exceed 100'.
4. Malformed partnerId ('not-an-id') → **400** 'partnerId must be a mongodb id'.
5. Ghost partnerId (well-formed but non-existent, used as a FILTER) → **200** with an empty list (a filter that matches nothing, not a 404).
6. Lenient params (limit=0 / non-numeric page / unknown sort) → **200** (silently defaulted), must still never 5xx.
**Expected (overall):** Validated invalid input → 4xx; a ghost filter → 200-empty; lenient params default gracefully; never 5xx.</t>
  </si>
  <si>
    <t>PARTNER_API_PARTNER_USERS_012</t>
  </si>
  <si>
    <t>POST - Invite partner-user invalid/missing fields - Rejected with 400</t>
  </si>
  <si>
    <t>PASSED. Case 7 (ghost partnerId) is a BODY foreign-key reference, so 400 is accepted (unlike a ghost PATH id → 404); it is self-proving (endpoint returns "Partner … not found").</t>
  </si>
  <si>
    <t>Negative counterpart of _002 (invite): eight invalid/incomplete payloads, each rejected with 400 + a descriptive message. All cases run (failures collected).</t>
  </si>
  <si>
    <t>**Setup (precondition):** SA creates a partner (valid baseline invite payload, role='admin').
**Test Steps:** (each case = one POST /v1/sa/partner-users with the field under test broken)
1. Missing email → **400** 'email must be an email'.
2. Missing firstName → **400** message mentions "firstname".
3. Missing lastName → **400** message mentions "lastname".
4. Missing partnerId → **400** 'partnerId must be a mongodb id'.
5. Invalid role enum ('bogus') → **400** 'role must be one of'.
6. Invalid email ('not-an-email') → **400** 'email must be an email'.
7. Ghost partnerId (well-formed but non-existent, sent as a BODY FK) → **400** 'Partner … not found'.
8. Malformed partnerId ('not-an-id') → **400** 'mongodb id'.
**Teardown:** delete the parent partner.
**Expected (overall):** Every invalid invite payload is rejected with 400 + a field/clear message; no user created.</t>
  </si>
  <si>
    <t>POST - Invite duplicate email - Must not create duplicate user (idempotent or 409)</t>
  </si>
  <si>
    <t>PASSED — verified 2026-07-23. BE fixed the duplicate-invite gap: re-inviting the same email no longer creates a second user (list shows exactly 1). Stale `be_gap` marker to be removed from code; Bug_Tracker BUG-004 can be closed.</t>
  </si>
  <si>
    <t>Idempotency/duplicate counterpart of _002 (invite): inviting the same email twice must not create a duplicate user.
**Setup (precondition):** SA creates a partner + invites a user (email E); the same payload is reused for the re-invite.</t>
  </si>
  <si>
    <t>**Setup (precondition):** SA creates a partner + invites a user (email E); the same payload is reused for the re-invite.
**Test Steps:**
1. Re-invite the SAME email E.
   → Expected: a defined outcome — reject (409) OR idempotent (no new user).
2. Verify the partner does NOT end up with a duplicate-email user (list the partner's users).
   → Expected: exactly 1 user for email E.
**Teardown:** delete the parent partner.
**Expected (overall):** Re-invite must not create a duplicate-email user (email is the login identity).</t>
  </si>
  <si>
    <t>POST - Reset password invalid id - Rejected (4xx, never 5xx)</t>
  </si>
  <si>
    <t>FAILED (by design / `be_gap`, excluded from merge gate; tracked in Bug_Tracker). Gap (case 1): a well-formed non-existent userId returns **400** ("not found") instead of **404** — same root cause as the deals get-by-id gap. Case 2 is correct. Confirm with BE.</t>
  </si>
  <si>
    <t>Negative counterpart of _003 (reset password): invalid id is rejected with the correct code (never 5xx). Self-proving; all cases run (failures collected).</t>
  </si>
  <si>
    <t>**Test Steps:** (each case = one POST /v1/sa/partner-users/{userId}/reset-password)
1. Ghost userId (well-formed but non-existent, 000000000000000000000000) → expected **404** Not Found, message "not found". **Currently FAILS** — BE returns 400 ("User 000… not found").
2. Malformed userId ('not-an-id') → **400** Bad Request, message "invalid id".
**Expected (overall):** Non-existent userId → 404; malformed userId → 400; never 5xx.</t>
  </si>
  <si>
    <t>PARTNER_API_PARTNER_USERS_015</t>
  </si>
  <si>
    <t>POST - SA unlock a locked partner user - Login works again</t>
  </si>
  <si>
    <t>PASSED. The status code proves nothing here - measured 2026-09-24, unlock answers 200 even on a user who is not locked - so the TC asserts the effect instead. The lockout threshold is DISCOVERED at run time, not hard-coded: it is unspecified in §9.1 and §5.1 (raised as OQ-28), and this run measured 4 consecutive failures / 30 minutes. Pinning 4 would turn a legitimate policy change into a red test; as written the TC only goes red if the account stops locking at all. Throwaway user only - locking the shared portal account blocks every other partner test for half an hour.</t>
  </si>
  <si>
    <t>POST /v1/sa/partner-users/{userId}/unlock proven by effect: a throwaway user logs in, is locked out by repeated wrong passwords, is refused even with the CORRECT password while locked, and can log in again only after SA unlocks.</t>
  </si>
  <si>
    <t>PARTNER_API_PARTNER_USERS_016</t>
  </si>
  <si>
    <t>POST - SA unlock invalid target and repeat call - Correct handling</t>
  </si>
  <si>
    <t>PASSED. Ghost userId -&amp;gt; 400 naming the user; malformed userId -&amp;gt; 400. On the repeat: unlock is a mutating action, not a create, so rule 8's 409-or-idempotent formula does not apply blindly - the question is what the BE intends when there is nothing to clear. Measured: 200 both times. The TC asserts that AND the property that matters more than the code - after two redundant unlocks the user can still log in, so a no-op unlock does not damage an account that needed no change.</t>
  </si>
  <si>
    <t>Negative counterpart of _015: a user id that does not exist, one that is not an id at all, and the repeat case.</t>
  </si>
  <si>
    <t>Territories</t>
  </si>
  <si>
    <t>PARTNER_API_TERRITORIES_001</t>
  </si>
  <si>
    <t>POST - SA assigns territory to partner - Assignment saved with effective dates</t>
  </si>
  <si>
    <t>PASSED — verified 2026-06-25. POST /v1/sa/territories → 201; fields + effective dates echoed; GET-by-id works. Negative in _011; exclusive-conflict in _012.</t>
  </si>
  <si>
    <t>**Setup (precondition):** SA creates a partner; build a territory payload (partnerId + label + countries=[US,CA] + exclusivityType='preferred' + effective dates).
**Test Steps:**
1. Assign the territory.
   → Expected: HTTP 201 (envelope statusCode 200/201); server-assigned id; confirm message.
2. Verify every submitted field is stored (incl. effective dates).
   → Expected: partnerId/label/countries/exclusivityType echoed; exclusivityStartDate/EndDate preserved.
3. Verify retrievable via GET by id.
   → Expected: same territory returned.
**Teardown:** delete the territory + the parent partner.
**Expected (overall):** Territory assignment persisted with fields + effective dates, retrievable by id.</t>
  </si>
  <si>
    <t>PARTNER_API_TERRITORIES_002</t>
  </si>
  <si>
    <t>GET - SA lists territories with filters - Paginated list returned</t>
  </si>
  <si>
    <t>PASSED — verified 2026-06-25. GET /v1/sa/territories → 200, paginated list (page/limit), filterable. Negative in _013.</t>
  </si>
  <si>
    <t>SA lists territories with filters: GET /sa-partners-api/v1/sa/territories (paginated, scoped, filterable).</t>
  </si>
  <si>
    <t>**Setup (precondition):** SA creates a partner + assigns one territory (countries=[US], exclusivityType='preferred').
**Test Steps:**
1. GET territories filtered by partnerId (limit=20).
   → Expected: HTTP 200; envelope {statusCode, data[], total} (no message field for this list).
2. Verify the assigned territory appears, scoped, with schema.
   → Expected: present with label/countries/exclusivityType; every row's partnerId == the requested partner.
3. Filter by exclusivityType=preferred.
   → Expected: only 'preferred' rows returned.
**Teardown:** delete the territory + the parent partner.
**Expected (overall):** Partner-scoped territory list, well-formed and filterable.</t>
  </si>
  <si>
    <t>PARTNER_API_TERRITORIES_003</t>
  </si>
  <si>
    <t>GET - SA retrieves single territory by ID - Detail returned</t>
  </si>
  <si>
    <t>PASSED — verified 2026-06-25. GET /v1/sa/territories/{id} → 200, territory detail. Negative (ghost/malformed) in _014.</t>
  </si>
  <si>
    <t>SA retrieves a single territory by id: GET /sa-partners-api/v1/sa/territories/{id}.</t>
  </si>
  <si>
    <t>**Setup (precondition):** SA creates a partner + assigns one territory (countries=[US]); capture its id.
**Test Steps:**
1. GET the territory by id.
   → Expected: HTTP 200; id matches; partnerId/label/countries/exclusivityType present.
**Teardown:** delete the territory + the parent partner.
**Expected (overall):** Get-by-id returns the full territory.</t>
  </si>
  <si>
    <t>PARTNER_API_TERRITORIES_004</t>
  </si>
  <si>
    <t>DELETE - SA removes territory assignment - Removed + audit</t>
  </si>
  <si>
    <t>§5.4, §9.4</t>
  </si>
  <si>
    <t>PASSED — verified 2026-06-25. DELETE /v1/sa/territories/{id} → 200; assignment removed + audit. Negative in _015.</t>
  </si>
  <si>
    <t>SA removes a territory assignment: DELETE /sa-partners-api/v1/sa/territories/{id}.</t>
  </si>
  <si>
    <t>**Setup (precondition):** SA creates a partner + assigns one territory (countries=[US]); capture its id.
**Test Steps:**
1. Delete the territory.
   → Expected: HTTP 200/204 (delete succeeds).
2. Verify the territory is no longer retrievable (GET by id).
   → Expected: GET returns 4xx not-found.
**Teardown:** delete the parent partner.
**Expected (overall):** Delete removes the territory; it is no longer retrievable.</t>
  </si>
  <si>
    <t>PARTNER_API_TERRITORIES_011</t>
  </si>
  <si>
    <t>POST - Assign territory invalid/missing fields - Rejected with 400</t>
  </si>
  <si>
    <t>PASSED — verified 2026-06-25. Negative of _001. Missing partnerId/label/countries, invalid exclusivityType/country/date, ghost/malformed partnerId → all 400.</t>
  </si>
  <si>
    <t>Negative counterpart of _001 (assign): eight invalid/incomplete payloads, each rejected with 400 + a descriptive message. All cases run (failures collected).</t>
  </si>
  <si>
    <t>**Setup (precondition):** SA creates a partner (valid baseline territory payload).
**Test Steps:** (each case = one POST /v1/sa/territories with the field under test broken)
1. Missing partnerId → **400** 'partnerId must be a mongodb id'.
2. Missing label → **400** message mentions "label".
3. Missing countries → **400** message mentions "countries".
4. Invalid exclusivityType ('bogus') → **400** 'exclusivityType must be one of'.
5. Invalid country code ('ZZ') → **400** message mentions "iso31661".
6. Bad start date ('31-12-2026') → **400** 'iso 8601'.
7. Ghost partnerId (well-formed but non-existent, sent as a BODY FK) → **400** 'Partner … not found'.
8. Malformed partnerId ('not-an-id') → **400** 'mongodb id'.
**Teardown:** delete the parent partner.
**Expected (overall):** Every invalid assign is rejected with 400 + a field/clear message; no territory created.</t>
  </si>
  <si>
    <t>PARTNER_API_TERRITORIES_012</t>
  </si>
  <si>
    <t>POST - Exclusive territory conflict - 2nd partner rejected</t>
  </si>
  <si>
    <t>PASSED — verified 2026-06-25. Duplicate/conflict counterpart of _001. Cross-partner exclusive overlap on the same country → 400 "Exclusive territory conflict", no territory created. Same-partner overlap allowed by design.</t>
  </si>
  <si>
    <t>Exclusive territory conflict (duplicate/conflict counterpart of _001): a 2nd partner cannot take a country already held exclusively.</t>
  </si>
  <si>
    <t>**Setup (precondition):** SA creates two partners (p1, p2); pick an uncommon country code (IS) to minimise collisions.
**Test Steps:**
1. Partner 1 takes an EXCLUSIVE territory on the country.
   → Expected: HTTP 201, territory created (country was free).
2. Partner 2 assigns an EXCLUSIVE territory on the SAME country.
   → Expected: 4xx; message contains "exclusive" + "conflict".
3. Verify no territory was created for partner 2 (inspect the rejected response).
   → Expected: no territory id in the body.
**Teardown:** delete the territory + both partners.
**Expected (overall):** Cross-partner exclusive overlap is rejected; same-partner overlap is allowed by design.</t>
  </si>
  <si>
    <t>GET - List territories invalid filter/pagination - Rejected 4xx</t>
  </si>
  <si>
    <t>AUTH_ACCESS_CONTROL</t>
  </si>
  <si>
    <t>PASSED — verified 2026-06-30. Negative of _002 (list). Out-of-enum filter + limit&gt;100 + malformed partnerId → 400; ghost partnerId → 200 empty; page=0 graceful. Never 5xx.</t>
  </si>
  <si>
    <t>Negative counterpart of _002 (list): five invalid filter/pagination inputs, each rejected with 400 + a clear message (this endpoint validates strictly — no lenient defaulting; never 5xx). All cases run (failures collected).</t>
  </si>
  <si>
    <t>**Test Steps:** (each case = one GET /v1/sa/territories with an invalid query)
1. Bad exclusivityType ('bogus') → **400** 'exclusivityType must be one of'.
2. Bad country ('ZZ') → **400** message mentions "iso31661".
3. limit over max (999999) → **400** 'must not exceed'.
4. page=0 → **400** 'non-negative'.
5. Malformed partnerId ('not-an-id') → **400** 'mongodb id'.
**Expected (overall):** Every invalid filter/pagination rejected with 400; never 5xx.</t>
  </si>
  <si>
    <t>Partner login answers 400 instead of 401 for invalid credentials (wrong or no-longer-valid password).</t>
  </si>
  <si>
    <t>POST /v1/partner/auth/login with a wrong or no-longer-valid password -&amp;gt; 401 Unauthorized (failed authentication). This is what it returned until 2026-10-09, and what the rest of the partner auth module still returns: change-password with a wrong current password -&amp;gt; 401, invalid refresh token -&amp;gt; 401, missing token -&amp;gt; 401.</t>
  </si>
  <si>
    <t>400 Bad Request {"message":"Invalid credentials"}. The credential IS rejected - only the status code is wrong. Seen on every failed partner login in run_20261014_133423 (5 TCs). Account lockout also answers 400 ("Too many failed login attempts").</t>
  </si>
  <si>
    <t>FAIL | [4/4] The OLD password is rejected (401) (746ms) -- AssertionError: old password must be rejected (401), got 400 (run 2026-10-14)</t>
  </si>
  <si>
    <t>GET - Get territory invalid id - Rejected 4xx</t>
  </si>
  <si>
    <t>ALSO FAILS: TC-2061405 (PARTNER_API_PARTNER_TEAM_005) step [4/8] 'The OLD password must stop working' - rejected with 400 instead of 401 after an admin password reset. Same root cause, so one bug. Changed between 2026-10-09 (401; both TCs PASSED) and 2026-10-13. Swagger documents only 200 for login, so no contract states 400. Minor: behaviour is correct (the old password is refused), the status code is not.</t>
  </si>
  <si>
    <t>FAILED (by design / `be_gap`, excluded from merge gate; tracked in Bug_Tracker). Gap (case 1): a well-formed non-existent id returns **400** ("not found") instead of **404** — same root cause as the deals get-by-id gap. Case 2 is correct. Confirm with BE.</t>
  </si>
  <si>
    <t>Negative counterpart of _003 (get by id): invalid id rejected with the correct code (never 5xx). Self-proving; all cases run (failures collected).</t>
  </si>
  <si>
    <t>**Test Steps:** (each case = one GET /v1/sa/territories/{id})
1. Ghost id (well-formed but non-existent, 000000000000000000000000) → expected **404** Not Found, message "not found". **Currently FAILS** — BE returns 400 ("Territory 000… not found").
2. Malformed id ('not-an-id') → **400** Bad Request, message "invalid id".
**Expected (overall):** Non-existent id → 404; malformed id → 400; never 5xx.</t>
  </si>
  <si>
    <t>DELETE - Remove territory invalid/already-removed - Rejected 4xx</t>
  </si>
  <si>
    <t>BUG-UI-001</t>
  </si>
  <si>
    <t>PARTNER_PORTAL_SHELL</t>
  </si>
  <si>
    <t>Partner Portal /apps (My Apps): app-list fails to load — "Failed to load your apps" banner (data-fetch/backend defect)</t>
  </si>
  <si>
    <t>Every primary nav page loads its content with no error banner — /apps shows the app list (or a valid empty state).</t>
  </si>
  <si>
    <t>/apps shell renders (title "My Apps" + tabs + Submit button) but the app-list data-fetch fails -&gt; red banner "Failed to load your apps. Please refresh and try again."</t>
  </si>
  <si>
    <t>Page [apps] FAILED - Partner Portal section 'apps' rendered its shell but the CONTENT failed to load: banner 'Failed to load' is visible in &amp;lt;main&amp;gt;. Data-fetch/backend issue for this page — confirm with BE.</t>
  </si>
  <si>
    <t>FAILED (by design / `be_gap`, excluded from merge gate; tracked in Bug_Tracker). Gap (cases 1 &amp; 3): a not-found target returns **400** ("not found") instead of **404** — same root cause as the deals get-by-id gap. Case 2 (malformed) is correct. Confirm with BE.</t>
  </si>
  <si>
    <t>Negative counterpart of _004 (delete): invalid/already-removed rejected with the correct code. All cases run (failures collected).</t>
  </si>
  <si>
    <t>BUG-UI-002</t>
  </si>
  <si>
    <t>**Setup (precondition):** SA creates a partner + assigns one territory (target for the already-removed case).
**Test Steps:** (each case = one DELETE /v1/sa/territories/{id})
1. Ghost id (well-formed but non-existent, 000000000000000000000000) → expected **404** Not Found, message "not found". **Currently FAILS** — BE returns 400.
2. Malformed id ('not-an-id') → **400** Bad Request, message "invalid id".
3. Already-removed territory (delete it, then delete again) → expected **404** Not Found (target no longer exists). **Currently FAILS** — BE returns 400 ("Territory … not found").
**Teardown:** delete the parent partner.
**Expected (overall):** Non-existent / already-removed target → 404; malformed id → 400. (Already-removed documents delete's repeat behavior; mutating action, not a duplicate-create.)</t>
  </si>
  <si>
    <t>portal stays usable at mobile width (no h-overflow, nav reachable).</t>
  </si>
  <si>
    <t>Page [deals] FAILED - 'deals' overflows the mobile viewport by 162px (content does not fit 375px → responsive-layout defect; confirm with FE)</t>
  </si>
  <si>
    <t>Certifications (SA)</t>
  </si>
  <si>
    <t>BUG-UI-003</t>
  </si>
  <si>
    <t>MY_PIPELINE</t>
  </si>
  <si>
    <t>an invalid domain must be rejected with a format error.</t>
  </si>
  <si>
    <t>PARTNER_API_CERTIFICATIONS_SA_001</t>
  </si>
  <si>
    <t>FAIL | [1/1] Each malformed domain must be rejected (block Next / flag field) (246ms) -- AssertionError: wizard accepts invalid domain(s) ["'@@@' (field kept '@@@', Next enabled, not flagged)", "'ab cd' (field kept 'ab cd', Next enabled, not flagged)</t>
  </si>
  <si>
    <t>Grant - SA grants certification to partner user - Certification stored and tier re-evaluation triggered</t>
  </si>
  <si>
    <t>FAIL | [1/1] Each malformed domain must be rejected (block Next / flag field) (246ms) -- AssertionError: wizard accepts invalid domain(s) ["'@@@' (field kept '@@@', Next enabled, not flagged)", "'ab cd' (field kept 'ab cd', Next enabled, not flagged)", "'notadomain' (field kept 'notadomain', Next en</t>
  </si>
  <si>
    <t>BUG-UI-004</t>
  </si>
  <si>
    <t>a malformed contact email must be rejected with a format error.</t>
  </si>
  <si>
    <t>FAIL | [1/1] Each malformed email must be rejected (block Next / flag field) (246ms) -- AssertionError: wizard accepts malformed email(s) ["'notanemail' (field kept 'notanemail', Next enabled, not flagged)", "'abc@' (field kept 'abc@', Next enabled,</t>
  </si>
  <si>
    <t>§2.4</t>
  </si>
  <si>
    <t>FAIL | [1/1] Each malformed email must be rejected (block Next / flag field) (246ms) -- AssertionError: wizard accepts malformed email(s) ["'notanemail' (field kept 'notanemail', Next enabled, not flagged)", "'abc@' (field kept 'abc@', Next enabled, not flagged)", "'abc@x' (field kept 'abc@x', Next</t>
  </si>
  <si>
    <t>Redundant — grant-certification (POST /v1/sa/partner-users/{userId}/certifications) is already covered by automation PARTNER_ACCOUNT_MANAGEMENT_010 (PASSED). No separate script (id 2060501 not in registry) → Auto should be NO, status redundant/covered (not NOT_STARTED). Negative = _020; re-grant idempotency gap = _022.</t>
  </si>
  <si>
    <t>BUG-UI-005</t>
  </si>
  <si>
    <t>N/A — covered by PARTNER_ACCOUNT_MANAGEMENT_010 (grant cert → active + earnedAt/expiresAt + 'partner.certification.granted' event). See Q.</t>
  </si>
  <si>
    <t>SA_PARTNER_MODULE</t>
  </si>
  <si>
    <t>SA Deal Approval Queue (/partners/deals): deal-list API INTERMITTENTLY returns "Server Error - Invalid id: pro-v1" instead of the deals.</t>
  </si>
  <si>
    <t>GET deal-list for /partners/deals always returns the deals (200); the queue table shows deal rows. No "Invalid id" error.</t>
  </si>
  <si>
    <t>INTERMITTENT: the SAME deal-list endpoint sometimes returns the deals (UI shows rows -&amp;gt; test PASS) and sometimes returns "Server Error - Invalid id: pro-v1" (UI shows "No Data Found" -&amp;gt; test FAIL). Not deterministic run-to-run.</t>
  </si>
  <si>
    <t>FAIL | [3/3] The Pending Approval + Conflicts queues load without a server error (3161ms) -- AssertionError: the deal approval queues must load their deals, but the deal-list fetch fails with a backend error on: ['Pending Approval: "Server Error Invalid id: \'pro-v1\' Server Error Invalid id: \'"',</t>
  </si>
  <si>
    <t>PARTNER_API_CERTIFICATIONS_SA_002</t>
  </si>
  <si>
    <t>DELETE - SA revokes partner certification - Cert becomes 'revoked'</t>
  </si>
  <si>
    <t>BUG-UI-006</t>
  </si>
  <si>
    <t>the SA partner-programme analytics dashboard.</t>
  </si>
  <si>
    <t>FAIL | [3/3] The analytics data loads without a server error (44ms) -- AssertionError: the analytics dashboard must load its data, but a query fails with a backend error: 'Server Error limit must not be greater than 100 Server Error Invalid p'. The d</t>
  </si>
  <si>
    <t>PASSED — verified 2026-06-25. DELETE .../certifications/{type} (body reason) → 200, status='revoked'. TC↔BE: plan says "removed", BE soft-revokes (record kept) — confirm BE. Negative in _012.</t>
  </si>
  <si>
    <t>FAIL | [3/3] The analytics data loads without a server error (44ms) -- AssertionError: the analytics dashboard must load its data, but a query fails with a backend error: 'Server Error limit must not be greater than 100 Server Error Invalid p'. The dashboard shell renders but a paginated analytics q</t>
  </si>
  <si>
    <t>SA revokes a partner certification: DELETE /sa-partners-api/v1/sa/partner-users/{userId}/certifications/{type} (body reason) soft-revokes it</t>
  </si>
  <si>
    <t>**Setup (precondition):** SA creates a partner + invites a user + grants an active sales_certified cert.
**Test Steps:**
1. Revoke the certification (with a reason).
   → Expected: HTTP 200; confirm message; status='revoked'.
2. Verify the cert shows as revoked in the partner's cert list (soft-revoke).
   → Expected: the cert record remains with status='revoked' (not hard-removed).
**Teardown:** delete the parent partner.
**Expected (overall):** Revoke soft-removes the cert (status='revoked'), kept in the list.</t>
  </si>
  <si>
    <t>PARTNER_API_CERTIFICATIONS_SA_003</t>
  </si>
  <si>
    <t>GET - SA lists certifications for partner team - All team certs returned</t>
  </si>
  <si>
    <t>BUG-UI-007</t>
  </si>
  <si>
    <t>DASHBOARD</t>
  </si>
  <si>
    <t>PASSED — verified 2026-06-25. GET /v1/sa/partners/{partnerId}/certifications → cert list (certificationType/status/userId/earnedAt/expiresAt), scoped, filterable (status/certificationType/expiringWithinDays). Negative in _013.</t>
  </si>
  <si>
    <t>SA lists a partner team's certifications: GET /sa-partners-api/v1/sa/partners/{partnerId}/certifications.</t>
  </si>
  <si>
    <t>tier-qualification math (T12M ARR threshold + next-tier delta).</t>
  </si>
  <si>
    <t>**Setup (precondition):** SA creates a partner + invites a user + grants a sales_certified cert.
**Test Steps:**
1. GET partner certifications (limit=20).
   → Expected: HTTP 200; envelope {statusCode, data[], total, message}.
2. Verify the granted cert appears with schema, scoped to the partner.
   → Expected: cert present with certificationType/status/userId/earnedAt/expiresAt; every row's partnerId == the requested partner.
3. Filter by status=active.
   → Expected: only active certs returned.
**Teardown:** delete the parent partner.
**Expected (overall):** Partner-scoped cert list, well-formed and filterable.</t>
  </si>
  <si>
    <t>FAIL | [2/3] Next-tier T12M ARR threshold target + remaining delta are shown (0ms) -- AssertionError: the next-tier T12M ARR threshold target and remaining delta must be shown in Tier Progress, but only current tier/ARR/deal-count are rendered (panel</t>
  </si>
  <si>
    <t>FAIL | [2/3] Next-tier T12M ARR threshold target + remaining delta are shown (0ms) -- AssertionError: the next-tier T12M ARR threshold target and remaining delta must be shown in Tier Progress, but only current tier/ARR/deal-count are rendered (panel='Tier &amp;amp; Performance SELECT T12M ARR USD 0 Tier Pr</t>
  </si>
  <si>
    <t>BUG-UI-008</t>
  </si>
  <si>
    <t>PARTNER_API_CERTIFICATIONS_SA_004</t>
  </si>
  <si>
    <t>GET - SA lists certifications expiring soon - Expiring certs returned</t>
  </si>
  <si>
    <t>suspend (deactivate) an active partner.</t>
  </si>
  <si>
    <t>SA can suspend an Active partner from Partner Detail -&amp;gt; Partner actions -&amp;gt; Deactivate: partner transitions to Suspended/Inactive and loses portal access.</t>
  </si>
  <si>
    <t>Deactivate fails. The "Deactivate Partner" confirm dialog collects NO reason, so the FE calls the deactivate API without one; BE returns 400 Server Error ("reason should not be empty / reason must be a string / reason must be &amp;lt;= 2000 characters"). Partner stays Active. No SA can suspend a partner via the UI.</t>
  </si>
  <si>
    <t>FAIL | [2/2] The partner is suspended and no error is shown (0ms) -- AssertionError: Deactivate failed — the BE rejected the request: 'Failed to deactivate partner Server Error reason must be shorter than or equal to 2000 charactersreason should not be emptyreason must be a string Partner approved Q</t>
  </si>
  <si>
    <t>PASSED — verified 2026-06-25. GET /v1/sa/certifications?expiringWithinDays (bounded 1..365). Confirm BE: the SA-wide list returns total=0 though active certs exist (visible per-partner) — a scoping quirk. Filter semantic asserted; empty logged. Negative in _014.</t>
  </si>
  <si>
    <t>SA lists certifications expiring soon: GET /sa-partners-api/v1/sa/certifications?expiringWithinDays=N.</t>
  </si>
  <si>
    <t>BUG-UI-009</t>
  </si>
  <si>
    <t>**Test Steps:**
1. GET /sa/certifications?expiringWithinDays=30.
   → Expected: HTTP 200; envelope {statusCode, data[], total, message}; every returned cert expires within 30 days (an empty result is acceptable — WARN-skip).
2. expiringWithinDays max boundary (365) is accepted.
   → Expected: HTTP 200.
**Expected (overall):** Expiring-cert list returns a well-formed envelope; the expiringWithinDays window is bounded 1..365.</t>
  </si>
  <si>
    <t>Register-a-Deal wizard: Country dropdown is empty ('No options') on Chrome/Chromium (works on Edge). The wizard's countries lookup is sent WITHOUT an Authorization header -&amp;gt; 401, so no country can be selected and a deal cannot be registered.</t>
  </si>
  <si>
    <t>On every browser (incl. Chrome) the Country dropdown lists countries; partner completes Step 1 and registers a deal.</t>
  </si>
  <si>
    <t>DELETE - Revoke cert invalid input/state - Rejected with 4xx</t>
  </si>
  <si>
    <t>On Chrome/Chromium (manual AND automation), GET /sa-partners-api/v1/partner/portal/countries is sent with NO Authorization header -&amp;gt; 401 -&amp;gt; dropdown shows 'No options' -&amp;gt; Step 1 cannot be completed. On Edge (manual) the same request carries the bearer token -&amp;gt; 200 -&amp;gt; options load.</t>
  </si>
  <si>
    <t>countries request hasAuth=false -&amp;gt; 401 on Chromium (Playwright) and manual Chrome; 200 on manual Edge. Shell /partner/auth/refresh + /auth/me return 200, so the shell is authenticated but the token is not attached to the MFE's countries call. Manual repro: Chrome FAIL / Edge PASS.</t>
  </si>
  <si>
    <t>Browser-specific (Chrome/Chromium FAIL, Edge PASS) at BOTH manual and automation level. Affects all 11 register-wizard TCs: 12060201-12060208, 12060211-12060213 (automation runs on Chromium -&amp;gt; all fail). Leading hypothesis for FE: Chrome's stricter storage-partitioning / third-party-context defaults block the deals micro-frontend (partnerDealsApp, which has its own token-store bundle) from reading the auth token (pp_refresh_token in sessionStorage) -&amp;gt; token not attached to the countries request. FE to verify how partnerDealsApp obtains/attaches the access token on Chrome. NOTE: AI triage mislabels these as [FLAKY] (Locator.click-timeout heuristic) - they are deterministic, not flaky.</t>
  </si>
  <si>
    <t>FAILED (by design / `be_gap`, excluded from merge gate; tracked in Bug_Tracker). Gap (cases 2, 3, 5): a not-found target returns **400** ("not found") instead of **404** — same root cause as the deals get-by-id gap. Cases 1 &amp; 4 are correct. Confirm with BE.</t>
  </si>
  <si>
    <t>Negative counterpart of _002 (revoke): five invalid input/state cases, each rejected with its own code + a clear message. All cases run (failures collected).</t>
  </si>
  <si>
    <t>**Setup (precondition):** SA creates a partner + invites a user + grants an active sales_certified cert.
**Test Steps:** (each case = one DELETE /v1/sa/partner-users/{userId}/certifications/{type})
1. Missing reason → **400** 'reason should not be empty'.
2. Cert not held ('hr_specialist', valid user without it) → expected **404** Not Found ('Active … not found'). **Currently FAILS** — BE returns 400.
3. Ghost userId (well-formed but non-existent) → expected **404** Not Found ('User … not found'). **Currently FAILS** — BE returns 400.
4. Malformed userId ('not-an-id') → **400** 'invalid id'.
5. Already-revoked cert (revoke, then revoke again) → expected **404** Not Found (no active cert). **Currently FAILS** — BE returns 400.
**Teardown:** delete the parent partner.
**Expected (overall):** Missing reason / malformed id → 400; every not-found target → 404. Never 5xx.</t>
  </si>
  <si>
    <t>Partner Portal /directory overflows horizontally at mobile width (375px): the 'Invite User' button and the member table do not fit, so the whole page scrolls sideways.</t>
  </si>
  <si>
    <t>At 375×812 the Directory page fits the viewport (horizontal overflow ≤ 5px); the member table scrolls inside its own container if it is wider than the screen.</t>
  </si>
  <si>
    <t>The page overflows by +93px (scrollWidth 468 vs 375): the 'Invite User' button sticks out 93px and the member table (MEMBER / ROLE / STATUS / LAST LOGIN) is ~607px wider than the viewport with no overflow-x wrapper.</t>
  </si>
  <si>
    <t>PARTNER_API_CERTIFICATIONS_SA_013</t>
  </si>
  <si>
    <t>Page [directory] FAILED - 'directory' overflows the mobile viewport by 93px (content does not fit 375px → responsive-layout defect; confirm with FE) | probe: documentElement.scrollWidth=468 vs clientWidth=375; 'Invite User' button right edge +93px; member &amp;lt;table&amp;gt; right edge +607px (no overflow-x container)</t>
  </si>
  <si>
    <t>GET - List partner certs invalid filter/pagination - Graceful, never 5xx</t>
  </si>
  <si>
    <t>Distinct from BUG-UI-002 (Deals overflow, now fixed) — same TC, different page/cause, kept as its own bug. Other pages (dashboard/deals/commissions/resources) fit. Fix: wrap the member table in an overflow-x:auto container and let the header action bar wrap/stack on small screens.</t>
  </si>
  <si>
    <t>BUG-UI-011</t>
  </si>
  <si>
    <t>PASSED — verified 2026-06-25. Negative of _003. Out-of-enum status/certificationType + limit&gt;100 + malformed partnerId → 400; ghost partnerId → 200 empty; page=0 graceful. Never 5xx.</t>
  </si>
  <si>
    <t>Negative counterpart of _003 (list certs by partner): invalid filter/pagination handled with the correct code — validated cases 4xx, a ghost partner scope 200-empty — never 5xx. All cases run (failures collected).</t>
  </si>
  <si>
    <t>add a portal user (member) to a partner.</t>
  </si>
  <si>
    <t>FAIL | Setup: onboard a throwaway partner and approve it to Active (41791ms) -- AssertionError: Onboard Partner did not settle within 30000 ms (no success toast and the form is still open).</t>
  </si>
  <si>
    <t>**Setup (precondition):** SA creates a partner (baseline).
**Test Steps:** (each = one GET /v1/sa/partners/{partnerId}/certifications with the param under test)
1. Bad status enum ('bogus') → **400** 'status must be one of'.
2. Bad certificationType enum ('bogus') → **400** 'certificationType must be one of'.
3. limit over max (999999) → **400** 'must not exceed 100'.
4. Malformed partnerId ('not-an-id') → **400** 'invalid id'.
5. Ghost partnerId (well-formed but non-existent, used as the list SCOPE) → **200** with an empty list (a scope that matches nothing, not a 404).
6. page=0 → **400** 'non-negative' (rejected; never 5xx).
**Expected (overall):** Validated invalid filter/pagination → 4xx; a ghost partner scope → 200-empty; never 5xx.</t>
  </si>
  <si>
    <t>BUG-UI-012</t>
  </si>
  <si>
    <t>GET - List SA certs invalid filter/pagination - Rejected (4xx, never 5xx)</t>
  </si>
  <si>
    <t>BUG-UI-013</t>
  </si>
  <si>
    <t>FAIL | Setup: onboard a throwaway partner and approve it to Active (40048ms) -- TimeoutError: Locator.click: Timeout 30000ms exceeded.</t>
  </si>
  <si>
    <t>PASSED — verified 2026-06-25. Negative of _004. Bad status/certType enum + expiringWithinDays out of 1..365 + limit&gt;100 + page=0 → all 400. Never 5xx.</t>
  </si>
  <si>
    <t>Negative counterpart of _004 (SA cert list): seven invalid filter/pagination inputs, each rejected with 400 + a clear message (never 5xx). All cases run (failures collected).</t>
  </si>
  <si>
    <t>**Test Steps:** (each case = one GET /v1/sa/certifications with an invalid query)
1. Bad status enum ('bogus') → **400** 'status must be one of'.
2. Bad certificationType enum ('bogus') → **400** 'certificationType must be one of'.
3. expiringWithinDays = 0 → **400** 'must not be less than 1'.
4. expiringWithinDays negative → **400** 'must not be less than 1'.
5. expiringWithinDays &gt; 365 (366) → **400** 'must not be greater than 365'.
6. limit over max (999999) → **400** 'limit must not exceed 100'.
7. page=0 → **400** 'non-negative'.
**Expected (overall):** Every invalid filter/pagination rejected with 400; never 5xx. expiringWithinDays bounded 1..365.</t>
  </si>
  <si>
    <t>Partner Engagement</t>
  </si>
  <si>
    <t>Partner dashboard is missing the Tier Progress card - PRD 4.3 design rule 'Tier progress bar is always visible' is not met.</t>
  </si>
  <si>
    <t>/dashboard shows a Tier Progress card: progress bar, current tier -&amp;gt; next tier, and '$&amp;lt;T12M ARR&amp;gt; of $&amp;lt;next-tier threshold&amp;gt; &amp;lt;next tier&amp;gt;' (PRD 4.3; requirement sheet 4.3 'Tier progress bar'; backlog PP002 'Header: tier badge + T12M ARR progress').</t>
  </si>
  <si>
    <t>Since the 2026-10 dashboard redesign no Tier Progress element is rendered anywhere on /dashboard. Only the header tier badge ('Registered') remains; the new 'Performance' panel shows deal counts + win rate only. Last seen rendered 2026-10-09 (old 'Tier &amp;amp; Performance' panel).</t>
  </si>
  <si>
    <t>FAIL | [1/2] Tier Progress shows current tier + 'working towards' next tier (15ms) -- AssertionError: the Tier Progress component must be present (run_20261013_114021)</t>
  </si>
  <si>
    <t>Same root cause also fails TC-12060407 step [3/3] ('Tier Progress' must still be highlighted). Kept SEPARATE from BUG-UI-007 (TC-12060405: tier card present but threshold/delta not shown) - 1 bug per distinct failure. Likely FE-only: GET /v1/partner/portal/dashboard already returns partner.tier='registered' + totalArrCents (run_20261013_103101); tier thresholds are fixed by requirement 2.1 (Select $50K / Advanced $200K / Premier $750K).</t>
  </si>
  <si>
    <t>POST/GET - Partner team directory - Invited member appears in list and detail</t>
  </si>
  <si>
    <t>FAILED by design at step 6 — **BUG-API-022**. `GET /v1/partner/directory/users/{userId}` ignores the path parameter: asking for the session user returns the invited member instead, and a ghost id (`000000000000000000000000`) or a malformed id (`not-an-id`) both return HTTP 200 with that same record. Partner scoping still holds — a second partner asking for this partner's member gets its OWN user back, never this one — so it is wrong data, not a cross-partner leak (§9.1 intact). Steps 1–5 all pass. Confirm with BE.</t>
  </si>
  <si>
    <t>Partner admin invites a team member and reads the team directory: POST /sa-partners-api/v1/partner/directory/users, then GET the list and GET the member by id return the same record, scoped to the caller's partnerId.</t>
  </si>
  <si>
    <t>**Setup (precondition):** SA creates + approves a partner (pending → active), a partner user logs in for a portal session.
**Test Steps:**
1. Invite a team member with every DTO field (email, firstName, lastName, role='sales').
   → Expected: HTTP 201; body carries userId + email + role.
2. Verify every field sent is echoed unchanged.
   → Expected: email/firstName/lastName/role identical to what was sent; partnerId == the session partner; role within the spec enum (admin|sales|finance|viewer); status is a non-empty string.
3. List the team (limit=50).
   → Expected: HTTP 200; envelope {statusCode, data[], total, message}; total is an int ≥ 2 (session user + invited member); the invited member is present with _id/email/role/status/firstName/lastName.
4. Verify partner scoping on the list.
   → Expected: every row's partnerId == the session partner.
5. Verify no credential material in the list.
   → Expected: no password/token/secret/credential/tempPassword key in any row (the INVITE response carries tempPassword by design; the list must not).
6. Read the session user back by id.
   → Expected: HTTP 200 and data.userId == the id requested.
**Teardown:** delete the parent partner (removes its members).
**Expected (overall):** a partner admin can invite a member and read it back, scoped to its own partner, with no credential leak.</t>
  </si>
  <si>
    <t>POST/GET - Partner team directory invalid input - Rejected with the correct code</t>
  </si>
  <si>
    <t>FAILED by design at steps 6–7 — **BUG-API-022**, the same root cause as _001 step 6: both ids return HTTP 200 with a real member record. Steps 1–5 all pass, so the BE validates the DTO correctly; only the id lookup is broken. All cases run in one pass (failures collected). Duplicate-email is deliberately NOT here — it is _008 (rule 8). Confirm with BE.</t>
  </si>
  <si>
    <t>Negative counterpart of _001: invalid invite payloads and invalid member ids on /sa-partners-api/v1/partner/directory/users.</t>
  </si>
  <si>
    <t>**Setup (precondition):** SA creates + approves a partner; a partner user logs in for a portal session.
**Test Steps:**
1. Invite without `email`.
   → Expected: HTTP 400 (required by DirectoryInvitePartnerUserDto).
2. Invite without `firstName`.
   → Expected: HTTP 400.
3. Invite without `lastName`.
   → Expected: HTTP 400.
4. Invite with role='wizard' (outside the spec enum).
   → Expected: HTTP 400 naming the allowed values.
5. Invite with email='not-an-email'.
   → Expected: HTTP 400 "email must be an email".
6. GET a ghost userId (well-formed ObjectId that does not exist).
   → Expected: HTTP 404 not-found. Self-proving — the endpoint under test is the one that must report it, so no source-service GET is needed.
7. GET a malformed userId ('not-an-id').
   → Expected: HTTP 400 invalid-id.
**Teardown:** delete the parent partner.
**Expected (overall):** every invalid input refused with a 4xx that names the problem; never a 5xx.</t>
  </si>
  <si>
    <t>GET - Team member deals and commissions - Own records returned and scoped</t>
  </si>
  <si>
    <t>§4.10, §4.5, §4.7</t>
  </si>
  <si>
    <t>FAILED by design at step 5 — **BUG-API-023**. `GET /directory/users/{userId}/deals` ignores BOTH parameters: a member who registered nothing returns the partner's deals, a ghost userId returns them too, and passing another partner's `partnerId` still returns this partner's rows. The deal record carries **no registeredBy/createdBy field at all**, so per-member attribution may be missing from the data model rather than the filter being broken — ask BE which it is. **Step 4 PASSES**: partner scoping via the JWT holds, so there is no cross-partner leak. Steps 1–4 all pass. Confirm with BE.</t>
  </si>
  <si>
    <t>The two per-member rollups: GET /sa-partners-api/v1/partner/directory/users/{userId}/deals and /commissions, both requiring a `partnerId` query. Asserts the envelope, that a registered deal is reachable, that the rollup discriminates between members, and that another partner cannot read these rows by passing this partner's id in the query.</t>
  </si>
  <si>
    <t>**Setup (precondition):** SA creates + approves a partner; a partner user logs in for a portal session; invite one member who registers nothing; the session user registers one deal.
**Test Steps:**
1. GET the session user's deals (partnerId required).
   → Expected: HTTP 200; envelope {statusCode, data[], total, message}; total an int; the deal just registered is present.
2. Verify the deal row is well-formed and partner-scoped.
   → Expected: _id/partnerId/dealType/status/prospectName present; partnerId == the session partner; status within the enum (registered|approved|in_progress|won|lost|expired|rejected); no password/token/secret/credential/tempPassword key.
3. GET the member's commissions.
   → Expected: HTTP 200; data[] a list; total an int. An EMPTY ledger is valid — commission rows are created downstream when a deal is WON.
4. A SECOND partner passes THIS partnerId in the query.
   → Expected: an empty list. The JWT must bound the result, not the query parameter.
5. Compare the session user's rollup against the member's.
   → Expected: different row sets — the member registered nothing.
6. Pass another partner's id as `partnerId` from this session.
   → Expected: an empty list.
**Teardown:** delete both partners.
**Expected (overall):** per-member rollups return that member's records, scoped by the JWT.</t>
  </si>
  <si>
    <t>GET - Team member deals/commissions invalid - Rejected with the correct code</t>
  </si>
  <si>
    <t>FAILED by design at steps 4–5 — **BUG-API-023**, same root cause as _003. Both ids answer HTTP 200 instead of 404/400, so a member that does not exist reads as one that simply has no records. This partner has no deals, so nothing was disclosed in THIS test; _003 shows the same call returning another member's deals when there are any. Steps 1–3 pass, so the BE validates `partnerId` and the status enum correctly. Confirm with BE.</t>
  </si>
  <si>
    <t>Negative counterpart of _003: the required `partnerId` query missing, an invalid status enum, and ghost / malformed ids in both the path and the query.</t>
  </si>
  <si>
    <t>**Setup (precondition):** SA creates + approves a partner; a partner user logs in for a portal session. No deal is registered — this TC is about rejection, not data.
**Test Steps:**
1. GET deals, then commissions, omitting `partnerId`.
   → Expected: HTTP 400 on both ("partnerId must be a mongodb id").
2. GET deals with status='bogus'.
   → Expected: HTTP 400 whose body lists every allowed value.
3. GET deals with partnerId='not-an-id'.
   → Expected: HTTP 400.
4. GET deals for a ghost userId, then a malformed one.
   → Expected: HTTP 404 and HTTP 400. Self-proving — the endpoint under test is the one that must report it.
5. GET deals with a ghost `partnerId`.
   → Expected: HTTP 404, and never this partner's rows.
**Teardown:** delete the parent partner.
**Expected (overall):** every invalid input refused with a 4xx that names the problem; never a 5xx.</t>
  </si>
  <si>
    <t>PARTNER_API_PARTNER_TEAM_005</t>
  </si>
  <si>
    <t>POST - Team member reset-password and unlock - Accepted, ghost id refused</t>
  </si>
  <si>
    <t>§4.10, §9.1</t>
  </si>
  <si>
    <t>PASSED. Unlike the read endpoints in _001/_003, this pair HONOURS the `{userId}` path parameter. The lockout threshold is not specified in the PRD (§9.1 does not mention lockout) — 4 attempts / 30 minutes is what staging does today, so a change there will surface as a failure at step 5 rather than silently.</t>
  </si>
  <si>
    <t>A partner admin resets a team member's password and unlocks a locked member: POST /sa-partners-api/v1/partner/directory/users/{userId}/reset-password and /unlock. Both are verified by their EFFECT on login, not by the 2xx alone — the invite's `tempPassword` is the member's real login password, so the suite can prove the old one stopped working and the new one works. No mailbox access is needed.</t>
  </si>
  <si>
    <t>**Setup (precondition):** SA creates + approves a partner; a partner user logs in for a portal session; invite a THROWAWAY member used by this TC alone (capture userId, email, tempPassword). Never the shared portal account — locking or resetting that one breaks every other partner test for 30 minutes.
**Test Steps:**
1. Log in as the invited member with the invite `tempPassword`.
   → Expected: HTTP 200. A failure here is a broken precondition, not a defect in the feature.
2. Reset the member's password.
   → Expected: HTTP 200; body carries a `tempPassword` that DIFFERS from the invite one, and `userId` == the member asked for.
3. Log in with the OLD password.
   → Expected: HTTP 401 — the reset actually took effect.
4. Log in with the NEW password.
   → Expected: HTTP 200 — the credential handed back is usable.
5. Send wrong passwords until the account locks.
   → Expected: the account locks; measured 2026-09-17 the 4th consecutive wrong password answers "Too many failed login attempts. Try again in 30 minutes."
6. Log in with the CORRECT password while locked.
   → Expected: refused — the lockout is not cosmetic.
7. Unlock the member.
   → Expected: HTTP 200, `userId` == the member asked for.
8. Log in with the correct password again.
   → Expected: HTTP 200 — the lockout was cleared.
**Teardown:** delete the parent partner (removes the throwaway member).
**Expected (overall):** both actions do what they report: the old credential dies, the new one works, and a locked member can log in again only after unlock.</t>
  </si>
  <si>
    <t>PARTNER_API_PARTNER_TEAM_006</t>
  </si>
  <si>
    <t>GET - Referral links - Default user and campaign links are returned</t>
  </si>
  <si>
    <t>§4.10, §8.5</t>
  </si>
  <si>
    <t>Renamed from `PARTNER_API_TEAM_REFERRAL_LINKS_001`. Referral endpoints absent from the deployed spec (confirmed 2026-06-30: 0 referral paths; still absent in the 101 routes of `v26 @ 0b35609`, 2026-09-16). GET /v1/partner/referral-links not implemented. Unblock when BE ships the referral-links API.</t>
  </si>
  <si>
    <t>PARTNER_API_PARTNER_TEAM_007</t>
  </si>
  <si>
    <t>POST - Campaign referral link - Unique tracking link is created</t>
  </si>
  <si>
    <t>§4.10, §8.4, §8.5</t>
  </si>
  <si>
    <t>Renamed from `PARTNER_API_TEAM_REFERRAL_LINKS_002`. POST /v1/partner/referral-links (create campaign tracking link) not implemented. Note also that §3-E and §8.4 (Referral Attribution) are marked **Rejected / On Hold** in `partner_requirement.xlsx`, so this may not be built at all.</t>
  </si>
  <si>
    <t>PARTNER_API_PARTNER_TEAM_008</t>
  </si>
  <si>
    <t>POST - Invite the same email twice - Rejected with 409, no duplicate member</t>
  </si>
  <si>
    <t>PASSED. Its own TC rather than a trailing step of _001: a duplicate failing there would paint the whole create path red and read like "invite is broken".</t>
  </si>
  <si>
    <t>Inviting the same email twice is rejected and creates no second member (rule 8, duplicate/idempotency for a POST that creates a resource).</t>
  </si>
  <si>
    <t>**Setup (precondition):** SA creates + approves a partner; a partner user logs in for a portal session.
**Test Steps:**
1. Invite a team member.
   → Expected: HTTP 201 with a userId.
2. Invite the SAME email again.
   → Expected: HTTP 409 Conflict, "A partner user with email ... already exists" (probed 2026-09-16).
3. List the team and count members with that email.
   → Expected: exactly 1 — a 409 that still wrote a row would be the worse bug.
**Teardown:** delete the parent partner.
**Expected (overall):** the duplicate is refused with 409 and the directory is unchanged.</t>
  </si>
  <si>
    <t>PARTNER_API_PARTNER_TEAM_009</t>
  </si>
  <si>
    <t>POST - reset-password / unlock invalid target and repeat - Refused, repeat as designed</t>
  </si>
  <si>
    <t>PASSED. Rule 8's 409-or-idempotent formula does **not** apply — neither endpoint creates a resource, so a repeat is a mutating action whose correct behaviour was probed rather than assumed (2026-09-17: reset re-issues, unlock no-ops). A ghost userId is refused with **400** rather than 404; that is the service-wide ghost-id convention (the shared `Method.findById` raises `BadRequestException`) and is tracked as a family, not re-filed per endpoint — this TC asserts the refusal and the not-found message, which is the part that protects the caller.</t>
  </si>
  <si>
    <t>Negative counterpart of _005: a ghost userId, a malformed userId, and what a REPEAT of each action does.</t>
  </si>
  <si>
    <t>**Setup (precondition):** SA creates + approves a partner; a partner user logs in for a portal session; invite a throwaway member.
**Test Steps:**
1. reset-password and unlock with a ghost userId.
   → Expected: refused with a not-found message on both. Self-proving — the endpoint under test is the one that must report it.
2. reset-password and unlock with a malformed userId.
   → Expected: HTTP 400 "Invalid id" on both.
3. Reset twice in a row, then try the FIRST password.
   → Expected: the two resets return different passwords, and the first no longer authenticates — a re-issued credential supersedes the previous one.
4. Unlock twice on a member that is not locked.
   → Expected: a no-op, never a 5xx and never a refusal — clearing nothing is not an error.
**Teardown:** delete the parent partner.
**Expected (overall):** invalid targets are refused, and repeating either action behaves as designed.</t>
  </si>
  <si>
    <t>PARTNER_API_RESOURCES_SANDBOX_001</t>
  </si>
  <si>
    <t>Seed - Sandbox reset request - Reset event is emitted and profile is applied</t>
  </si>
  <si>
    <t>BLOCKED — sandbox endpoints absent from the deployed spec (confirmed 2026-06-30: 0 sandbox paths). No API to request a sandbox reset / apply a profile. Unblock when BE ships the sandbox module.</t>
  </si>
  <si>
    <t>PARTNER_API_RESOURCES_SANDBOX_002</t>
  </si>
  <si>
    <t>Skip - Weekly sandbox auto-reset default off - Scheduled reset does not run unless enabled</t>
  </si>
  <si>
    <t>§4.9, §12.1 B5</t>
  </si>
  <si>
    <t>BLOCKED — sandbox endpoints absent (0 sandbox paths, 2026-06-30); also a scheduled CRON (weekly auto-reset, default off). No API to trigger/observe. Unblock when BE ships sandbox + a job trigger.</t>
  </si>
  <si>
    <t>PARTNER_API_RESOURCES_SANDBOX_003</t>
  </si>
  <si>
    <t>Complete - Sandbox reset within 5 minutes - Selected profile collections are reseeded</t>
  </si>
  <si>
    <t>BLOCKED — sandbox endpoints absent (0 sandbox paths, 2026-06-30). No API to run a profile reseed (SMB/Mid-market/Enterprise) or assert the ≤5-min completion.</t>
  </si>
  <si>
    <t>Platform &amp; Integrations</t>
  </si>
  <si>
    <t>Dashboard Data</t>
  </si>
  <si>
    <t>§4.3, §8.5</t>
  </si>
  <si>
    <t xml:space="preserve"> PASSED — verified 2026-06-25. PARTNER-PORTAL endpoint (partner JWT; SA token → 401). Session minted self-contained from SA side (create+approve partner, invite, partner login). KPI sections partner/deals/commissions. No params (no input-negative; 401 auth → Auth feature). No sa-plans dependency</t>
  </si>
  <si>
    <t>Verify GET /v1/partner/portal/dashboard (partner JWT) returns 200 + KPI schema (partner tier/status/openDealsCount + deals + commissions), no sensitive leak</t>
  </si>
  <si>
    <t>**Setup (precondition):** Mint a partner-portal session (SA creates + approves a partner, invites a user, logs in as that user → partner JWT).
**Test Steps:**
1. GET the partner dashboard.
   → Expected: HTTP 200; envelope {statusCode, data{}, message}; `data` is a non-empty object.
2. Verify the KPI schema + no sensitive leak.
   → Expected: `data` has 'partner' (tier/status/openDealsCount), 'deals', 'commissions' sections; no password/token/secret/credential key.
**Teardown:** close the portal session; delete the partner.
**Expected (overall):** Partner dashboard returns the well-formed KPI schema with no credential leak.</t>
  </si>
  <si>
    <t>PARTNER_API_DASHBOARD_DATA_002</t>
  </si>
  <si>
    <t>GET - Own pipeline KPIs - Scoped, counted, no SA-only fields</t>
  </si>
  <si>
    <t>PASSED. Step 3 is the load-bearing one: byProvisioningState is SA-only (AC-19/AC-20, §2.1) and must not reach a partner - it exposes the internal provisioning watchdog, including how many tenants are OVERDUE. The published Swagger example DOES show the field on this route because both surfaces share one response DTO, so the spec says the opposite of the rule; measured 2026-09-24 the implementation is right and the example is misleading. Step 4 proves the aggregate is computed rather than stubbed: registering one deal moves total and the matching byStatus bucket to exactly 1 and the buckets sum to total.</t>
  </si>
  <si>
    <t>GET /v1/partner/portal/deals/stats. A fresh partner starts at zero across the board, then registers one deal and the counters must move by exactly one. Also asserts that byProvisioningState is absent from this surface.</t>
  </si>
  <si>
    <t>PARTNER_API_DASHBOARD_DATA_003</t>
  </si>
  <si>
    <t>GET - Own pipeline KPIs invalid filter - Rejected</t>
  </si>
  <si>
    <t>PASSED. status='bogus' -&amp;gt; 400 listing all seven statuses. An unmatched search -&amp;gt; 200 with a zeroed aggregate that is still fully zero-filled, never an error: a dashboard has to be able to tell 'no results' from 'request failed', and dropping the buckets would make it render blanks instead of zeros.</t>
  </si>
  <si>
    <t>Negative counterpart of _002: a status outside the enum, and a search matching nothing.</t>
  </si>
  <si>
    <t>CRM Integration</t>
  </si>
  <si>
    <t>§6.1, §6.2, §6.3</t>
  </si>
  <si>
    <t>BLOCKED — downstream CRM connector. "Deal registered event → dogfood CRM opportunity created" is consumed by the connectors/CRM service, not reachable from this domain. The API-observable event (audit-log) is covered by DEAL_010; CRM-side effect is out of scope here. Unblock when CRM verification is exposed to QA.</t>
  </si>
  <si>
    <t>6.1</t>
  </si>
  <si>
    <t>PARTNER_API_CRM_INTEGRATION_002</t>
  </si>
  <si>
    <t>Sync - Deal protection extended event - CRM opportunity meta is updated</t>
  </si>
  <si>
    <t>§6.2, §5.2</t>
  </si>
  <si>
    <t>BLOCKED — downstream CRM connector ("deal protection extended → CRM opportunity meta updated"). CRM side not reachable from this domain. (T fixed to 6.1.)</t>
  </si>
  <si>
    <t>PARTNER_API_CRM_INTEGRATION_003</t>
  </si>
  <si>
    <t>Sync - Deal lost event - CRM opportunity closed lost with close reason</t>
  </si>
  <si>
    <t>BLOCKED — downstream CRM connector ("deal lost → CRM Close Lost + close reason"). CRM side not reachable here. (T fixed to 6.1.)</t>
  </si>
  <si>
    <t>PARTNER_API_CRM_INTEGRATION_004</t>
  </si>
  <si>
    <t>Sync - Deal expired event - CRM opportunity marked stale and SA task created</t>
  </si>
  <si>
    <t xml:space="preserve">	§6.2, §5.2, §8.4</t>
  </si>
  <si>
    <t>BLOCKED — downstream CRM connector + expiry CRON ("deal expired → CRM mark stale + SA task"). Neither the CRON trigger nor the CRM side is reachable here. (T fixed to 6.1.)</t>
  </si>
  <si>
    <t>PARTNER_API_CRM_INTEGRATION_005</t>
  </si>
  <si>
    <t>Sync - Client health alert event - CRM task created on account</t>
  </si>
  <si>
    <t xml:space="preserve">	§6.2, §4.6</t>
  </si>
  <si>
    <t>BLOCKED — downstream CRM connector ("client.health_alert → CRM task"). Depends on the MSP/client-health module (also absent) + the CRM connector. (T fixed to 6.1.)</t>
  </si>
  <si>
    <t>Event Architecture</t>
  </si>
  <si>
    <t>§8.3</t>
  </si>
  <si>
    <t>BLOCKED — Kafka envelope/metadata is an internal event-bus property with no API to inspect it directly. Event presence is partially observable via the SA audit log (covered by DEAL_010 / AUDIT_LOG_*), but the literal "Kafka standard envelope" assertion isn't API-verifiable. Re-scope to the audit-log envelope, or verify via BE/infra.</t>
  </si>
  <si>
    <t>8.3</t>
  </si>
  <si>
    <t>Partner Portal</t>
  </si>
  <si>
    <t>PARTNER_API_PARTNER_PORTAL_001</t>
  </si>
  <si>
    <t>GET - Partner gets own account profile - Details returned</t>
  </si>
  <si>
    <t>§4.1</t>
  </si>
  <si>
    <t>PASSED — verified 2026-06-25. GET /v1/partner/portal/profile (partner JWT) → own account profile (code/email/tier/status), no sensitive key. No params (no input-negative; 401 → Auth feature).</t>
  </si>
  <si>
    <t>Partner retrieves its own account profile: GET /partner/portal/profile.</t>
  </si>
  <si>
    <t>**Test Steps:**
1. GET own profile.
   → Expected: HTTP 200; `data` is the logged-in partner's account (id==own, code/email/tier/status present); no password/token/secret/credential key.
**Teardown:** close the portal session; delete the partner.
**Expected (overall):** Own profile returned, no credential leak.</t>
  </si>
  <si>
    <t>PARTNER_API_PARTNER_PORTAL_002</t>
  </si>
  <si>
    <t>GET - Partner retrieves own deal by ID - Full deal record returned</t>
  </si>
  <si>
    <t>PASSED — verified 2026-06-30. GET /v1/partner/portal/deals/{id} → 200, full own deal record (partnerId == own), no sensitive leak. Negative in _012.</t>
  </si>
  <si>
    <t>Validate the backend/API contract for retrieving a partner deal by ID so that the full deal detail including timeline, BlazeUp rep, commission projection, and protection status are returned.</t>
  </si>
  <si>
    <t>**Setup (precondition):** Mint a partner-portal session; the partner registers a deal via POST /partner/portal/deals; capture its id.
**Test Steps:**
1. GET the own deal by id.
   → Expected: HTTP 200; the returned id matches; partnerId == the logged-in partner; dealType/prospectName/status present.
**Teardown:** close the portal session; delete the partner.
**Expected (overall):** A partner can read the full record of its own deal.</t>
  </si>
  <si>
    <t>PARTNER_API_PARTNER_PORTAL_003</t>
  </si>
  <si>
    <t>GET - Partner gets own certifications - Active certs listed</t>
  </si>
  <si>
    <t>PASSED — verified 2026-06-25. GET /v1/partner/portal/certifications → own active certs (status + earnedAt/expiresAt). Negative in _013.</t>
  </si>
  <si>
    <t>Partner retrieves its own certifications: GET /partner/portal/certifications.</t>
  </si>
  <si>
    <t>**Setup (precondition):** Mint a partner-portal session; SA grants a sales_certified cert to the partner user.
**Test Steps:**
1. GET own certifications.
   → Expected: HTTP 200; `data` is a non-empty list.
2. Verify the granted cert appears with the right schema.
   → Expected: the granted cert is present with status + earnedAt + expiresAt.
**Teardown:** close the portal session; delete the partner.
**Expected (overall):** Own certs listed with the right schema.</t>
  </si>
  <si>
    <t>PARTNER_API_PARTNER_PORTAL_004</t>
  </si>
  <si>
    <t>GET - Partner gets own commission summary - Earned/pending/paid totals</t>
  </si>
  <si>
    <t>PASSED — verified 2026-06-25. GET /v1/partner/portal/commissions/summary → totalEarnedCents/totalPendingCents/totalPaidCents (+ clawbackExposureCents), non-negative ints.</t>
  </si>
  <si>
    <t>Partner retrieves its own commission summary: GET /partner/portal/commissions/summary.</t>
  </si>
  <si>
    <t>**Setup (precondition):** Mint a partner-portal session.
**Test Steps:**
1. GET own commission summary.
   → Expected: HTTP 200; totalEarnedCents/totalPendingCents/totalPaidCents are non-negative ints (+ clawbackExposureCents).
**Teardown:** close the portal session; delete the partner.
**Expected (overall):** Earned/pending/paid totals returned.</t>
  </si>
  <si>
    <t>PARTNER_API_PARTNER_PORTAL_005</t>
  </si>
  <si>
    <t>GET - Partner gets own territories - Territory list returned</t>
  </si>
  <si>
    <t>PASSED — verified 2026-06-25. GET /v1/partner/portal/territories → own assigned territories, scoped.</t>
  </si>
  <si>
    <t>Partner retrieves its own assigned territories: GET /partner/portal/territories.</t>
  </si>
  <si>
    <t>**Setup (precondition):** Mint a partner-portal session; SA assigns a territory (countries=[DE]) to the partner.
**Test Steps:**
1. GET own territories.
   → Expected: HTTP 200; `data` is a non-empty list; the assigned territory appears and every row is scoped to the partner (partnerId == own).
**Teardown:** close the portal session; delete the territory + partner.
**Expected (overall):** Own territories returned, scoped.</t>
  </si>
  <si>
    <t>PARTNER_API_PARTNER_PORTAL_006</t>
  </si>
  <si>
    <t>GET - Partner own deal by ID invalid - Ghost/malformed id rejected (4xx)</t>
  </si>
  <si>
    <t>§5.3, §2.1</t>
  </si>
  <si>
    <t>PASSED — verified 2026-06-25. GET /v1/partner/portal/rates → own tier commission rates (well-formed list; may be empty for the registered tier).</t>
  </si>
  <si>
    <t>Partner retrieves its own tier commission rates: GET /partner/portal/rates.</t>
  </si>
  <si>
    <t>**Setup (precondition):** Mint a partner-portal session.
**Test Steps:**
1. GET own commission rates.
   → Expected: HTTP 200; `data` is a well-formed list of tier rates (may be empty for the registered tier — WARN-skip).
**Teardown:** close the portal session; delete the partner.
**Expected (overall):** Tier-specific rates returned as a list.</t>
  </si>
  <si>
    <t>PARTNER_API_PARTNER_PORTAL_007</t>
  </si>
  <si>
    <t>GET - Partner module catalogue + team certifications - Scoped, typed, reflect state</t>
  </si>
  <si>
    <t>§4.8, §4.4</t>
  </si>
  <si>
    <t>PASSED. Step 3 exists so step 4 means something — asserting "a certification is listed" against a partner that already had one would pass without the grant working.</t>
  </si>
  <si>
    <t>A partner reads the module catalogue (GET /sa-partners-api/v1/partner/portal/modules) and its team's certifications (GET .../portal/team/certifications). The certification leg is proven by effect: the list is empty, SA grants one, and the same call then returns it.</t>
  </si>
  <si>
    <t>**Setup (precondition):** An ACTIVE partner with a portal session and no certifications yet.
**Test Steps:**
1. GET the module catalogue.
   → Expected: HTTP 200; envelope {statusCode, data[], total, message}; total &amp;gt; 0; every row carries a non-empty `_id` and `name`.
2. Filter modules by `name` using a name taken from step 1.
   → Expected: only rows with that name, and at least one row.
3. GET the team certifications before any grant.
   → Expected: total = 0 — otherwise the grant in step 4 would prove nothing.
4. SA grants `sales_certified` to the session user, then GET the team certifications again.
   → Expected: total = 1; the row carries _id/partnerId/userId/certificationType/status/earnedAt; certificationType matches; status within (active|expired|revoked); partnerId is the caller's; no password/token/secret/credential key.
5. Filter by `status`, then by `certificationType`.
   → Expected: each returns only matching rows, and not an empty page.
**Teardown:** delete the parent partner.
**Expected (overall):** both catalogue reads are partner-scoped, well-formed, and reflect state rather than merely answering 200.</t>
  </si>
  <si>
    <t>GET - Portal catalogue invalid input - Rejected; grouped view usable</t>
  </si>
  <si>
    <t>FAILED by design at steps 3–4 — **BUG-API-026**. (a) `groupByCategory=true` answers 200 with 10 rows that are each exactly `{"_id": "undefined"}` — the literal JavaScript string where an id belongs, no category name, no members; the view is unusable. (b) No pagination value is validated: `limit=-1`, `limit=0` and `page='abc'` all answer 200 with the whole catalogue. The pagination half is the same class as BUG-API-025 on `/v1/sa/deals`, but stricter here — `/sa/deals` at least refuses `limit=-1`, this endpoint refuses nothing. Steps 1–2 pass.</t>
  </si>
  <si>
    <t>Negative counterpart of _007: enum values outside the spec, a filter that matches nothing, bad pagination, and the `groupByCategory` view.</t>
  </si>
  <si>
    <t>**Setup (precondition):** An ACTIVE partner with a portal session.
**Test Steps:**
1. Team certifications with status='bogus', then certificationType='bogus'.
   → Expected: HTTP 400 on both; the status body lists active|expired|revoked.
2. Modules filtered by a name that matches nothing.
   → Expected: HTTP 200 with an empty page — no match is not an error.
3. Modules with limit=-1, limit=0, page='abc'.
   → Expected: HTTP 400 on all three.
4. Modules with groupByCategory=true.
   → Expected: rows that can be used — a category name and its members.
**Teardown:** delete the parent partner.
**Expected (overall):** invalid input is refused, an empty result is distinguished from an error, and the grouped view is usable.</t>
  </si>
  <si>
    <t>PARTNER_API_PARTNER_PORTAL_009</t>
  </si>
  <si>
    <t>GET - Deal-wizard lookups (plans, plan detail, countries) - Published/complete only</t>
  </si>
  <si>
    <t>PASSED, 7 steps. Extended 2026-09-24 from 5 steps to cover countries (P2 #6) alongside plans - same wizard, same PRD 4.4, so one TC rather than a third pair. Measured: 3 plans, editions {starter, pro, enterprise}, all published; 250 ISO countries with _id == alpha2Code and no duplicate codes; search 'viet'/'VIET'/'Viet' all narrow to Viet Nam. Step 3 is the load-bearing one - this list feeds the deal wizard, so an unpublished or bespoke plan leaking into it would be offered to partners. The plan detail route is exercised with _id, not the planId slug - see BUG-API-029 on _010.</t>
  </si>
  <si>
    <t>The three catalogues the deal-registration wizard reads: GET /portal/plans, GET /portal/plans/{id} and GET /portal/countries. Proves every plan row is a PUBLISHED standard edition, that plan keys are unique, that the detail route returns the plan the list advertised, and that the country lookup is complete and searchable.</t>
  </si>
  <si>
    <t>GET - Deal-wizard lookups invalid key / unmatched search - Rejected or empty</t>
  </si>
  <si>
    <t>FAILED by design at step 2 - BUG-API-029. Extended 2026-09-24 from 4 steps to 5 to cover the country search. Passing: ghost plan key -&amp;gt; 404 naming it; 'not-a-plan'/'%20'/'null' -&amp;gt; 400; an unmatched country search -&amp;gt; 200 with an empty list (the picker must be able to show 'no results' rather than an error). Failing: 'full-modules-ss' is the planId of a plan the catalogue returned one call earlier and it answers 400 'Invalid id', while that row's _id answers 200. A path-traversal case was deliberately dropped: 'plans/../plans' is normalised to 'plans' before the request is sent, so it would assert URL resolution rather than this endpoint.</t>
  </si>
  <si>
    <t>Negative counterpart of _009: the documented plan key, a key that matches nothing, keys that are not ids at all, and a country search that matches nothing.</t>
  </si>
  <si>
    <t>PARTNER_API_PARTNER_PORTAL_012</t>
  </si>
  <si>
    <t>PASSED — verified 2026-06-30. Negative of _002. GET /v1/partner/portal/deals/{id} with a ghost / malformed id → 4xx (BE returns 400), never 5xx, no record returned.</t>
  </si>
  <si>
    <t>Negative counterpart of _002 (own deal by id): a ghost / malformed deal id is rejected with the correct code. All cases run (failures collected).</t>
  </si>
  <si>
    <t>**Setup (precondition):** Mint a partner-portal session.
**Test Steps:** (each case = one GET /partner/portal/deals/{id})
1. Ghost id (well-formed but non-existent, 000000000000000000000000) → **404** Not Found, message "not found".
2. Malformed id ('not-an-id') → **400** Bad Request, message "invalid id".
**Teardown:** close the portal session; delete the partner.
**Expected (overall):** Non-existent id → 404; malformed id → 400; never 5xx.</t>
  </si>
  <si>
    <t>PARTNER_API_PARTNER_PORTAL_013</t>
  </si>
  <si>
    <t>GET - Own certs invalid filter - Rejected 4xx</t>
  </si>
  <si>
    <t>Negative counterpart of _003 (own certs): three invalid filters, each rejected with 400 + a clear message (never 5xx). All cases run (failures collected).</t>
  </si>
  <si>
    <t>**Setup (precondition):** Mint a partner-portal session.
**Test Steps:** (each case = one GET /partner/portal/certifications with an invalid filter)
1. Bad status enum ('bogus') → **400** 'status must be one of'.
2. Bad certificationType enum ('bogus') → **400** 'certificationType must be one of'.
3. limit over max (999999) → **400** 'must not exceed'.
**Teardown:** close the portal session; delete the partner.
**Expected (overall):** Invalid cert filter rejected with 400; never 5xx.</t>
  </si>
  <si>
    <t>Security &amp; Audit</t>
  </si>
  <si>
    <t>PASSED. Audit governance: reason-carrying SA action (tier change) → audit entry carries actor + action + correlationId (UUID) + reasoning (after.reason) + resource ref; no sensitive leak. No invalid-input negative (side-effect; audit-query negatives = AUDIT_LOG_005). Idempotency N/A.</t>
  </si>
  <si>
    <t>Every SA action writes a well-formed, correlated audit entry with actor + action + reasoning + correlationId (+ resource ref), no sensitive leak.</t>
  </si>
  <si>
    <t>**Setup (precondition):** SA creates a partner (the action target); build a unique tier-change reason.
**Test Steps:**
1. Perform a reason-carrying SA action: change the partner's tier to 'select' with a reason.
   → Expected: HTTP 200; tier == 'select'.
2. Verify the action wrote an audit entry (GET /v1/sa/audit-logs, retry up to 3× for eventual consistency).
   → Expected: an entry whose action mentions "tier" references this partner.
3. Verify the entry carries the governance fields.
   → Expected: actor (with a type, e.g. 'sa-staff'); action (non-empty string); correlationId (a UUID); reasoning captured (after.reason == the supplied reason); resource.id references the acted-on partner; no password/token/secret key.
**Teardown:** delete the parent partner.
**Expected (overall):** An SA action is fully audited — actor, action, reasoning, and a correlation ID — with a resource reference and no sensitive leak.</t>
  </si>
  <si>
    <t>PASSED. Data minimization: register deal + unnecessary PII (SSN/DOB/nationalId/passport) → 201, BE strips them (not persisted), GET confirms. BE strips silently (not 400) — both satisfy the rule; stricter 400-on-unknown-field → confirm BE. No negative (this IS the unwanted-input check); idempotency N/A.</t>
  </si>
  <si>
    <t>Prospect data minimization: registering a deal with unnecessary PII (fields not in CreateDealDto) must not persist them.</t>
  </si>
  <si>
    <t>**Setup (precondition):** SA creates a partner; pick a plan; build a deal payload that injects unnecessary PII fields (prospectSsn, prospectDateOfBirth, prospectNationalId, prospectPassportNumber).
**Test Steps:**
1. Register the deal (with the unnecessary PII fields).
   → Expected: accepted (HTTP 201, envelope statusCode 200) + server-assigned id — the BE accepts + strips (does not reject).
2. Verify the create response persists NONE of the unnecessary PII fields.
   → Expected: prospectSsn / prospectDateOfBirth / prospectNationalId / prospectPassportNumber absent from the stored deal.
3. Verify a follow-up GET confirms the PII is not stored.
   → Expected: GET /v1/sa/deals/{id} returns none of those fields.
**Teardown:** delete the parent partner.
**Expected (overall):** Unnecessary PII is not persisted (data minimization) — the "not persisted" branch of "rejected or not persisted".</t>
  </si>
  <si>
    <t>PARTNER_API_SECURITY_COMPLIANCE_003</t>
  </si>
  <si>
    <t>Residency - Partner prospect in UAE region - Data is stored in regional boundary</t>
  </si>
  <si>
    <t>BLOCKED — data residency (UAE regional storage) is an infra/region property with no API to confirm where data is stored. Verify via infra/DB review, not API.</t>
  </si>
  <si>
    <t>Audit Log</t>
  </si>
  <si>
    <t>PARTNER_API_AUDIT_LOG_001</t>
  </si>
  <si>
    <t>GET - SA lists audit log entries - Paginated, filterable log is returned</t>
  </si>
  <si>
    <t>PASSED — verified 2026-06-25. Read-only contract (GET /v1/sa/audit-logs); no setup/cleanup, no sa-plans dependency. Envelope {statusCode,data[],total,message}, total=1181</t>
  </si>
  <si>
    <t>Verify GET /v1/sa/audit-logs returns a paginated, filterable, well-formed audit trail (200 + envelope; page size ≤ limit; entry schema types; no sensitive leak; category filter matches)</t>
  </si>
  <si>
    <t>**Test Steps:**
1. GET audit-logs (page=1, limit=5).
   → Expected: HTTP 200, envelope {statusCode, data[], total, message}.
2. Check pagination.
   → Expected: returned page size ≤ limit.
3. Check each entry's schema + no sensitive leak.
   → Expected: id/action/category/severity/createdAt present with right types; actor/resource are objects; no password/token/secret keys.
4. Filter by category (taken from the first entry).
   → Expected: only entries of that category are returned.
**Expected (overall):** Audit-log list returns a correct, paginated, filterable envelope with well-formed, non-sensitive entries.</t>
  </si>
  <si>
    <t>PARTNER_API_AUDIT_LOG_002</t>
  </si>
  <si>
    <t>GET - SA retrieves audit log KPI stats - 24h action counts are returned</t>
  </si>
  <si>
    <t>§9.4, §5.5</t>
  </si>
  <si>
    <t>PASSED — verified 2026-06-25. GET /v1/sa/audit-logs/stats → {totalEvents24h, criticalEvents24h, warnings24h, uniqueActors24h, chainIntegrityPct}. Read-only, no params (no negative input), no sa-plans dependency.</t>
  </si>
  <si>
    <t>Verify GET /v1/sa/audit-logs/stats returns 200 + 24h KPI counters (non-negative ints) + chainIntegrityPct (0..100), internally consistent (critical/warnings/actors ≤ total).</t>
  </si>
  <si>
    <t>**Test Steps:**
1. GET audit-logs/stats.
   → Expected: HTTP 200, envelope {statusCode, data{}, message}.
2. Check KPI fields + types.
   → Expected: totalEvents24h/criticalEvents24h/warnings24h/uniqueActors24h are non-negative ints; chainIntegrityPct is a 0..100 percentage.
3. Check internal consistency.
   → Expected: critical/warnings/uniqueActors counts never exceed totalEvents24h.
**Expected (overall):** Stats endpoint returns well-typed, internally-consistent 24h KPIs.</t>
  </si>
  <si>
    <t>PARTNER_API_AUDIT_LOG_003</t>
  </si>
  <si>
    <t>GET - SA exports audit log - CSV or JSON file returned (max 10000 rows)</t>
  </si>
  <si>
    <t>PASSED — verified 2026-06-25. GET /v1/sa/audit-logs/export, format enum [csv,json] default csv; ≤10000 rows. No sa-plans dependency</t>
  </si>
  <si>
    <t>Verify GET /v1/sa/audit-logs/export returns a downloadable JSON array (application/json) or CSV file (text/csv), defaults to CSV, within the 10000-row cap</t>
  </si>
  <si>
    <t>**Test Steps:**
1. Export format=json.
   → Expected: 200, content-type application/json, body is a JSON array; ≤10000 rows; each row has _id/action/category/severity/createdAt.
2. Export format=csv.
   → Expected: 200, content-type text/csv, header row carries audit columns.
3. No format param.
   → Expected: 200, defaults to CSV.
**Expected (overall):** Audit-log export returns a well-formed JSON or CSV file (default CSV), within the 10000-row cap.</t>
  </si>
  <si>
    <t>PARTNER_API_AUDIT_LOG_004</t>
  </si>
  <si>
    <t>GET - SA retrieves single audit log entry by ID - Full entry detail is returned</t>
  </si>
  <si>
    <t>PASSED — verified 2026-06-25. GET /v1/sa/audit-logs/{id} → full entry envelope. Read-only, no sa-plans dependency</t>
  </si>
  <si>
    <t>Verify GET /v1/sa/audit-logs/{id} returns 200 with the full entry (id matches; action/category/severity/createdAt; actor/resource objects), no sensitive leak</t>
  </si>
  <si>
    <t>**Test Steps:**
1. List with limit=1 to pick a real entry id.
   → Expected: an entry with an _id (skip if the log is empty).
2. GET audit-logs/{id}.
   → Expected: 200; data._id matches; action/category/severity/createdAt present; actor/resource are objects; no sensitive key.
**Expected (overall):** Get-by-id returns the full, well-formed entry with no sensitive leak.</t>
  </si>
  <si>
    <t>PARTNER_API_AUDIT_LOG_005</t>
  </si>
  <si>
    <t>GET - List audit logs invalid pagination/filter - Graceful 4xx, never 5xx</t>
  </si>
  <si>
    <t>PASSED — verified 2026-06-25. Negative of _001. BE validates all params (no sa-plans dependency): page/limit ≥1, limit ≤100, severity/category/actorType enums, dateFrom/dateTo ISO 8601. dateFrom&gt;dateTo → 200 empty (graceful).</t>
  </si>
  <si>
    <t>Negative counterpart of _001 (audit-log list): eleven invalid pagination/filter inputs each rejected with 400 (never 5xx), plus a logically-empty-but-valid range handled gracefully. All cases run (failures collected).</t>
  </si>
  <si>
    <t>**Test Steps:** (each case = one GET /v1/sa/audit-logs with the param under test)
1. page=0 → **400** 'page must not be less than 1'.
2. page=-1 → **400** 'page must not be less than 1'.
3. limit=0 → **400** 'limit must not be less than 1'.
4. limit=-5 → **400** 'limit must not be less than 1'.
5. limit over max (999999) → **400** 'limit must not be greater than 100'.
6. page non-numeric ('abc') → **400** 'page must be an integer'.
7. Invalid severity ('bogus') → **400** 'severity must be one of'.
8. Invalid category ('bogus') → **400** 'category must be one of'.
9. Invalid actorType ('bogus') → **400** 'actorType must be one of'.
10. Bad dateFrom ('31-12-2026') → **400** 'dateFrom must be a valid ISO…'.
11. Bad dateTo ('not-a-date') → **400** 'dateTo must be a valid ISO…'.
12. Empty-but-valid range (dateFrom &gt; dateTo) → handled gracefully (&lt; 500; 200 empty, not an error).
**Expected (overall):** Every invalid pagination/filter → 400 (never 5xx); a valid empty range returns gracefully.</t>
  </si>
  <si>
    <t>PARTNER_API_AUDIT_LOG_006</t>
  </si>
  <si>
    <t>GET - Export audit log invalid format/filter - Rejected (4xx, never 5xx)</t>
  </si>
  <si>
    <t>PASSED — verified 2026-06-25. Negative of _003. format/severity/category/actorType/retentionClass out-of-enum + bad date → 400. No sa-plans dependency</t>
  </si>
  <si>
    <t>Negative counterpart of _003 (audit-log export): seven invalid format/filter inputs, each rejected with 400 + a clear message (never 5xx). All cases run (failures collected).</t>
  </si>
  <si>
    <t>**Test Steps:** (each case = one GET /v1/sa/audit-logs/export with the param under test)
1. Bogus format ('bogus') → **400** 'format must be one of'.
2. Invalid severity ('bogus') → **400** 'severity must be one of'.
3. Invalid category ('bogus') → **400** 'category must be one of'.
4. Invalid actorType ('bogus') → **400** 'actorType must be one of'.
5. Invalid retentionClass ('bogus') → **400** 'retentionClass must be one of'.
6. Bad dateFrom ('31-12-2026') → **400** 'dateFrom must be a valid ISO…'.
7. Bad dateTo ('not-a-date') → **400** 'dateTo must be a valid ISO…'.
**Expected (overall):** Every invalid export format/filter is rejected with 400 (never 5xx).</t>
  </si>
  <si>
    <t>PARTNER_API_AUDIT_LOG_007</t>
  </si>
  <si>
    <t>GET - Get audit entry invalid id - Rejected (404 ghost / 400 malformed)</t>
  </si>
  <si>
    <t>PASSED — verified 2026-06-25. Negative of _004. Ghost id → 404 "not found"; malformed → 400 "Invalid id". Self-proving, no sa-plans dependency.</t>
  </si>
  <si>
    <t>erify GET /v1/sa/audit-logs/{id} rejects a non-existent id (404) and a malformed id (400); never 5xx.</t>
  </si>
  <si>
    <t>**Test Steps:**
1. GET audit-logs/{ghost id}.
   → Expected: 404 'Audit log entry ... not found'.
2. GET audit-logs/{malformed id}.
   → Expected: 400 'Invalid id'.
**Expected (overall):** Non-existent id → 404, malformed id → 400; never 5xx.</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</si>
</sst>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
    <numFmt numFmtId="165" formatCode="yyyy-mm-dd"/>
  </numFmts>
  <fonts count="34">
    <font>
      <sz val="11.0"/>
      <color theme="1"/>
      <name val="Calibri"/>
      <scheme val="minor"/>
    </font>
    <font>
      <b/>
      <sz val="14.0"/>
      <color theme="1"/>
      <name val="Arial"/>
    </font>
    <font>
      <b/>
      <sz val="12.0"/>
      <color rgb="FF000000"/>
      <name val="Arial"/>
    </font>
    <font/>
    <font>
      <sz val="11.0"/>
      <color theme="1"/>
      <name val="Calibri"/>
    </font>
    <font>
      <sz val="11.0"/>
      <color rgb="FF000000"/>
      <name val="Calibri"/>
    </font>
    <font>
      <b/>
      <sz val="10.0"/>
      <color theme="1"/>
      <name val="Arial"/>
    </font>
    <font>
      <sz val="9.0"/>
      <color theme="1"/>
      <name val="Arial"/>
    </font>
    <font>
      <b/>
      <sz val="9.0"/>
      <color theme="1"/>
      <name val="Arial"/>
    </font>
    <font>
      <sz val="10.0"/>
      <color rgb="FF000000"/>
      <name val="Arial"/>
    </font>
    <font>
      <sz val="11.0"/>
      <color rgb="FF000000"/>
      <name val="Arial"/>
    </font>
    <font>
      <sz val="10.0"/>
      <color theme="1"/>
      <name val="Arial"/>
    </font>
    <font>
      <b/>
      <sz val="11.0"/>
      <color theme="1"/>
      <name val="Arial"/>
    </font>
    <font>
      <b/>
      <sz val="14.0"/>
      <color rgb="FFFFFFFF"/>
      <name val="Arial"/>
    </font>
    <font>
      <b/>
      <sz val="10.0"/>
      <color rgb="FFFFFFFF"/>
      <name val="Arial"/>
    </font>
    <font>
      <sz val="10.0"/>
      <color rgb="FF222222"/>
      <name val="Arial"/>
    </font>
    <font>
      <sz val="11.0"/>
      <color rgb="FF0A0A0A"/>
      <name val="Arial"/>
    </font>
    <font>
      <b/>
      <sz val="11.0"/>
      <color rgb="FF000000"/>
      <name val="Arial"/>
    </font>
    <font>
      <b/>
      <sz val="12.0"/>
      <color rgb="FFFFFFFF"/>
      <name val="Arial"/>
    </font>
    <font>
      <b/>
      <sz val="10.0"/>
      <color rgb="FF000000"/>
      <name val="Arial"/>
    </font>
    <font>
      <sz val="11.0"/>
      <color theme="1"/>
      <name val="Arial"/>
    </font>
    <font>
      <b/>
      <sz val="11.0"/>
      <color rgb="FF000000"/>
      <name val="Calibri"/>
    </font>
    <font>
      <sz val="9.0"/>
      <color rgb="FF888888"/>
      <name val="Arial"/>
    </font>
    <font>
      <b/>
      <sz val="10.0"/>
      <color rgb="FF1E3A5F"/>
      <name val="Arial"/>
    </font>
    <font>
      <sz val="10.0"/>
      <color rgb="FF444444"/>
      <name val="Arial"/>
    </font>
    <font>
      <i/>
      <sz val="9.0"/>
      <color rgb="FF008F80"/>
      <name val="Arial"/>
    </font>
    <font>
      <u/>
      <sz val="11.0"/>
      <color rgb="FF000000"/>
      <name val="Arial"/>
    </font>
    <font>
      <color theme="1"/>
      <name val="Calibri"/>
      <scheme val="minor"/>
    </font>
    <font>
      <b/>
      <sz val="11.0"/>
      <color rgb="FF0A0A0A"/>
      <name val="Arial"/>
    </font>
    <font>
      <sz val="10.0"/>
      <color theme="1"/>
      <name val="Calibri"/>
    </font>
    <font>
      <b/>
      <sz val="13.0"/>
      <color rgb="FFFFFFFF"/>
      <name val="Arial"/>
    </font>
    <font>
      <b/>
      <sz val="11.0"/>
      <color rgb="FFFFFFFF"/>
      <name val="Arial"/>
    </font>
    <font>
      <b/>
      <sz val="10.0"/>
      <color rgb="FF2E6DA4"/>
      <name val="Arial"/>
    </font>
    <font>
      <b/>
      <color theme="1"/>
      <name val="Calibri"/>
      <scheme val="minor"/>
    </font>
  </fonts>
  <fills count="24">
    <fill>
      <patternFill patternType="none"/>
    </fill>
    <fill>
      <patternFill patternType="lightGray"/>
    </fill>
    <fill>
      <patternFill patternType="solid">
        <fgColor rgb="FF008F80"/>
        <bgColor rgb="FF008F80"/>
      </patternFill>
    </fill>
    <fill>
      <patternFill patternType="solid">
        <fgColor rgb="FF1E3A5F"/>
        <bgColor rgb="FF1E3A5F"/>
      </patternFill>
    </fill>
    <fill>
      <patternFill patternType="solid">
        <fgColor rgb="FF3498DB"/>
        <bgColor rgb="FF3498DB"/>
      </patternFill>
    </fill>
    <fill>
      <patternFill patternType="solid">
        <fgColor rgb="FFFFFFFF"/>
        <bgColor rgb="FFFFFFFF"/>
      </patternFill>
    </fill>
    <fill>
      <patternFill patternType="solid">
        <fgColor rgb="FF00B050"/>
        <bgColor rgb="FF00B050"/>
      </patternFill>
    </fill>
    <fill>
      <patternFill patternType="solid">
        <fgColor rgb="FFFFFF99"/>
        <bgColor rgb="FFFFFF99"/>
      </patternFill>
    </fill>
    <fill>
      <patternFill patternType="solid">
        <fgColor rgb="FFFF0000"/>
        <bgColor rgb="FFFF0000"/>
      </patternFill>
    </fill>
    <fill>
      <patternFill patternType="solid">
        <fgColor rgb="FFD6E4F0"/>
        <bgColor rgb="FFD6E4F0"/>
      </patternFill>
    </fill>
    <fill>
      <patternFill patternType="solid">
        <fgColor rgb="FFF9A825"/>
        <bgColor rgb="FFF9A825"/>
      </patternFill>
    </fill>
    <fill>
      <patternFill patternType="solid">
        <fgColor rgb="FF808080"/>
        <bgColor rgb="FF808080"/>
      </patternFill>
    </fill>
    <fill>
      <patternFill patternType="solid">
        <fgColor rgb="FF2E6DA4"/>
        <bgColor rgb="FF2E6DA4"/>
      </patternFill>
    </fill>
    <fill>
      <patternFill patternType="solid">
        <fgColor rgb="FFFFF9C4"/>
        <bgColor rgb="FFFFF9C4"/>
      </patternFill>
    </fill>
    <fill>
      <patternFill patternType="solid">
        <fgColor rgb="FFE0F5F3"/>
        <bgColor rgb="FFE0F5F3"/>
      </patternFill>
    </fill>
    <fill>
      <patternFill patternType="solid">
        <fgColor rgb="FFF4B942"/>
        <bgColor rgb="FFF4B942"/>
      </patternFill>
    </fill>
    <fill>
      <patternFill patternType="solid">
        <fgColor rgb="FF1F3864"/>
        <bgColor rgb="FF1F3864"/>
      </patternFill>
    </fill>
    <fill>
      <patternFill patternType="solid">
        <fgColor rgb="FF888888"/>
        <bgColor rgb="FF888888"/>
      </patternFill>
    </fill>
    <fill>
      <patternFill patternType="solid">
        <fgColor rgb="FFDCFCE7"/>
        <bgColor rgb="FFDCFCE7"/>
      </patternFill>
    </fill>
    <fill>
      <patternFill patternType="solid">
        <fgColor rgb="FF00FFFF"/>
        <bgColor rgb="FF00FFFF"/>
      </patternFill>
    </fill>
    <fill>
      <patternFill patternType="solid">
        <fgColor rgb="FFF5F5F5"/>
        <bgColor rgb="FFF5F5F5"/>
      </patternFill>
    </fill>
    <fill>
      <patternFill patternType="solid">
        <fgColor rgb="FFC0392B"/>
        <bgColor rgb="FFC0392B"/>
      </patternFill>
    </fill>
    <fill>
      <patternFill patternType="solid">
        <fgColor rgb="FFFFC000"/>
        <bgColor rgb="FFFFC000"/>
      </patternFill>
    </fill>
    <fill>
      <patternFill patternType="solid">
        <fgColor theme="4"/>
        <bgColor theme="4"/>
      </patternFill>
    </fill>
  </fills>
  <borders count="21">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top style="thin">
        <color rgb="FF000000"/>
      </top>
    </border>
    <border>
      <left style="thin">
        <color rgb="FF000000"/>
      </left>
      <bottom style="thin">
        <color rgb="FF000000"/>
      </bottom>
    </border>
    <border>
      <left style="thin">
        <color rgb="FF000000"/>
      </left>
      <right style="thin">
        <color rgb="FF000000"/>
      </right>
      <bottom style="thin">
        <color rgb="FF000000"/>
      </bottom>
    </border>
    <border>
      <left/>
      <top/>
      <bottom/>
    </border>
    <border>
      <top/>
      <bottom/>
    </border>
    <border>
      <left style="thin">
        <color rgb="FFCCCCCC"/>
      </left>
      <right style="thin">
        <color rgb="FFCCCCCC"/>
      </right>
      <top style="thin">
        <color rgb="FFCCCCCC"/>
      </top>
      <bottom style="thin">
        <color rgb="FFCCCCCC"/>
      </bottom>
    </border>
    <border>
      <left style="thin">
        <color rgb="FF000000"/>
      </left>
      <right style="thin">
        <color rgb="FF000000"/>
      </right>
    </border>
    <border>
      <right style="thin">
        <color rgb="FFD9D9D9"/>
      </right>
      <bottom style="thin">
        <color rgb="FFD9D9D9"/>
      </bottom>
    </border>
    <border>
      <left style="thin">
        <color rgb="FFD9D9D9"/>
      </left>
      <right style="thin">
        <color rgb="FFD9D9D9"/>
      </right>
      <bottom style="thin">
        <color rgb="FFD9D9D9"/>
      </bottom>
    </border>
    <border>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left/>
      <right/>
      <top/>
      <bottom/>
    </border>
    <border>
      <left style="thin">
        <color rgb="FFAAAAAA"/>
      </left>
      <right style="thin">
        <color rgb="FFAAAAAA"/>
      </right>
      <top style="thin">
        <color rgb="FFAAAAAA"/>
      </top>
      <bottom style="thin">
        <color rgb="FFAAAAAA"/>
      </bottom>
    </border>
    <border>
      <left style="thin">
        <color rgb="FFAAAAAA"/>
      </left>
      <top style="thin">
        <color rgb="FFAAAAAA"/>
      </top>
      <bottom style="thin">
        <color rgb="FFAAAAAA"/>
      </bottom>
    </border>
    <border>
      <top style="thin">
        <color rgb="FFAAAAAA"/>
      </top>
      <bottom style="thin">
        <color rgb="FFAAAAAA"/>
      </bottom>
    </border>
  </borders>
  <cellStyleXfs count="1">
    <xf borderId="0" fillId="0" fontId="0" numFmtId="0" applyAlignment="1" applyFont="1"/>
  </cellStyleXfs>
  <cellXfs count="209">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3" fontId="2" numFmtId="0" xfId="0" applyAlignment="1" applyBorder="1" applyFill="1" applyFont="1">
      <alignment horizontal="left" vertical="center"/>
    </xf>
    <xf borderId="2" fillId="0" fontId="3" numFmtId="0" xfId="0" applyBorder="1" applyFont="1"/>
    <xf borderId="3" fillId="0" fontId="3" numFmtId="0" xfId="0" applyBorder="1" applyFont="1"/>
    <xf borderId="0" fillId="0" fontId="4" numFmtId="0" xfId="0" applyAlignment="1" applyFont="1">
      <alignment vertical="bottom"/>
    </xf>
    <xf borderId="0" fillId="0" fontId="5" numFmtId="0" xfId="0" applyAlignment="1" applyFont="1">
      <alignment vertical="bottom"/>
    </xf>
    <xf borderId="4" fillId="4" fontId="6" numFmtId="0" xfId="0" applyAlignment="1" applyBorder="1" applyFill="1" applyFont="1">
      <alignment horizontal="left" vertical="center"/>
    </xf>
    <xf borderId="1" fillId="5" fontId="7" numFmtId="0" xfId="0" applyAlignment="1" applyBorder="1" applyFill="1" applyFont="1">
      <alignment horizontal="center" vertical="center"/>
    </xf>
    <xf borderId="4" fillId="0" fontId="5" numFmtId="0" xfId="0" applyAlignment="1" applyBorder="1" applyFont="1">
      <alignment vertical="bottom"/>
    </xf>
    <xf borderId="5" fillId="2" fontId="8" numFmtId="0" xfId="0" applyAlignment="1" applyBorder="1" applyFill="1" applyFont="1">
      <alignment horizontal="center" vertical="center"/>
    </xf>
    <xf borderId="4" fillId="0" fontId="5" numFmtId="0" xfId="0" applyAlignment="1" applyBorder="1" applyFont="1">
      <alignment horizontal="left" vertical="bottom"/>
    </xf>
    <xf borderId="6" fillId="2" fontId="8" numFmtId="0" xfId="0" applyAlignment="1" applyBorder="1" applyFill="1" applyFont="1">
      <alignment horizontal="center" vertical="center"/>
    </xf>
    <xf borderId="4" fillId="0" fontId="9" numFmtId="0" xfId="0" applyAlignment="1" applyBorder="1" applyFont="1">
      <alignment horizontal="left" shrinkToFit="0" vertical="bottom" wrapText="1"/>
    </xf>
    <xf borderId="4" fillId="0" fontId="5" numFmtId="0" xfId="0" applyAlignment="1" applyBorder="1" applyFont="1">
      <alignment horizontal="left" shrinkToFit="0" vertical="bottom" wrapText="1"/>
    </xf>
    <xf borderId="4" fillId="0" fontId="10" numFmtId="0" xfId="0" applyAlignment="1" applyBorder="1" applyFont="1">
      <alignment horizontal="left" vertical="bottom"/>
    </xf>
    <xf borderId="1" fillId="6" fontId="8" numFmtId="0" xfId="0" applyAlignment="1" applyBorder="1" applyFill="1" applyFont="1">
      <alignment horizontal="center" vertical="center"/>
    </xf>
    <xf borderId="4" fillId="7" fontId="6" numFmtId="0" xfId="0" applyAlignment="1" applyBorder="1" applyFill="1" applyFont="1">
      <alignment horizontal="left" vertical="center"/>
    </xf>
    <xf borderId="1" fillId="8" fontId="8" numFmtId="0" xfId="0" applyAlignment="1" applyBorder="1" applyFill="1" applyFont="1">
      <alignment horizontal="center" vertical="center"/>
    </xf>
    <xf borderId="4" fillId="7" fontId="6" numFmtId="0" xfId="0" applyAlignment="1" applyBorder="1" applyFill="1" applyFont="1">
      <alignment horizontal="left" shrinkToFit="0" vertical="center" wrapText="1"/>
    </xf>
    <xf borderId="1" fillId="9" fontId="8" numFmtId="0" xfId="0" applyAlignment="1" applyBorder="1" applyFill="1" applyFont="1">
      <alignment horizontal="center" vertical="center"/>
    </xf>
    <xf borderId="1" fillId="10" fontId="8" numFmtId="0" xfId="0" applyAlignment="1" applyBorder="1" applyFill="1" applyFont="1">
      <alignment horizontal="center" vertical="center"/>
    </xf>
    <xf borderId="1" fillId="11" fontId="8" numFmtId="0" xfId="0" applyAlignment="1" applyBorder="1" applyFill="1" applyFont="1">
      <alignment horizontal="center" vertical="center"/>
    </xf>
    <xf borderId="4" fillId="2" fontId="11" numFmtId="0" xfId="0" applyAlignment="1" applyBorder="1" applyFill="1" applyFont="1">
      <alignment horizontal="center" vertical="center"/>
    </xf>
    <xf borderId="7" fillId="0" fontId="3" numFmtId="0" xfId="0" applyBorder="1" applyFont="1"/>
    <xf borderId="4" fillId="7" fontId="12" numFmtId="0" xfId="0" applyAlignment="1" applyBorder="1" applyFill="1" applyFont="1">
      <alignment horizontal="left" vertical="center"/>
    </xf>
    <xf borderId="8" fillId="0" fontId="3" numFmtId="0" xfId="0" applyBorder="1" applyFont="1"/>
    <xf borderId="4" fillId="6" fontId="8" numFmtId="0" xfId="0" applyAlignment="1" applyBorder="1" applyFill="1" applyFont="1">
      <alignment horizontal="center" vertical="center"/>
    </xf>
    <xf borderId="4" fillId="8" fontId="8" numFmtId="0" xfId="0" applyAlignment="1" applyBorder="1" applyFill="1" applyFont="1">
      <alignment horizontal="center" vertical="center"/>
    </xf>
    <xf borderId="4" fillId="9" fontId="8" numFmtId="0" xfId="0" applyAlignment="1" applyBorder="1" applyFill="1" applyFont="1">
      <alignment horizontal="center" vertical="center"/>
    </xf>
    <xf borderId="4" fillId="10" fontId="8" numFmtId="0" xfId="0" applyAlignment="1" applyBorder="1" applyFill="1" applyFont="1">
      <alignment horizontal="center" vertical="center"/>
    </xf>
    <xf borderId="4" fillId="11" fontId="8" numFmtId="0" xfId="0" applyAlignment="1" applyBorder="1" applyFill="1" applyFont="1">
      <alignment horizontal="center" vertical="center"/>
    </xf>
    <xf borderId="4" fillId="2" fontId="8" numFmtId="0" xfId="0" applyAlignment="1" applyBorder="1" applyFill="1" applyFont="1">
      <alignment horizontal="center" vertical="center"/>
    </xf>
    <xf borderId="4" fillId="6" fontId="6" numFmtId="0" xfId="0" applyAlignment="1" applyBorder="1" applyFill="1" applyFont="1">
      <alignment horizontal="left" vertical="center"/>
    </xf>
    <xf borderId="4" fillId="5" fontId="11" numFmtId="0" xfId="0" applyAlignment="1" applyBorder="1" applyFill="1" applyFont="1">
      <alignment horizontal="center" vertical="center"/>
    </xf>
    <xf borderId="4" fillId="6" fontId="6" numFmtId="0" xfId="0" applyAlignment="1" applyBorder="1" applyFill="1" applyFont="1">
      <alignment horizontal="left" shrinkToFit="0" vertical="center" wrapText="1"/>
    </xf>
    <xf borderId="4" fillId="5" fontId="6" numFmtId="0" xfId="0" applyAlignment="1" applyBorder="1" applyFill="1" applyFont="1">
      <alignment horizontal="center" vertical="center"/>
    </xf>
    <xf borderId="4" fillId="6" fontId="12" numFmtId="0" xfId="0" applyAlignment="1" applyBorder="1" applyFill="1" applyFont="1">
      <alignment horizontal="left" vertical="center"/>
    </xf>
    <xf borderId="4" fillId="5" fontId="11" numFmtId="10" xfId="0" applyAlignment="1" applyBorder="1" applyFill="1" applyFont="1" applyNumberFormat="1">
      <alignment horizontal="center" vertical="center"/>
    </xf>
    <xf borderId="4" fillId="8" fontId="6" numFmtId="0" xfId="0" applyAlignment="1" applyBorder="1" applyFill="1" applyFont="1">
      <alignment horizontal="left" vertical="center"/>
    </xf>
    <xf borderId="4" fillId="8" fontId="6" numFmtId="0" xfId="0" applyAlignment="1" applyBorder="1" applyFill="1" applyFont="1">
      <alignment horizontal="left" shrinkToFit="0" vertical="center" wrapText="1"/>
    </xf>
    <xf borderId="4" fillId="8" fontId="12" numFmtId="0" xfId="0" applyAlignment="1" applyBorder="1" applyFill="1" applyFont="1">
      <alignment horizontal="left" vertical="center"/>
    </xf>
    <xf borderId="9" fillId="3" fontId="13" numFmtId="0" xfId="0" applyAlignment="1" applyBorder="1" applyFill="1" applyFont="1">
      <alignment horizontal="left" vertical="center"/>
    </xf>
    <xf borderId="10" fillId="0" fontId="3" numFmtId="0" xfId="0" applyBorder="1" applyFont="1"/>
    <xf borderId="4" fillId="9" fontId="6" numFmtId="0" xfId="0" applyAlignment="1" applyBorder="1" applyFill="1" applyFont="1">
      <alignment horizontal="left" vertical="center"/>
    </xf>
    <xf borderId="11" fillId="12" fontId="14" numFmtId="0" xfId="0" applyAlignment="1" applyBorder="1" applyFill="1" applyFont="1">
      <alignment horizontal="center" shrinkToFit="0" vertical="center" wrapText="1"/>
    </xf>
    <xf borderId="4" fillId="9" fontId="6" numFmtId="0" xfId="0" applyAlignment="1" applyBorder="1" applyFill="1" applyFont="1">
      <alignment horizontal="left" shrinkToFit="0" vertical="center" wrapText="1"/>
    </xf>
    <xf borderId="4" fillId="9" fontId="12" numFmtId="0" xfId="0" applyAlignment="1" applyBorder="1" applyFill="1" applyFont="1">
      <alignment horizontal="left" vertical="center"/>
    </xf>
    <xf borderId="11" fillId="13" fontId="15" numFmtId="0" xfId="0" applyAlignment="1" applyBorder="1" applyFill="1" applyFont="1">
      <alignment horizontal="center" shrinkToFit="0" vertical="center" wrapText="1"/>
    </xf>
    <xf borderId="4" fillId="5" fontId="11" numFmtId="0" xfId="0" applyAlignment="1" applyBorder="1" applyFill="1" applyFont="1">
      <alignment horizontal="left" vertical="center"/>
    </xf>
    <xf borderId="11" fillId="13" fontId="15" numFmtId="0" xfId="0" applyAlignment="1" applyBorder="1" applyFill="1" applyFont="1">
      <alignment horizontal="left" shrinkToFit="0" vertical="center" wrapText="1"/>
    </xf>
    <xf borderId="4" fillId="14" fontId="6" numFmtId="0" xfId="0" applyAlignment="1" applyBorder="1" applyFill="1" applyFont="1">
      <alignment horizontal="center" vertical="center"/>
    </xf>
    <xf borderId="4" fillId="14" fontId="12" numFmtId="0" xfId="0" applyAlignment="1" applyBorder="1" applyFill="1" applyFont="1">
      <alignment horizontal="center" vertical="center"/>
    </xf>
    <xf borderId="4" fillId="15" fontId="6" numFmtId="0" xfId="0" applyAlignment="1" applyBorder="1" applyFill="1" applyFont="1">
      <alignment horizontal="left" vertical="center"/>
    </xf>
    <xf borderId="4" fillId="15" fontId="6" numFmtId="0" xfId="0" applyAlignment="1" applyBorder="1" applyFill="1" applyFont="1">
      <alignment horizontal="left" shrinkToFit="0" vertical="center" wrapText="1"/>
    </xf>
    <xf borderId="4" fillId="14" fontId="6" numFmtId="10" xfId="0" applyAlignment="1" applyBorder="1" applyFill="1" applyFont="1" applyNumberFormat="1">
      <alignment horizontal="center" vertical="center"/>
    </xf>
    <xf borderId="4" fillId="15" fontId="12" numFmtId="0" xfId="0" applyAlignment="1" applyBorder="1" applyFill="1" applyFont="1">
      <alignment horizontal="left" vertical="center"/>
    </xf>
    <xf borderId="4" fillId="14" fontId="11" numFmtId="0" xfId="0" applyAlignment="1" applyBorder="1" applyFill="1" applyFont="1">
      <alignment horizontal="center" vertical="center"/>
    </xf>
    <xf borderId="4" fillId="11" fontId="6" numFmtId="0" xfId="0" applyAlignment="1" applyBorder="1" applyFill="1" applyFont="1">
      <alignment horizontal="left" vertical="center"/>
    </xf>
    <xf borderId="4" fillId="11" fontId="6" numFmtId="0" xfId="0" applyAlignment="1" applyBorder="1" applyFill="1" applyFont="1">
      <alignment horizontal="left" shrinkToFit="0" vertical="center" wrapText="1"/>
    </xf>
    <xf borderId="4" fillId="11" fontId="12" numFmtId="0" xfId="0" applyAlignment="1" applyBorder="1" applyFill="1" applyFont="1">
      <alignment horizontal="left" vertical="center"/>
    </xf>
    <xf borderId="0" fillId="0" fontId="16" numFmtId="0" xfId="0" applyAlignment="1" applyFont="1">
      <alignment readingOrder="0"/>
    </xf>
    <xf borderId="4" fillId="0" fontId="10" numFmtId="0" xfId="0" applyAlignment="1" applyBorder="1" applyFont="1">
      <alignment horizontal="center" vertical="bottom"/>
    </xf>
    <xf borderId="4" fillId="0" fontId="10" numFmtId="0" xfId="0" applyAlignment="1" applyBorder="1" applyFont="1">
      <alignment horizontal="left" shrinkToFit="0" vertical="bottom" wrapText="1"/>
    </xf>
    <xf borderId="4" fillId="12" fontId="17" numFmtId="0" xfId="0" applyAlignment="1" applyBorder="1" applyFill="1" applyFont="1">
      <alignment horizontal="left" shrinkToFit="0" vertical="center" wrapText="1"/>
    </xf>
    <xf borderId="4" fillId="16" fontId="18" numFmtId="0" xfId="0" applyAlignment="1" applyBorder="1" applyFill="1" applyFont="1">
      <alignment horizontal="left" vertical="center"/>
    </xf>
    <xf borderId="4" fillId="16" fontId="18" numFmtId="0" xfId="0" applyAlignment="1" applyBorder="1" applyFill="1" applyFont="1">
      <alignment horizontal="center" vertical="center"/>
    </xf>
    <xf borderId="4" fillId="12" fontId="17" numFmtId="0" xfId="0" applyAlignment="1" applyBorder="1" applyFill="1" applyFont="1">
      <alignment horizontal="left" readingOrder="0" shrinkToFit="0" vertical="center" wrapText="1"/>
    </xf>
    <xf borderId="4" fillId="12" fontId="17" numFmtId="0" xfId="0" applyAlignment="1" applyBorder="1" applyFill="1" applyFont="1">
      <alignment horizontal="center" shrinkToFit="0" vertical="center" wrapText="1"/>
    </xf>
    <xf borderId="4" fillId="0" fontId="4" numFmtId="0" xfId="0" applyAlignment="1" applyBorder="1" applyFont="1">
      <alignment vertical="bottom"/>
    </xf>
    <xf borderId="4" fillId="12" fontId="17" numFmtId="0" xfId="0" applyAlignment="1" applyBorder="1" applyFill="1" applyFont="1">
      <alignment horizontal="left" shrinkToFit="0" vertical="bottom" wrapText="1"/>
    </xf>
    <xf borderId="4" fillId="12" fontId="17" numFmtId="0" xfId="0" applyAlignment="1" applyBorder="1" applyFill="1" applyFont="1">
      <alignment horizontal="left" readingOrder="0" vertical="bottom"/>
    </xf>
    <xf borderId="4" fillId="4" fontId="19" numFmtId="0" xfId="0" applyAlignment="1" applyBorder="1" applyFill="1" applyFont="1">
      <alignment horizontal="left" vertical="center"/>
    </xf>
    <xf borderId="4" fillId="4" fontId="19" numFmtId="0" xfId="0" applyAlignment="1" applyBorder="1" applyFill="1" applyFont="1">
      <alignment horizontal="center" vertical="center"/>
    </xf>
    <xf borderId="4" fillId="17" fontId="12" numFmtId="0" xfId="0" applyAlignment="1" applyBorder="1" applyFill="1" applyFont="1">
      <alignment horizontal="left" readingOrder="0" vertical="center"/>
    </xf>
    <xf borderId="8" fillId="0" fontId="4" numFmtId="0" xfId="0" applyAlignment="1" applyBorder="1" applyFont="1">
      <alignment vertical="bottom"/>
    </xf>
    <xf borderId="4" fillId="0" fontId="20" numFmtId="0" xfId="0" applyBorder="1" applyFont="1"/>
    <xf borderId="4" fillId="0" fontId="20" numFmtId="0" xfId="0" applyAlignment="1" applyBorder="1" applyFont="1">
      <alignment horizontal="left"/>
    </xf>
    <xf borderId="4" fillId="18" fontId="19" numFmtId="0" xfId="0" applyAlignment="1" applyBorder="1" applyFill="1" applyFont="1">
      <alignment horizontal="left" vertical="center"/>
    </xf>
    <xf borderId="4" fillId="0" fontId="20" numFmtId="0" xfId="0" applyAlignment="1" applyBorder="1" applyFont="1">
      <alignment shrinkToFit="0" wrapText="1"/>
    </xf>
    <xf borderId="4" fillId="0" fontId="20" numFmtId="0" xfId="0" applyAlignment="1" applyBorder="1" applyFont="1">
      <alignment horizontal="left" vertical="bottom"/>
    </xf>
    <xf borderId="4" fillId="18" fontId="19" numFmtId="0" xfId="0" applyAlignment="1" applyBorder="1" applyFill="1" applyFont="1">
      <alignment horizontal="center" vertical="center"/>
    </xf>
    <xf borderId="4" fillId="6" fontId="19" numFmtId="0" xfId="0" applyAlignment="1" applyBorder="1" applyFill="1" applyFont="1">
      <alignment horizontal="left" vertical="center"/>
    </xf>
    <xf borderId="6" fillId="19" fontId="17" numFmtId="0" xfId="0" applyAlignment="1" applyBorder="1" applyFill="1" applyFont="1">
      <alignment horizontal="left" shrinkToFit="0" vertical="center" wrapText="1"/>
    </xf>
    <xf borderId="6" fillId="13" fontId="10" numFmtId="0" xfId="0" applyAlignment="1" applyBorder="1" applyFill="1" applyFont="1">
      <alignment horizontal="left" shrinkToFit="0" vertical="center" wrapText="1"/>
    </xf>
    <xf borderId="4" fillId="6" fontId="19" numFmtId="0" xfId="0" applyAlignment="1" applyBorder="1" applyFill="1" applyFont="1">
      <alignment horizontal="center" vertical="center"/>
    </xf>
    <xf borderId="4" fillId="5" fontId="10" numFmtId="0" xfId="0" applyAlignment="1" applyBorder="1" applyFill="1" applyFont="1">
      <alignment horizontal="left" shrinkToFit="0" vertical="center" wrapText="1"/>
    </xf>
    <xf borderId="4" fillId="5" fontId="10" numFmtId="0" xfId="0" applyAlignment="1" applyBorder="1" applyFill="1" applyFont="1">
      <alignment horizontal="left" readingOrder="0" shrinkToFit="0" vertical="center" wrapText="1"/>
    </xf>
    <xf borderId="4" fillId="8" fontId="19" numFmtId="0" xfId="0" applyAlignment="1" applyBorder="1" applyFill="1" applyFont="1">
      <alignment horizontal="left" vertical="center"/>
    </xf>
    <xf borderId="4" fillId="20" fontId="10" numFmtId="0" xfId="0" applyAlignment="1" applyBorder="1" applyFill="1" applyFont="1">
      <alignment horizontal="center" vertical="center"/>
    </xf>
    <xf borderId="4" fillId="8" fontId="19" numFmtId="0" xfId="0" applyAlignment="1" applyBorder="1" applyFill="1" applyFont="1">
      <alignment horizontal="center" vertical="center"/>
    </xf>
    <xf borderId="4" fillId="9" fontId="19" numFmtId="0" xfId="0" applyAlignment="1" applyBorder="1" applyFill="1" applyFont="1">
      <alignment horizontal="left" vertical="center"/>
    </xf>
    <xf borderId="4" fillId="9" fontId="19" numFmtId="0" xfId="0" applyAlignment="1" applyBorder="1" applyFill="1" applyFont="1">
      <alignment horizontal="center" vertical="center"/>
    </xf>
    <xf borderId="4" fillId="15" fontId="19" numFmtId="0" xfId="0" applyAlignment="1" applyBorder="1" applyFill="1" applyFont="1">
      <alignment horizontal="left" vertical="center"/>
    </xf>
    <xf borderId="4" fillId="15" fontId="19" numFmtId="0" xfId="0" applyAlignment="1" applyBorder="1" applyFill="1" applyFont="1">
      <alignment horizontal="center" vertical="center"/>
    </xf>
    <xf borderId="4" fillId="20" fontId="10" numFmtId="0" xfId="0" applyAlignment="1" applyBorder="1" applyFill="1" applyFont="1">
      <alignment horizontal="center" readingOrder="0" vertical="center"/>
    </xf>
    <xf borderId="4" fillId="11" fontId="19" numFmtId="0" xfId="0" applyAlignment="1" applyBorder="1" applyFill="1" applyFont="1">
      <alignment horizontal="left" vertical="center"/>
    </xf>
    <xf borderId="4" fillId="5" fontId="10" numFmtId="0" xfId="0" applyAlignment="1" applyBorder="1" applyFill="1" applyFont="1">
      <alignment horizontal="center" shrinkToFit="0" vertical="center" wrapText="1"/>
    </xf>
    <xf borderId="4" fillId="5" fontId="10" numFmtId="0" xfId="0" applyAlignment="1" applyBorder="1" applyFill="1" applyFont="1">
      <alignment horizontal="left" readingOrder="0" shrinkToFit="0" vertical="top" wrapText="1"/>
    </xf>
    <xf borderId="4" fillId="11" fontId="19" numFmtId="0" xfId="0" applyAlignment="1" applyBorder="1" applyFill="1" applyFont="1">
      <alignment horizontal="center" vertical="center"/>
    </xf>
    <xf borderId="4" fillId="5" fontId="20" numFmtId="0" xfId="0" applyAlignment="1" applyBorder="1" applyFill="1" applyFont="1">
      <alignment horizontal="left" shrinkToFit="0" vertical="top" wrapText="1"/>
    </xf>
    <xf borderId="8" fillId="0" fontId="21" numFmtId="0" xfId="0" applyAlignment="1" applyBorder="1" applyFont="1">
      <alignment horizontal="left" vertical="bottom"/>
    </xf>
    <xf borderId="8" fillId="0" fontId="21" numFmtId="0" xfId="0" applyAlignment="1" applyBorder="1" applyFont="1">
      <alignment vertical="bottom"/>
    </xf>
    <xf borderId="12" fillId="0" fontId="3" numFmtId="0" xfId="0" applyBorder="1" applyFont="1"/>
    <xf borderId="13" fillId="0" fontId="4" numFmtId="0" xfId="0" applyAlignment="1" applyBorder="1" applyFont="1">
      <alignment vertical="bottom"/>
    </xf>
    <xf borderId="14" fillId="0" fontId="4" numFmtId="0" xfId="0" applyAlignment="1" applyBorder="1" applyFont="1">
      <alignment vertical="bottom"/>
    </xf>
    <xf borderId="4" fillId="0" fontId="4" numFmtId="0" xfId="0" applyAlignment="1" applyBorder="1" applyFont="1">
      <alignment horizontal="left" vertical="bottom"/>
    </xf>
    <xf borderId="15" fillId="0" fontId="4" numFmtId="0" xfId="0" applyAlignment="1" applyBorder="1" applyFont="1">
      <alignment vertical="bottom"/>
    </xf>
    <xf borderId="16" fillId="0" fontId="4" numFmtId="0" xfId="0" applyAlignment="1" applyBorder="1" applyFont="1">
      <alignment vertical="bottom"/>
    </xf>
    <xf borderId="4" fillId="5" fontId="20" numFmtId="0" xfId="0" applyAlignment="1" applyBorder="1" applyFill="1" applyFont="1">
      <alignment horizontal="left" readingOrder="0" shrinkToFit="0" vertical="top" wrapText="1"/>
    </xf>
    <xf borderId="4" fillId="3" fontId="18" numFmtId="0" xfId="0" applyAlignment="1" applyBorder="1" applyFill="1" applyFont="1">
      <alignment horizontal="left" vertical="center"/>
    </xf>
    <xf borderId="4" fillId="5" fontId="22" numFmtId="0" xfId="0" applyAlignment="1" applyBorder="1" applyFill="1" applyFont="1">
      <alignment horizontal="left" vertical="center"/>
    </xf>
    <xf borderId="4" fillId="3" fontId="14" numFmtId="0" xfId="0" applyAlignment="1" applyBorder="1" applyFill="1" applyFont="1">
      <alignment horizontal="left" vertical="center"/>
    </xf>
    <xf borderId="4" fillId="12" fontId="14" numFmtId="0" xfId="0" applyAlignment="1" applyBorder="1" applyFill="1" applyFont="1">
      <alignment horizontal="center" vertical="center"/>
    </xf>
    <xf borderId="4" fillId="3" fontId="14" numFmtId="0" xfId="0" applyAlignment="1" applyBorder="1" applyFill="1" applyFont="1">
      <alignment horizontal="center" vertical="center"/>
    </xf>
    <xf borderId="4" fillId="21" fontId="14" numFmtId="0" xfId="0" applyAlignment="1" applyBorder="1" applyFill="1" applyFont="1">
      <alignment horizontal="center" vertical="center"/>
    </xf>
    <xf borderId="4" fillId="2" fontId="14" numFmtId="0" xfId="0" applyAlignment="1" applyBorder="1" applyFill="1" applyFont="1">
      <alignment horizontal="center" vertical="center"/>
    </xf>
    <xf borderId="4" fillId="15" fontId="23" numFmtId="0" xfId="0" applyAlignment="1" applyBorder="1" applyFill="1" applyFont="1">
      <alignment horizontal="left" vertical="center"/>
    </xf>
    <xf borderId="4" fillId="9" fontId="23" numFmtId="0" xfId="0" applyAlignment="1" applyBorder="1" applyFill="1" applyFont="1">
      <alignment horizontal="left" vertical="center"/>
    </xf>
    <xf borderId="4" fillId="9" fontId="24" numFmtId="0" xfId="0" applyAlignment="1" applyBorder="1" applyFill="1" applyFont="1">
      <alignment horizontal="center" vertical="center"/>
    </xf>
    <xf borderId="4" fillId="9" fontId="15" numFmtId="0" xfId="0" applyAlignment="1" applyBorder="1" applyFill="1" applyFont="1">
      <alignment horizontal="left" shrinkToFit="0" vertical="center" wrapText="1"/>
    </xf>
    <xf borderId="4" fillId="9" fontId="15" numFmtId="0" xfId="0" applyAlignment="1" applyBorder="1" applyFill="1" applyFont="1">
      <alignment horizontal="center" vertical="center"/>
    </xf>
    <xf borderId="4" fillId="20" fontId="9" numFmtId="0" xfId="0" applyAlignment="1" applyBorder="1" applyFill="1" applyFont="1">
      <alignment horizontal="center" vertical="center"/>
    </xf>
    <xf borderId="4" fillId="14" fontId="25" numFmtId="0" xfId="0" applyAlignment="1" applyBorder="1" applyFill="1" applyFont="1">
      <alignment horizontal="left" vertical="center"/>
    </xf>
    <xf borderId="4" fillId="5" fontId="23" numFmtId="0" xfId="0" applyAlignment="1" applyBorder="1" applyFill="1" applyFont="1">
      <alignment horizontal="left" vertical="center"/>
    </xf>
    <xf borderId="4" fillId="5" fontId="24" numFmtId="0" xfId="0" applyAlignment="1" applyBorder="1" applyFill="1" applyFont="1">
      <alignment horizontal="center" vertical="center"/>
    </xf>
    <xf borderId="4" fillId="5" fontId="15" numFmtId="0" xfId="0" applyAlignment="1" applyBorder="1" applyFill="1" applyFont="1">
      <alignment horizontal="left" shrinkToFit="0" vertical="center" wrapText="1"/>
    </xf>
    <xf borderId="4" fillId="5" fontId="15" numFmtId="0" xfId="0" applyAlignment="1" applyBorder="1" applyFill="1" applyFont="1">
      <alignment horizontal="center" vertical="center"/>
    </xf>
    <xf borderId="4" fillId="0" fontId="20" numFmtId="164" xfId="0" applyAlignment="1" applyBorder="1" applyFont="1" applyNumberFormat="1">
      <alignment horizontal="left" readingOrder="0" vertical="bottom"/>
    </xf>
    <xf borderId="4" fillId="5" fontId="10" numFmtId="0" xfId="0" applyAlignment="1" applyBorder="1" applyFill="1" applyFont="1">
      <alignment horizontal="center" readingOrder="0" shrinkToFit="0" vertical="center" wrapText="1"/>
    </xf>
    <xf borderId="4" fillId="5" fontId="26" numFmtId="0" xfId="0" applyAlignment="1" applyBorder="1" applyFill="1" applyFont="1">
      <alignment horizontal="center" readingOrder="0" shrinkToFit="0" vertical="center" wrapText="1"/>
    </xf>
    <xf borderId="4" fillId="13" fontId="10" numFmtId="0" xfId="0" applyAlignment="1" applyBorder="1" applyFill="1" applyFont="1">
      <alignment horizontal="left" readingOrder="0" shrinkToFit="0" vertical="center" wrapText="1"/>
    </xf>
    <xf borderId="4" fillId="9" fontId="20" numFmtId="0" xfId="0" applyAlignment="1" applyBorder="1" applyFill="1" applyFont="1">
      <alignment horizontal="center"/>
    </xf>
    <xf borderId="4" fillId="0" fontId="20" numFmtId="0" xfId="0" applyAlignment="1" applyBorder="1" applyFont="1">
      <alignment horizontal="left" readingOrder="0" vertical="bottom"/>
    </xf>
    <xf borderId="4" fillId="5" fontId="20" numFmtId="0" xfId="0" applyAlignment="1" applyBorder="1" applyFill="1" applyFont="1">
      <alignment shrinkToFit="0" vertical="bottom" wrapText="1"/>
    </xf>
    <xf borderId="4" fillId="13" fontId="10" numFmtId="0" xfId="0" applyAlignment="1" applyBorder="1" applyFill="1" applyFont="1">
      <alignment horizontal="left" shrinkToFit="0" vertical="center" wrapText="1"/>
    </xf>
    <xf borderId="6" fillId="13" fontId="20" numFmtId="0" xfId="0" applyAlignment="1" applyBorder="1" applyFill="1" applyFont="1">
      <alignment shrinkToFit="0" vertical="bottom" wrapText="1"/>
    </xf>
    <xf borderId="4" fillId="5" fontId="20" numFmtId="0" xfId="0" applyAlignment="1" applyBorder="1" applyFill="1" applyFont="1">
      <alignment horizontal="center" shrinkToFit="0" vertical="bottom" wrapText="1"/>
    </xf>
    <xf borderId="4" fillId="5" fontId="20" numFmtId="0" xfId="0" applyAlignment="1" applyBorder="1" applyFill="1" applyFont="1">
      <alignment horizontal="left" vertical="bottom"/>
    </xf>
    <xf borderId="4" fillId="5" fontId="20" numFmtId="0" xfId="0" applyAlignment="1" applyBorder="1" applyFill="1" applyFont="1">
      <alignment readingOrder="0" shrinkToFit="0" vertical="bottom" wrapText="1"/>
    </xf>
    <xf borderId="4" fillId="20" fontId="20" numFmtId="0" xfId="0" applyAlignment="1" applyBorder="1" applyFill="1" applyFont="1">
      <alignment horizontal="center" vertical="bottom"/>
    </xf>
    <xf borderId="6" fillId="13" fontId="10" numFmtId="0" xfId="0" applyAlignment="1" applyBorder="1" applyFill="1" applyFont="1">
      <alignment horizontal="left" readingOrder="0" shrinkToFit="0" vertical="center" wrapText="1"/>
    </xf>
    <xf borderId="0" fillId="0" fontId="20" numFmtId="0" xfId="0" applyAlignment="1" applyFont="1">
      <alignment readingOrder="0" shrinkToFit="0" wrapText="1"/>
    </xf>
    <xf borderId="4" fillId="0" fontId="20" numFmtId="0" xfId="0" applyAlignment="1" applyBorder="1" applyFont="1">
      <alignment horizontal="left" readingOrder="0"/>
    </xf>
    <xf borderId="4" fillId="0" fontId="20" numFmtId="0" xfId="0" applyAlignment="1" applyBorder="1" applyFont="1">
      <alignment readingOrder="0"/>
    </xf>
    <xf borderId="4" fillId="13" fontId="20" numFmtId="0" xfId="0" applyAlignment="1" applyBorder="1" applyFill="1" applyFont="1">
      <alignment shrinkToFit="0" vertical="bottom" wrapText="1"/>
    </xf>
    <xf borderId="4" fillId="20" fontId="20" numFmtId="0" xfId="0" applyAlignment="1" applyBorder="1" applyFill="1" applyFont="1">
      <alignment horizontal="center" readingOrder="0" vertical="bottom"/>
    </xf>
    <xf borderId="12" fillId="19" fontId="17" numFmtId="0" xfId="0" applyAlignment="1" applyBorder="1" applyFill="1" applyFont="1">
      <alignment horizontal="left" readingOrder="0" shrinkToFit="0" vertical="center" wrapText="1"/>
    </xf>
    <xf borderId="0" fillId="0" fontId="4" numFmtId="0" xfId="0" applyFont="1"/>
    <xf borderId="4" fillId="20" fontId="9" numFmtId="0" xfId="0" applyAlignment="1" applyBorder="1" applyFill="1" applyFont="1">
      <alignment horizontal="center" readingOrder="0" vertical="center"/>
    </xf>
    <xf borderId="8" fillId="19" fontId="17" numFmtId="0" xfId="0" applyAlignment="1" applyBorder="1" applyFill="1" applyFont="1">
      <alignment horizontal="left" shrinkToFit="0" vertical="center" wrapText="1"/>
    </xf>
    <xf borderId="16" fillId="0" fontId="4" numFmtId="0" xfId="0" applyAlignment="1" applyBorder="1" applyFont="1">
      <alignment horizontal="left" vertical="bottom"/>
    </xf>
    <xf borderId="4" fillId="17" fontId="12" numFmtId="0" xfId="0" applyAlignment="1" applyBorder="1" applyFill="1" applyFont="1">
      <alignment horizontal="left" vertical="center"/>
    </xf>
    <xf borderId="6" fillId="19" fontId="12" numFmtId="0" xfId="0" applyAlignment="1" applyBorder="1" applyFill="1" applyFont="1">
      <alignment readingOrder="0" vertical="center"/>
    </xf>
    <xf borderId="0" fillId="0" fontId="27" numFmtId="0" xfId="0" applyAlignment="1" applyFont="1">
      <alignment horizontal="left" readingOrder="0"/>
    </xf>
    <xf borderId="4" fillId="5" fontId="20" numFmtId="0" xfId="0" applyAlignment="1" applyBorder="1" applyFill="1" applyFont="1">
      <alignment horizontal="center" readingOrder="0" shrinkToFit="0" vertical="bottom" wrapText="1"/>
    </xf>
    <xf borderId="6" fillId="19" fontId="28" numFmtId="0" xfId="0" applyAlignment="1" applyBorder="1" applyFill="1" applyFont="1">
      <alignment readingOrder="0" vertical="center"/>
    </xf>
    <xf borderId="0" fillId="0" fontId="29" numFmtId="0" xfId="0" applyAlignment="1" applyFont="1">
      <alignment vertical="bottom"/>
    </xf>
    <xf borderId="0" fillId="0" fontId="4" numFmtId="0" xfId="0" applyAlignment="1" applyFont="1">
      <alignment horizontal="left"/>
    </xf>
    <xf borderId="4" fillId="5" fontId="20" numFmtId="0" xfId="0" applyAlignment="1" applyBorder="1" applyFill="1" applyFont="1">
      <alignment horizontal="left" readingOrder="0" vertical="bottom"/>
    </xf>
    <xf borderId="17" fillId="3" fontId="30" numFmtId="0" xfId="0" applyAlignment="1" applyBorder="1" applyFill="1" applyFont="1">
      <alignment horizontal="left" vertical="center"/>
    </xf>
    <xf borderId="17" fillId="5" fontId="22" numFmtId="0" xfId="0" applyAlignment="1" applyBorder="1" applyFill="1" applyFont="1">
      <alignment horizontal="left" vertical="center"/>
    </xf>
    <xf borderId="9" fillId="12" fontId="31" numFmtId="0" xfId="0" applyAlignment="1" applyBorder="1" applyFill="1" applyFont="1">
      <alignment horizontal="left" vertical="center"/>
    </xf>
    <xf borderId="18" fillId="3" fontId="14" numFmtId="0" xfId="0" applyAlignment="1" applyBorder="1" applyFill="1" applyFont="1">
      <alignment horizontal="center" vertical="center"/>
    </xf>
    <xf borderId="18" fillId="12" fontId="14" numFmtId="0" xfId="0" applyAlignment="1" applyBorder="1" applyFill="1" applyFont="1">
      <alignment horizontal="center" vertical="center"/>
    </xf>
    <xf borderId="19" fillId="15" fontId="23" numFmtId="0" xfId="0" applyAlignment="1" applyBorder="1" applyFill="1" applyFont="1">
      <alignment horizontal="left" vertical="center"/>
    </xf>
    <xf borderId="20" fillId="0" fontId="3" numFmtId="0" xfId="0" applyBorder="1" applyFont="1"/>
    <xf borderId="18" fillId="20" fontId="32" numFmtId="0" xfId="0" applyAlignment="1" applyBorder="1" applyFill="1" applyFont="1">
      <alignment horizontal="center" vertical="center"/>
    </xf>
    <xf borderId="18" fillId="20" fontId="24" numFmtId="0" xfId="0" applyAlignment="1" applyBorder="1" applyFill="1" applyFont="1">
      <alignment horizontal="center" vertical="center"/>
    </xf>
    <xf borderId="18" fillId="20" fontId="15" numFmtId="0" xfId="0" applyAlignment="1" applyBorder="1" applyFill="1" applyFont="1">
      <alignment horizontal="left" shrinkToFit="0" vertical="center" wrapText="1"/>
    </xf>
    <xf borderId="18" fillId="6" fontId="14" numFmtId="0" xfId="0" applyAlignment="1" applyBorder="1" applyFill="1" applyFont="1">
      <alignment horizontal="center" vertical="center"/>
    </xf>
    <xf borderId="18" fillId="5" fontId="32" numFmtId="0" xfId="0" applyAlignment="1" applyBorder="1" applyFill="1" applyFont="1">
      <alignment horizontal="center" vertical="center"/>
    </xf>
    <xf borderId="18" fillId="5" fontId="24" numFmtId="0" xfId="0" applyAlignment="1" applyBorder="1" applyFill="1" applyFont="1">
      <alignment horizontal="center" vertical="center"/>
    </xf>
    <xf borderId="18" fillId="5" fontId="15" numFmtId="0" xfId="0" applyAlignment="1" applyBorder="1" applyFill="1" applyFont="1">
      <alignment horizontal="left" shrinkToFit="0" vertical="center" wrapText="1"/>
    </xf>
    <xf borderId="18" fillId="8" fontId="14" numFmtId="0" xfId="0" applyAlignment="1" applyBorder="1" applyFill="1" applyFont="1">
      <alignment horizontal="center" vertical="center"/>
    </xf>
    <xf borderId="18" fillId="22" fontId="23" numFmtId="0" xfId="0" applyAlignment="1" applyBorder="1" applyFill="1" applyFont="1">
      <alignment horizontal="center" vertical="center"/>
    </xf>
    <xf borderId="18" fillId="6" fontId="14" numFmtId="0" xfId="0" applyAlignment="1" applyBorder="1" applyFill="1" applyFont="1">
      <alignment horizontal="center" readingOrder="0" vertical="center"/>
    </xf>
    <xf borderId="4" fillId="23" fontId="33" numFmtId="0" xfId="0" applyAlignment="1" applyBorder="1" applyFill="1" applyFont="1">
      <alignment readingOrder="0" shrinkToFit="0" wrapText="1"/>
    </xf>
    <xf borderId="4" fillId="23" fontId="33" numFmtId="0" xfId="0" applyAlignment="1" applyBorder="1" applyFill="1" applyFont="1">
      <alignment readingOrder="0" shrinkToFit="0" wrapText="0"/>
    </xf>
    <xf borderId="0" fillId="0" fontId="27" numFmtId="0" xfId="0" applyAlignment="1" applyFont="1">
      <alignment shrinkToFit="0" wrapText="1"/>
    </xf>
    <xf borderId="4" fillId="0" fontId="27" numFmtId="0" xfId="0" applyAlignment="1" applyBorder="1" applyFont="1">
      <alignment readingOrder="0" shrinkToFit="0" wrapText="1"/>
    </xf>
    <xf borderId="4" fillId="0" fontId="27" numFmtId="0" xfId="0" applyAlignment="1" applyBorder="1" applyFont="1">
      <alignment readingOrder="0" shrinkToFit="0" wrapText="0"/>
    </xf>
    <xf borderId="4" fillId="0" fontId="27" numFmtId="165" xfId="0" applyAlignment="1" applyBorder="1" applyFont="1" applyNumberFormat="1">
      <alignment readingOrder="0" shrinkToFit="0" wrapText="1"/>
    </xf>
    <xf borderId="4" fillId="0" fontId="27" numFmtId="0" xfId="0" applyAlignment="1" applyBorder="1" applyFont="1">
      <alignment shrinkToFit="0" wrapText="1"/>
    </xf>
    <xf borderId="4" fillId="0" fontId="27" numFmtId="0" xfId="0" applyAlignment="1" applyBorder="1" applyFont="1">
      <alignment readingOrder="0"/>
    </xf>
    <xf borderId="4" fillId="0" fontId="27" numFmtId="165" xfId="0" applyAlignment="1" applyBorder="1" applyFont="1" applyNumberFormat="1">
      <alignment readingOrder="0"/>
    </xf>
    <xf borderId="4" fillId="0" fontId="4" numFmtId="0" xfId="0" applyAlignment="1" applyBorder="1" applyFont="1">
      <alignment shrinkToFit="0" vertical="bottom" wrapText="0"/>
    </xf>
    <xf borderId="4" fillId="6" fontId="20" numFmtId="0" xfId="0" applyAlignment="1" applyBorder="1" applyFill="1" applyFont="1">
      <alignment horizontal="center"/>
    </xf>
    <xf borderId="4" fillId="9" fontId="20" numFmtId="0" xfId="0" applyAlignment="1" applyBorder="1" applyFill="1" applyFont="1">
      <alignment horizontal="center"/>
    </xf>
    <xf borderId="4" fillId="20" fontId="20" numFmtId="0" xfId="0" applyAlignment="1" applyBorder="1" applyFill="1" applyFont="1">
      <alignment horizontal="center"/>
    </xf>
    <xf borderId="4" fillId="6" fontId="20" numFmtId="0" xfId="0" applyAlignment="1" applyBorder="1" applyFill="1" applyFont="1">
      <alignment horizontal="center" readingOrder="0"/>
    </xf>
    <xf borderId="0" fillId="0" fontId="27" numFmtId="0" xfId="0" applyAlignment="1" applyFont="1">
      <alignment horizontal="left"/>
    </xf>
    <xf borderId="6" fillId="13" fontId="20" numFmtId="0" xfId="0" applyAlignment="1" applyBorder="1" applyFill="1" applyFont="1">
      <alignment shrinkToFit="0" vertical="center" wrapText="1"/>
    </xf>
    <xf borderId="4" fillId="0" fontId="20" numFmtId="0" xfId="0" applyAlignment="1" applyBorder="1" applyFont="1">
      <alignment horizontal="left" vertical="bottom"/>
    </xf>
    <xf borderId="0" fillId="0" fontId="29" numFmtId="0" xfId="0" applyAlignment="1" applyFont="1">
      <alignment vertical="bottom"/>
    </xf>
    <xf borderId="4" fillId="5" fontId="20" numFmtId="0" xfId="0" applyAlignment="1" applyBorder="1" applyFill="1" applyFont="1">
      <alignment horizontal="left" readingOrder="0" shrinkToFit="0" vertical="bottom" wrapText="1"/>
    </xf>
    <xf borderId="4" fillId="0" fontId="27" numFmtId="0" xfId="0" applyBorder="1" applyFont="1"/>
    <xf borderId="4" fillId="0" fontId="4" numFmtId="0" xfId="0" applyAlignment="1" applyBorder="1" applyFont="1">
      <alignment shrinkToFit="0" vertical="bottom" wrapText="1"/>
    </xf>
    <xf borderId="0" fillId="0" fontId="27" numFmtId="0" xfId="0" applyFont="1"/>
    <xf borderId="0" fillId="0" fontId="27" numFmtId="0" xfId="0" applyAlignment="1" applyFont="1">
      <alignment shrinkToFit="0" wrapText="0"/>
    </xf>
    <xf borderId="0" fillId="0" fontId="20" numFmtId="0" xfId="0" applyAlignment="1" applyFont="1">
      <alignment readingOrder="0"/>
    </xf>
    <xf borderId="0" fillId="0" fontId="11" numFmtId="0" xfId="0" applyAlignment="1" applyFont="1">
      <alignment shrinkToFit="0" wrapText="1"/>
    </xf>
    <xf borderId="0" fillId="0" fontId="20" numFmtId="0" xfId="0" applyAlignment="1" applyFont="1">
      <alignment horizontal="left"/>
    </xf>
    <xf borderId="0" fillId="0" fontId="5" numFmtId="0" xfId="0" applyAlignment="1" applyFont="1">
      <alignment horizontal="left" vertical="bottom"/>
    </xf>
    <xf borderId="0" fillId="0" fontId="9" numFmtId="0" xfId="0" applyAlignment="1" applyFont="1">
      <alignment horizontal="left" shrinkToFit="0" vertical="bottom" wrapText="1"/>
    </xf>
    <xf borderId="0" fillId="0" fontId="5" numFmtId="0" xfId="0" applyAlignment="1" applyFont="1">
      <alignment horizontal="left" shrinkToFit="0" vertical="bottom" wrapText="1"/>
    </xf>
    <xf borderId="0" fillId="0" fontId="10" numFmtId="0" xfId="0" applyAlignment="1" applyFont="1">
      <alignment horizontal="left" vertical="bottom"/>
    </xf>
    <xf borderId="0" fillId="0" fontId="11" numFmtId="0" xfId="0" applyAlignment="1" applyFont="1">
      <alignment horizontal="left" shrinkToFit="0" wrapText="1"/>
    </xf>
    <xf borderId="0" fillId="0" fontId="4" numFmtId="0" xfId="0" applyAlignment="1" applyFont="1">
      <alignment shrinkToFit="0" wrapText="1"/>
    </xf>
  </cellXfs>
  <cellStyles count="1">
    <cellStyle xfId="0" name="Normal" builtinId="0"/>
  </cellStyles>
  <dxfs count="10">
    <dxf>
      <font/>
      <fill>
        <patternFill patternType="solid">
          <fgColor rgb="FF00B050"/>
          <bgColor rgb="FF00B050"/>
        </patternFill>
      </fill>
      <border/>
    </dxf>
    <dxf>
      <font/>
      <fill>
        <patternFill patternType="solid">
          <fgColor rgb="FFFF0000"/>
          <bgColor rgb="FFFF0000"/>
        </patternFill>
      </fill>
      <border/>
    </dxf>
    <dxf>
      <font/>
      <fill>
        <patternFill patternType="solid">
          <fgColor rgb="FFD6E4F0"/>
          <bgColor rgb="FFD6E4F0"/>
        </patternFill>
      </fill>
      <border/>
    </dxf>
    <dxf>
      <font>
        <b/>
      </font>
      <fill>
        <patternFill patternType="solid">
          <fgColor rgb="FFF4B942"/>
          <bgColor rgb="FFF4B942"/>
        </patternFill>
      </fill>
      <border/>
    </dxf>
    <dxf>
      <font>
        <b/>
      </font>
      <fill>
        <patternFill patternType="solid">
          <fgColor rgb="FF808080"/>
          <bgColor rgb="FF808080"/>
        </patternFill>
      </fill>
      <border/>
    </dxf>
    <dxf>
      <font>
        <b/>
        <sz val="10.0"/>
        <color rgb="FF276221"/>
        <name val="Arial"/>
      </font>
      <fill>
        <patternFill patternType="solid">
          <fgColor rgb="FFC6EFCE"/>
          <bgColor rgb="FFC6EFCE"/>
        </patternFill>
      </fill>
      <border/>
    </dxf>
    <dxf>
      <font>
        <b/>
        <sz val="10.0"/>
        <color rgb="FF7D5C00"/>
        <name val="Arial"/>
      </font>
      <fill>
        <patternFill patternType="solid">
          <fgColor rgb="FFFFEB9C"/>
          <bgColor rgb="FFFFEB9C"/>
        </patternFill>
      </fill>
      <border/>
    </dxf>
    <dxf>
      <font>
        <b/>
        <sz val="10.0"/>
        <color rgb="FF9C0006"/>
        <name val="Arial"/>
      </font>
      <fill>
        <patternFill patternType="solid">
          <fgColor rgb="FFFFC7CE"/>
          <bgColor rgb="FFFFC7CE"/>
        </patternFill>
      </fill>
      <border/>
    </dxf>
    <dxf>
      <font/>
      <fill>
        <patternFill patternType="solid">
          <fgColor rgb="FFF4B942"/>
          <bgColor rgb="FFF4B942"/>
        </patternFill>
      </fill>
      <border/>
    </dxf>
    <dxf>
      <font/>
      <fill>
        <patternFill patternType="solid">
          <fgColor rgb="FF808080"/>
          <bgColor rgb="FF808080"/>
        </patternFill>
      </fill>
      <border/>
    </dxf>
  </dxfs>
</styleSheet>
</file>

<file path=xl/_rels/workbook.xml.rels><?xml version="1.0" encoding="UTF-8" standalone="yes"?><Relationships xmlns="http://schemas.openxmlformats.org/package/2006/relationships"><Relationship Id="rId10"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partner-platform-prd-v1.8.md" TargetMode="External"/><Relationship Id="rId10" Type="http://schemas.openxmlformats.org/officeDocument/2006/relationships/hyperlink" Target="http://partner-platform-prd-v1.8.md" TargetMode="External"/><Relationship Id="rId13" Type="http://schemas.openxmlformats.org/officeDocument/2006/relationships/hyperlink" Target="http://partner-platform-prd-v1.8.md" TargetMode="External"/><Relationship Id="rId12" Type="http://schemas.openxmlformats.org/officeDocument/2006/relationships/hyperlink" Target="http://partner-platform-prd-v1.8.md" TargetMode="External"/><Relationship Id="rId1" Type="http://schemas.openxmlformats.org/officeDocument/2006/relationships/hyperlink" Target="http://partner-platform-prd-v1.8.md" TargetMode="External"/><Relationship Id="rId2" Type="http://schemas.openxmlformats.org/officeDocument/2006/relationships/hyperlink" Target="http://partner-platform-prd-v1.8.md" TargetMode="External"/><Relationship Id="rId3" Type="http://schemas.openxmlformats.org/officeDocument/2006/relationships/hyperlink" Target="http://partner-platform-prd-v1.8.md" TargetMode="External"/><Relationship Id="rId4" Type="http://schemas.openxmlformats.org/officeDocument/2006/relationships/hyperlink" Target="http://partner-platform-prd-v1.8.md" TargetMode="External"/><Relationship Id="rId9" Type="http://schemas.openxmlformats.org/officeDocument/2006/relationships/hyperlink" Target="http://partner-platform-prd-v1.8.md" TargetMode="External"/><Relationship Id="rId15" Type="http://schemas.openxmlformats.org/officeDocument/2006/relationships/hyperlink" Target="http://partner-platform-prd-v1.8.md" TargetMode="External"/><Relationship Id="rId14" Type="http://schemas.openxmlformats.org/officeDocument/2006/relationships/hyperlink" Target="http://partner-platform-prd-v1.8.md" TargetMode="External"/><Relationship Id="rId17" Type="http://schemas.openxmlformats.org/officeDocument/2006/relationships/drawing" Target="../drawings/drawing2.xml"/><Relationship Id="rId16" Type="http://schemas.openxmlformats.org/officeDocument/2006/relationships/hyperlink" Target="http://partner-platform-prd-v1.8.md" TargetMode="External"/><Relationship Id="rId5" Type="http://schemas.openxmlformats.org/officeDocument/2006/relationships/hyperlink" Target="http://partner-platform-prd-v1.8.md" TargetMode="External"/><Relationship Id="rId6" Type="http://schemas.openxmlformats.org/officeDocument/2006/relationships/hyperlink" Target="http://partner-platform-prd-v1.8.md" TargetMode="External"/><Relationship Id="rId7" Type="http://schemas.openxmlformats.org/officeDocument/2006/relationships/hyperlink" Target="http://partner-platform-prd-v1.8.md" TargetMode="External"/><Relationship Id="rId8" Type="http://schemas.openxmlformats.org/officeDocument/2006/relationships/hyperlink" Target="http://partner-platform-prd-v1.8.md"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5.0"/>
    <col customWidth="1" min="2" max="4" width="26.0"/>
    <col customWidth="1" min="5" max="8" width="9.0"/>
    <col customWidth="1" min="9" max="9" width="12.0"/>
    <col customWidth="1" min="10" max="10" width="9.0"/>
    <col customWidth="1" min="11" max="11" width="12.0"/>
    <col customWidth="1" min="12" max="12" width="9.0"/>
    <col customWidth="1" min="13" max="13" width="16.0"/>
    <col customWidth="1" min="14" max="14" width="9.0"/>
    <col customWidth="1" min="15" max="15" width="22.0"/>
    <col customWidth="1" min="16" max="16" width="14.0"/>
    <col customWidth="1" min="17" max="17" width="8.71"/>
    <col customWidth="1" min="18" max="18" width="12.0"/>
    <col customWidth="1" min="19" max="19" width="8.71"/>
  </cols>
  <sheetData>
    <row r="1" ht="31.5" customHeight="1">
      <c r="A1" s="1" t="s">
        <v>0</v>
      </c>
      <c r="B1" s="3"/>
      <c r="C1" s="3"/>
      <c r="D1" s="3"/>
      <c r="E1" s="3"/>
      <c r="F1" s="3"/>
      <c r="G1" s="3"/>
      <c r="H1" s="3"/>
      <c r="I1" s="3"/>
      <c r="J1" s="3"/>
      <c r="K1" s="3"/>
      <c r="L1" s="3"/>
      <c r="M1" s="3"/>
      <c r="N1" s="3"/>
      <c r="O1" s="3"/>
      <c r="P1" s="4"/>
      <c r="Q1" s="5"/>
      <c r="R1" s="5"/>
      <c r="S1" s="5"/>
      <c r="T1" s="5"/>
      <c r="U1" s="5"/>
      <c r="V1" s="5"/>
      <c r="W1" s="5"/>
      <c r="X1" s="5"/>
    </row>
    <row r="2" ht="15.75" customHeight="1">
      <c r="A2" s="8" t="s">
        <v>2</v>
      </c>
      <c r="B2" s="3"/>
      <c r="C2" s="3"/>
      <c r="D2" s="3"/>
      <c r="E2" s="3"/>
      <c r="F2" s="3"/>
      <c r="G2" s="3"/>
      <c r="H2" s="3"/>
      <c r="I2" s="3"/>
      <c r="J2" s="3"/>
      <c r="K2" s="3"/>
      <c r="L2" s="3"/>
      <c r="M2" s="3"/>
      <c r="N2" s="3"/>
      <c r="O2" s="3"/>
      <c r="P2" s="4"/>
      <c r="Q2" s="5"/>
      <c r="R2" s="5"/>
      <c r="S2" s="5"/>
      <c r="T2" s="5"/>
      <c r="U2" s="5"/>
      <c r="V2" s="5"/>
      <c r="W2" s="5"/>
      <c r="X2" s="5"/>
    </row>
    <row r="3" ht="19.5" customHeight="1">
      <c r="A3" s="10" t="s">
        <v>8</v>
      </c>
      <c r="B3" s="12" t="s">
        <v>9</v>
      </c>
      <c r="C3" s="12" t="s">
        <v>10</v>
      </c>
      <c r="D3" s="12" t="s">
        <v>11</v>
      </c>
      <c r="E3" s="16" t="s">
        <v>12</v>
      </c>
      <c r="F3" s="4"/>
      <c r="G3" s="18" t="s">
        <v>13</v>
      </c>
      <c r="H3" s="4"/>
      <c r="I3" s="20" t="s">
        <v>15</v>
      </c>
      <c r="J3" s="4"/>
      <c r="K3" s="21" t="s">
        <v>16</v>
      </c>
      <c r="L3" s="4"/>
      <c r="M3" s="22" t="s">
        <v>17</v>
      </c>
      <c r="N3" s="4"/>
      <c r="O3" s="23"/>
      <c r="P3" s="23"/>
      <c r="Q3" s="5"/>
      <c r="R3" s="5"/>
      <c r="S3" s="5"/>
      <c r="T3" s="5"/>
      <c r="U3" s="5"/>
      <c r="V3" s="5"/>
      <c r="W3" s="5"/>
      <c r="X3" s="5"/>
    </row>
    <row r="4" ht="21.75" customHeight="1">
      <c r="A4" s="24"/>
      <c r="B4" s="26"/>
      <c r="C4" s="26"/>
      <c r="D4" s="26"/>
      <c r="E4" s="27" t="s">
        <v>18</v>
      </c>
      <c r="F4" s="27" t="s">
        <v>19</v>
      </c>
      <c r="G4" s="28" t="s">
        <v>18</v>
      </c>
      <c r="H4" s="28" t="s">
        <v>19</v>
      </c>
      <c r="I4" s="29" t="s">
        <v>18</v>
      </c>
      <c r="J4" s="29" t="s">
        <v>19</v>
      </c>
      <c r="K4" s="30" t="s">
        <v>18</v>
      </c>
      <c r="L4" s="30" t="s">
        <v>19</v>
      </c>
      <c r="M4" s="31" t="s">
        <v>18</v>
      </c>
      <c r="N4" s="31" t="s">
        <v>19</v>
      </c>
      <c r="O4" s="32" t="s">
        <v>20</v>
      </c>
      <c r="P4" s="32" t="s">
        <v>21</v>
      </c>
      <c r="Q4" s="5"/>
      <c r="R4" s="5"/>
      <c r="S4" s="5"/>
      <c r="T4" s="5"/>
      <c r="U4" s="5"/>
      <c r="V4" s="5"/>
      <c r="W4" s="5"/>
      <c r="X4" s="5"/>
    </row>
    <row r="5" ht="18.0" customHeight="1">
      <c r="A5" s="34">
        <v>1.0</v>
      </c>
      <c r="B5" s="36" t="s">
        <v>23</v>
      </c>
      <c r="C5" s="36">
        <f>COUNTA('Partner Platform'!I14:I1070)</f>
        <v>305</v>
      </c>
      <c r="D5" s="38">
        <f t="shared" ref="D5:D6" si="1">(E5+G5)/C5</f>
        <v>0.5344262295</v>
      </c>
      <c r="E5" s="34">
        <f>COUNTIF('Partner Platform'!I14:I1070,"PASSED")</f>
        <v>151</v>
      </c>
      <c r="F5" s="38">
        <f t="shared" ref="F5:F6" si="2">E5/C5</f>
        <v>0.4950819672</v>
      </c>
      <c r="G5" s="34">
        <f>COUNTIF('Partner Platform'!I14:I1070,"FAILED")</f>
        <v>12</v>
      </c>
      <c r="H5" s="38">
        <f t="shared" ref="H5:H6" si="3">G5/C5</f>
        <v>0.0393442623</v>
      </c>
      <c r="I5" s="34">
        <f>COUNTIF('Partner Platform'!I14:I1070,"NOT_STARTED")</f>
        <v>2</v>
      </c>
      <c r="J5" s="38">
        <f t="shared" ref="J5:J6" si="4">I5/C5</f>
        <v>0.006557377049</v>
      </c>
      <c r="K5" s="34">
        <f>COUNTIF('Partner Platform'!I14:I1070,"IN_PROGRESS")</f>
        <v>0</v>
      </c>
      <c r="L5" s="38">
        <f t="shared" ref="L5:L6" si="5">K5/C5</f>
        <v>0</v>
      </c>
      <c r="M5" s="34">
        <f>COUNTIF('Partner Platform'!I14:I1070,"BLOCKED")</f>
        <v>140</v>
      </c>
      <c r="N5" s="38">
        <f t="shared" ref="N5:N6" si="6">M5/C5</f>
        <v>0.4590163934</v>
      </c>
      <c r="O5" s="49"/>
      <c r="P5" s="34" t="s">
        <v>37</v>
      </c>
      <c r="Q5" s="5"/>
      <c r="R5" s="5"/>
      <c r="S5" s="5"/>
      <c r="T5" s="5"/>
      <c r="U5" s="5"/>
      <c r="V5" s="5"/>
      <c r="W5" s="5"/>
      <c r="X5" s="5"/>
    </row>
    <row r="6" ht="21.75" customHeight="1">
      <c r="A6" s="51"/>
      <c r="B6" s="52" t="s">
        <v>10</v>
      </c>
      <c r="C6" s="51">
        <f>SUM(C5)</f>
        <v>305</v>
      </c>
      <c r="D6" s="38">
        <f t="shared" si="1"/>
        <v>0.5344262295</v>
      </c>
      <c r="E6" s="51">
        <f>SUM(E5)</f>
        <v>151</v>
      </c>
      <c r="F6" s="38">
        <f t="shared" si="2"/>
        <v>0.4950819672</v>
      </c>
      <c r="G6" s="51">
        <f>SUM(G5)</f>
        <v>12</v>
      </c>
      <c r="H6" s="38">
        <f t="shared" si="3"/>
        <v>0.0393442623</v>
      </c>
      <c r="I6" s="55">
        <f>SUM(H5)</f>
        <v>0.0393442623</v>
      </c>
      <c r="J6" s="38">
        <f t="shared" si="4"/>
        <v>0.0001289975813</v>
      </c>
      <c r="K6" s="51">
        <f>SUM(K5)</f>
        <v>0</v>
      </c>
      <c r="L6" s="38">
        <f t="shared" si="5"/>
        <v>0</v>
      </c>
      <c r="M6" s="51">
        <f>SUM(M5)</f>
        <v>140</v>
      </c>
      <c r="N6" s="38">
        <f t="shared" si="6"/>
        <v>0.4590163934</v>
      </c>
      <c r="O6" s="57"/>
      <c r="P6" s="57"/>
      <c r="Q6" s="5"/>
      <c r="R6" s="5"/>
      <c r="S6" s="5"/>
      <c r="T6" s="5"/>
      <c r="U6" s="5"/>
      <c r="V6" s="5"/>
      <c r="W6" s="5"/>
      <c r="X6" s="5"/>
    </row>
    <row r="7" ht="18.0" customHeight="1">
      <c r="A7" s="5"/>
      <c r="B7" s="5"/>
      <c r="C7" s="5"/>
      <c r="D7" s="5"/>
      <c r="E7" s="5"/>
      <c r="F7" s="5"/>
      <c r="G7" s="5"/>
      <c r="H7" s="5"/>
      <c r="I7" s="5"/>
      <c r="J7" s="5"/>
      <c r="K7" s="5"/>
      <c r="L7" s="5"/>
      <c r="M7" s="5"/>
      <c r="N7" s="5"/>
      <c r="O7" s="5"/>
      <c r="P7" s="5"/>
      <c r="Q7" s="5"/>
      <c r="R7" s="5"/>
      <c r="S7" s="5"/>
      <c r="T7" s="5"/>
      <c r="U7" s="5"/>
      <c r="V7" s="5"/>
      <c r="W7" s="5"/>
      <c r="X7" s="5"/>
    </row>
    <row r="8" ht="18.0" customHeight="1">
      <c r="A8" s="5"/>
      <c r="B8" s="5"/>
      <c r="C8" s="5"/>
      <c r="D8" s="5"/>
      <c r="E8" s="5"/>
      <c r="F8" s="5"/>
      <c r="G8" s="5"/>
      <c r="H8" s="5"/>
      <c r="I8" s="5"/>
      <c r="J8" s="5"/>
      <c r="K8" s="5"/>
      <c r="L8" s="5"/>
      <c r="M8" s="5"/>
      <c r="N8" s="5"/>
      <c r="O8" s="5"/>
      <c r="P8" s="5"/>
      <c r="Q8" s="5"/>
      <c r="R8" s="5"/>
      <c r="S8" s="5"/>
      <c r="T8" s="5"/>
      <c r="U8" s="5"/>
      <c r="V8" s="5"/>
      <c r="W8" s="5"/>
      <c r="X8" s="5"/>
    </row>
    <row r="9" ht="18.0" customHeight="1">
      <c r="A9" s="5"/>
      <c r="D9" s="5"/>
      <c r="E9" s="5"/>
      <c r="F9" s="5"/>
      <c r="G9" s="5"/>
      <c r="H9" s="5"/>
      <c r="I9" s="5"/>
      <c r="J9" s="5"/>
      <c r="K9" s="5"/>
      <c r="L9" s="5"/>
      <c r="M9" s="5"/>
      <c r="N9" s="5"/>
      <c r="O9" s="5"/>
      <c r="P9" s="5"/>
      <c r="Q9" s="5"/>
      <c r="R9" s="5"/>
      <c r="S9" s="5"/>
      <c r="T9" s="5"/>
      <c r="U9" s="5"/>
      <c r="V9" s="5"/>
      <c r="W9" s="5"/>
      <c r="X9" s="5"/>
    </row>
    <row r="10" ht="18.0" customHeight="1">
      <c r="A10" s="5"/>
      <c r="B10" s="5"/>
      <c r="C10" s="5"/>
      <c r="D10" s="5"/>
      <c r="E10" s="5"/>
      <c r="F10" s="5"/>
      <c r="G10" s="5"/>
      <c r="H10" s="5"/>
      <c r="I10" s="5"/>
      <c r="J10" s="5"/>
      <c r="K10" s="5"/>
      <c r="L10" s="5"/>
      <c r="M10" s="5"/>
      <c r="N10" s="5"/>
      <c r="O10" s="5"/>
      <c r="P10" s="5"/>
      <c r="Q10" s="5"/>
      <c r="R10" s="5"/>
      <c r="S10" s="5"/>
      <c r="T10" s="5"/>
      <c r="U10" s="5"/>
      <c r="V10" s="5"/>
      <c r="W10" s="5"/>
      <c r="X10" s="5"/>
    </row>
    <row r="11" ht="18.0" customHeight="1">
      <c r="A11" s="5"/>
      <c r="B11" s="5"/>
      <c r="C11" s="5"/>
      <c r="D11" s="5"/>
      <c r="E11" s="5"/>
      <c r="F11" s="5"/>
      <c r="G11" s="5"/>
      <c r="H11" s="5"/>
      <c r="I11" s="5"/>
      <c r="J11" s="5"/>
      <c r="K11" s="5"/>
      <c r="L11" s="5"/>
      <c r="M11" s="5"/>
      <c r="N11" s="5"/>
      <c r="O11" s="5"/>
      <c r="P11" s="5"/>
      <c r="Q11" s="5"/>
      <c r="R11" s="5"/>
      <c r="S11" s="5"/>
      <c r="T11" s="5"/>
      <c r="U11" s="5"/>
      <c r="V11" s="5"/>
      <c r="W11" s="5"/>
      <c r="X11" s="5"/>
    </row>
    <row r="12" ht="18.0" customHeight="1">
      <c r="A12" s="5"/>
      <c r="B12" s="5"/>
      <c r="C12" s="5"/>
      <c r="D12" s="5"/>
      <c r="E12" s="5"/>
      <c r="F12" s="5"/>
      <c r="G12" s="5"/>
      <c r="H12" s="5"/>
      <c r="I12" s="5"/>
      <c r="J12" s="5"/>
      <c r="K12" s="5"/>
      <c r="L12" s="5"/>
      <c r="M12" s="5"/>
      <c r="N12" s="5"/>
      <c r="O12" s="5"/>
      <c r="P12" s="5"/>
      <c r="Q12" s="5"/>
      <c r="R12" s="5"/>
      <c r="S12" s="5"/>
      <c r="T12" s="5"/>
      <c r="U12" s="5"/>
      <c r="V12" s="5"/>
      <c r="W12" s="5"/>
      <c r="X12" s="5"/>
    </row>
    <row r="13" ht="18.0" customHeight="1">
      <c r="A13" s="5"/>
      <c r="B13" s="5"/>
      <c r="C13" s="5"/>
      <c r="D13" s="5"/>
      <c r="E13" s="5"/>
      <c r="F13" s="5"/>
      <c r="G13" s="5"/>
      <c r="H13" s="5"/>
      <c r="I13" s="5"/>
      <c r="J13" s="5"/>
      <c r="K13" s="5"/>
      <c r="L13" s="5"/>
      <c r="M13" s="5"/>
      <c r="N13" s="5"/>
      <c r="O13" s="5"/>
      <c r="P13" s="5"/>
      <c r="Q13" s="5"/>
      <c r="R13" s="5"/>
      <c r="S13" s="5"/>
      <c r="T13" s="5"/>
      <c r="U13" s="5"/>
      <c r="V13" s="5"/>
      <c r="W13" s="5"/>
      <c r="X13" s="5"/>
    </row>
    <row r="14" ht="18.0" customHeight="1">
      <c r="A14" s="5"/>
      <c r="D14" s="5"/>
      <c r="E14" s="5"/>
      <c r="F14" s="5"/>
      <c r="G14" s="5"/>
      <c r="H14" s="5"/>
      <c r="I14" s="5"/>
      <c r="J14" s="5"/>
      <c r="K14" s="5"/>
      <c r="L14" s="5"/>
      <c r="M14" s="5"/>
      <c r="N14" s="5"/>
      <c r="O14" s="5"/>
      <c r="P14" s="5"/>
      <c r="Q14" s="5"/>
      <c r="R14" s="5"/>
      <c r="S14" s="5"/>
      <c r="T14" s="5"/>
      <c r="U14" s="5"/>
      <c r="V14" s="5"/>
      <c r="W14" s="5"/>
      <c r="X14" s="5"/>
    </row>
    <row r="15" ht="18.0" customHeight="1">
      <c r="A15" s="5"/>
      <c r="B15" s="5"/>
      <c r="C15" s="5"/>
      <c r="D15" s="5"/>
      <c r="E15" s="5"/>
      <c r="F15" s="5"/>
      <c r="G15" s="5"/>
      <c r="H15" s="5"/>
      <c r="I15" s="5"/>
      <c r="J15" s="5"/>
      <c r="K15" s="5"/>
      <c r="L15" s="5"/>
      <c r="M15" s="5"/>
      <c r="N15" s="5"/>
      <c r="O15" s="5"/>
      <c r="P15" s="5"/>
      <c r="Q15" s="5"/>
      <c r="R15" s="5"/>
      <c r="S15" s="5"/>
      <c r="T15" s="5"/>
      <c r="U15" s="5"/>
      <c r="V15" s="5"/>
      <c r="W15" s="5"/>
      <c r="X15" s="5"/>
    </row>
    <row r="16" ht="18.0" customHeight="1">
      <c r="A16" s="5"/>
      <c r="B16" s="5"/>
      <c r="C16" s="5"/>
      <c r="D16" s="5"/>
      <c r="E16" s="5"/>
      <c r="F16" s="5"/>
      <c r="G16" s="5"/>
      <c r="H16" s="5"/>
      <c r="I16" s="5"/>
      <c r="J16" s="5"/>
      <c r="K16" s="5"/>
      <c r="L16" s="5"/>
      <c r="M16" s="5"/>
      <c r="N16" s="5"/>
      <c r="O16" s="5"/>
      <c r="P16" s="5"/>
      <c r="Q16" s="5"/>
      <c r="R16" s="5"/>
      <c r="S16" s="5"/>
      <c r="T16" s="5"/>
      <c r="U16" s="5"/>
      <c r="V16" s="5"/>
      <c r="W16" s="5"/>
      <c r="X16" s="5"/>
    </row>
    <row r="17" ht="19.5" customHeight="1">
      <c r="A17" s="5"/>
      <c r="B17" s="5"/>
      <c r="C17" s="5"/>
      <c r="D17" s="5"/>
      <c r="E17" s="5"/>
      <c r="F17" s="5"/>
      <c r="G17" s="5"/>
      <c r="H17" s="5"/>
      <c r="I17" s="5"/>
      <c r="J17" s="5"/>
      <c r="K17" s="5"/>
      <c r="L17" s="5"/>
      <c r="M17" s="5"/>
      <c r="N17" s="5"/>
      <c r="O17" s="5"/>
      <c r="P17" s="5"/>
      <c r="Q17" s="5"/>
      <c r="R17" s="5"/>
      <c r="S17" s="5"/>
      <c r="T17" s="5"/>
      <c r="U17" s="5"/>
      <c r="V17" s="5"/>
      <c r="W17" s="5"/>
      <c r="X17" s="5"/>
    </row>
    <row r="18" ht="19.5" customHeight="1">
      <c r="A18" s="5"/>
      <c r="D18" s="5"/>
      <c r="E18" s="5"/>
      <c r="F18" s="5"/>
      <c r="G18" s="5"/>
      <c r="H18" s="5"/>
      <c r="I18" s="5"/>
      <c r="J18" s="5"/>
      <c r="K18" s="5"/>
      <c r="L18" s="5"/>
      <c r="M18" s="5"/>
      <c r="N18" s="5"/>
      <c r="O18" s="5"/>
      <c r="P18" s="5"/>
      <c r="Q18" s="5"/>
      <c r="R18" s="5"/>
      <c r="S18" s="5"/>
      <c r="T18" s="5"/>
      <c r="U18" s="5"/>
      <c r="V18" s="5"/>
      <c r="W18" s="5"/>
      <c r="X18" s="5"/>
    </row>
    <row r="19" ht="19.5" customHeight="1">
      <c r="A19" s="5"/>
      <c r="B19" s="5"/>
      <c r="C19" s="5"/>
      <c r="D19" s="5"/>
      <c r="E19" s="5"/>
      <c r="F19" s="5"/>
      <c r="G19" s="5"/>
      <c r="H19" s="5"/>
      <c r="I19" s="5"/>
      <c r="J19" s="5"/>
      <c r="K19" s="5"/>
      <c r="L19" s="5"/>
      <c r="M19" s="5"/>
      <c r="N19" s="5"/>
      <c r="O19" s="5"/>
      <c r="P19" s="5"/>
      <c r="Q19" s="5"/>
      <c r="R19" s="5"/>
      <c r="S19" s="5"/>
      <c r="T19" s="5"/>
      <c r="U19" s="5"/>
      <c r="V19" s="5"/>
      <c r="W19" s="5"/>
      <c r="X19" s="5"/>
    </row>
    <row r="20" ht="15.0" customHeight="1">
      <c r="A20" s="5"/>
      <c r="B20" s="5"/>
      <c r="C20" s="5"/>
      <c r="D20" s="5"/>
      <c r="E20" s="5"/>
      <c r="F20" s="5"/>
      <c r="G20" s="5"/>
      <c r="H20" s="5"/>
      <c r="I20" s="5"/>
      <c r="J20" s="5"/>
      <c r="K20" s="5"/>
      <c r="L20" s="5"/>
      <c r="M20" s="5"/>
      <c r="N20" s="5"/>
      <c r="O20" s="5"/>
      <c r="P20" s="5"/>
      <c r="Q20" s="5"/>
      <c r="R20" s="5"/>
      <c r="S20" s="5"/>
      <c r="T20" s="5"/>
      <c r="U20" s="5"/>
      <c r="V20" s="5"/>
      <c r="W20" s="5"/>
      <c r="X20" s="5"/>
    </row>
    <row r="21" ht="15.75" customHeight="1">
      <c r="A21" s="5"/>
      <c r="B21" s="5"/>
      <c r="C21" s="5"/>
      <c r="D21" s="5"/>
      <c r="E21" s="5"/>
      <c r="F21" s="5"/>
      <c r="G21" s="5"/>
      <c r="H21" s="5"/>
      <c r="I21" s="5"/>
      <c r="J21" s="5"/>
      <c r="K21" s="5"/>
      <c r="L21" s="5"/>
      <c r="M21" s="5"/>
      <c r="N21" s="5"/>
      <c r="O21" s="5"/>
      <c r="P21" s="5"/>
      <c r="Q21" s="5"/>
      <c r="R21" s="5"/>
      <c r="S21" s="5"/>
      <c r="T21" s="5"/>
      <c r="U21" s="5"/>
      <c r="V21" s="5"/>
      <c r="W21" s="5"/>
      <c r="X21" s="5"/>
    </row>
    <row r="22" ht="15.0" hidden="1" customHeight="1">
      <c r="A22" s="5" t="s">
        <v>46</v>
      </c>
      <c r="B22" s="5" t="s">
        <v>47</v>
      </c>
      <c r="C22" s="5"/>
      <c r="D22" s="5"/>
      <c r="E22" s="5"/>
      <c r="F22" s="5"/>
      <c r="G22" s="5"/>
      <c r="H22" s="5"/>
      <c r="I22" s="5"/>
      <c r="J22" s="5"/>
      <c r="K22" s="5"/>
      <c r="L22" s="5"/>
      <c r="M22" s="5"/>
      <c r="N22" s="5"/>
      <c r="O22" s="5"/>
      <c r="P22" s="5"/>
      <c r="Q22" s="5"/>
      <c r="R22" s="5"/>
      <c r="S22" s="5"/>
      <c r="T22" s="5"/>
      <c r="U22" s="5"/>
      <c r="V22" s="5"/>
      <c r="W22" s="5"/>
      <c r="X22" s="5"/>
    </row>
    <row r="23" ht="15.0" hidden="1" customHeight="1">
      <c r="A23" s="5" t="s">
        <v>48</v>
      </c>
      <c r="B23" s="5">
        <f>COUNTIF('Partner Platform'!H:H,"Pass")</f>
        <v>0</v>
      </c>
      <c r="C23" s="5"/>
      <c r="D23" s="5"/>
      <c r="E23" s="5"/>
      <c r="F23" s="5"/>
      <c r="G23" s="5"/>
      <c r="H23" s="5"/>
      <c r="I23" s="5"/>
      <c r="J23" s="5"/>
      <c r="K23" s="5"/>
      <c r="L23" s="5"/>
      <c r="M23" s="5"/>
      <c r="N23" s="5"/>
      <c r="O23" s="5"/>
      <c r="P23" s="5"/>
      <c r="Q23" s="5"/>
      <c r="R23" s="5"/>
      <c r="S23" s="5"/>
      <c r="T23" s="5"/>
      <c r="U23" s="5"/>
      <c r="V23" s="5"/>
      <c r="W23" s="5"/>
      <c r="X23" s="5"/>
    </row>
    <row r="24" ht="15.0" hidden="1" customHeight="1">
      <c r="A24" s="5" t="s">
        <v>240</v>
      </c>
      <c r="B24" s="5">
        <f>COUNTIF('Partner Platform'!H:H,"Fail")</f>
        <v>0</v>
      </c>
      <c r="C24" s="5"/>
      <c r="D24" s="5"/>
      <c r="E24" s="5"/>
      <c r="F24" s="5"/>
      <c r="G24" s="5"/>
      <c r="H24" s="5"/>
      <c r="I24" s="5"/>
      <c r="J24" s="5"/>
      <c r="K24" s="5"/>
      <c r="L24" s="5"/>
      <c r="M24" s="5"/>
      <c r="N24" s="5"/>
      <c r="O24" s="5"/>
      <c r="P24" s="5"/>
      <c r="Q24" s="5"/>
      <c r="R24" s="5"/>
      <c r="S24" s="5"/>
      <c r="T24" s="5"/>
      <c r="U24" s="5"/>
      <c r="V24" s="5"/>
      <c r="W24" s="5"/>
      <c r="X24" s="5"/>
    </row>
    <row r="25" ht="15.0" hidden="1" customHeight="1">
      <c r="A25" s="5" t="s">
        <v>41</v>
      </c>
      <c r="B25" s="5">
        <f>COUNTIF('Partner Platform'!H:H,"Not Started")</f>
        <v>0</v>
      </c>
      <c r="C25" s="5"/>
      <c r="D25" s="5"/>
      <c r="E25" s="5"/>
      <c r="F25" s="5"/>
      <c r="G25" s="5"/>
      <c r="H25" s="5"/>
      <c r="I25" s="5"/>
      <c r="J25" s="5"/>
      <c r="K25" s="5"/>
      <c r="L25" s="5"/>
      <c r="M25" s="5"/>
      <c r="N25" s="5"/>
      <c r="O25" s="5"/>
      <c r="P25" s="5"/>
      <c r="Q25" s="5"/>
      <c r="R25" s="5"/>
      <c r="S25" s="5"/>
      <c r="T25" s="5"/>
      <c r="U25" s="5"/>
      <c r="V25" s="5"/>
      <c r="W25" s="5"/>
      <c r="X25" s="5"/>
    </row>
    <row r="26" ht="15.0" hidden="1" customHeight="1">
      <c r="A26" s="5" t="s">
        <v>246</v>
      </c>
      <c r="B26" s="5">
        <f>COUNTIF('Partner Platform'!H:H,"In Progress")</f>
        <v>0</v>
      </c>
      <c r="C26" s="5"/>
      <c r="D26" s="5"/>
      <c r="E26" s="5"/>
      <c r="F26" s="5"/>
      <c r="G26" s="5"/>
      <c r="H26" s="5"/>
      <c r="I26" s="5"/>
      <c r="J26" s="5"/>
      <c r="K26" s="5"/>
      <c r="L26" s="5"/>
      <c r="M26" s="5"/>
      <c r="N26" s="5"/>
      <c r="O26" s="5"/>
      <c r="P26" s="5"/>
      <c r="Q26" s="5"/>
      <c r="R26" s="5"/>
      <c r="S26" s="5"/>
      <c r="T26" s="5"/>
      <c r="U26" s="5"/>
      <c r="V26" s="5"/>
      <c r="W26" s="5"/>
      <c r="X26" s="5"/>
    </row>
    <row r="27" ht="15.0" hidden="1" customHeight="1">
      <c r="A27" s="5" t="s">
        <v>247</v>
      </c>
      <c r="B27" s="5" t="s">
        <v>47</v>
      </c>
      <c r="C27" s="5"/>
      <c r="D27" s="5"/>
      <c r="E27" s="5"/>
      <c r="F27" s="5"/>
      <c r="G27" s="5"/>
      <c r="H27" s="5"/>
      <c r="I27" s="5"/>
      <c r="J27" s="5"/>
      <c r="K27" s="5"/>
      <c r="L27" s="5"/>
      <c r="M27" s="5"/>
      <c r="N27" s="5"/>
      <c r="O27" s="5"/>
      <c r="P27" s="5"/>
      <c r="Q27" s="5"/>
      <c r="R27" s="5"/>
      <c r="S27" s="5"/>
      <c r="T27" s="5"/>
      <c r="U27" s="5"/>
      <c r="V27" s="5"/>
      <c r="W27" s="5"/>
      <c r="X27" s="5"/>
    </row>
    <row r="28" ht="15.0" hidden="1" customHeight="1">
      <c r="A28" s="5" t="s">
        <v>247</v>
      </c>
      <c r="B28" s="5" t="s">
        <v>47</v>
      </c>
      <c r="C28" s="5"/>
      <c r="D28" s="5"/>
      <c r="E28" s="5"/>
      <c r="F28" s="5"/>
      <c r="G28" s="5"/>
      <c r="H28" s="5"/>
      <c r="I28" s="5"/>
      <c r="J28" s="5"/>
      <c r="K28" s="5"/>
      <c r="L28" s="5"/>
      <c r="M28" s="5"/>
      <c r="N28" s="5"/>
      <c r="O28" s="5"/>
      <c r="P28" s="5"/>
      <c r="Q28" s="5"/>
      <c r="R28" s="5"/>
      <c r="S28" s="5"/>
      <c r="T28" s="5"/>
      <c r="U28" s="5"/>
      <c r="V28" s="5"/>
      <c r="W28" s="5"/>
      <c r="X28" s="5"/>
    </row>
    <row r="29" ht="15.0" hidden="1" customHeight="1">
      <c r="A29" s="5" t="s">
        <v>68</v>
      </c>
      <c r="B29" s="5">
        <f>COUNTA('Partner Platform'!B87:B106)</f>
        <v>8</v>
      </c>
      <c r="C29" s="5"/>
      <c r="D29" s="5"/>
      <c r="E29" s="5"/>
      <c r="F29" s="5"/>
      <c r="G29" s="5"/>
      <c r="H29" s="5"/>
      <c r="I29" s="5"/>
      <c r="J29" s="5"/>
      <c r="K29" s="5"/>
      <c r="L29" s="5"/>
      <c r="M29" s="5"/>
      <c r="N29" s="5"/>
      <c r="O29" s="5"/>
      <c r="P29" s="5"/>
      <c r="Q29" s="5"/>
      <c r="R29" s="5"/>
      <c r="S29" s="5"/>
      <c r="T29" s="5"/>
      <c r="U29" s="5"/>
      <c r="V29" s="5"/>
      <c r="W29" s="5"/>
      <c r="X29" s="5"/>
    </row>
    <row r="30" ht="15.0" hidden="1" customHeight="1">
      <c r="A30" s="5" t="s">
        <v>253</v>
      </c>
      <c r="B30" s="5">
        <f>COUNTA('Partner Platform'!A287:A368)</f>
        <v>2</v>
      </c>
      <c r="C30" s="5"/>
      <c r="D30" s="5"/>
      <c r="E30" s="5"/>
      <c r="F30" s="5"/>
      <c r="G30" s="5"/>
      <c r="H30" s="5"/>
      <c r="I30" s="5"/>
      <c r="J30" s="5"/>
      <c r="K30" s="5"/>
      <c r="L30" s="5"/>
      <c r="M30" s="5"/>
      <c r="N30" s="5"/>
      <c r="O30" s="5"/>
      <c r="P30" s="5"/>
      <c r="Q30" s="5"/>
      <c r="R30" s="5"/>
      <c r="S30" s="5"/>
      <c r="T30" s="5"/>
      <c r="U30" s="5"/>
      <c r="V30" s="5"/>
      <c r="W30" s="5"/>
      <c r="X30" s="5"/>
    </row>
    <row r="31" ht="15.0" hidden="1" customHeight="1">
      <c r="A31" s="5" t="s">
        <v>256</v>
      </c>
      <c r="B31" s="5" t="s">
        <v>47</v>
      </c>
      <c r="C31" s="5"/>
      <c r="D31" s="5"/>
      <c r="E31" s="5"/>
      <c r="F31" s="5"/>
      <c r="G31" s="5"/>
      <c r="H31" s="5"/>
      <c r="I31" s="5"/>
      <c r="J31" s="5"/>
      <c r="K31" s="5"/>
      <c r="L31" s="5"/>
      <c r="M31" s="5"/>
      <c r="N31" s="5"/>
      <c r="O31" s="5"/>
      <c r="P31" s="5"/>
      <c r="Q31" s="5"/>
      <c r="R31" s="5"/>
      <c r="S31" s="5"/>
      <c r="T31" s="5"/>
      <c r="U31" s="5"/>
      <c r="V31" s="5"/>
      <c r="W31" s="5"/>
      <c r="X31" s="5"/>
    </row>
    <row r="32" ht="15.0" hidden="1" customHeight="1">
      <c r="A32" s="5" t="s">
        <v>7</v>
      </c>
      <c r="B32" s="5" t="s">
        <v>47</v>
      </c>
      <c r="C32" s="5"/>
      <c r="D32" s="5"/>
      <c r="E32" s="5"/>
      <c r="F32" s="5"/>
      <c r="G32" s="5"/>
      <c r="H32" s="5"/>
      <c r="I32" s="5"/>
      <c r="J32" s="5"/>
      <c r="K32" s="5"/>
      <c r="L32" s="5"/>
      <c r="M32" s="5"/>
      <c r="N32" s="5"/>
      <c r="O32" s="5"/>
      <c r="P32" s="5"/>
      <c r="Q32" s="5"/>
      <c r="R32" s="5"/>
      <c r="S32" s="5"/>
      <c r="T32" s="5"/>
      <c r="U32" s="5"/>
      <c r="V32" s="5"/>
      <c r="W32" s="5"/>
      <c r="X32" s="5"/>
    </row>
    <row r="33" ht="15.0" hidden="1" customHeight="1">
      <c r="A33" s="5" t="s">
        <v>263</v>
      </c>
      <c r="B33" s="5">
        <v>138.0</v>
      </c>
      <c r="C33" s="5"/>
      <c r="D33" s="5"/>
      <c r="E33" s="5"/>
      <c r="F33" s="5"/>
      <c r="G33" s="5"/>
      <c r="H33" s="5"/>
      <c r="I33" s="5"/>
      <c r="J33" s="5"/>
      <c r="K33" s="5"/>
      <c r="L33" s="5"/>
      <c r="M33" s="5"/>
      <c r="N33" s="5"/>
      <c r="O33" s="5"/>
      <c r="P33" s="5"/>
      <c r="Q33" s="5"/>
      <c r="R33" s="5"/>
      <c r="S33" s="5"/>
      <c r="T33" s="5"/>
      <c r="U33" s="5"/>
      <c r="V33" s="5"/>
      <c r="W33" s="5"/>
      <c r="X33" s="5"/>
    </row>
    <row r="34" ht="15.75" hidden="1" customHeight="1">
      <c r="A34" s="5" t="s">
        <v>266</v>
      </c>
      <c r="B34" s="5">
        <v>6.0</v>
      </c>
      <c r="C34" s="5"/>
      <c r="D34" s="5"/>
      <c r="E34" s="5"/>
      <c r="F34" s="5"/>
      <c r="G34" s="5"/>
      <c r="H34" s="5"/>
      <c r="I34" s="5"/>
      <c r="J34" s="5"/>
      <c r="K34" s="5"/>
      <c r="L34" s="5"/>
      <c r="M34" s="5"/>
      <c r="N34" s="5"/>
      <c r="O34" s="5"/>
      <c r="P34" s="5"/>
      <c r="Q34" s="5"/>
      <c r="R34" s="5"/>
      <c r="S34" s="5"/>
      <c r="T34" s="5"/>
      <c r="U34" s="5"/>
      <c r="V34" s="5"/>
      <c r="W34" s="5"/>
      <c r="X34" s="5"/>
    </row>
    <row r="35" ht="15.75" hidden="1" customHeight="1">
      <c r="A35" s="5"/>
      <c r="B35" s="5"/>
      <c r="C35" s="5"/>
      <c r="D35" s="5"/>
      <c r="E35" s="5"/>
      <c r="F35" s="5"/>
      <c r="G35" s="5"/>
      <c r="H35" s="5"/>
      <c r="I35" s="5"/>
      <c r="J35" s="5"/>
      <c r="K35" s="5"/>
      <c r="L35" s="5"/>
      <c r="M35" s="5"/>
      <c r="N35" s="5"/>
      <c r="O35" s="5"/>
      <c r="P35" s="5"/>
      <c r="Q35" s="5"/>
      <c r="R35" s="5"/>
      <c r="S35" s="5"/>
      <c r="T35" s="5"/>
      <c r="U35" s="5"/>
      <c r="V35" s="5"/>
      <c r="W35" s="5"/>
      <c r="X35" s="5"/>
    </row>
    <row r="36" ht="15.75" hidden="1" customHeight="1">
      <c r="A36" s="5" t="s">
        <v>56</v>
      </c>
      <c r="B36" s="5" t="s">
        <v>47</v>
      </c>
      <c r="C36" s="5"/>
      <c r="D36" s="5"/>
      <c r="E36" s="5"/>
      <c r="F36" s="5"/>
      <c r="G36" s="5"/>
      <c r="H36" s="5"/>
      <c r="I36" s="5"/>
      <c r="J36" s="5"/>
      <c r="K36" s="5"/>
      <c r="L36" s="5"/>
      <c r="M36" s="5"/>
      <c r="N36" s="5"/>
      <c r="O36" s="5"/>
      <c r="P36" s="5"/>
      <c r="Q36" s="5"/>
      <c r="R36" s="5"/>
      <c r="S36" s="5"/>
      <c r="T36" s="5"/>
      <c r="U36" s="5"/>
      <c r="V36" s="5"/>
      <c r="W36" s="5"/>
      <c r="X36" s="5"/>
    </row>
    <row r="37" ht="15.75" hidden="1" customHeight="1">
      <c r="A37" s="5" t="s">
        <v>74</v>
      </c>
      <c r="B37" s="5">
        <f>COUNTIF('Partner Platform'!F:F,"P1")</f>
        <v>0</v>
      </c>
      <c r="C37" s="5"/>
      <c r="D37" s="5"/>
      <c r="E37" s="5"/>
      <c r="F37" s="5"/>
      <c r="G37" s="5"/>
      <c r="H37" s="5"/>
      <c r="I37" s="5"/>
      <c r="J37" s="5"/>
      <c r="K37" s="5"/>
      <c r="L37" s="5"/>
      <c r="M37" s="5"/>
      <c r="N37" s="5"/>
      <c r="O37" s="5"/>
      <c r="P37" s="5"/>
      <c r="Q37" s="5"/>
      <c r="R37" s="5"/>
      <c r="S37" s="5"/>
      <c r="T37" s="5"/>
      <c r="U37" s="5"/>
      <c r="V37" s="5"/>
      <c r="W37" s="5"/>
      <c r="X37" s="5"/>
    </row>
    <row r="38" ht="15.75" hidden="1" customHeight="1">
      <c r="A38" s="5" t="s">
        <v>146</v>
      </c>
      <c r="B38" s="5">
        <f>COUNTIF('Partner Platform'!F:F,"P2")</f>
        <v>0</v>
      </c>
      <c r="C38" s="5"/>
      <c r="D38" s="5"/>
      <c r="E38" s="5"/>
      <c r="F38" s="5"/>
      <c r="G38" s="5"/>
      <c r="H38" s="5"/>
      <c r="I38" s="5"/>
      <c r="J38" s="5"/>
      <c r="K38" s="5"/>
      <c r="L38" s="5"/>
      <c r="M38" s="5"/>
      <c r="N38" s="5"/>
      <c r="O38" s="5"/>
      <c r="P38" s="5"/>
      <c r="Q38" s="5"/>
      <c r="R38" s="5"/>
      <c r="S38" s="5"/>
      <c r="T38" s="5"/>
      <c r="U38" s="5"/>
      <c r="V38" s="5"/>
      <c r="W38" s="5"/>
      <c r="X38" s="5"/>
    </row>
    <row r="39" ht="15.75" hidden="1" customHeight="1">
      <c r="A39" s="5" t="s">
        <v>261</v>
      </c>
      <c r="B39" s="5">
        <f>COUNTIF('Partner Platform'!F:F,"P3")</f>
        <v>0</v>
      </c>
      <c r="C39" s="5"/>
      <c r="D39" s="5"/>
      <c r="E39" s="5"/>
      <c r="F39" s="5"/>
      <c r="G39" s="5"/>
      <c r="H39" s="5"/>
      <c r="I39" s="5"/>
      <c r="J39" s="5"/>
      <c r="K39" s="5"/>
      <c r="L39" s="5"/>
      <c r="M39" s="5"/>
      <c r="N39" s="5"/>
      <c r="O39" s="5"/>
      <c r="P39" s="5"/>
      <c r="Q39" s="5"/>
      <c r="R39" s="5"/>
      <c r="S39" s="5"/>
      <c r="T39" s="5"/>
      <c r="U39" s="5"/>
      <c r="V39" s="5"/>
      <c r="W39" s="5"/>
      <c r="X39" s="5"/>
    </row>
    <row r="40" ht="15.75" hidden="1" customHeight="1">
      <c r="A40" s="5" t="s">
        <v>275</v>
      </c>
      <c r="B40" s="5">
        <f>COUNTIF('Partner Platform'!F:F,"P4")</f>
        <v>0</v>
      </c>
      <c r="C40" s="5"/>
      <c r="D40" s="5"/>
      <c r="E40" s="5"/>
      <c r="F40" s="5"/>
      <c r="G40" s="5"/>
      <c r="H40" s="5"/>
      <c r="I40" s="5"/>
      <c r="J40" s="5"/>
      <c r="K40" s="5"/>
      <c r="L40" s="5"/>
      <c r="M40" s="5"/>
      <c r="N40" s="5"/>
      <c r="O40" s="5"/>
      <c r="P40" s="5"/>
      <c r="Q40" s="5"/>
      <c r="R40" s="5"/>
      <c r="S40" s="5"/>
      <c r="T40" s="5"/>
      <c r="U40" s="5"/>
      <c r="V40" s="5"/>
      <c r="W40" s="5"/>
      <c r="X40" s="5"/>
    </row>
    <row r="41" ht="15.75" customHeight="1">
      <c r="A41" s="5"/>
      <c r="B41" s="5"/>
      <c r="C41" s="5"/>
      <c r="D41" s="5"/>
      <c r="E41" s="5"/>
      <c r="F41" s="5"/>
      <c r="G41" s="5"/>
      <c r="H41" s="5"/>
      <c r="I41" s="5"/>
      <c r="J41" s="5"/>
      <c r="K41" s="5"/>
      <c r="L41" s="5"/>
      <c r="M41" s="5"/>
      <c r="N41" s="5"/>
      <c r="O41" s="5"/>
      <c r="P41" s="5"/>
      <c r="Q41" s="5"/>
      <c r="R41" s="5"/>
      <c r="S41" s="5"/>
      <c r="T41" s="5"/>
      <c r="U41" s="5"/>
      <c r="V41" s="5"/>
      <c r="W41" s="5"/>
      <c r="X41" s="5"/>
    </row>
    <row r="42" ht="15.75" customHeight="1">
      <c r="A42" s="5"/>
      <c r="B42" s="5"/>
      <c r="C42" s="5"/>
      <c r="D42" s="5"/>
      <c r="E42" s="5"/>
      <c r="F42" s="5"/>
      <c r="G42" s="5"/>
      <c r="H42" s="5"/>
      <c r="I42" s="5"/>
      <c r="J42" s="5"/>
      <c r="K42" s="5"/>
      <c r="L42" s="5"/>
      <c r="M42" s="5"/>
      <c r="N42" s="5"/>
      <c r="O42" s="5"/>
      <c r="P42" s="5"/>
      <c r="Q42" s="5"/>
      <c r="R42" s="5"/>
      <c r="S42" s="5"/>
      <c r="T42" s="5"/>
      <c r="U42" s="5"/>
      <c r="V42" s="5"/>
      <c r="W42" s="5"/>
      <c r="X42" s="5"/>
    </row>
    <row r="43" ht="15.75" customHeight="1">
      <c r="A43" s="5"/>
      <c r="B43" s="5"/>
      <c r="C43" s="5"/>
      <c r="D43" s="5"/>
      <c r="E43" s="5"/>
      <c r="F43" s="5"/>
      <c r="G43" s="5"/>
      <c r="H43" s="5"/>
      <c r="I43" s="5"/>
      <c r="J43" s="5"/>
      <c r="K43" s="5"/>
      <c r="L43" s="5"/>
      <c r="M43" s="5"/>
      <c r="N43" s="5"/>
      <c r="O43" s="5"/>
      <c r="P43" s="5"/>
      <c r="Q43" s="5"/>
      <c r="R43" s="5"/>
      <c r="S43" s="5"/>
      <c r="T43" s="5"/>
      <c r="U43" s="5"/>
      <c r="V43" s="5"/>
      <c r="W43" s="5"/>
      <c r="X43" s="5"/>
    </row>
    <row r="44" ht="15.75" customHeight="1">
      <c r="A44" s="5"/>
      <c r="B44" s="5"/>
      <c r="C44" s="5"/>
      <c r="D44" s="5"/>
      <c r="E44" s="5"/>
      <c r="F44" s="5"/>
      <c r="G44" s="5"/>
      <c r="H44" s="5"/>
      <c r="I44" s="5"/>
      <c r="J44" s="5"/>
      <c r="K44" s="5"/>
      <c r="L44" s="5"/>
      <c r="M44" s="5"/>
      <c r="N44" s="5"/>
      <c r="O44" s="5"/>
      <c r="P44" s="5"/>
      <c r="Q44" s="5"/>
      <c r="R44" s="5"/>
      <c r="S44" s="5"/>
      <c r="T44" s="5"/>
      <c r="U44" s="5"/>
      <c r="V44" s="5"/>
      <c r="W44" s="5"/>
      <c r="X44" s="5"/>
    </row>
    <row r="45" ht="15.75" customHeight="1">
      <c r="A45" s="5"/>
      <c r="B45" s="5"/>
      <c r="C45" s="5"/>
      <c r="D45" s="5"/>
      <c r="E45" s="5"/>
      <c r="F45" s="5"/>
      <c r="G45" s="5"/>
      <c r="H45" s="5"/>
      <c r="I45" s="5"/>
      <c r="J45" s="5"/>
      <c r="K45" s="5"/>
      <c r="L45" s="5"/>
      <c r="M45" s="5"/>
      <c r="N45" s="5"/>
      <c r="O45" s="5"/>
      <c r="P45" s="5"/>
      <c r="Q45" s="5"/>
      <c r="R45" s="5"/>
      <c r="S45" s="5"/>
      <c r="T45" s="5"/>
      <c r="U45" s="5"/>
      <c r="V45" s="5"/>
      <c r="W45" s="5"/>
      <c r="X45" s="5"/>
    </row>
    <row r="46" ht="15.75" customHeight="1">
      <c r="A46" s="5"/>
      <c r="B46" s="5"/>
      <c r="C46" s="5"/>
      <c r="D46" s="5"/>
      <c r="E46" s="5"/>
      <c r="F46" s="5"/>
      <c r="G46" s="5"/>
      <c r="H46" s="5"/>
      <c r="I46" s="5"/>
      <c r="J46" s="5"/>
      <c r="K46" s="5"/>
      <c r="L46" s="5"/>
      <c r="M46" s="5"/>
      <c r="N46" s="5"/>
      <c r="O46" s="5"/>
      <c r="P46" s="5"/>
      <c r="Q46" s="5"/>
      <c r="R46" s="5"/>
      <c r="S46" s="5"/>
      <c r="T46" s="5"/>
      <c r="U46" s="5"/>
      <c r="V46" s="5"/>
      <c r="W46" s="5"/>
      <c r="X46" s="5"/>
    </row>
    <row r="47" ht="15.75" customHeight="1">
      <c r="A47" s="5"/>
      <c r="B47" s="5"/>
      <c r="C47" s="5"/>
      <c r="D47" s="5"/>
      <c r="E47" s="5"/>
      <c r="F47" s="5"/>
      <c r="G47" s="5"/>
      <c r="H47" s="5"/>
      <c r="I47" s="5"/>
      <c r="J47" s="5"/>
      <c r="K47" s="5"/>
      <c r="L47" s="5"/>
      <c r="M47" s="5"/>
      <c r="N47" s="5"/>
      <c r="O47" s="5"/>
      <c r="P47" s="5"/>
      <c r="Q47" s="5"/>
      <c r="R47" s="5"/>
      <c r="S47" s="5"/>
      <c r="T47" s="5"/>
      <c r="U47" s="5"/>
      <c r="V47" s="5"/>
      <c r="W47" s="5"/>
      <c r="X47" s="5"/>
    </row>
    <row r="48" ht="15.75" customHeight="1">
      <c r="A48" s="5"/>
      <c r="B48" s="5"/>
      <c r="C48" s="5"/>
      <c r="D48" s="5"/>
      <c r="E48" s="5"/>
      <c r="F48" s="5"/>
      <c r="G48" s="5"/>
      <c r="H48" s="5"/>
      <c r="I48" s="5"/>
      <c r="J48" s="5"/>
      <c r="K48" s="5"/>
      <c r="L48" s="5"/>
      <c r="M48" s="5"/>
      <c r="N48" s="5"/>
      <c r="O48" s="5"/>
      <c r="P48" s="5"/>
      <c r="Q48" s="5"/>
      <c r="R48" s="5"/>
      <c r="S48" s="5"/>
      <c r="T48" s="5"/>
      <c r="U48" s="5"/>
      <c r="V48" s="5"/>
      <c r="W48" s="5"/>
      <c r="X48" s="5"/>
    </row>
    <row r="49" ht="15.75" customHeight="1">
      <c r="A49" s="5"/>
      <c r="B49" s="5"/>
      <c r="C49" s="5"/>
      <c r="D49" s="5"/>
      <c r="E49" s="5"/>
      <c r="F49" s="5"/>
      <c r="G49" s="5"/>
      <c r="H49" s="5"/>
      <c r="I49" s="5"/>
      <c r="J49" s="5"/>
      <c r="K49" s="5"/>
      <c r="L49" s="5"/>
      <c r="M49" s="5"/>
      <c r="N49" s="5"/>
      <c r="O49" s="5"/>
      <c r="P49" s="5"/>
      <c r="Q49" s="5"/>
      <c r="R49" s="5"/>
      <c r="S49" s="5"/>
      <c r="T49" s="5"/>
      <c r="U49" s="5"/>
      <c r="V49" s="5"/>
      <c r="W49" s="5"/>
      <c r="X49" s="5"/>
    </row>
    <row r="50" ht="15.75" customHeight="1">
      <c r="A50" s="5"/>
      <c r="B50" s="5"/>
      <c r="C50" s="5"/>
      <c r="D50" s="5"/>
      <c r="E50" s="5"/>
      <c r="F50" s="5"/>
      <c r="G50" s="5"/>
      <c r="H50" s="5"/>
      <c r="I50" s="5"/>
      <c r="J50" s="5"/>
      <c r="K50" s="5"/>
      <c r="L50" s="5"/>
      <c r="M50" s="5"/>
      <c r="N50" s="5"/>
      <c r="O50" s="5"/>
      <c r="P50" s="5"/>
      <c r="Q50" s="5"/>
      <c r="R50" s="5"/>
      <c r="S50" s="5"/>
      <c r="T50" s="5"/>
      <c r="U50" s="5"/>
      <c r="V50" s="5"/>
      <c r="W50" s="5"/>
      <c r="X50" s="5"/>
    </row>
    <row r="51" ht="15.75" customHeight="1">
      <c r="A51" s="5"/>
      <c r="B51" s="5"/>
      <c r="C51" s="5"/>
      <c r="D51" s="5"/>
      <c r="E51" s="5"/>
      <c r="F51" s="5"/>
      <c r="G51" s="5"/>
      <c r="H51" s="5"/>
      <c r="I51" s="5"/>
      <c r="J51" s="5"/>
      <c r="K51" s="5"/>
      <c r="L51" s="5"/>
      <c r="M51" s="5"/>
      <c r="N51" s="5"/>
      <c r="O51" s="5"/>
      <c r="P51" s="5"/>
      <c r="Q51" s="5"/>
      <c r="R51" s="5"/>
      <c r="S51" s="5"/>
      <c r="T51" s="5"/>
      <c r="U51" s="5"/>
      <c r="V51" s="5"/>
      <c r="W51" s="5"/>
      <c r="X51" s="5"/>
    </row>
    <row r="52" ht="15.75" customHeight="1">
      <c r="A52" s="5"/>
      <c r="B52" s="5"/>
      <c r="C52" s="5"/>
      <c r="D52" s="5"/>
      <c r="E52" s="5"/>
      <c r="F52" s="5"/>
      <c r="G52" s="5"/>
      <c r="H52" s="5"/>
      <c r="I52" s="5"/>
      <c r="J52" s="5"/>
      <c r="K52" s="5"/>
      <c r="L52" s="5"/>
      <c r="M52" s="5"/>
      <c r="N52" s="5"/>
      <c r="O52" s="5"/>
      <c r="P52" s="5"/>
      <c r="Q52" s="5"/>
      <c r="R52" s="5"/>
      <c r="S52" s="5"/>
      <c r="T52" s="5"/>
      <c r="U52" s="5"/>
      <c r="V52" s="5"/>
      <c r="W52" s="5"/>
      <c r="X52" s="5"/>
    </row>
    <row r="53" ht="15.75" customHeight="1">
      <c r="A53" s="5"/>
      <c r="B53" s="5"/>
      <c r="C53" s="5"/>
      <c r="D53" s="5"/>
      <c r="E53" s="5"/>
      <c r="F53" s="5"/>
      <c r="G53" s="5"/>
      <c r="H53" s="5"/>
      <c r="I53" s="5"/>
      <c r="J53" s="5"/>
      <c r="K53" s="5"/>
      <c r="L53" s="5"/>
      <c r="M53" s="5"/>
      <c r="N53" s="5"/>
      <c r="O53" s="5"/>
      <c r="P53" s="5"/>
      <c r="Q53" s="5"/>
      <c r="R53" s="5"/>
      <c r="S53" s="5"/>
      <c r="T53" s="5"/>
      <c r="U53" s="5"/>
      <c r="V53" s="5"/>
      <c r="W53" s="5"/>
      <c r="X53" s="5"/>
    </row>
    <row r="54" ht="15.75" customHeight="1">
      <c r="A54" s="5"/>
      <c r="B54" s="5"/>
      <c r="C54" s="5"/>
      <c r="D54" s="5"/>
      <c r="E54" s="5"/>
      <c r="F54" s="5"/>
      <c r="G54" s="5"/>
      <c r="H54" s="5"/>
      <c r="I54" s="5"/>
      <c r="J54" s="5"/>
      <c r="K54" s="5"/>
      <c r="L54" s="5"/>
      <c r="M54" s="5"/>
      <c r="N54" s="5"/>
      <c r="O54" s="5"/>
      <c r="P54" s="5"/>
      <c r="Q54" s="5"/>
      <c r="R54" s="5"/>
      <c r="S54" s="5"/>
      <c r="T54" s="5"/>
      <c r="U54" s="5"/>
      <c r="V54" s="5"/>
      <c r="W54" s="5"/>
      <c r="X54" s="5"/>
    </row>
    <row r="55" ht="15.75" customHeight="1">
      <c r="A55" s="5"/>
      <c r="B55" s="5"/>
      <c r="C55" s="5"/>
      <c r="D55" s="5"/>
      <c r="E55" s="5"/>
      <c r="F55" s="5"/>
      <c r="G55" s="5"/>
      <c r="H55" s="5"/>
      <c r="I55" s="5"/>
      <c r="J55" s="5"/>
      <c r="K55" s="5"/>
      <c r="L55" s="5"/>
      <c r="M55" s="5"/>
      <c r="N55" s="5"/>
      <c r="O55" s="5"/>
      <c r="P55" s="5"/>
      <c r="Q55" s="5"/>
      <c r="R55" s="5"/>
      <c r="S55" s="5"/>
      <c r="T55" s="5"/>
      <c r="U55" s="5"/>
      <c r="V55" s="5"/>
      <c r="W55" s="5"/>
      <c r="X55" s="5"/>
    </row>
    <row r="56" ht="15.75" customHeight="1">
      <c r="A56" s="5"/>
      <c r="B56" s="5"/>
      <c r="C56" s="5"/>
      <c r="D56" s="5"/>
      <c r="E56" s="5"/>
      <c r="F56" s="5"/>
      <c r="G56" s="5"/>
      <c r="H56" s="5"/>
      <c r="I56" s="5"/>
      <c r="J56" s="5"/>
      <c r="K56" s="5"/>
      <c r="L56" s="5"/>
      <c r="M56" s="5"/>
      <c r="N56" s="5"/>
      <c r="O56" s="5"/>
      <c r="P56" s="5"/>
      <c r="Q56" s="5"/>
      <c r="R56" s="5"/>
      <c r="S56" s="5"/>
      <c r="T56" s="5"/>
      <c r="U56" s="5"/>
      <c r="V56" s="5"/>
      <c r="W56" s="5"/>
      <c r="X56" s="5"/>
    </row>
    <row r="57" ht="15.75" customHeight="1">
      <c r="A57" s="5"/>
      <c r="B57" s="5"/>
      <c r="C57" s="5"/>
      <c r="D57" s="5"/>
      <c r="E57" s="5"/>
      <c r="F57" s="5"/>
      <c r="G57" s="5"/>
      <c r="H57" s="5"/>
      <c r="I57" s="5"/>
      <c r="J57" s="5"/>
      <c r="K57" s="5"/>
      <c r="L57" s="5"/>
      <c r="M57" s="5"/>
      <c r="N57" s="5"/>
      <c r="O57" s="5"/>
      <c r="P57" s="5"/>
      <c r="Q57" s="5"/>
      <c r="R57" s="5"/>
      <c r="S57" s="5"/>
      <c r="T57" s="5"/>
      <c r="U57" s="5"/>
      <c r="V57" s="5"/>
      <c r="W57" s="5"/>
      <c r="X57" s="5"/>
    </row>
    <row r="58" ht="15.75" customHeight="1">
      <c r="A58" s="5"/>
      <c r="B58" s="5"/>
      <c r="C58" s="5"/>
      <c r="D58" s="5"/>
      <c r="E58" s="5"/>
      <c r="F58" s="5"/>
      <c r="G58" s="5"/>
      <c r="H58" s="5"/>
      <c r="I58" s="5"/>
      <c r="J58" s="5"/>
      <c r="K58" s="5"/>
      <c r="L58" s="5"/>
      <c r="M58" s="5"/>
      <c r="N58" s="5"/>
      <c r="O58" s="5"/>
      <c r="P58" s="5"/>
      <c r="Q58" s="5"/>
      <c r="R58" s="5"/>
      <c r="S58" s="5"/>
      <c r="T58" s="5"/>
      <c r="U58" s="5"/>
      <c r="V58" s="5"/>
      <c r="W58" s="5"/>
      <c r="X58" s="5"/>
    </row>
    <row r="59" ht="15.75" customHeight="1">
      <c r="A59" s="5"/>
      <c r="B59" s="5"/>
      <c r="C59" s="5"/>
      <c r="D59" s="5"/>
      <c r="E59" s="5"/>
      <c r="F59" s="5"/>
      <c r="G59" s="5"/>
      <c r="H59" s="5"/>
      <c r="I59" s="5"/>
      <c r="J59" s="5"/>
      <c r="K59" s="5"/>
      <c r="L59" s="5"/>
      <c r="M59" s="5"/>
      <c r="N59" s="5"/>
      <c r="O59" s="5"/>
      <c r="P59" s="5"/>
      <c r="Q59" s="5"/>
      <c r="R59" s="5"/>
      <c r="S59" s="5"/>
      <c r="T59" s="5"/>
      <c r="U59" s="5"/>
      <c r="V59" s="5"/>
      <c r="W59" s="5"/>
      <c r="X59" s="5"/>
    </row>
    <row r="60" ht="15.75" customHeight="1">
      <c r="A60" s="5"/>
      <c r="B60" s="5"/>
      <c r="C60" s="5"/>
      <c r="D60" s="5"/>
      <c r="E60" s="5"/>
      <c r="F60" s="5"/>
      <c r="G60" s="5"/>
      <c r="H60" s="5"/>
      <c r="I60" s="5"/>
      <c r="J60" s="5"/>
      <c r="K60" s="5"/>
      <c r="L60" s="5"/>
      <c r="M60" s="5"/>
      <c r="N60" s="5"/>
      <c r="O60" s="5"/>
      <c r="P60" s="5"/>
      <c r="Q60" s="5"/>
      <c r="R60" s="5"/>
      <c r="S60" s="5"/>
      <c r="T60" s="5"/>
      <c r="U60" s="5"/>
      <c r="V60" s="5"/>
      <c r="W60" s="5"/>
      <c r="X60" s="5"/>
    </row>
    <row r="61" ht="15.75" customHeight="1">
      <c r="A61" s="5"/>
      <c r="B61" s="5"/>
      <c r="C61" s="5"/>
      <c r="D61" s="5"/>
      <c r="E61" s="5"/>
      <c r="F61" s="5"/>
      <c r="G61" s="5"/>
      <c r="H61" s="5"/>
      <c r="I61" s="5"/>
      <c r="J61" s="5"/>
      <c r="K61" s="5"/>
      <c r="L61" s="5"/>
      <c r="M61" s="5"/>
      <c r="N61" s="5"/>
      <c r="O61" s="5"/>
      <c r="P61" s="5"/>
      <c r="Q61" s="5"/>
      <c r="R61" s="5"/>
      <c r="S61" s="5"/>
      <c r="T61" s="5"/>
      <c r="U61" s="5"/>
      <c r="V61" s="5"/>
      <c r="W61" s="5"/>
      <c r="X61" s="5"/>
    </row>
    <row r="62" ht="15.75" customHeight="1">
      <c r="A62" s="5"/>
      <c r="B62" s="5"/>
      <c r="C62" s="5"/>
      <c r="D62" s="5"/>
      <c r="E62" s="5"/>
      <c r="F62" s="5"/>
      <c r="G62" s="5"/>
      <c r="H62" s="5"/>
      <c r="I62" s="5"/>
      <c r="J62" s="5"/>
      <c r="K62" s="5"/>
      <c r="L62" s="5"/>
      <c r="M62" s="5"/>
      <c r="N62" s="5"/>
      <c r="O62" s="5"/>
      <c r="P62" s="5"/>
      <c r="Q62" s="5"/>
      <c r="R62" s="5"/>
      <c r="S62" s="5"/>
      <c r="T62" s="5"/>
      <c r="U62" s="5"/>
      <c r="V62" s="5"/>
      <c r="W62" s="5"/>
      <c r="X62" s="5"/>
    </row>
    <row r="63" ht="15.75" customHeight="1">
      <c r="A63" s="5"/>
      <c r="B63" s="5"/>
      <c r="C63" s="5"/>
      <c r="D63" s="5"/>
      <c r="E63" s="5"/>
      <c r="F63" s="5"/>
      <c r="G63" s="5"/>
      <c r="H63" s="5"/>
      <c r="I63" s="5"/>
      <c r="J63" s="5"/>
      <c r="K63" s="5"/>
      <c r="L63" s="5"/>
      <c r="M63" s="5"/>
      <c r="N63" s="5"/>
      <c r="O63" s="5"/>
      <c r="P63" s="5"/>
      <c r="Q63" s="5"/>
      <c r="R63" s="5"/>
      <c r="S63" s="5"/>
      <c r="T63" s="5"/>
      <c r="U63" s="5"/>
      <c r="V63" s="5"/>
      <c r="W63" s="5"/>
      <c r="X63" s="5"/>
    </row>
    <row r="64" ht="15.75" customHeight="1">
      <c r="A64" s="5"/>
      <c r="B64" s="5"/>
      <c r="C64" s="5"/>
      <c r="D64" s="5"/>
      <c r="E64" s="5"/>
      <c r="F64" s="5"/>
      <c r="G64" s="5"/>
      <c r="H64" s="5"/>
      <c r="I64" s="5"/>
      <c r="J64" s="5"/>
      <c r="K64" s="5"/>
      <c r="L64" s="5"/>
      <c r="M64" s="5"/>
      <c r="N64" s="5"/>
      <c r="O64" s="5"/>
      <c r="P64" s="5"/>
      <c r="Q64" s="5"/>
      <c r="R64" s="5"/>
      <c r="S64" s="5"/>
      <c r="T64" s="5"/>
      <c r="U64" s="5"/>
      <c r="V64" s="5"/>
      <c r="W64" s="5"/>
      <c r="X64" s="5"/>
    </row>
    <row r="65" ht="15.75" customHeight="1">
      <c r="A65" s="5"/>
      <c r="B65" s="5"/>
      <c r="C65" s="5"/>
      <c r="D65" s="5"/>
      <c r="E65" s="5"/>
      <c r="F65" s="5"/>
      <c r="G65" s="5"/>
      <c r="H65" s="5"/>
      <c r="I65" s="5"/>
      <c r="J65" s="5"/>
      <c r="K65" s="5"/>
      <c r="L65" s="5"/>
      <c r="M65" s="5"/>
      <c r="N65" s="5"/>
      <c r="O65" s="5"/>
      <c r="P65" s="5"/>
      <c r="Q65" s="5"/>
      <c r="R65" s="5"/>
      <c r="S65" s="5"/>
      <c r="T65" s="5"/>
      <c r="U65" s="5"/>
      <c r="V65" s="5"/>
      <c r="W65" s="5"/>
      <c r="X65" s="5"/>
    </row>
    <row r="66" ht="15.75" customHeight="1">
      <c r="A66" s="5"/>
      <c r="B66" s="5"/>
      <c r="C66" s="5"/>
      <c r="D66" s="5"/>
      <c r="E66" s="5"/>
      <c r="F66" s="5"/>
      <c r="G66" s="5"/>
      <c r="H66" s="5"/>
      <c r="I66" s="5"/>
      <c r="J66" s="5"/>
      <c r="K66" s="5"/>
      <c r="L66" s="5"/>
      <c r="M66" s="5"/>
      <c r="N66" s="5"/>
      <c r="O66" s="5"/>
      <c r="P66" s="5"/>
      <c r="Q66" s="5"/>
      <c r="R66" s="5"/>
      <c r="S66" s="5"/>
      <c r="T66" s="5"/>
      <c r="U66" s="5"/>
      <c r="V66" s="5"/>
      <c r="W66" s="5"/>
      <c r="X66" s="5"/>
    </row>
    <row r="67" ht="15.75" customHeight="1">
      <c r="A67" s="5"/>
      <c r="B67" s="5"/>
      <c r="C67" s="5"/>
      <c r="D67" s="5"/>
      <c r="E67" s="5"/>
      <c r="F67" s="5"/>
      <c r="G67" s="5"/>
      <c r="H67" s="5"/>
      <c r="I67" s="5"/>
      <c r="J67" s="5"/>
      <c r="K67" s="5"/>
      <c r="L67" s="5"/>
      <c r="M67" s="5"/>
      <c r="N67" s="5"/>
      <c r="O67" s="5"/>
      <c r="P67" s="5"/>
      <c r="Q67" s="5"/>
      <c r="R67" s="5"/>
      <c r="S67" s="5"/>
      <c r="T67" s="5"/>
      <c r="U67" s="5"/>
      <c r="V67" s="5"/>
      <c r="W67" s="5"/>
      <c r="X67" s="5"/>
    </row>
    <row r="68" ht="15.75" customHeight="1">
      <c r="A68" s="5"/>
      <c r="B68" s="5"/>
      <c r="C68" s="5"/>
      <c r="D68" s="5"/>
      <c r="E68" s="5"/>
      <c r="F68" s="5"/>
      <c r="G68" s="5"/>
      <c r="H68" s="5"/>
      <c r="I68" s="5"/>
      <c r="J68" s="5"/>
      <c r="K68" s="5"/>
      <c r="L68" s="5"/>
      <c r="M68" s="5"/>
      <c r="N68" s="5"/>
      <c r="O68" s="5"/>
      <c r="P68" s="5"/>
      <c r="Q68" s="5"/>
      <c r="R68" s="5"/>
      <c r="S68" s="5"/>
      <c r="T68" s="5"/>
      <c r="U68" s="5"/>
      <c r="V68" s="5"/>
      <c r="W68" s="5"/>
      <c r="X68" s="5"/>
    </row>
    <row r="69" ht="15.75" customHeight="1">
      <c r="A69" s="5"/>
      <c r="B69" s="5"/>
      <c r="C69" s="5"/>
      <c r="D69" s="5"/>
      <c r="E69" s="5"/>
      <c r="F69" s="5"/>
      <c r="G69" s="5"/>
      <c r="H69" s="5"/>
      <c r="I69" s="5"/>
      <c r="J69" s="5"/>
      <c r="K69" s="5"/>
      <c r="L69" s="5"/>
      <c r="M69" s="5"/>
      <c r="N69" s="5"/>
      <c r="O69" s="5"/>
      <c r="P69" s="5"/>
      <c r="Q69" s="5"/>
      <c r="R69" s="5"/>
      <c r="S69" s="5"/>
      <c r="T69" s="5"/>
      <c r="U69" s="5"/>
      <c r="V69" s="5"/>
      <c r="W69" s="5"/>
      <c r="X69" s="5"/>
    </row>
    <row r="70" ht="15.75" customHeight="1">
      <c r="A70" s="5"/>
      <c r="B70" s="5"/>
      <c r="C70" s="5"/>
      <c r="D70" s="5"/>
      <c r="E70" s="5"/>
      <c r="F70" s="5"/>
      <c r="G70" s="5"/>
      <c r="H70" s="5"/>
      <c r="I70" s="5"/>
      <c r="J70" s="5"/>
      <c r="K70" s="5"/>
      <c r="L70" s="5"/>
      <c r="M70" s="5"/>
      <c r="N70" s="5"/>
      <c r="O70" s="5"/>
      <c r="P70" s="5"/>
      <c r="Q70" s="5"/>
      <c r="R70" s="5"/>
      <c r="S70" s="5"/>
      <c r="T70" s="5"/>
      <c r="U70" s="5"/>
      <c r="V70" s="5"/>
      <c r="W70" s="5"/>
      <c r="X70" s="5"/>
    </row>
    <row r="71" ht="15.75" customHeight="1">
      <c r="A71" s="5"/>
      <c r="B71" s="5"/>
      <c r="C71" s="5"/>
      <c r="D71" s="5"/>
      <c r="E71" s="5"/>
      <c r="F71" s="5"/>
      <c r="G71" s="5"/>
      <c r="H71" s="5"/>
      <c r="I71" s="5"/>
      <c r="J71" s="5"/>
      <c r="K71" s="5"/>
      <c r="L71" s="5"/>
      <c r="M71" s="5"/>
      <c r="N71" s="5"/>
      <c r="O71" s="5"/>
      <c r="P71" s="5"/>
      <c r="Q71" s="5"/>
      <c r="R71" s="5"/>
      <c r="S71" s="5"/>
      <c r="T71" s="5"/>
      <c r="U71" s="5"/>
      <c r="V71" s="5"/>
      <c r="W71" s="5"/>
      <c r="X71" s="5"/>
    </row>
    <row r="72" ht="15.75" customHeight="1">
      <c r="A72" s="5"/>
      <c r="B72" s="5"/>
      <c r="C72" s="5"/>
      <c r="D72" s="5"/>
      <c r="E72" s="5"/>
      <c r="F72" s="5"/>
      <c r="G72" s="5"/>
      <c r="H72" s="5"/>
      <c r="I72" s="5"/>
      <c r="J72" s="5"/>
      <c r="K72" s="5"/>
      <c r="L72" s="5"/>
      <c r="M72" s="5"/>
      <c r="N72" s="5"/>
      <c r="O72" s="5"/>
      <c r="P72" s="5"/>
      <c r="Q72" s="5"/>
      <c r="R72" s="5"/>
      <c r="S72" s="5"/>
      <c r="T72" s="5"/>
      <c r="U72" s="5"/>
      <c r="V72" s="5"/>
      <c r="W72" s="5"/>
      <c r="X72" s="5"/>
    </row>
    <row r="73" ht="15.75" customHeight="1">
      <c r="A73" s="5"/>
      <c r="B73" s="5"/>
      <c r="C73" s="5"/>
      <c r="D73" s="5"/>
      <c r="E73" s="5"/>
      <c r="F73" s="5"/>
      <c r="G73" s="5"/>
      <c r="H73" s="5"/>
      <c r="I73" s="5"/>
      <c r="J73" s="5"/>
      <c r="K73" s="5"/>
      <c r="L73" s="5"/>
      <c r="M73" s="5"/>
      <c r="N73" s="5"/>
      <c r="O73" s="5"/>
      <c r="P73" s="5"/>
      <c r="Q73" s="5"/>
      <c r="R73" s="5"/>
      <c r="S73" s="5"/>
      <c r="T73" s="5"/>
      <c r="U73" s="5"/>
      <c r="V73" s="5"/>
      <c r="W73" s="5"/>
      <c r="X73" s="5"/>
    </row>
    <row r="74" ht="15.75" customHeight="1">
      <c r="A74" s="5"/>
      <c r="B74" s="5"/>
      <c r="C74" s="5"/>
      <c r="D74" s="5"/>
      <c r="E74" s="5"/>
      <c r="F74" s="5"/>
      <c r="G74" s="5"/>
      <c r="H74" s="5"/>
      <c r="I74" s="5"/>
      <c r="J74" s="5"/>
      <c r="K74" s="5"/>
      <c r="L74" s="5"/>
      <c r="M74" s="5"/>
      <c r="N74" s="5"/>
      <c r="O74" s="5"/>
      <c r="P74" s="5"/>
      <c r="Q74" s="5"/>
      <c r="R74" s="5"/>
      <c r="S74" s="5"/>
      <c r="T74" s="5"/>
      <c r="U74" s="5"/>
      <c r="V74" s="5"/>
      <c r="W74" s="5"/>
      <c r="X74" s="5"/>
    </row>
    <row r="75" ht="15.75" customHeight="1">
      <c r="A75" s="5"/>
      <c r="B75" s="5"/>
      <c r="C75" s="5"/>
      <c r="D75" s="5"/>
      <c r="E75" s="5"/>
      <c r="F75" s="5"/>
      <c r="G75" s="5"/>
      <c r="H75" s="5"/>
      <c r="I75" s="5"/>
      <c r="J75" s="5"/>
      <c r="K75" s="5"/>
      <c r="L75" s="5"/>
      <c r="M75" s="5"/>
      <c r="N75" s="5"/>
      <c r="O75" s="5"/>
      <c r="P75" s="5"/>
      <c r="Q75" s="5"/>
      <c r="R75" s="5"/>
      <c r="S75" s="5"/>
      <c r="T75" s="5"/>
      <c r="U75" s="5"/>
      <c r="V75" s="5"/>
      <c r="W75" s="5"/>
      <c r="X75" s="5"/>
    </row>
    <row r="76" ht="15.75" customHeight="1">
      <c r="A76" s="5"/>
      <c r="B76" s="5"/>
      <c r="C76" s="5"/>
      <c r="D76" s="5"/>
      <c r="E76" s="5"/>
      <c r="F76" s="5"/>
      <c r="G76" s="5"/>
      <c r="H76" s="5"/>
      <c r="I76" s="5"/>
      <c r="J76" s="5"/>
      <c r="K76" s="5"/>
      <c r="L76" s="5"/>
      <c r="M76" s="5"/>
      <c r="N76" s="5"/>
      <c r="O76" s="5"/>
      <c r="P76" s="5"/>
      <c r="Q76" s="5"/>
      <c r="R76" s="5"/>
      <c r="S76" s="5"/>
      <c r="T76" s="5"/>
      <c r="U76" s="5"/>
      <c r="V76" s="5"/>
      <c r="W76" s="5"/>
      <c r="X76" s="5"/>
    </row>
    <row r="77" ht="15.75" customHeight="1">
      <c r="A77" s="5"/>
      <c r="B77" s="5"/>
      <c r="C77" s="5"/>
      <c r="D77" s="5"/>
      <c r="E77" s="5"/>
      <c r="F77" s="5"/>
      <c r="G77" s="5"/>
      <c r="H77" s="5"/>
      <c r="I77" s="5"/>
      <c r="J77" s="5"/>
      <c r="K77" s="5"/>
      <c r="L77" s="5"/>
      <c r="M77" s="5"/>
      <c r="N77" s="5"/>
      <c r="O77" s="5"/>
      <c r="P77" s="5"/>
      <c r="Q77" s="5"/>
      <c r="R77" s="5"/>
      <c r="S77" s="5"/>
      <c r="T77" s="5"/>
      <c r="U77" s="5"/>
      <c r="V77" s="5"/>
      <c r="W77" s="5"/>
      <c r="X77" s="5"/>
    </row>
    <row r="78" ht="15.75" customHeight="1">
      <c r="A78" s="5"/>
      <c r="B78" s="5"/>
      <c r="C78" s="5"/>
      <c r="D78" s="5"/>
      <c r="E78" s="5"/>
      <c r="F78" s="5"/>
      <c r="G78" s="5"/>
      <c r="H78" s="5"/>
      <c r="I78" s="5"/>
      <c r="J78" s="5"/>
      <c r="K78" s="5"/>
      <c r="L78" s="5"/>
      <c r="M78" s="5"/>
      <c r="N78" s="5"/>
      <c r="O78" s="5"/>
      <c r="P78" s="5"/>
      <c r="Q78" s="5"/>
      <c r="R78" s="5"/>
      <c r="S78" s="5"/>
      <c r="T78" s="5"/>
      <c r="U78" s="5"/>
      <c r="V78" s="5"/>
      <c r="W78" s="5"/>
      <c r="X78" s="5"/>
    </row>
    <row r="79" ht="15.75" customHeight="1">
      <c r="A79" s="5"/>
      <c r="B79" s="5"/>
      <c r="C79" s="5"/>
      <c r="D79" s="5"/>
      <c r="E79" s="5"/>
      <c r="F79" s="5"/>
      <c r="G79" s="5"/>
      <c r="H79" s="5"/>
      <c r="I79" s="5"/>
      <c r="J79" s="5"/>
      <c r="K79" s="5"/>
      <c r="L79" s="5"/>
      <c r="M79" s="5"/>
      <c r="N79" s="5"/>
      <c r="O79" s="5"/>
      <c r="P79" s="5"/>
      <c r="Q79" s="5"/>
      <c r="R79" s="5"/>
      <c r="S79" s="5"/>
      <c r="T79" s="5"/>
      <c r="U79" s="5"/>
      <c r="V79" s="5"/>
      <c r="W79" s="5"/>
      <c r="X79" s="5"/>
    </row>
    <row r="80" ht="15.75" customHeight="1">
      <c r="A80" s="5"/>
      <c r="B80" s="5"/>
      <c r="C80" s="5"/>
      <c r="D80" s="5"/>
      <c r="E80" s="5"/>
      <c r="F80" s="5"/>
      <c r="G80" s="5"/>
      <c r="H80" s="5"/>
      <c r="I80" s="5"/>
      <c r="J80" s="5"/>
      <c r="K80" s="5"/>
      <c r="L80" s="5"/>
      <c r="M80" s="5"/>
      <c r="N80" s="5"/>
      <c r="O80" s="5"/>
      <c r="P80" s="5"/>
      <c r="Q80" s="5"/>
      <c r="R80" s="5"/>
      <c r="S80" s="5"/>
      <c r="T80" s="5"/>
      <c r="U80" s="5"/>
      <c r="V80" s="5"/>
      <c r="W80" s="5"/>
      <c r="X80" s="5"/>
    </row>
    <row r="81" ht="15.75" customHeight="1">
      <c r="A81" s="5"/>
      <c r="B81" s="5"/>
      <c r="C81" s="5"/>
      <c r="D81" s="5"/>
      <c r="E81" s="5"/>
      <c r="F81" s="5"/>
      <c r="G81" s="5"/>
      <c r="H81" s="5"/>
      <c r="I81" s="5"/>
      <c r="J81" s="5"/>
      <c r="K81" s="5"/>
      <c r="L81" s="5"/>
      <c r="M81" s="5"/>
      <c r="N81" s="5"/>
      <c r="O81" s="5"/>
      <c r="P81" s="5"/>
      <c r="Q81" s="5"/>
      <c r="R81" s="5"/>
      <c r="S81" s="5"/>
      <c r="T81" s="5"/>
      <c r="U81" s="5"/>
      <c r="V81" s="5"/>
      <c r="W81" s="5"/>
      <c r="X81" s="5"/>
    </row>
    <row r="82" ht="15.75" customHeight="1">
      <c r="A82" s="5"/>
      <c r="B82" s="5"/>
      <c r="C82" s="5"/>
      <c r="D82" s="5"/>
      <c r="E82" s="5"/>
      <c r="F82" s="5"/>
      <c r="G82" s="5"/>
      <c r="H82" s="5"/>
      <c r="I82" s="5"/>
      <c r="J82" s="5"/>
      <c r="K82" s="5"/>
      <c r="L82" s="5"/>
      <c r="M82" s="5"/>
      <c r="N82" s="5"/>
      <c r="O82" s="5"/>
      <c r="P82" s="5"/>
      <c r="Q82" s="5"/>
      <c r="R82" s="5"/>
      <c r="S82" s="5"/>
      <c r="T82" s="5"/>
      <c r="U82" s="5"/>
      <c r="V82" s="5"/>
      <c r="W82" s="5"/>
      <c r="X82" s="5"/>
    </row>
    <row r="83" ht="15.75" customHeight="1">
      <c r="A83" s="5"/>
      <c r="B83" s="5"/>
      <c r="C83" s="5"/>
      <c r="D83" s="5"/>
      <c r="E83" s="5"/>
      <c r="F83" s="5"/>
      <c r="G83" s="5"/>
      <c r="H83" s="5"/>
      <c r="I83" s="5"/>
      <c r="J83" s="5"/>
      <c r="K83" s="5"/>
      <c r="L83" s="5"/>
      <c r="M83" s="5"/>
      <c r="N83" s="5"/>
      <c r="O83" s="5"/>
      <c r="P83" s="5"/>
      <c r="Q83" s="5"/>
      <c r="R83" s="5"/>
      <c r="S83" s="5"/>
      <c r="T83" s="5"/>
      <c r="U83" s="5"/>
      <c r="V83" s="5"/>
      <c r="W83" s="5"/>
      <c r="X83" s="5"/>
    </row>
    <row r="84" ht="15.75" customHeight="1">
      <c r="A84" s="5"/>
      <c r="B84" s="5"/>
      <c r="C84" s="5"/>
      <c r="D84" s="5"/>
      <c r="E84" s="5"/>
      <c r="F84" s="5"/>
      <c r="G84" s="5"/>
      <c r="H84" s="5"/>
      <c r="I84" s="5"/>
      <c r="J84" s="5"/>
      <c r="K84" s="5"/>
      <c r="L84" s="5"/>
      <c r="M84" s="5"/>
      <c r="N84" s="5"/>
      <c r="O84" s="5"/>
      <c r="P84" s="5"/>
      <c r="Q84" s="5"/>
      <c r="R84" s="5"/>
      <c r="S84" s="5"/>
      <c r="T84" s="5"/>
      <c r="U84" s="5"/>
      <c r="V84" s="5"/>
      <c r="W84" s="5"/>
      <c r="X84" s="5"/>
    </row>
    <row r="85" ht="15.75" customHeight="1">
      <c r="A85" s="5"/>
      <c r="B85" s="5"/>
      <c r="C85" s="5"/>
      <c r="D85" s="5"/>
      <c r="E85" s="5"/>
      <c r="F85" s="5"/>
      <c r="G85" s="5"/>
      <c r="H85" s="5"/>
      <c r="I85" s="5"/>
      <c r="J85" s="5"/>
      <c r="K85" s="5"/>
      <c r="L85" s="5"/>
      <c r="M85" s="5"/>
      <c r="N85" s="5"/>
      <c r="O85" s="5"/>
      <c r="P85" s="5"/>
      <c r="Q85" s="5"/>
      <c r="R85" s="5"/>
      <c r="S85" s="5"/>
      <c r="T85" s="5"/>
      <c r="U85" s="5"/>
      <c r="V85" s="5"/>
      <c r="W85" s="5"/>
      <c r="X85" s="5"/>
    </row>
    <row r="86" ht="15.75" customHeight="1">
      <c r="A86" s="5"/>
      <c r="B86" s="5"/>
      <c r="C86" s="5"/>
      <c r="D86" s="5"/>
      <c r="E86" s="5"/>
      <c r="F86" s="5"/>
      <c r="G86" s="5"/>
      <c r="H86" s="5"/>
      <c r="I86" s="5"/>
      <c r="J86" s="5"/>
      <c r="K86" s="5"/>
      <c r="L86" s="5"/>
      <c r="M86" s="5"/>
      <c r="N86" s="5"/>
      <c r="O86" s="5"/>
      <c r="P86" s="5"/>
      <c r="Q86" s="5"/>
      <c r="R86" s="5"/>
      <c r="S86" s="5"/>
      <c r="T86" s="5"/>
      <c r="U86" s="5"/>
      <c r="V86" s="5"/>
      <c r="W86" s="5"/>
      <c r="X86" s="5"/>
    </row>
    <row r="87" ht="15.75" customHeight="1">
      <c r="A87" s="5"/>
      <c r="B87" s="5"/>
      <c r="C87" s="5"/>
      <c r="D87" s="5"/>
      <c r="E87" s="5"/>
      <c r="F87" s="5"/>
      <c r="G87" s="5"/>
      <c r="H87" s="5"/>
      <c r="I87" s="5"/>
      <c r="J87" s="5"/>
      <c r="K87" s="5"/>
      <c r="L87" s="5"/>
      <c r="M87" s="5"/>
      <c r="N87" s="5"/>
      <c r="O87" s="5"/>
      <c r="P87" s="5"/>
      <c r="Q87" s="5"/>
      <c r="R87" s="5"/>
      <c r="S87" s="5"/>
      <c r="T87" s="5"/>
      <c r="U87" s="5"/>
      <c r="V87" s="5"/>
      <c r="W87" s="5"/>
      <c r="X87" s="5"/>
    </row>
    <row r="88" ht="15.75" customHeight="1">
      <c r="A88" s="5"/>
      <c r="B88" s="5"/>
      <c r="C88" s="5"/>
      <c r="D88" s="5"/>
      <c r="E88" s="5"/>
      <c r="F88" s="5"/>
      <c r="G88" s="5"/>
      <c r="H88" s="5"/>
      <c r="I88" s="5"/>
      <c r="J88" s="5"/>
      <c r="K88" s="5"/>
      <c r="L88" s="5"/>
      <c r="M88" s="5"/>
      <c r="N88" s="5"/>
      <c r="O88" s="5"/>
      <c r="P88" s="5"/>
      <c r="Q88" s="5"/>
      <c r="R88" s="5"/>
      <c r="S88" s="5"/>
      <c r="T88" s="5"/>
      <c r="U88" s="5"/>
      <c r="V88" s="5"/>
      <c r="W88" s="5"/>
      <c r="X88" s="5"/>
    </row>
    <row r="89" ht="15.75" customHeight="1">
      <c r="A89" s="5"/>
      <c r="B89" s="5"/>
      <c r="C89" s="5"/>
      <c r="D89" s="5"/>
      <c r="E89" s="5"/>
      <c r="F89" s="5"/>
      <c r="G89" s="5"/>
      <c r="H89" s="5"/>
      <c r="I89" s="5"/>
      <c r="J89" s="5"/>
      <c r="K89" s="5"/>
      <c r="L89" s="5"/>
      <c r="M89" s="5"/>
      <c r="N89" s="5"/>
      <c r="O89" s="5"/>
      <c r="P89" s="5"/>
      <c r="Q89" s="5"/>
      <c r="R89" s="5"/>
      <c r="S89" s="5"/>
      <c r="T89" s="5"/>
      <c r="U89" s="5"/>
      <c r="V89" s="5"/>
      <c r="W89" s="5"/>
      <c r="X89" s="5"/>
    </row>
    <row r="90" ht="15.75" customHeight="1">
      <c r="A90" s="5"/>
      <c r="B90" s="5"/>
      <c r="C90" s="5"/>
      <c r="D90" s="5"/>
      <c r="E90" s="5"/>
      <c r="F90" s="5"/>
      <c r="G90" s="5"/>
      <c r="H90" s="5"/>
      <c r="I90" s="5"/>
      <c r="J90" s="5"/>
      <c r="K90" s="5"/>
      <c r="L90" s="5"/>
      <c r="M90" s="5"/>
      <c r="N90" s="5"/>
      <c r="O90" s="5"/>
      <c r="P90" s="5"/>
      <c r="Q90" s="5"/>
      <c r="R90" s="5"/>
      <c r="S90" s="5"/>
      <c r="T90" s="5"/>
      <c r="U90" s="5"/>
      <c r="V90" s="5"/>
      <c r="W90" s="5"/>
      <c r="X90" s="5"/>
    </row>
    <row r="91" ht="15.75" customHeight="1">
      <c r="A91" s="5"/>
      <c r="B91" s="5"/>
      <c r="C91" s="5"/>
      <c r="D91" s="5"/>
      <c r="E91" s="5"/>
      <c r="F91" s="5"/>
      <c r="G91" s="5"/>
      <c r="H91" s="5"/>
      <c r="I91" s="5"/>
      <c r="J91" s="5"/>
      <c r="K91" s="5"/>
      <c r="L91" s="5"/>
      <c r="M91" s="5"/>
      <c r="N91" s="5"/>
      <c r="O91" s="5"/>
      <c r="P91" s="5"/>
      <c r="Q91" s="5"/>
      <c r="R91" s="5"/>
      <c r="S91" s="5"/>
      <c r="T91" s="5"/>
      <c r="U91" s="5"/>
      <c r="V91" s="5"/>
      <c r="W91" s="5"/>
      <c r="X91" s="5"/>
    </row>
    <row r="92" ht="15.75" customHeight="1">
      <c r="A92" s="5"/>
      <c r="B92" s="5"/>
      <c r="C92" s="5"/>
      <c r="D92" s="5"/>
      <c r="E92" s="5"/>
      <c r="F92" s="5"/>
      <c r="G92" s="5"/>
      <c r="H92" s="5"/>
      <c r="I92" s="5"/>
      <c r="J92" s="5"/>
      <c r="K92" s="5"/>
      <c r="L92" s="5"/>
      <c r="M92" s="5"/>
      <c r="N92" s="5"/>
      <c r="O92" s="5"/>
      <c r="P92" s="5"/>
      <c r="Q92" s="5"/>
      <c r="R92" s="5"/>
      <c r="S92" s="5"/>
      <c r="T92" s="5"/>
      <c r="U92" s="5"/>
      <c r="V92" s="5"/>
      <c r="W92" s="5"/>
      <c r="X92" s="5"/>
    </row>
    <row r="93" ht="15.75" customHeight="1">
      <c r="A93" s="5"/>
      <c r="B93" s="5"/>
      <c r="C93" s="5"/>
      <c r="D93" s="5"/>
      <c r="E93" s="5"/>
      <c r="F93" s="5"/>
      <c r="G93" s="5"/>
      <c r="H93" s="5"/>
      <c r="I93" s="5"/>
      <c r="J93" s="5"/>
      <c r="K93" s="5"/>
      <c r="L93" s="5"/>
      <c r="M93" s="5"/>
      <c r="N93" s="5"/>
      <c r="O93" s="5"/>
      <c r="P93" s="5"/>
      <c r="Q93" s="5"/>
      <c r="R93" s="5"/>
      <c r="S93" s="5"/>
      <c r="T93" s="5"/>
      <c r="U93" s="5"/>
      <c r="V93" s="5"/>
      <c r="W93" s="5"/>
      <c r="X93" s="5"/>
    </row>
    <row r="94" ht="15.75" customHeight="1">
      <c r="A94" s="5"/>
      <c r="B94" s="5"/>
      <c r="C94" s="5"/>
      <c r="D94" s="5"/>
      <c r="E94" s="5"/>
      <c r="F94" s="5"/>
      <c r="G94" s="5"/>
      <c r="H94" s="5"/>
      <c r="I94" s="5"/>
      <c r="J94" s="5"/>
      <c r="K94" s="5"/>
      <c r="L94" s="5"/>
      <c r="M94" s="5"/>
      <c r="N94" s="5"/>
      <c r="O94" s="5"/>
      <c r="P94" s="5"/>
      <c r="Q94" s="5"/>
      <c r="R94" s="5"/>
      <c r="S94" s="5"/>
      <c r="T94" s="5"/>
      <c r="U94" s="5"/>
      <c r="V94" s="5"/>
      <c r="W94" s="5"/>
      <c r="X94" s="5"/>
    </row>
    <row r="95" ht="15.75" customHeight="1">
      <c r="A95" s="5"/>
      <c r="B95" s="5"/>
      <c r="C95" s="5"/>
      <c r="D95" s="5"/>
      <c r="E95" s="5"/>
      <c r="F95" s="5"/>
      <c r="G95" s="5"/>
      <c r="H95" s="5"/>
      <c r="I95" s="5"/>
      <c r="J95" s="5"/>
      <c r="K95" s="5"/>
      <c r="L95" s="5"/>
      <c r="M95" s="5"/>
      <c r="N95" s="5"/>
      <c r="O95" s="5"/>
      <c r="P95" s="5"/>
      <c r="Q95" s="5"/>
      <c r="R95" s="5"/>
      <c r="S95" s="5"/>
      <c r="T95" s="5"/>
      <c r="U95" s="5"/>
      <c r="V95" s="5"/>
      <c r="W95" s="5"/>
      <c r="X95" s="5"/>
    </row>
    <row r="96" ht="15.75" customHeight="1">
      <c r="A96" s="5"/>
      <c r="B96" s="5"/>
      <c r="C96" s="5"/>
      <c r="D96" s="5"/>
      <c r="E96" s="5"/>
      <c r="F96" s="5"/>
      <c r="G96" s="5"/>
      <c r="H96" s="5"/>
      <c r="I96" s="5"/>
      <c r="J96" s="5"/>
      <c r="K96" s="5"/>
      <c r="L96" s="5"/>
      <c r="M96" s="5"/>
      <c r="N96" s="5"/>
      <c r="O96" s="5"/>
      <c r="P96" s="5"/>
      <c r="Q96" s="5"/>
      <c r="R96" s="5"/>
      <c r="S96" s="5"/>
      <c r="T96" s="5"/>
      <c r="U96" s="5"/>
      <c r="V96" s="5"/>
      <c r="W96" s="5"/>
      <c r="X96" s="5"/>
    </row>
    <row r="97" ht="15.75" customHeight="1">
      <c r="A97" s="5"/>
      <c r="B97" s="5"/>
      <c r="C97" s="5"/>
      <c r="D97" s="5"/>
      <c r="E97" s="5"/>
      <c r="F97" s="5"/>
      <c r="G97" s="5"/>
      <c r="H97" s="5"/>
      <c r="I97" s="5"/>
      <c r="J97" s="5"/>
      <c r="K97" s="5"/>
      <c r="L97" s="5"/>
      <c r="M97" s="5"/>
      <c r="N97" s="5"/>
      <c r="O97" s="5"/>
      <c r="P97" s="5"/>
      <c r="Q97" s="5"/>
      <c r="R97" s="5"/>
      <c r="S97" s="5"/>
      <c r="T97" s="5"/>
      <c r="U97" s="5"/>
      <c r="V97" s="5"/>
      <c r="W97" s="5"/>
      <c r="X97" s="5"/>
    </row>
    <row r="98" ht="15.75" customHeight="1">
      <c r="A98" s="5"/>
      <c r="B98" s="5"/>
      <c r="C98" s="5"/>
      <c r="D98" s="5"/>
      <c r="E98" s="5"/>
      <c r="F98" s="5"/>
      <c r="G98" s="5"/>
      <c r="H98" s="5"/>
      <c r="I98" s="5"/>
      <c r="J98" s="5"/>
      <c r="K98" s="5"/>
      <c r="L98" s="5"/>
      <c r="M98" s="5"/>
      <c r="N98" s="5"/>
      <c r="O98" s="5"/>
      <c r="P98" s="5"/>
      <c r="Q98" s="5"/>
      <c r="R98" s="5"/>
      <c r="S98" s="5"/>
      <c r="T98" s="5"/>
      <c r="U98" s="5"/>
      <c r="V98" s="5"/>
      <c r="W98" s="5"/>
      <c r="X98" s="5"/>
    </row>
    <row r="99" ht="15.75" customHeight="1">
      <c r="A99" s="5"/>
      <c r="B99" s="5"/>
      <c r="C99" s="5"/>
      <c r="D99" s="5"/>
      <c r="E99" s="5"/>
      <c r="F99" s="5"/>
      <c r="G99" s="5"/>
      <c r="H99" s="5"/>
      <c r="I99" s="5"/>
      <c r="J99" s="5"/>
      <c r="K99" s="5"/>
      <c r="L99" s="5"/>
      <c r="M99" s="5"/>
      <c r="N99" s="5"/>
      <c r="O99" s="5"/>
      <c r="P99" s="5"/>
      <c r="Q99" s="5"/>
      <c r="R99" s="5"/>
      <c r="S99" s="5"/>
      <c r="T99" s="5"/>
      <c r="U99" s="5"/>
      <c r="V99" s="5"/>
      <c r="W99" s="5"/>
      <c r="X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row>
    <row r="241" ht="15.75" customHeight="1">
      <c r="A241" s="148"/>
      <c r="B241" s="148"/>
      <c r="C241" s="148"/>
      <c r="D241" s="148"/>
      <c r="E241" s="148"/>
      <c r="F241" s="148"/>
      <c r="G241" s="148"/>
      <c r="H241" s="148"/>
      <c r="I241" s="148"/>
      <c r="J241" s="148"/>
      <c r="K241" s="148"/>
      <c r="L241" s="148"/>
      <c r="M241" s="148"/>
      <c r="N241" s="148"/>
      <c r="O241" s="148"/>
      <c r="P241" s="148"/>
      <c r="Q241" s="148"/>
      <c r="R241" s="148"/>
      <c r="S241" s="148"/>
    </row>
    <row r="242" ht="15.75" customHeight="1">
      <c r="A242" s="148"/>
      <c r="B242" s="148"/>
      <c r="C242" s="148"/>
      <c r="D242" s="148"/>
      <c r="E242" s="148"/>
      <c r="F242" s="148"/>
      <c r="G242" s="148"/>
      <c r="H242" s="148"/>
      <c r="I242" s="148"/>
      <c r="J242" s="148"/>
      <c r="K242" s="148"/>
      <c r="L242" s="148"/>
      <c r="M242" s="148"/>
      <c r="N242" s="148"/>
      <c r="O242" s="148"/>
      <c r="P242" s="148"/>
      <c r="Q242" s="148"/>
      <c r="R242" s="148"/>
      <c r="S242" s="148"/>
    </row>
    <row r="243" ht="15.75" customHeight="1">
      <c r="A243" s="148"/>
      <c r="B243" s="148"/>
      <c r="C243" s="148"/>
      <c r="D243" s="148"/>
      <c r="E243" s="148"/>
      <c r="F243" s="148"/>
      <c r="G243" s="148"/>
      <c r="H243" s="148"/>
      <c r="I243" s="148"/>
      <c r="J243" s="148"/>
      <c r="K243" s="148"/>
      <c r="L243" s="148"/>
      <c r="M243" s="148"/>
      <c r="N243" s="148"/>
      <c r="O243" s="148"/>
      <c r="P243" s="148"/>
      <c r="Q243" s="148"/>
      <c r="R243" s="148"/>
      <c r="S243" s="148"/>
    </row>
    <row r="244" ht="15.75" customHeight="1">
      <c r="A244" s="148"/>
      <c r="B244" s="148"/>
      <c r="C244" s="148"/>
      <c r="D244" s="148"/>
      <c r="E244" s="148"/>
      <c r="F244" s="148"/>
      <c r="G244" s="148"/>
      <c r="H244" s="148"/>
      <c r="I244" s="148"/>
      <c r="J244" s="148"/>
      <c r="K244" s="148"/>
      <c r="L244" s="148"/>
      <c r="M244" s="148"/>
      <c r="N244" s="148"/>
      <c r="O244" s="148"/>
      <c r="P244" s="148"/>
      <c r="Q244" s="148"/>
      <c r="R244" s="148"/>
      <c r="S244" s="148"/>
    </row>
    <row r="245" ht="15.75" customHeight="1">
      <c r="A245" s="148"/>
      <c r="B245" s="148"/>
      <c r="C245" s="148"/>
      <c r="D245" s="148"/>
      <c r="E245" s="148"/>
      <c r="F245" s="148"/>
      <c r="G245" s="148"/>
      <c r="H245" s="148"/>
      <c r="I245" s="148"/>
      <c r="J245" s="148"/>
      <c r="K245" s="148"/>
      <c r="L245" s="148"/>
      <c r="M245" s="148"/>
      <c r="N245" s="148"/>
      <c r="O245" s="148"/>
      <c r="P245" s="148"/>
      <c r="Q245" s="148"/>
      <c r="R245" s="148"/>
      <c r="S245" s="148"/>
    </row>
    <row r="246" ht="15.75" customHeight="1">
      <c r="A246" s="148"/>
      <c r="B246" s="148"/>
      <c r="C246" s="148"/>
      <c r="D246" s="148"/>
      <c r="E246" s="148"/>
      <c r="F246" s="148"/>
      <c r="G246" s="148"/>
      <c r="H246" s="148"/>
      <c r="I246" s="148"/>
      <c r="J246" s="148"/>
      <c r="K246" s="148"/>
      <c r="L246" s="148"/>
      <c r="M246" s="148"/>
      <c r="N246" s="148"/>
      <c r="O246" s="148"/>
      <c r="P246" s="148"/>
      <c r="Q246" s="148"/>
      <c r="R246" s="148"/>
      <c r="S246" s="148"/>
    </row>
    <row r="247" ht="15.75" customHeight="1">
      <c r="A247" s="148"/>
      <c r="B247" s="148"/>
      <c r="C247" s="148"/>
      <c r="D247" s="148"/>
      <c r="E247" s="148"/>
      <c r="F247" s="148"/>
      <c r="G247" s="148"/>
      <c r="H247" s="148"/>
      <c r="I247" s="148"/>
      <c r="J247" s="148"/>
      <c r="K247" s="148"/>
      <c r="L247" s="148"/>
      <c r="M247" s="148"/>
      <c r="N247" s="148"/>
      <c r="O247" s="148"/>
      <c r="P247" s="148"/>
      <c r="Q247" s="148"/>
      <c r="R247" s="148"/>
      <c r="S247" s="148"/>
    </row>
    <row r="248" ht="15.75" customHeight="1">
      <c r="A248" s="148"/>
      <c r="B248" s="148"/>
      <c r="C248" s="148"/>
      <c r="D248" s="148"/>
      <c r="E248" s="148"/>
      <c r="F248" s="148"/>
      <c r="G248" s="148"/>
      <c r="H248" s="148"/>
      <c r="I248" s="148"/>
      <c r="J248" s="148"/>
      <c r="K248" s="148"/>
      <c r="L248" s="148"/>
      <c r="M248" s="148"/>
      <c r="N248" s="148"/>
      <c r="O248" s="148"/>
      <c r="P248" s="148"/>
      <c r="Q248" s="148"/>
      <c r="R248" s="148"/>
      <c r="S248" s="148"/>
    </row>
    <row r="249" ht="15.75" customHeight="1">
      <c r="A249" s="148"/>
      <c r="B249" s="148"/>
      <c r="C249" s="148"/>
      <c r="D249" s="148"/>
      <c r="E249" s="148"/>
      <c r="F249" s="148"/>
      <c r="G249" s="148"/>
      <c r="H249" s="148"/>
      <c r="I249" s="148"/>
      <c r="J249" s="148"/>
      <c r="K249" s="148"/>
      <c r="L249" s="148"/>
      <c r="M249" s="148"/>
      <c r="N249" s="148"/>
      <c r="O249" s="148"/>
      <c r="P249" s="148"/>
      <c r="Q249" s="148"/>
      <c r="R249" s="148"/>
      <c r="S249" s="148"/>
    </row>
    <row r="250" ht="15.75" customHeight="1">
      <c r="A250" s="148"/>
      <c r="B250" s="148"/>
      <c r="C250" s="148"/>
      <c r="D250" s="148"/>
      <c r="E250" s="148"/>
      <c r="F250" s="148"/>
      <c r="G250" s="148"/>
      <c r="H250" s="148"/>
      <c r="I250" s="148"/>
      <c r="J250" s="148"/>
      <c r="K250" s="148"/>
      <c r="L250" s="148"/>
      <c r="M250" s="148"/>
      <c r="N250" s="148"/>
      <c r="O250" s="148"/>
      <c r="P250" s="148"/>
      <c r="Q250" s="148"/>
      <c r="R250" s="148"/>
      <c r="S250" s="148"/>
    </row>
    <row r="251" ht="15.75" customHeight="1">
      <c r="A251" s="148"/>
      <c r="B251" s="148"/>
      <c r="C251" s="148"/>
      <c r="D251" s="148"/>
      <c r="E251" s="148"/>
      <c r="F251" s="148"/>
      <c r="G251" s="148"/>
      <c r="H251" s="148"/>
      <c r="I251" s="148"/>
      <c r="J251" s="148"/>
      <c r="K251" s="148"/>
      <c r="L251" s="148"/>
      <c r="M251" s="148"/>
      <c r="N251" s="148"/>
      <c r="O251" s="148"/>
      <c r="P251" s="148"/>
      <c r="Q251" s="148"/>
      <c r="R251" s="148"/>
      <c r="S251" s="148"/>
    </row>
    <row r="252" ht="15.75" customHeight="1">
      <c r="A252" s="148"/>
      <c r="B252" s="148"/>
      <c r="C252" s="148"/>
      <c r="D252" s="148"/>
      <c r="E252" s="148"/>
      <c r="F252" s="148"/>
      <c r="G252" s="148"/>
      <c r="H252" s="148"/>
      <c r="I252" s="148"/>
      <c r="J252" s="148"/>
      <c r="K252" s="148"/>
      <c r="L252" s="148"/>
      <c r="M252" s="148"/>
      <c r="N252" s="148"/>
      <c r="O252" s="148"/>
      <c r="P252" s="148"/>
      <c r="Q252" s="148"/>
      <c r="R252" s="148"/>
      <c r="S252" s="148"/>
    </row>
    <row r="253" ht="15.75" customHeight="1">
      <c r="A253" s="148"/>
      <c r="B253" s="148"/>
      <c r="C253" s="148"/>
      <c r="D253" s="148"/>
      <c r="E253" s="148"/>
      <c r="F253" s="148"/>
      <c r="G253" s="148"/>
      <c r="H253" s="148"/>
      <c r="I253" s="148"/>
      <c r="J253" s="148"/>
      <c r="K253" s="148"/>
      <c r="L253" s="148"/>
      <c r="M253" s="148"/>
      <c r="N253" s="148"/>
      <c r="O253" s="148"/>
      <c r="P253" s="148"/>
      <c r="Q253" s="148"/>
      <c r="R253" s="148"/>
      <c r="S253" s="148"/>
    </row>
    <row r="254" ht="15.75" customHeight="1">
      <c r="A254" s="148"/>
      <c r="B254" s="148"/>
      <c r="C254" s="148"/>
      <c r="D254" s="148"/>
      <c r="E254" s="148"/>
      <c r="F254" s="148"/>
      <c r="G254" s="148"/>
      <c r="H254" s="148"/>
      <c r="I254" s="148"/>
      <c r="J254" s="148"/>
      <c r="K254" s="148"/>
      <c r="L254" s="148"/>
      <c r="M254" s="148"/>
      <c r="N254" s="148"/>
      <c r="O254" s="148"/>
      <c r="P254" s="148"/>
      <c r="Q254" s="148"/>
      <c r="R254" s="148"/>
      <c r="S254" s="148"/>
    </row>
    <row r="255" ht="15.75" customHeight="1">
      <c r="A255" s="148"/>
      <c r="B255" s="148"/>
      <c r="C255" s="148"/>
      <c r="D255" s="148"/>
      <c r="E255" s="148"/>
      <c r="F255" s="148"/>
      <c r="G255" s="148"/>
      <c r="H255" s="148"/>
      <c r="I255" s="148"/>
      <c r="J255" s="148"/>
      <c r="K255" s="148"/>
      <c r="L255" s="148"/>
      <c r="M255" s="148"/>
      <c r="N255" s="148"/>
      <c r="O255" s="148"/>
      <c r="P255" s="148"/>
      <c r="Q255" s="148"/>
      <c r="R255" s="148"/>
      <c r="S255" s="148"/>
    </row>
    <row r="256" ht="15.75" customHeight="1">
      <c r="A256" s="148"/>
      <c r="B256" s="148"/>
      <c r="C256" s="148"/>
      <c r="D256" s="148"/>
      <c r="E256" s="148"/>
      <c r="F256" s="148"/>
      <c r="G256" s="148"/>
      <c r="H256" s="148"/>
      <c r="I256" s="148"/>
      <c r="J256" s="148"/>
      <c r="K256" s="148"/>
      <c r="L256" s="148"/>
      <c r="M256" s="148"/>
      <c r="N256" s="148"/>
      <c r="O256" s="148"/>
      <c r="P256" s="148"/>
      <c r="Q256" s="148"/>
      <c r="R256" s="148"/>
      <c r="S256" s="148"/>
    </row>
    <row r="257" ht="15.75" customHeight="1">
      <c r="A257" s="148"/>
      <c r="B257" s="148"/>
      <c r="C257" s="148"/>
      <c r="D257" s="148"/>
      <c r="E257" s="148"/>
      <c r="F257" s="148"/>
      <c r="G257" s="148"/>
      <c r="H257" s="148"/>
      <c r="I257" s="148"/>
      <c r="J257" s="148"/>
      <c r="K257" s="148"/>
      <c r="L257" s="148"/>
      <c r="M257" s="148"/>
      <c r="N257" s="148"/>
      <c r="O257" s="148"/>
      <c r="P257" s="148"/>
      <c r="Q257" s="148"/>
      <c r="R257" s="148"/>
      <c r="S257" s="148"/>
    </row>
    <row r="258" ht="15.75" customHeight="1">
      <c r="A258" s="148"/>
      <c r="B258" s="148"/>
      <c r="C258" s="148"/>
      <c r="D258" s="148"/>
      <c r="E258" s="148"/>
      <c r="F258" s="148"/>
      <c r="G258" s="148"/>
      <c r="H258" s="148"/>
      <c r="I258" s="148"/>
      <c r="J258" s="148"/>
      <c r="K258" s="148"/>
      <c r="L258" s="148"/>
      <c r="M258" s="148"/>
      <c r="N258" s="148"/>
      <c r="O258" s="148"/>
      <c r="P258" s="148"/>
      <c r="Q258" s="148"/>
      <c r="R258" s="148"/>
      <c r="S258" s="148"/>
    </row>
    <row r="259" ht="15.75" customHeight="1">
      <c r="A259" s="148"/>
      <c r="B259" s="148"/>
      <c r="C259" s="148"/>
      <c r="D259" s="148"/>
      <c r="E259" s="148"/>
      <c r="F259" s="148"/>
      <c r="G259" s="148"/>
      <c r="H259" s="148"/>
      <c r="I259" s="148"/>
      <c r="J259" s="148"/>
      <c r="K259" s="148"/>
      <c r="L259" s="148"/>
      <c r="M259" s="148"/>
      <c r="N259" s="148"/>
      <c r="O259" s="148"/>
      <c r="P259" s="148"/>
      <c r="Q259" s="148"/>
      <c r="R259" s="148"/>
      <c r="S259" s="148"/>
    </row>
    <row r="260" ht="15.75" customHeight="1">
      <c r="A260" s="148"/>
      <c r="B260" s="148"/>
      <c r="C260" s="148"/>
      <c r="D260" s="148"/>
      <c r="E260" s="148"/>
      <c r="F260" s="148"/>
      <c r="G260" s="148"/>
      <c r="H260" s="148"/>
      <c r="I260" s="148"/>
      <c r="J260" s="148"/>
      <c r="K260" s="148"/>
      <c r="L260" s="148"/>
      <c r="M260" s="148"/>
      <c r="N260" s="148"/>
      <c r="O260" s="148"/>
      <c r="P260" s="148"/>
      <c r="Q260" s="148"/>
      <c r="R260" s="148"/>
      <c r="S260" s="148"/>
    </row>
    <row r="261" ht="15.75" customHeight="1">
      <c r="A261" s="148"/>
      <c r="B261" s="148"/>
      <c r="C261" s="148"/>
      <c r="D261" s="148"/>
      <c r="E261" s="148"/>
      <c r="F261" s="148"/>
      <c r="G261" s="148"/>
      <c r="H261" s="148"/>
      <c r="I261" s="148"/>
      <c r="J261" s="148"/>
      <c r="K261" s="148"/>
      <c r="L261" s="148"/>
      <c r="M261" s="148"/>
      <c r="N261" s="148"/>
      <c r="O261" s="148"/>
      <c r="P261" s="148"/>
      <c r="Q261" s="148"/>
      <c r="R261" s="148"/>
      <c r="S261" s="148"/>
    </row>
    <row r="262" ht="15.75" customHeight="1">
      <c r="A262" s="148"/>
      <c r="B262" s="148"/>
      <c r="C262" s="148"/>
      <c r="D262" s="148"/>
      <c r="E262" s="148"/>
      <c r="F262" s="148"/>
      <c r="G262" s="148"/>
      <c r="H262" s="148"/>
      <c r="I262" s="148"/>
      <c r="J262" s="148"/>
      <c r="K262" s="148"/>
      <c r="L262" s="148"/>
      <c r="M262" s="148"/>
      <c r="N262" s="148"/>
      <c r="O262" s="148"/>
      <c r="P262" s="148"/>
      <c r="Q262" s="148"/>
      <c r="R262" s="148"/>
      <c r="S262" s="148"/>
    </row>
    <row r="263" ht="15.75" customHeight="1">
      <c r="A263" s="148"/>
      <c r="B263" s="148"/>
      <c r="C263" s="148"/>
      <c r="D263" s="148"/>
      <c r="E263" s="148"/>
      <c r="F263" s="148"/>
      <c r="G263" s="148"/>
      <c r="H263" s="148"/>
      <c r="I263" s="148"/>
      <c r="J263" s="148"/>
      <c r="K263" s="148"/>
      <c r="L263" s="148"/>
      <c r="M263" s="148"/>
      <c r="N263" s="148"/>
      <c r="O263" s="148"/>
      <c r="P263" s="148"/>
      <c r="Q263" s="148"/>
      <c r="R263" s="148"/>
      <c r="S263" s="148"/>
    </row>
    <row r="264" ht="15.75" customHeight="1">
      <c r="A264" s="148"/>
      <c r="B264" s="148"/>
      <c r="C264" s="148"/>
      <c r="D264" s="148"/>
      <c r="E264" s="148"/>
      <c r="F264" s="148"/>
      <c r="G264" s="148"/>
      <c r="H264" s="148"/>
      <c r="I264" s="148"/>
      <c r="J264" s="148"/>
      <c r="K264" s="148"/>
      <c r="L264" s="148"/>
      <c r="M264" s="148"/>
      <c r="N264" s="148"/>
      <c r="O264" s="148"/>
      <c r="P264" s="148"/>
      <c r="Q264" s="148"/>
      <c r="R264" s="148"/>
      <c r="S264" s="148"/>
    </row>
    <row r="265" ht="15.75" customHeight="1">
      <c r="A265" s="148"/>
      <c r="B265" s="148"/>
      <c r="C265" s="148"/>
      <c r="D265" s="148"/>
      <c r="E265" s="148"/>
      <c r="F265" s="148"/>
      <c r="G265" s="148"/>
      <c r="H265" s="148"/>
      <c r="I265" s="148"/>
      <c r="J265" s="148"/>
      <c r="K265" s="148"/>
      <c r="L265" s="148"/>
      <c r="M265" s="148"/>
      <c r="N265" s="148"/>
      <c r="O265" s="148"/>
      <c r="P265" s="148"/>
      <c r="Q265" s="148"/>
      <c r="R265" s="148"/>
      <c r="S265" s="148"/>
    </row>
    <row r="266" ht="15.75" customHeight="1">
      <c r="A266" s="148"/>
      <c r="B266" s="148"/>
      <c r="C266" s="148"/>
      <c r="D266" s="148"/>
      <c r="E266" s="148"/>
      <c r="F266" s="148"/>
      <c r="G266" s="148"/>
      <c r="H266" s="148"/>
      <c r="I266" s="148"/>
      <c r="J266" s="148"/>
      <c r="K266" s="148"/>
      <c r="L266" s="148"/>
      <c r="M266" s="148"/>
      <c r="N266" s="148"/>
      <c r="O266" s="148"/>
      <c r="P266" s="148"/>
      <c r="Q266" s="148"/>
      <c r="R266" s="148"/>
      <c r="S266" s="148"/>
    </row>
    <row r="267" ht="15.75" customHeight="1">
      <c r="A267" s="148"/>
      <c r="B267" s="148"/>
      <c r="C267" s="148"/>
      <c r="D267" s="148"/>
      <c r="E267" s="148"/>
      <c r="F267" s="148"/>
      <c r="G267" s="148"/>
      <c r="H267" s="148"/>
      <c r="I267" s="148"/>
      <c r="J267" s="148"/>
      <c r="K267" s="148"/>
      <c r="L267" s="148"/>
      <c r="M267" s="148"/>
      <c r="N267" s="148"/>
      <c r="O267" s="148"/>
      <c r="P267" s="148"/>
      <c r="Q267" s="148"/>
      <c r="R267" s="148"/>
      <c r="S267" s="148"/>
    </row>
    <row r="268" ht="15.75" customHeight="1">
      <c r="A268" s="148"/>
      <c r="B268" s="148"/>
      <c r="C268" s="148"/>
      <c r="D268" s="148"/>
      <c r="E268" s="148"/>
      <c r="F268" s="148"/>
      <c r="G268" s="148"/>
      <c r="H268" s="148"/>
      <c r="I268" s="148"/>
      <c r="J268" s="148"/>
      <c r="K268" s="148"/>
      <c r="L268" s="148"/>
      <c r="M268" s="148"/>
      <c r="N268" s="148"/>
      <c r="O268" s="148"/>
      <c r="P268" s="148"/>
      <c r="Q268" s="148"/>
      <c r="R268" s="148"/>
      <c r="S268" s="148"/>
    </row>
    <row r="269" ht="15.75" customHeight="1">
      <c r="A269" s="148"/>
      <c r="B269" s="148"/>
      <c r="C269" s="148"/>
      <c r="D269" s="148"/>
      <c r="E269" s="148"/>
      <c r="F269" s="148"/>
      <c r="G269" s="148"/>
      <c r="H269" s="148"/>
      <c r="I269" s="148"/>
      <c r="J269" s="148"/>
      <c r="K269" s="148"/>
      <c r="L269" s="148"/>
      <c r="M269" s="148"/>
      <c r="N269" s="148"/>
      <c r="O269" s="148"/>
      <c r="P269" s="148"/>
      <c r="Q269" s="148"/>
      <c r="R269" s="148"/>
      <c r="S269" s="148"/>
    </row>
    <row r="270" ht="15.75" customHeight="1">
      <c r="A270" s="148"/>
      <c r="B270" s="148"/>
      <c r="C270" s="148"/>
      <c r="D270" s="148"/>
      <c r="E270" s="148"/>
      <c r="F270" s="148"/>
      <c r="G270" s="148"/>
      <c r="H270" s="148"/>
      <c r="I270" s="148"/>
      <c r="J270" s="148"/>
      <c r="K270" s="148"/>
      <c r="L270" s="148"/>
      <c r="M270" s="148"/>
      <c r="N270" s="148"/>
      <c r="O270" s="148"/>
      <c r="P270" s="148"/>
      <c r="Q270" s="148"/>
      <c r="R270" s="148"/>
      <c r="S270" s="148"/>
    </row>
    <row r="271" ht="15.75" customHeight="1">
      <c r="A271" s="148"/>
      <c r="B271" s="148"/>
      <c r="C271" s="148"/>
      <c r="D271" s="148"/>
      <c r="E271" s="148"/>
      <c r="F271" s="148"/>
      <c r="G271" s="148"/>
      <c r="H271" s="148"/>
      <c r="I271" s="148"/>
      <c r="J271" s="148"/>
      <c r="K271" s="148"/>
      <c r="L271" s="148"/>
      <c r="M271" s="148"/>
      <c r="N271" s="148"/>
      <c r="O271" s="148"/>
      <c r="P271" s="148"/>
      <c r="Q271" s="148"/>
      <c r="R271" s="148"/>
      <c r="S271" s="148"/>
    </row>
    <row r="272" ht="15.75" customHeight="1">
      <c r="A272" s="148"/>
      <c r="B272" s="148"/>
      <c r="C272" s="148"/>
      <c r="D272" s="148"/>
      <c r="E272" s="148"/>
      <c r="F272" s="148"/>
      <c r="G272" s="148"/>
      <c r="H272" s="148"/>
      <c r="I272" s="148"/>
      <c r="J272" s="148"/>
      <c r="K272" s="148"/>
      <c r="L272" s="148"/>
      <c r="M272" s="148"/>
      <c r="N272" s="148"/>
      <c r="O272" s="148"/>
      <c r="P272" s="148"/>
      <c r="Q272" s="148"/>
      <c r="R272" s="148"/>
      <c r="S272" s="148"/>
    </row>
    <row r="273" ht="15.75" customHeight="1">
      <c r="A273" s="148"/>
      <c r="B273" s="148"/>
      <c r="C273" s="148"/>
      <c r="D273" s="148"/>
      <c r="E273" s="148"/>
      <c r="F273" s="148"/>
      <c r="G273" s="148"/>
      <c r="H273" s="148"/>
      <c r="I273" s="148"/>
      <c r="J273" s="148"/>
      <c r="K273" s="148"/>
      <c r="L273" s="148"/>
      <c r="M273" s="148"/>
      <c r="N273" s="148"/>
      <c r="O273" s="148"/>
      <c r="P273" s="148"/>
      <c r="Q273" s="148"/>
      <c r="R273" s="148"/>
      <c r="S273" s="148"/>
    </row>
    <row r="274" ht="15.75" customHeight="1">
      <c r="A274" s="148"/>
      <c r="B274" s="148"/>
      <c r="C274" s="148"/>
      <c r="D274" s="148"/>
      <c r="E274" s="148"/>
      <c r="F274" s="148"/>
      <c r="G274" s="148"/>
      <c r="H274" s="148"/>
      <c r="I274" s="148"/>
      <c r="J274" s="148"/>
      <c r="K274" s="148"/>
      <c r="L274" s="148"/>
      <c r="M274" s="148"/>
      <c r="N274" s="148"/>
      <c r="O274" s="148"/>
      <c r="P274" s="148"/>
      <c r="Q274" s="148"/>
      <c r="R274" s="148"/>
      <c r="S274" s="148"/>
    </row>
    <row r="275" ht="15.75" customHeight="1">
      <c r="A275" s="148"/>
      <c r="B275" s="148"/>
      <c r="C275" s="148"/>
      <c r="D275" s="148"/>
      <c r="E275" s="148"/>
      <c r="F275" s="148"/>
      <c r="G275" s="148"/>
      <c r="H275" s="148"/>
      <c r="I275" s="148"/>
      <c r="J275" s="148"/>
      <c r="K275" s="148"/>
      <c r="L275" s="148"/>
      <c r="M275" s="148"/>
      <c r="N275" s="148"/>
      <c r="O275" s="148"/>
      <c r="P275" s="148"/>
      <c r="Q275" s="148"/>
      <c r="R275" s="148"/>
      <c r="S275" s="148"/>
    </row>
    <row r="276" ht="15.75" customHeight="1">
      <c r="A276" s="148"/>
      <c r="B276" s="148"/>
      <c r="C276" s="148"/>
      <c r="D276" s="148"/>
      <c r="E276" s="148"/>
      <c r="F276" s="148"/>
      <c r="G276" s="148"/>
      <c r="H276" s="148"/>
      <c r="I276" s="148"/>
      <c r="J276" s="148"/>
      <c r="K276" s="148"/>
      <c r="L276" s="148"/>
      <c r="M276" s="148"/>
      <c r="N276" s="148"/>
      <c r="O276" s="148"/>
      <c r="P276" s="148"/>
      <c r="Q276" s="148"/>
      <c r="R276" s="148"/>
      <c r="S276" s="148"/>
    </row>
    <row r="277" ht="15.75" customHeight="1">
      <c r="A277" s="148"/>
      <c r="B277" s="148"/>
      <c r="C277" s="148"/>
      <c r="D277" s="148"/>
      <c r="E277" s="148"/>
      <c r="F277" s="148"/>
      <c r="G277" s="148"/>
      <c r="H277" s="148"/>
      <c r="I277" s="148"/>
      <c r="J277" s="148"/>
      <c r="K277" s="148"/>
      <c r="L277" s="148"/>
      <c r="M277" s="148"/>
      <c r="N277" s="148"/>
      <c r="O277" s="148"/>
      <c r="P277" s="148"/>
      <c r="Q277" s="148"/>
      <c r="R277" s="148"/>
      <c r="S277" s="148"/>
    </row>
    <row r="278" ht="15.75" customHeight="1">
      <c r="A278" s="148"/>
      <c r="B278" s="148"/>
      <c r="C278" s="148"/>
      <c r="D278" s="148"/>
      <c r="E278" s="148"/>
      <c r="F278" s="148"/>
      <c r="G278" s="148"/>
      <c r="H278" s="148"/>
      <c r="I278" s="148"/>
      <c r="J278" s="148"/>
      <c r="K278" s="148"/>
      <c r="L278" s="148"/>
      <c r="M278" s="148"/>
      <c r="N278" s="148"/>
      <c r="O278" s="148"/>
      <c r="P278" s="148"/>
      <c r="Q278" s="148"/>
      <c r="R278" s="148"/>
      <c r="S278" s="148"/>
    </row>
    <row r="279" ht="15.75" customHeight="1">
      <c r="A279" s="148"/>
      <c r="B279" s="148"/>
      <c r="C279" s="148"/>
      <c r="D279" s="148"/>
      <c r="E279" s="148"/>
      <c r="F279" s="148"/>
      <c r="G279" s="148"/>
      <c r="H279" s="148"/>
      <c r="I279" s="148"/>
      <c r="J279" s="148"/>
      <c r="K279" s="148"/>
      <c r="L279" s="148"/>
      <c r="M279" s="148"/>
      <c r="N279" s="148"/>
      <c r="O279" s="148"/>
      <c r="P279" s="148"/>
      <c r="Q279" s="148"/>
      <c r="R279" s="148"/>
      <c r="S279" s="148"/>
    </row>
    <row r="280" ht="15.75" customHeight="1">
      <c r="A280" s="148"/>
      <c r="B280" s="148"/>
      <c r="C280" s="148"/>
      <c r="D280" s="148"/>
      <c r="E280" s="148"/>
      <c r="F280" s="148"/>
      <c r="G280" s="148"/>
      <c r="H280" s="148"/>
      <c r="I280" s="148"/>
      <c r="J280" s="148"/>
      <c r="K280" s="148"/>
      <c r="L280" s="148"/>
      <c r="M280" s="148"/>
      <c r="N280" s="148"/>
      <c r="O280" s="148"/>
      <c r="P280" s="148"/>
      <c r="Q280" s="148"/>
      <c r="R280" s="148"/>
      <c r="S280" s="148"/>
    </row>
    <row r="281" ht="15.75" customHeight="1">
      <c r="A281" s="148"/>
      <c r="B281" s="148"/>
      <c r="C281" s="148"/>
      <c r="D281" s="148"/>
      <c r="E281" s="148"/>
      <c r="F281" s="148"/>
      <c r="G281" s="148"/>
      <c r="H281" s="148"/>
      <c r="I281" s="148"/>
      <c r="J281" s="148"/>
      <c r="K281" s="148"/>
      <c r="L281" s="148"/>
      <c r="M281" s="148"/>
      <c r="N281" s="148"/>
      <c r="O281" s="148"/>
      <c r="P281" s="148"/>
      <c r="Q281" s="148"/>
      <c r="R281" s="148"/>
      <c r="S281" s="148"/>
    </row>
    <row r="282" ht="15.75" customHeight="1">
      <c r="A282" s="148"/>
      <c r="B282" s="148"/>
      <c r="C282" s="148"/>
      <c r="D282" s="148"/>
      <c r="E282" s="148"/>
      <c r="F282" s="148"/>
      <c r="G282" s="148"/>
      <c r="H282" s="148"/>
      <c r="I282" s="148"/>
      <c r="J282" s="148"/>
      <c r="K282" s="148"/>
      <c r="L282" s="148"/>
      <c r="M282" s="148"/>
      <c r="N282" s="148"/>
      <c r="O282" s="148"/>
      <c r="P282" s="148"/>
      <c r="Q282" s="148"/>
      <c r="R282" s="148"/>
      <c r="S282" s="148"/>
    </row>
    <row r="283" ht="15.75" customHeight="1">
      <c r="A283" s="148"/>
      <c r="B283" s="148"/>
      <c r="C283" s="148"/>
      <c r="D283" s="148"/>
      <c r="E283" s="148"/>
      <c r="F283" s="148"/>
      <c r="G283" s="148"/>
      <c r="H283" s="148"/>
      <c r="I283" s="148"/>
      <c r="J283" s="148"/>
      <c r="K283" s="148"/>
      <c r="L283" s="148"/>
      <c r="M283" s="148"/>
      <c r="N283" s="148"/>
      <c r="O283" s="148"/>
      <c r="P283" s="148"/>
      <c r="Q283" s="148"/>
      <c r="R283" s="148"/>
      <c r="S283" s="148"/>
    </row>
    <row r="284" ht="15.75" customHeight="1">
      <c r="A284" s="148"/>
      <c r="B284" s="148"/>
      <c r="C284" s="148"/>
      <c r="D284" s="148"/>
      <c r="E284" s="148"/>
      <c r="F284" s="148"/>
      <c r="G284" s="148"/>
      <c r="H284" s="148"/>
      <c r="I284" s="148"/>
      <c r="J284" s="148"/>
      <c r="K284" s="148"/>
      <c r="L284" s="148"/>
      <c r="M284" s="148"/>
      <c r="N284" s="148"/>
      <c r="O284" s="148"/>
      <c r="P284" s="148"/>
      <c r="Q284" s="148"/>
      <c r="R284" s="148"/>
      <c r="S284" s="148"/>
    </row>
    <row r="285" ht="15.75" customHeight="1">
      <c r="A285" s="148"/>
      <c r="B285" s="148"/>
      <c r="C285" s="148"/>
      <c r="D285" s="148"/>
      <c r="E285" s="148"/>
      <c r="F285" s="148"/>
      <c r="G285" s="148"/>
      <c r="H285" s="148"/>
      <c r="I285" s="148"/>
      <c r="J285" s="148"/>
      <c r="K285" s="148"/>
      <c r="L285" s="148"/>
      <c r="M285" s="148"/>
      <c r="N285" s="148"/>
      <c r="O285" s="148"/>
      <c r="P285" s="148"/>
      <c r="Q285" s="148"/>
      <c r="R285" s="148"/>
      <c r="S285" s="148"/>
    </row>
    <row r="286" ht="15.75" customHeight="1">
      <c r="A286" s="148"/>
      <c r="B286" s="148"/>
      <c r="C286" s="148"/>
      <c r="D286" s="148"/>
      <c r="E286" s="148"/>
      <c r="F286" s="148"/>
      <c r="G286" s="148"/>
      <c r="H286" s="148"/>
      <c r="I286" s="148"/>
      <c r="J286" s="148"/>
      <c r="K286" s="148"/>
      <c r="L286" s="148"/>
      <c r="M286" s="148"/>
      <c r="N286" s="148"/>
      <c r="O286" s="148"/>
      <c r="P286" s="148"/>
      <c r="Q286" s="148"/>
      <c r="R286" s="148"/>
      <c r="S286" s="148"/>
    </row>
    <row r="287" ht="15.75" customHeight="1">
      <c r="A287" s="148"/>
      <c r="B287" s="148"/>
      <c r="C287" s="148"/>
      <c r="D287" s="148"/>
      <c r="E287" s="148"/>
      <c r="F287" s="148"/>
      <c r="G287" s="148"/>
      <c r="H287" s="148"/>
      <c r="I287" s="148"/>
      <c r="J287" s="148"/>
      <c r="K287" s="148"/>
      <c r="L287" s="148"/>
      <c r="M287" s="148"/>
      <c r="N287" s="148"/>
      <c r="O287" s="148"/>
      <c r="P287" s="148"/>
      <c r="Q287" s="148"/>
      <c r="R287" s="148"/>
      <c r="S287" s="148"/>
    </row>
    <row r="288" ht="15.75" customHeight="1">
      <c r="A288" s="148"/>
      <c r="B288" s="148"/>
      <c r="C288" s="148"/>
      <c r="D288" s="148"/>
      <c r="E288" s="148"/>
      <c r="F288" s="148"/>
      <c r="G288" s="148"/>
      <c r="H288" s="148"/>
      <c r="I288" s="148"/>
      <c r="J288" s="148"/>
      <c r="K288" s="148"/>
      <c r="L288" s="148"/>
      <c r="M288" s="148"/>
      <c r="N288" s="148"/>
      <c r="O288" s="148"/>
      <c r="P288" s="148"/>
      <c r="Q288" s="148"/>
      <c r="R288" s="148"/>
      <c r="S288" s="148"/>
    </row>
    <row r="289" ht="15.75" customHeight="1">
      <c r="A289" s="148"/>
      <c r="B289" s="148"/>
      <c r="C289" s="148"/>
      <c r="D289" s="148"/>
      <c r="E289" s="148"/>
      <c r="F289" s="148"/>
      <c r="G289" s="148"/>
      <c r="H289" s="148"/>
      <c r="I289" s="148"/>
      <c r="J289" s="148"/>
      <c r="K289" s="148"/>
      <c r="L289" s="148"/>
      <c r="M289" s="148"/>
      <c r="N289" s="148"/>
      <c r="O289" s="148"/>
      <c r="P289" s="148"/>
      <c r="Q289" s="148"/>
      <c r="R289" s="148"/>
      <c r="S289" s="148"/>
    </row>
    <row r="290" ht="15.75" customHeight="1">
      <c r="A290" s="148"/>
      <c r="B290" s="148"/>
      <c r="C290" s="148"/>
      <c r="D290" s="148"/>
      <c r="E290" s="148"/>
      <c r="F290" s="148"/>
      <c r="G290" s="148"/>
      <c r="H290" s="148"/>
      <c r="I290" s="148"/>
      <c r="J290" s="148"/>
      <c r="K290" s="148"/>
      <c r="L290" s="148"/>
      <c r="M290" s="148"/>
      <c r="N290" s="148"/>
      <c r="O290" s="148"/>
      <c r="P290" s="148"/>
      <c r="Q290" s="148"/>
      <c r="R290" s="148"/>
      <c r="S290" s="148"/>
    </row>
    <row r="291" ht="15.75" customHeight="1">
      <c r="A291" s="148"/>
      <c r="B291" s="148"/>
      <c r="C291" s="148"/>
      <c r="D291" s="148"/>
      <c r="E291" s="148"/>
      <c r="F291" s="148"/>
      <c r="G291" s="148"/>
      <c r="H291" s="148"/>
      <c r="I291" s="148"/>
      <c r="J291" s="148"/>
      <c r="K291" s="148"/>
      <c r="L291" s="148"/>
      <c r="M291" s="148"/>
      <c r="N291" s="148"/>
      <c r="O291" s="148"/>
      <c r="P291" s="148"/>
      <c r="Q291" s="148"/>
      <c r="R291" s="148"/>
      <c r="S291" s="148"/>
    </row>
    <row r="292" ht="15.75" customHeight="1">
      <c r="A292" s="148"/>
      <c r="B292" s="148"/>
      <c r="C292" s="148"/>
      <c r="D292" s="148"/>
      <c r="E292" s="148"/>
      <c r="F292" s="148"/>
      <c r="G292" s="148"/>
      <c r="H292" s="148"/>
      <c r="I292" s="148"/>
      <c r="J292" s="148"/>
      <c r="K292" s="148"/>
      <c r="L292" s="148"/>
      <c r="M292" s="148"/>
      <c r="N292" s="148"/>
      <c r="O292" s="148"/>
      <c r="P292" s="148"/>
      <c r="Q292" s="148"/>
      <c r="R292" s="148"/>
      <c r="S292" s="148"/>
    </row>
    <row r="293" ht="15.75" customHeight="1">
      <c r="A293" s="148"/>
      <c r="B293" s="148"/>
      <c r="C293" s="148"/>
      <c r="D293" s="148"/>
      <c r="E293" s="148"/>
      <c r="F293" s="148"/>
      <c r="G293" s="148"/>
      <c r="H293" s="148"/>
      <c r="I293" s="148"/>
      <c r="J293" s="148"/>
      <c r="K293" s="148"/>
      <c r="L293" s="148"/>
      <c r="M293" s="148"/>
      <c r="N293" s="148"/>
      <c r="O293" s="148"/>
      <c r="P293" s="148"/>
      <c r="Q293" s="148"/>
      <c r="R293" s="148"/>
      <c r="S293" s="148"/>
    </row>
    <row r="294" ht="15.75" customHeight="1">
      <c r="A294" s="148"/>
      <c r="B294" s="148"/>
      <c r="C294" s="148"/>
      <c r="D294" s="148"/>
      <c r="E294" s="148"/>
      <c r="F294" s="148"/>
      <c r="G294" s="148"/>
      <c r="H294" s="148"/>
      <c r="I294" s="148"/>
      <c r="J294" s="148"/>
      <c r="K294" s="148"/>
      <c r="L294" s="148"/>
      <c r="M294" s="148"/>
      <c r="N294" s="148"/>
      <c r="O294" s="148"/>
      <c r="P294" s="148"/>
      <c r="Q294" s="148"/>
      <c r="R294" s="148"/>
      <c r="S294" s="148"/>
    </row>
    <row r="295" ht="15.75" customHeight="1">
      <c r="A295" s="148"/>
      <c r="B295" s="148"/>
      <c r="C295" s="148"/>
      <c r="D295" s="148"/>
      <c r="E295" s="148"/>
      <c r="F295" s="148"/>
      <c r="G295" s="148"/>
      <c r="H295" s="148"/>
      <c r="I295" s="148"/>
      <c r="J295" s="148"/>
      <c r="K295" s="148"/>
      <c r="L295" s="148"/>
      <c r="M295" s="148"/>
      <c r="N295" s="148"/>
      <c r="O295" s="148"/>
      <c r="P295" s="148"/>
      <c r="Q295" s="148"/>
      <c r="R295" s="148"/>
      <c r="S295" s="148"/>
    </row>
    <row r="296" ht="15.75" customHeight="1">
      <c r="A296" s="148"/>
      <c r="B296" s="148"/>
      <c r="C296" s="148"/>
      <c r="D296" s="148"/>
      <c r="E296" s="148"/>
      <c r="F296" s="148"/>
      <c r="G296" s="148"/>
      <c r="H296" s="148"/>
      <c r="I296" s="148"/>
      <c r="J296" s="148"/>
      <c r="K296" s="148"/>
      <c r="L296" s="148"/>
      <c r="M296" s="148"/>
      <c r="N296" s="148"/>
      <c r="O296" s="148"/>
      <c r="P296" s="148"/>
      <c r="Q296" s="148"/>
      <c r="R296" s="148"/>
      <c r="S296" s="148"/>
    </row>
    <row r="297" ht="15.75" customHeight="1">
      <c r="A297" s="148"/>
      <c r="B297" s="148"/>
      <c r="C297" s="148"/>
      <c r="D297" s="148"/>
      <c r="E297" s="148"/>
      <c r="F297" s="148"/>
      <c r="G297" s="148"/>
      <c r="H297" s="148"/>
      <c r="I297" s="148"/>
      <c r="J297" s="148"/>
      <c r="K297" s="148"/>
      <c r="L297" s="148"/>
      <c r="M297" s="148"/>
      <c r="N297" s="148"/>
      <c r="O297" s="148"/>
      <c r="P297" s="148"/>
      <c r="Q297" s="148"/>
      <c r="R297" s="148"/>
      <c r="S297" s="148"/>
    </row>
    <row r="298" ht="15.75" customHeight="1">
      <c r="A298" s="148"/>
      <c r="B298" s="148"/>
      <c r="C298" s="148"/>
      <c r="D298" s="148"/>
      <c r="E298" s="148"/>
      <c r="F298" s="148"/>
      <c r="G298" s="148"/>
      <c r="H298" s="148"/>
      <c r="I298" s="148"/>
      <c r="J298" s="148"/>
      <c r="K298" s="148"/>
      <c r="L298" s="148"/>
      <c r="M298" s="148"/>
      <c r="N298" s="148"/>
      <c r="O298" s="148"/>
      <c r="P298" s="148"/>
      <c r="Q298" s="148"/>
      <c r="R298" s="148"/>
      <c r="S298" s="148"/>
    </row>
    <row r="299" ht="15.75" customHeight="1">
      <c r="A299" s="148"/>
      <c r="B299" s="148"/>
      <c r="C299" s="148"/>
      <c r="D299" s="148"/>
      <c r="E299" s="148"/>
      <c r="F299" s="148"/>
      <c r="G299" s="148"/>
      <c r="H299" s="148"/>
      <c r="I299" s="148"/>
      <c r="J299" s="148"/>
      <c r="K299" s="148"/>
      <c r="L299" s="148"/>
      <c r="M299" s="148"/>
      <c r="N299" s="148"/>
      <c r="O299" s="148"/>
      <c r="P299" s="148"/>
      <c r="Q299" s="148"/>
      <c r="R299" s="148"/>
      <c r="S299" s="148"/>
    </row>
    <row r="300" ht="15.75" customHeight="1">
      <c r="A300" s="148"/>
      <c r="B300" s="148"/>
      <c r="C300" s="148"/>
      <c r="D300" s="148"/>
      <c r="E300" s="148"/>
      <c r="F300" s="148"/>
      <c r="G300" s="148"/>
      <c r="H300" s="148"/>
      <c r="I300" s="148"/>
      <c r="J300" s="148"/>
      <c r="K300" s="148"/>
      <c r="L300" s="148"/>
      <c r="M300" s="148"/>
      <c r="N300" s="148"/>
      <c r="O300" s="148"/>
      <c r="P300" s="148"/>
      <c r="Q300" s="148"/>
      <c r="R300" s="148"/>
      <c r="S300" s="148"/>
    </row>
    <row r="301" ht="15.75" customHeight="1">
      <c r="A301" s="148"/>
      <c r="B301" s="148"/>
      <c r="C301" s="148"/>
      <c r="D301" s="148"/>
      <c r="E301" s="148"/>
      <c r="F301" s="148"/>
      <c r="G301" s="148"/>
      <c r="H301" s="148"/>
      <c r="I301" s="148"/>
      <c r="J301" s="148"/>
      <c r="K301" s="148"/>
      <c r="L301" s="148"/>
      <c r="M301" s="148"/>
      <c r="N301" s="148"/>
      <c r="O301" s="148"/>
      <c r="P301" s="148"/>
      <c r="Q301" s="148"/>
      <c r="R301" s="148"/>
      <c r="S301" s="148"/>
    </row>
    <row r="302" ht="15.75" customHeight="1">
      <c r="A302" s="148"/>
      <c r="B302" s="148"/>
      <c r="C302" s="148"/>
      <c r="D302" s="148"/>
      <c r="E302" s="148"/>
      <c r="F302" s="148"/>
      <c r="G302" s="148"/>
      <c r="H302" s="148"/>
      <c r="I302" s="148"/>
      <c r="J302" s="148"/>
      <c r="K302" s="148"/>
      <c r="L302" s="148"/>
      <c r="M302" s="148"/>
      <c r="N302" s="148"/>
      <c r="O302" s="148"/>
      <c r="P302" s="148"/>
      <c r="Q302" s="148"/>
      <c r="R302" s="148"/>
      <c r="S302" s="148"/>
    </row>
    <row r="303" ht="15.75" customHeight="1">
      <c r="A303" s="148"/>
      <c r="B303" s="148"/>
      <c r="C303" s="148"/>
      <c r="D303" s="148"/>
      <c r="E303" s="148"/>
      <c r="F303" s="148"/>
      <c r="G303" s="148"/>
      <c r="H303" s="148"/>
      <c r="I303" s="148"/>
      <c r="J303" s="148"/>
      <c r="K303" s="148"/>
      <c r="L303" s="148"/>
      <c r="M303" s="148"/>
      <c r="N303" s="148"/>
      <c r="O303" s="148"/>
      <c r="P303" s="148"/>
      <c r="Q303" s="148"/>
      <c r="R303" s="148"/>
      <c r="S303" s="148"/>
    </row>
    <row r="304" ht="15.75" customHeight="1">
      <c r="A304" s="148"/>
      <c r="B304" s="148"/>
      <c r="C304" s="148"/>
      <c r="D304" s="148"/>
      <c r="E304" s="148"/>
      <c r="F304" s="148"/>
      <c r="G304" s="148"/>
      <c r="H304" s="148"/>
      <c r="I304" s="148"/>
      <c r="J304" s="148"/>
      <c r="K304" s="148"/>
      <c r="L304" s="148"/>
      <c r="M304" s="148"/>
      <c r="N304" s="148"/>
      <c r="O304" s="148"/>
      <c r="P304" s="148"/>
      <c r="Q304" s="148"/>
      <c r="R304" s="148"/>
      <c r="S304" s="148"/>
    </row>
    <row r="305" ht="15.75" customHeight="1">
      <c r="A305" s="148"/>
      <c r="B305" s="148"/>
      <c r="C305" s="148"/>
      <c r="D305" s="148"/>
      <c r="E305" s="148"/>
      <c r="F305" s="148"/>
      <c r="G305" s="148"/>
      <c r="H305" s="148"/>
      <c r="I305" s="148"/>
      <c r="J305" s="148"/>
      <c r="K305" s="148"/>
      <c r="L305" s="148"/>
      <c r="M305" s="148"/>
      <c r="N305" s="148"/>
      <c r="O305" s="148"/>
      <c r="P305" s="148"/>
      <c r="Q305" s="148"/>
      <c r="R305" s="148"/>
      <c r="S305" s="148"/>
    </row>
    <row r="306" ht="15.75" customHeight="1">
      <c r="A306" s="148"/>
      <c r="B306" s="148"/>
      <c r="C306" s="148"/>
      <c r="D306" s="148"/>
      <c r="E306" s="148"/>
      <c r="F306" s="148"/>
      <c r="G306" s="148"/>
      <c r="H306" s="148"/>
      <c r="I306" s="148"/>
      <c r="J306" s="148"/>
      <c r="K306" s="148"/>
      <c r="L306" s="148"/>
      <c r="M306" s="148"/>
      <c r="N306" s="148"/>
      <c r="O306" s="148"/>
      <c r="P306" s="148"/>
      <c r="Q306" s="148"/>
      <c r="R306" s="148"/>
      <c r="S306" s="148"/>
    </row>
    <row r="307" ht="15.75" customHeight="1">
      <c r="A307" s="148"/>
      <c r="B307" s="148"/>
      <c r="C307" s="148"/>
      <c r="D307" s="148"/>
      <c r="E307" s="148"/>
      <c r="F307" s="148"/>
      <c r="G307" s="148"/>
      <c r="H307" s="148"/>
      <c r="I307" s="148"/>
      <c r="J307" s="148"/>
      <c r="K307" s="148"/>
      <c r="L307" s="148"/>
      <c r="M307" s="148"/>
      <c r="N307" s="148"/>
      <c r="O307" s="148"/>
      <c r="P307" s="148"/>
      <c r="Q307" s="148"/>
      <c r="R307" s="148"/>
      <c r="S307" s="148"/>
    </row>
    <row r="308" ht="15.75" customHeight="1">
      <c r="A308" s="148"/>
      <c r="B308" s="148"/>
      <c r="C308" s="148"/>
      <c r="D308" s="148"/>
      <c r="E308" s="148"/>
      <c r="F308" s="148"/>
      <c r="G308" s="148"/>
      <c r="H308" s="148"/>
      <c r="I308" s="148"/>
      <c r="J308" s="148"/>
      <c r="K308" s="148"/>
      <c r="L308" s="148"/>
      <c r="M308" s="148"/>
      <c r="N308" s="148"/>
      <c r="O308" s="148"/>
      <c r="P308" s="148"/>
      <c r="Q308" s="148"/>
      <c r="R308" s="148"/>
      <c r="S308" s="148"/>
    </row>
    <row r="309" ht="15.75" customHeight="1">
      <c r="A309" s="148"/>
      <c r="B309" s="148"/>
      <c r="C309" s="148"/>
      <c r="D309" s="148"/>
      <c r="E309" s="148"/>
      <c r="F309" s="148"/>
      <c r="G309" s="148"/>
      <c r="H309" s="148"/>
      <c r="I309" s="148"/>
      <c r="J309" s="148"/>
      <c r="K309" s="148"/>
      <c r="L309" s="148"/>
      <c r="M309" s="148"/>
      <c r="N309" s="148"/>
      <c r="O309" s="148"/>
      <c r="P309" s="148"/>
      <c r="Q309" s="148"/>
      <c r="R309" s="148"/>
      <c r="S309" s="148"/>
    </row>
    <row r="310" ht="15.75" customHeight="1">
      <c r="A310" s="148"/>
      <c r="B310" s="148"/>
      <c r="C310" s="148"/>
      <c r="D310" s="148"/>
      <c r="E310" s="148"/>
      <c r="F310" s="148"/>
      <c r="G310" s="148"/>
      <c r="H310" s="148"/>
      <c r="I310" s="148"/>
      <c r="J310" s="148"/>
      <c r="K310" s="148"/>
      <c r="L310" s="148"/>
      <c r="M310" s="148"/>
      <c r="N310" s="148"/>
      <c r="O310" s="148"/>
      <c r="P310" s="148"/>
      <c r="Q310" s="148"/>
      <c r="R310" s="148"/>
      <c r="S310" s="148"/>
    </row>
    <row r="311" ht="15.75" customHeight="1">
      <c r="A311" s="148"/>
      <c r="B311" s="148"/>
      <c r="C311" s="148"/>
      <c r="D311" s="148"/>
      <c r="E311" s="148"/>
      <c r="F311" s="148"/>
      <c r="G311" s="148"/>
      <c r="H311" s="148"/>
      <c r="I311" s="148"/>
      <c r="J311" s="148"/>
      <c r="K311" s="148"/>
      <c r="L311" s="148"/>
      <c r="M311" s="148"/>
      <c r="N311" s="148"/>
      <c r="O311" s="148"/>
      <c r="P311" s="148"/>
      <c r="Q311" s="148"/>
      <c r="R311" s="148"/>
      <c r="S311" s="148"/>
    </row>
    <row r="312" ht="15.75" customHeight="1">
      <c r="A312" s="148"/>
      <c r="B312" s="148"/>
      <c r="C312" s="148"/>
      <c r="D312" s="148"/>
      <c r="E312" s="148"/>
      <c r="F312" s="148"/>
      <c r="G312" s="148"/>
      <c r="H312" s="148"/>
      <c r="I312" s="148"/>
      <c r="J312" s="148"/>
      <c r="K312" s="148"/>
      <c r="L312" s="148"/>
      <c r="M312" s="148"/>
      <c r="N312" s="148"/>
      <c r="O312" s="148"/>
      <c r="P312" s="148"/>
      <c r="Q312" s="148"/>
      <c r="R312" s="148"/>
      <c r="S312" s="148"/>
    </row>
    <row r="313" ht="15.75" customHeight="1">
      <c r="A313" s="148"/>
      <c r="B313" s="148"/>
      <c r="C313" s="148"/>
      <c r="D313" s="148"/>
      <c r="E313" s="148"/>
      <c r="F313" s="148"/>
      <c r="G313" s="148"/>
      <c r="H313" s="148"/>
      <c r="I313" s="148"/>
      <c r="J313" s="148"/>
      <c r="K313" s="148"/>
      <c r="L313" s="148"/>
      <c r="M313" s="148"/>
      <c r="N313" s="148"/>
      <c r="O313" s="148"/>
      <c r="P313" s="148"/>
      <c r="Q313" s="148"/>
      <c r="R313" s="148"/>
      <c r="S313" s="148"/>
    </row>
    <row r="314" ht="15.75" customHeight="1">
      <c r="A314" s="148"/>
      <c r="B314" s="148"/>
      <c r="C314" s="148"/>
      <c r="D314" s="148"/>
      <c r="E314" s="148"/>
      <c r="F314" s="148"/>
      <c r="G314" s="148"/>
      <c r="H314" s="148"/>
      <c r="I314" s="148"/>
      <c r="J314" s="148"/>
      <c r="K314" s="148"/>
      <c r="L314" s="148"/>
      <c r="M314" s="148"/>
      <c r="N314" s="148"/>
      <c r="O314" s="148"/>
      <c r="P314" s="148"/>
      <c r="Q314" s="148"/>
      <c r="R314" s="148"/>
      <c r="S314" s="148"/>
    </row>
    <row r="315" ht="15.75" customHeight="1">
      <c r="A315" s="148"/>
      <c r="B315" s="148"/>
      <c r="C315" s="148"/>
      <c r="D315" s="148"/>
      <c r="E315" s="148"/>
      <c r="F315" s="148"/>
      <c r="G315" s="148"/>
      <c r="H315" s="148"/>
      <c r="I315" s="148"/>
      <c r="J315" s="148"/>
      <c r="K315" s="148"/>
      <c r="L315" s="148"/>
      <c r="M315" s="148"/>
      <c r="N315" s="148"/>
      <c r="O315" s="148"/>
      <c r="P315" s="148"/>
      <c r="Q315" s="148"/>
      <c r="R315" s="148"/>
      <c r="S315" s="148"/>
    </row>
    <row r="316" ht="15.75" customHeight="1">
      <c r="A316" s="148"/>
      <c r="B316" s="148"/>
      <c r="C316" s="148"/>
      <c r="D316" s="148"/>
      <c r="E316" s="148"/>
      <c r="F316" s="148"/>
      <c r="G316" s="148"/>
      <c r="H316" s="148"/>
      <c r="I316" s="148"/>
      <c r="J316" s="148"/>
      <c r="K316" s="148"/>
      <c r="L316" s="148"/>
      <c r="M316" s="148"/>
      <c r="N316" s="148"/>
      <c r="O316" s="148"/>
      <c r="P316" s="148"/>
      <c r="Q316" s="148"/>
      <c r="R316" s="148"/>
      <c r="S316" s="148"/>
    </row>
    <row r="317" ht="15.75" customHeight="1">
      <c r="A317" s="148"/>
      <c r="B317" s="148"/>
      <c r="C317" s="148"/>
      <c r="D317" s="148"/>
      <c r="E317" s="148"/>
      <c r="F317" s="148"/>
      <c r="G317" s="148"/>
      <c r="H317" s="148"/>
      <c r="I317" s="148"/>
      <c r="J317" s="148"/>
      <c r="K317" s="148"/>
      <c r="L317" s="148"/>
      <c r="M317" s="148"/>
      <c r="N317" s="148"/>
      <c r="O317" s="148"/>
      <c r="P317" s="148"/>
      <c r="Q317" s="148"/>
      <c r="R317" s="148"/>
      <c r="S317" s="148"/>
    </row>
    <row r="318" ht="15.75" customHeight="1">
      <c r="A318" s="148"/>
      <c r="B318" s="148"/>
      <c r="C318" s="148"/>
      <c r="D318" s="148"/>
      <c r="E318" s="148"/>
      <c r="F318" s="148"/>
      <c r="G318" s="148"/>
      <c r="H318" s="148"/>
      <c r="I318" s="148"/>
      <c r="J318" s="148"/>
      <c r="K318" s="148"/>
      <c r="L318" s="148"/>
      <c r="M318" s="148"/>
      <c r="N318" s="148"/>
      <c r="O318" s="148"/>
      <c r="P318" s="148"/>
      <c r="Q318" s="148"/>
      <c r="R318" s="148"/>
      <c r="S318" s="148"/>
    </row>
    <row r="319" ht="15.75" customHeight="1">
      <c r="A319" s="148"/>
      <c r="B319" s="148"/>
      <c r="C319" s="148"/>
      <c r="D319" s="148"/>
      <c r="E319" s="148"/>
      <c r="F319" s="148"/>
      <c r="G319" s="148"/>
      <c r="H319" s="148"/>
      <c r="I319" s="148"/>
      <c r="J319" s="148"/>
      <c r="K319" s="148"/>
      <c r="L319" s="148"/>
      <c r="M319" s="148"/>
      <c r="N319" s="148"/>
      <c r="O319" s="148"/>
      <c r="P319" s="148"/>
      <c r="Q319" s="148"/>
      <c r="R319" s="148"/>
      <c r="S319" s="148"/>
    </row>
    <row r="320" ht="15.75" customHeight="1">
      <c r="A320" s="148"/>
      <c r="B320" s="148"/>
      <c r="C320" s="148"/>
      <c r="D320" s="148"/>
      <c r="E320" s="148"/>
      <c r="F320" s="148"/>
      <c r="G320" s="148"/>
      <c r="H320" s="148"/>
      <c r="I320" s="148"/>
      <c r="J320" s="148"/>
      <c r="K320" s="148"/>
      <c r="L320" s="148"/>
      <c r="M320" s="148"/>
      <c r="N320" s="148"/>
      <c r="O320" s="148"/>
      <c r="P320" s="148"/>
      <c r="Q320" s="148"/>
      <c r="R320" s="148"/>
      <c r="S320" s="148"/>
    </row>
    <row r="321" ht="15.75" customHeight="1">
      <c r="A321" s="148"/>
      <c r="B321" s="148"/>
      <c r="C321" s="148"/>
      <c r="D321" s="148"/>
      <c r="E321" s="148"/>
      <c r="F321" s="148"/>
      <c r="G321" s="148"/>
      <c r="H321" s="148"/>
      <c r="I321" s="148"/>
      <c r="J321" s="148"/>
      <c r="K321" s="148"/>
      <c r="L321" s="148"/>
      <c r="M321" s="148"/>
      <c r="N321" s="148"/>
      <c r="O321" s="148"/>
      <c r="P321" s="148"/>
      <c r="Q321" s="148"/>
      <c r="R321" s="148"/>
      <c r="S321" s="148"/>
    </row>
    <row r="322" ht="15.75" customHeight="1">
      <c r="A322" s="148"/>
      <c r="B322" s="148"/>
      <c r="C322" s="148"/>
      <c r="D322" s="148"/>
      <c r="E322" s="148"/>
      <c r="F322" s="148"/>
      <c r="G322" s="148"/>
      <c r="H322" s="148"/>
      <c r="I322" s="148"/>
      <c r="J322" s="148"/>
      <c r="K322" s="148"/>
      <c r="L322" s="148"/>
      <c r="M322" s="148"/>
      <c r="N322" s="148"/>
      <c r="O322" s="148"/>
      <c r="P322" s="148"/>
      <c r="Q322" s="148"/>
      <c r="R322" s="148"/>
      <c r="S322" s="148"/>
    </row>
    <row r="323" ht="15.75" customHeight="1">
      <c r="A323" s="148"/>
      <c r="B323" s="148"/>
      <c r="C323" s="148"/>
      <c r="D323" s="148"/>
      <c r="E323" s="148"/>
      <c r="F323" s="148"/>
      <c r="G323" s="148"/>
      <c r="H323" s="148"/>
      <c r="I323" s="148"/>
      <c r="J323" s="148"/>
      <c r="K323" s="148"/>
      <c r="L323" s="148"/>
      <c r="M323" s="148"/>
      <c r="N323" s="148"/>
      <c r="O323" s="148"/>
      <c r="P323" s="148"/>
      <c r="Q323" s="148"/>
      <c r="R323" s="148"/>
      <c r="S323" s="148"/>
    </row>
    <row r="324" ht="15.75" customHeight="1">
      <c r="A324" s="148"/>
      <c r="B324" s="148"/>
      <c r="C324" s="148"/>
      <c r="D324" s="148"/>
      <c r="E324" s="148"/>
      <c r="F324" s="148"/>
      <c r="G324" s="148"/>
      <c r="H324" s="148"/>
      <c r="I324" s="148"/>
      <c r="J324" s="148"/>
      <c r="K324" s="148"/>
      <c r="L324" s="148"/>
      <c r="M324" s="148"/>
      <c r="N324" s="148"/>
      <c r="O324" s="148"/>
      <c r="P324" s="148"/>
      <c r="Q324" s="148"/>
      <c r="R324" s="148"/>
      <c r="S324" s="148"/>
    </row>
    <row r="325" ht="15.75" customHeight="1">
      <c r="A325" s="148"/>
      <c r="B325" s="148"/>
      <c r="C325" s="148"/>
      <c r="D325" s="148"/>
      <c r="E325" s="148"/>
      <c r="F325" s="148"/>
      <c r="G325" s="148"/>
      <c r="H325" s="148"/>
      <c r="I325" s="148"/>
      <c r="J325" s="148"/>
      <c r="K325" s="148"/>
      <c r="L325" s="148"/>
      <c r="M325" s="148"/>
      <c r="N325" s="148"/>
      <c r="O325" s="148"/>
      <c r="P325" s="148"/>
      <c r="Q325" s="148"/>
      <c r="R325" s="148"/>
      <c r="S325" s="148"/>
    </row>
    <row r="326" ht="15.75" customHeight="1">
      <c r="A326" s="148"/>
      <c r="B326" s="148"/>
      <c r="C326" s="148"/>
      <c r="D326" s="148"/>
      <c r="E326" s="148"/>
      <c r="F326" s="148"/>
      <c r="G326" s="148"/>
      <c r="H326" s="148"/>
      <c r="I326" s="148"/>
      <c r="J326" s="148"/>
      <c r="K326" s="148"/>
      <c r="L326" s="148"/>
      <c r="M326" s="148"/>
      <c r="N326" s="148"/>
      <c r="O326" s="148"/>
      <c r="P326" s="148"/>
      <c r="Q326" s="148"/>
      <c r="R326" s="148"/>
      <c r="S326" s="148"/>
    </row>
    <row r="327" ht="15.75" customHeight="1">
      <c r="A327" s="148"/>
      <c r="B327" s="148"/>
      <c r="C327" s="148"/>
      <c r="D327" s="148"/>
      <c r="E327" s="148"/>
      <c r="F327" s="148"/>
      <c r="G327" s="148"/>
      <c r="H327" s="148"/>
      <c r="I327" s="148"/>
      <c r="J327" s="148"/>
      <c r="K327" s="148"/>
      <c r="L327" s="148"/>
      <c r="M327" s="148"/>
      <c r="N327" s="148"/>
      <c r="O327" s="148"/>
      <c r="P327" s="148"/>
      <c r="Q327" s="148"/>
      <c r="R327" s="148"/>
      <c r="S327" s="148"/>
    </row>
    <row r="328" ht="15.75" customHeight="1">
      <c r="A328" s="148"/>
      <c r="B328" s="148"/>
      <c r="C328" s="148"/>
      <c r="D328" s="148"/>
      <c r="E328" s="148"/>
      <c r="F328" s="148"/>
      <c r="G328" s="148"/>
      <c r="H328" s="148"/>
      <c r="I328" s="148"/>
      <c r="J328" s="148"/>
      <c r="K328" s="148"/>
      <c r="L328" s="148"/>
      <c r="M328" s="148"/>
      <c r="N328" s="148"/>
      <c r="O328" s="148"/>
      <c r="P328" s="148"/>
      <c r="Q328" s="148"/>
      <c r="R328" s="148"/>
      <c r="S328" s="148"/>
    </row>
    <row r="329" ht="15.75" customHeight="1">
      <c r="A329" s="148"/>
      <c r="B329" s="148"/>
      <c r="C329" s="148"/>
      <c r="D329" s="148"/>
      <c r="E329" s="148"/>
      <c r="F329" s="148"/>
      <c r="G329" s="148"/>
      <c r="H329" s="148"/>
      <c r="I329" s="148"/>
      <c r="J329" s="148"/>
      <c r="K329" s="148"/>
      <c r="L329" s="148"/>
      <c r="M329" s="148"/>
      <c r="N329" s="148"/>
      <c r="O329" s="148"/>
      <c r="P329" s="148"/>
      <c r="Q329" s="148"/>
      <c r="R329" s="148"/>
      <c r="S329" s="148"/>
    </row>
    <row r="330" ht="15.75" customHeight="1">
      <c r="A330" s="148"/>
      <c r="B330" s="148"/>
      <c r="C330" s="148"/>
      <c r="D330" s="148"/>
      <c r="E330" s="148"/>
      <c r="F330" s="148"/>
      <c r="G330" s="148"/>
      <c r="H330" s="148"/>
      <c r="I330" s="148"/>
      <c r="J330" s="148"/>
      <c r="K330" s="148"/>
      <c r="L330" s="148"/>
      <c r="M330" s="148"/>
      <c r="N330" s="148"/>
      <c r="O330" s="148"/>
      <c r="P330" s="148"/>
      <c r="Q330" s="148"/>
      <c r="R330" s="148"/>
      <c r="S330" s="148"/>
    </row>
    <row r="331" ht="15.75" customHeight="1">
      <c r="A331" s="148"/>
      <c r="B331" s="148"/>
      <c r="C331" s="148"/>
      <c r="D331" s="148"/>
      <c r="E331" s="148"/>
      <c r="F331" s="148"/>
      <c r="G331" s="148"/>
      <c r="H331" s="148"/>
      <c r="I331" s="148"/>
      <c r="J331" s="148"/>
      <c r="K331" s="148"/>
      <c r="L331" s="148"/>
      <c r="M331" s="148"/>
      <c r="N331" s="148"/>
      <c r="O331" s="148"/>
      <c r="P331" s="148"/>
      <c r="Q331" s="148"/>
      <c r="R331" s="148"/>
      <c r="S331" s="148"/>
    </row>
    <row r="332" ht="15.75" customHeight="1">
      <c r="A332" s="148"/>
      <c r="B332" s="148"/>
      <c r="C332" s="148"/>
      <c r="D332" s="148"/>
      <c r="E332" s="148"/>
      <c r="F332" s="148"/>
      <c r="G332" s="148"/>
      <c r="H332" s="148"/>
      <c r="I332" s="148"/>
      <c r="J332" s="148"/>
      <c r="K332" s="148"/>
      <c r="L332" s="148"/>
      <c r="M332" s="148"/>
      <c r="N332" s="148"/>
      <c r="O332" s="148"/>
      <c r="P332" s="148"/>
      <c r="Q332" s="148"/>
      <c r="R332" s="148"/>
      <c r="S332" s="148"/>
    </row>
    <row r="333" ht="15.75" customHeight="1">
      <c r="A333" s="148"/>
      <c r="B333" s="148"/>
      <c r="C333" s="148"/>
      <c r="D333" s="148"/>
      <c r="E333" s="148"/>
      <c r="F333" s="148"/>
      <c r="G333" s="148"/>
      <c r="H333" s="148"/>
      <c r="I333" s="148"/>
      <c r="J333" s="148"/>
      <c r="K333" s="148"/>
      <c r="L333" s="148"/>
      <c r="M333" s="148"/>
      <c r="N333" s="148"/>
      <c r="O333" s="148"/>
      <c r="P333" s="148"/>
      <c r="Q333" s="148"/>
      <c r="R333" s="148"/>
      <c r="S333" s="148"/>
    </row>
    <row r="334" ht="15.75" customHeight="1">
      <c r="A334" s="148"/>
      <c r="B334" s="148"/>
      <c r="C334" s="148"/>
      <c r="D334" s="148"/>
      <c r="E334" s="148"/>
      <c r="F334" s="148"/>
      <c r="G334" s="148"/>
      <c r="H334" s="148"/>
      <c r="I334" s="148"/>
      <c r="J334" s="148"/>
      <c r="K334" s="148"/>
      <c r="L334" s="148"/>
      <c r="M334" s="148"/>
      <c r="N334" s="148"/>
      <c r="O334" s="148"/>
      <c r="P334" s="148"/>
      <c r="Q334" s="148"/>
      <c r="R334" s="148"/>
      <c r="S334" s="148"/>
    </row>
    <row r="335" ht="15.75" customHeight="1">
      <c r="A335" s="148"/>
      <c r="B335" s="148"/>
      <c r="C335" s="148"/>
      <c r="D335" s="148"/>
      <c r="E335" s="148"/>
      <c r="F335" s="148"/>
      <c r="G335" s="148"/>
      <c r="H335" s="148"/>
      <c r="I335" s="148"/>
      <c r="J335" s="148"/>
      <c r="K335" s="148"/>
      <c r="L335" s="148"/>
      <c r="M335" s="148"/>
      <c r="N335" s="148"/>
      <c r="O335" s="148"/>
      <c r="P335" s="148"/>
      <c r="Q335" s="148"/>
      <c r="R335" s="148"/>
      <c r="S335" s="148"/>
    </row>
    <row r="336" ht="15.75" customHeight="1">
      <c r="A336" s="148"/>
      <c r="B336" s="148"/>
      <c r="C336" s="148"/>
      <c r="D336" s="148"/>
      <c r="E336" s="148"/>
      <c r="F336" s="148"/>
      <c r="G336" s="148"/>
      <c r="H336" s="148"/>
      <c r="I336" s="148"/>
      <c r="J336" s="148"/>
      <c r="K336" s="148"/>
      <c r="L336" s="148"/>
      <c r="M336" s="148"/>
      <c r="N336" s="148"/>
      <c r="O336" s="148"/>
      <c r="P336" s="148"/>
      <c r="Q336" s="148"/>
      <c r="R336" s="148"/>
      <c r="S336" s="148"/>
    </row>
    <row r="337" ht="15.75" customHeight="1">
      <c r="A337" s="148"/>
      <c r="B337" s="148"/>
      <c r="C337" s="148"/>
      <c r="D337" s="148"/>
      <c r="E337" s="148"/>
      <c r="F337" s="148"/>
      <c r="G337" s="148"/>
      <c r="H337" s="148"/>
      <c r="I337" s="148"/>
      <c r="J337" s="148"/>
      <c r="K337" s="148"/>
      <c r="L337" s="148"/>
      <c r="M337" s="148"/>
      <c r="N337" s="148"/>
      <c r="O337" s="148"/>
      <c r="P337" s="148"/>
      <c r="Q337" s="148"/>
      <c r="R337" s="148"/>
      <c r="S337" s="148"/>
    </row>
    <row r="338" ht="15.75" customHeight="1">
      <c r="A338" s="148"/>
      <c r="B338" s="148"/>
      <c r="C338" s="148"/>
      <c r="D338" s="148"/>
      <c r="E338" s="148"/>
      <c r="F338" s="148"/>
      <c r="G338" s="148"/>
      <c r="H338" s="148"/>
      <c r="I338" s="148"/>
      <c r="J338" s="148"/>
      <c r="K338" s="148"/>
      <c r="L338" s="148"/>
      <c r="M338" s="148"/>
      <c r="N338" s="148"/>
      <c r="O338" s="148"/>
      <c r="P338" s="148"/>
      <c r="Q338" s="148"/>
      <c r="R338" s="148"/>
      <c r="S338" s="148"/>
    </row>
    <row r="339" ht="15.75" customHeight="1">
      <c r="A339" s="148"/>
      <c r="B339" s="148"/>
      <c r="C339" s="148"/>
      <c r="D339" s="148"/>
      <c r="E339" s="148"/>
      <c r="F339" s="148"/>
      <c r="G339" s="148"/>
      <c r="H339" s="148"/>
      <c r="I339" s="148"/>
      <c r="J339" s="148"/>
      <c r="K339" s="148"/>
      <c r="L339" s="148"/>
      <c r="M339" s="148"/>
      <c r="N339" s="148"/>
      <c r="O339" s="148"/>
      <c r="P339" s="148"/>
      <c r="Q339" s="148"/>
      <c r="R339" s="148"/>
      <c r="S339" s="148"/>
    </row>
    <row r="340" ht="15.75" customHeight="1">
      <c r="A340" s="148"/>
      <c r="B340" s="148"/>
      <c r="C340" s="148"/>
      <c r="D340" s="148"/>
      <c r="E340" s="148"/>
      <c r="F340" s="148"/>
      <c r="G340" s="148"/>
      <c r="H340" s="148"/>
      <c r="I340" s="148"/>
      <c r="J340" s="148"/>
      <c r="K340" s="148"/>
      <c r="L340" s="148"/>
      <c r="M340" s="148"/>
      <c r="N340" s="148"/>
      <c r="O340" s="148"/>
      <c r="P340" s="148"/>
      <c r="Q340" s="148"/>
      <c r="R340" s="148"/>
      <c r="S340" s="148"/>
    </row>
    <row r="341" ht="15.75" customHeight="1">
      <c r="A341" s="148"/>
      <c r="B341" s="148"/>
      <c r="C341" s="148"/>
      <c r="D341" s="148"/>
      <c r="E341" s="148"/>
      <c r="F341" s="148"/>
      <c r="G341" s="148"/>
      <c r="H341" s="148"/>
      <c r="I341" s="148"/>
      <c r="J341" s="148"/>
      <c r="K341" s="148"/>
      <c r="L341" s="148"/>
      <c r="M341" s="148"/>
      <c r="N341" s="148"/>
      <c r="O341" s="148"/>
      <c r="P341" s="148"/>
      <c r="Q341" s="148"/>
      <c r="R341" s="148"/>
      <c r="S341" s="148"/>
    </row>
    <row r="342" ht="15.75" customHeight="1">
      <c r="A342" s="148"/>
      <c r="B342" s="148"/>
      <c r="C342" s="148"/>
      <c r="D342" s="148"/>
      <c r="E342" s="148"/>
      <c r="F342" s="148"/>
      <c r="G342" s="148"/>
      <c r="H342" s="148"/>
      <c r="I342" s="148"/>
      <c r="J342" s="148"/>
      <c r="K342" s="148"/>
      <c r="L342" s="148"/>
      <c r="M342" s="148"/>
      <c r="N342" s="148"/>
      <c r="O342" s="148"/>
      <c r="P342" s="148"/>
      <c r="Q342" s="148"/>
      <c r="R342" s="148"/>
      <c r="S342" s="148"/>
    </row>
    <row r="343" ht="15.75" customHeight="1">
      <c r="A343" s="148"/>
      <c r="B343" s="148"/>
      <c r="C343" s="148"/>
      <c r="D343" s="148"/>
      <c r="E343" s="148"/>
      <c r="F343" s="148"/>
      <c r="G343" s="148"/>
      <c r="H343" s="148"/>
      <c r="I343" s="148"/>
      <c r="J343" s="148"/>
      <c r="K343" s="148"/>
      <c r="L343" s="148"/>
      <c r="M343" s="148"/>
      <c r="N343" s="148"/>
      <c r="O343" s="148"/>
      <c r="P343" s="148"/>
      <c r="Q343" s="148"/>
      <c r="R343" s="148"/>
      <c r="S343" s="148"/>
    </row>
    <row r="344" ht="15.75" customHeight="1">
      <c r="A344" s="148"/>
      <c r="B344" s="148"/>
      <c r="C344" s="148"/>
      <c r="D344" s="148"/>
      <c r="E344" s="148"/>
      <c r="F344" s="148"/>
      <c r="G344" s="148"/>
      <c r="H344" s="148"/>
      <c r="I344" s="148"/>
      <c r="J344" s="148"/>
      <c r="K344" s="148"/>
      <c r="L344" s="148"/>
      <c r="M344" s="148"/>
      <c r="N344" s="148"/>
      <c r="O344" s="148"/>
      <c r="P344" s="148"/>
      <c r="Q344" s="148"/>
      <c r="R344" s="148"/>
      <c r="S344" s="148"/>
    </row>
    <row r="345" ht="15.75" customHeight="1">
      <c r="A345" s="148"/>
      <c r="B345" s="148"/>
      <c r="C345" s="148"/>
      <c r="D345" s="148"/>
      <c r="E345" s="148"/>
      <c r="F345" s="148"/>
      <c r="G345" s="148"/>
      <c r="H345" s="148"/>
      <c r="I345" s="148"/>
      <c r="J345" s="148"/>
      <c r="K345" s="148"/>
      <c r="L345" s="148"/>
      <c r="M345" s="148"/>
      <c r="N345" s="148"/>
      <c r="O345" s="148"/>
      <c r="P345" s="148"/>
      <c r="Q345" s="148"/>
      <c r="R345" s="148"/>
      <c r="S345" s="148"/>
    </row>
    <row r="346" ht="15.75" customHeight="1">
      <c r="A346" s="148"/>
      <c r="B346" s="148"/>
      <c r="C346" s="148"/>
      <c r="D346" s="148"/>
      <c r="E346" s="148"/>
      <c r="F346" s="148"/>
      <c r="G346" s="148"/>
      <c r="H346" s="148"/>
      <c r="I346" s="148"/>
      <c r="J346" s="148"/>
      <c r="K346" s="148"/>
      <c r="L346" s="148"/>
      <c r="M346" s="148"/>
      <c r="N346" s="148"/>
      <c r="O346" s="148"/>
      <c r="P346" s="148"/>
      <c r="Q346" s="148"/>
      <c r="R346" s="148"/>
      <c r="S346" s="148"/>
    </row>
    <row r="347" ht="15.75" customHeight="1">
      <c r="A347" s="148"/>
      <c r="B347" s="148"/>
      <c r="C347" s="148"/>
      <c r="D347" s="148"/>
      <c r="E347" s="148"/>
      <c r="F347" s="148"/>
      <c r="G347" s="148"/>
      <c r="H347" s="148"/>
      <c r="I347" s="148"/>
      <c r="J347" s="148"/>
      <c r="K347" s="148"/>
      <c r="L347" s="148"/>
      <c r="M347" s="148"/>
      <c r="N347" s="148"/>
      <c r="O347" s="148"/>
      <c r="P347" s="148"/>
      <c r="Q347" s="148"/>
      <c r="R347" s="148"/>
      <c r="S347" s="148"/>
    </row>
    <row r="348" ht="15.75" customHeight="1">
      <c r="A348" s="148"/>
      <c r="B348" s="148"/>
      <c r="C348" s="148"/>
      <c r="D348" s="148"/>
      <c r="E348" s="148"/>
      <c r="F348" s="148"/>
      <c r="G348" s="148"/>
      <c r="H348" s="148"/>
      <c r="I348" s="148"/>
      <c r="J348" s="148"/>
      <c r="K348" s="148"/>
      <c r="L348" s="148"/>
      <c r="M348" s="148"/>
      <c r="N348" s="148"/>
      <c r="O348" s="148"/>
      <c r="P348" s="148"/>
      <c r="Q348" s="148"/>
      <c r="R348" s="148"/>
      <c r="S348" s="148"/>
    </row>
    <row r="349" ht="15.75" customHeight="1">
      <c r="A349" s="148"/>
      <c r="B349" s="148"/>
      <c r="C349" s="148"/>
      <c r="D349" s="148"/>
      <c r="E349" s="148"/>
      <c r="F349" s="148"/>
      <c r="G349" s="148"/>
      <c r="H349" s="148"/>
      <c r="I349" s="148"/>
      <c r="J349" s="148"/>
      <c r="K349" s="148"/>
      <c r="L349" s="148"/>
      <c r="M349" s="148"/>
      <c r="N349" s="148"/>
      <c r="O349" s="148"/>
      <c r="P349" s="148"/>
      <c r="Q349" s="148"/>
      <c r="R349" s="148"/>
      <c r="S349" s="148"/>
    </row>
    <row r="350" ht="15.75" customHeight="1">
      <c r="A350" s="148"/>
      <c r="B350" s="148"/>
      <c r="C350" s="148"/>
      <c r="D350" s="148"/>
      <c r="E350" s="148"/>
      <c r="F350" s="148"/>
      <c r="G350" s="148"/>
      <c r="H350" s="148"/>
      <c r="I350" s="148"/>
      <c r="J350" s="148"/>
      <c r="K350" s="148"/>
      <c r="L350" s="148"/>
      <c r="M350" s="148"/>
      <c r="N350" s="148"/>
      <c r="O350" s="148"/>
      <c r="P350" s="148"/>
      <c r="Q350" s="148"/>
      <c r="R350" s="148"/>
      <c r="S350" s="148"/>
    </row>
    <row r="351" ht="15.75" customHeight="1">
      <c r="A351" s="148"/>
      <c r="B351" s="148"/>
      <c r="C351" s="148"/>
      <c r="D351" s="148"/>
      <c r="E351" s="148"/>
      <c r="F351" s="148"/>
      <c r="G351" s="148"/>
      <c r="H351" s="148"/>
      <c r="I351" s="148"/>
      <c r="J351" s="148"/>
      <c r="K351" s="148"/>
      <c r="L351" s="148"/>
      <c r="M351" s="148"/>
      <c r="N351" s="148"/>
      <c r="O351" s="148"/>
      <c r="P351" s="148"/>
      <c r="Q351" s="148"/>
      <c r="R351" s="148"/>
      <c r="S351" s="148"/>
    </row>
    <row r="352" ht="15.75" customHeight="1">
      <c r="A352" s="148"/>
      <c r="B352" s="148"/>
      <c r="C352" s="148"/>
      <c r="D352" s="148"/>
      <c r="E352" s="148"/>
      <c r="F352" s="148"/>
      <c r="G352" s="148"/>
      <c r="H352" s="148"/>
      <c r="I352" s="148"/>
      <c r="J352" s="148"/>
      <c r="K352" s="148"/>
      <c r="L352" s="148"/>
      <c r="M352" s="148"/>
      <c r="N352" s="148"/>
      <c r="O352" s="148"/>
      <c r="P352" s="148"/>
      <c r="Q352" s="148"/>
      <c r="R352" s="148"/>
      <c r="S352" s="148"/>
    </row>
    <row r="353" ht="15.75" customHeight="1">
      <c r="A353" s="148"/>
      <c r="B353" s="148"/>
      <c r="C353" s="148"/>
      <c r="D353" s="148"/>
      <c r="E353" s="148"/>
      <c r="F353" s="148"/>
      <c r="G353" s="148"/>
      <c r="H353" s="148"/>
      <c r="I353" s="148"/>
      <c r="J353" s="148"/>
      <c r="K353" s="148"/>
      <c r="L353" s="148"/>
      <c r="M353" s="148"/>
      <c r="N353" s="148"/>
      <c r="O353" s="148"/>
      <c r="P353" s="148"/>
      <c r="Q353" s="148"/>
      <c r="R353" s="148"/>
      <c r="S353" s="148"/>
    </row>
    <row r="354" ht="15.75" customHeight="1">
      <c r="A354" s="148"/>
      <c r="B354" s="148"/>
      <c r="C354" s="148"/>
      <c r="D354" s="148"/>
      <c r="E354" s="148"/>
      <c r="F354" s="148"/>
      <c r="G354" s="148"/>
      <c r="H354" s="148"/>
      <c r="I354" s="148"/>
      <c r="J354" s="148"/>
      <c r="K354" s="148"/>
      <c r="L354" s="148"/>
      <c r="M354" s="148"/>
      <c r="N354" s="148"/>
      <c r="O354" s="148"/>
      <c r="P354" s="148"/>
      <c r="Q354" s="148"/>
      <c r="R354" s="148"/>
      <c r="S354" s="148"/>
    </row>
    <row r="355" ht="15.75" customHeight="1">
      <c r="A355" s="148"/>
      <c r="B355" s="148"/>
      <c r="C355" s="148"/>
      <c r="D355" s="148"/>
      <c r="E355" s="148"/>
      <c r="F355" s="148"/>
      <c r="G355" s="148"/>
      <c r="H355" s="148"/>
      <c r="I355" s="148"/>
      <c r="J355" s="148"/>
      <c r="K355" s="148"/>
      <c r="L355" s="148"/>
      <c r="M355" s="148"/>
      <c r="N355" s="148"/>
      <c r="O355" s="148"/>
      <c r="P355" s="148"/>
      <c r="Q355" s="148"/>
      <c r="R355" s="148"/>
      <c r="S355" s="148"/>
    </row>
    <row r="356" ht="15.75" customHeight="1">
      <c r="A356" s="148"/>
      <c r="B356" s="148"/>
      <c r="C356" s="148"/>
      <c r="D356" s="148"/>
      <c r="E356" s="148"/>
      <c r="F356" s="148"/>
      <c r="G356" s="148"/>
      <c r="H356" s="148"/>
      <c r="I356" s="148"/>
      <c r="J356" s="148"/>
      <c r="K356" s="148"/>
      <c r="L356" s="148"/>
      <c r="M356" s="148"/>
      <c r="N356" s="148"/>
      <c r="O356" s="148"/>
      <c r="P356" s="148"/>
      <c r="Q356" s="148"/>
      <c r="R356" s="148"/>
      <c r="S356" s="148"/>
    </row>
    <row r="357" ht="15.75" customHeight="1">
      <c r="A357" s="148"/>
      <c r="B357" s="148"/>
      <c r="C357" s="148"/>
      <c r="D357" s="148"/>
      <c r="E357" s="148"/>
      <c r="F357" s="148"/>
      <c r="G357" s="148"/>
      <c r="H357" s="148"/>
      <c r="I357" s="148"/>
      <c r="J357" s="148"/>
      <c r="K357" s="148"/>
      <c r="L357" s="148"/>
      <c r="M357" s="148"/>
      <c r="N357" s="148"/>
      <c r="O357" s="148"/>
      <c r="P357" s="148"/>
      <c r="Q357" s="148"/>
      <c r="R357" s="148"/>
      <c r="S357" s="148"/>
    </row>
    <row r="358" ht="15.75" customHeight="1">
      <c r="A358" s="148"/>
      <c r="B358" s="148"/>
      <c r="C358" s="148"/>
      <c r="D358" s="148"/>
      <c r="E358" s="148"/>
      <c r="F358" s="148"/>
      <c r="G358" s="148"/>
      <c r="H358" s="148"/>
      <c r="I358" s="148"/>
      <c r="J358" s="148"/>
      <c r="K358" s="148"/>
      <c r="L358" s="148"/>
      <c r="M358" s="148"/>
      <c r="N358" s="148"/>
      <c r="O358" s="148"/>
      <c r="P358" s="148"/>
      <c r="Q358" s="148"/>
      <c r="R358" s="148"/>
      <c r="S358" s="148"/>
    </row>
    <row r="359" ht="15.75" customHeight="1">
      <c r="A359" s="148"/>
      <c r="B359" s="148"/>
      <c r="C359" s="148"/>
      <c r="D359" s="148"/>
      <c r="E359" s="148"/>
      <c r="F359" s="148"/>
      <c r="G359" s="148"/>
      <c r="H359" s="148"/>
      <c r="I359" s="148"/>
      <c r="J359" s="148"/>
      <c r="K359" s="148"/>
      <c r="L359" s="148"/>
      <c r="M359" s="148"/>
      <c r="N359" s="148"/>
      <c r="O359" s="148"/>
      <c r="P359" s="148"/>
      <c r="Q359" s="148"/>
      <c r="R359" s="148"/>
      <c r="S359" s="148"/>
    </row>
    <row r="360" ht="15.75" customHeight="1">
      <c r="A360" s="148"/>
      <c r="B360" s="148"/>
      <c r="C360" s="148"/>
      <c r="D360" s="148"/>
      <c r="E360" s="148"/>
      <c r="F360" s="148"/>
      <c r="G360" s="148"/>
      <c r="H360" s="148"/>
      <c r="I360" s="148"/>
      <c r="J360" s="148"/>
      <c r="K360" s="148"/>
      <c r="L360" s="148"/>
      <c r="M360" s="148"/>
      <c r="N360" s="148"/>
      <c r="O360" s="148"/>
      <c r="P360" s="148"/>
      <c r="Q360" s="148"/>
      <c r="R360" s="148"/>
      <c r="S360" s="148"/>
    </row>
    <row r="361" ht="15.75" customHeight="1">
      <c r="A361" s="148"/>
      <c r="B361" s="148"/>
      <c r="C361" s="148"/>
      <c r="D361" s="148"/>
      <c r="E361" s="148"/>
      <c r="F361" s="148"/>
      <c r="G361" s="148"/>
      <c r="H361" s="148"/>
      <c r="I361" s="148"/>
      <c r="J361" s="148"/>
      <c r="K361" s="148"/>
      <c r="L361" s="148"/>
      <c r="M361" s="148"/>
      <c r="N361" s="148"/>
      <c r="O361" s="148"/>
      <c r="P361" s="148"/>
      <c r="Q361" s="148"/>
      <c r="R361" s="148"/>
      <c r="S361" s="148"/>
    </row>
    <row r="362" ht="15.75" customHeight="1">
      <c r="A362" s="148"/>
      <c r="B362" s="148"/>
      <c r="C362" s="148"/>
      <c r="D362" s="148"/>
      <c r="E362" s="148"/>
      <c r="F362" s="148"/>
      <c r="G362" s="148"/>
      <c r="H362" s="148"/>
      <c r="I362" s="148"/>
      <c r="J362" s="148"/>
      <c r="K362" s="148"/>
      <c r="L362" s="148"/>
      <c r="M362" s="148"/>
      <c r="N362" s="148"/>
      <c r="O362" s="148"/>
      <c r="P362" s="148"/>
      <c r="Q362" s="148"/>
      <c r="R362" s="148"/>
      <c r="S362" s="148"/>
    </row>
    <row r="363" ht="15.75" customHeight="1">
      <c r="A363" s="148"/>
      <c r="B363" s="148"/>
      <c r="C363" s="148"/>
      <c r="D363" s="148"/>
      <c r="E363" s="148"/>
      <c r="F363" s="148"/>
      <c r="G363" s="148"/>
      <c r="H363" s="148"/>
      <c r="I363" s="148"/>
      <c r="J363" s="148"/>
      <c r="K363" s="148"/>
      <c r="L363" s="148"/>
      <c r="M363" s="148"/>
      <c r="N363" s="148"/>
      <c r="O363" s="148"/>
      <c r="P363" s="148"/>
      <c r="Q363" s="148"/>
      <c r="R363" s="148"/>
      <c r="S363" s="148"/>
    </row>
    <row r="364" ht="15.75" customHeight="1">
      <c r="A364" s="148"/>
      <c r="B364" s="148"/>
      <c r="C364" s="148"/>
      <c r="D364" s="148"/>
      <c r="E364" s="148"/>
      <c r="F364" s="148"/>
      <c r="G364" s="148"/>
      <c r="H364" s="148"/>
      <c r="I364" s="148"/>
      <c r="J364" s="148"/>
      <c r="K364" s="148"/>
      <c r="L364" s="148"/>
      <c r="M364" s="148"/>
      <c r="N364" s="148"/>
      <c r="O364" s="148"/>
      <c r="P364" s="148"/>
      <c r="Q364" s="148"/>
      <c r="R364" s="148"/>
      <c r="S364" s="148"/>
    </row>
    <row r="365" ht="15.75" customHeight="1">
      <c r="A365" s="148"/>
      <c r="B365" s="148"/>
      <c r="C365" s="148"/>
      <c r="D365" s="148"/>
      <c r="E365" s="148"/>
      <c r="F365" s="148"/>
      <c r="G365" s="148"/>
      <c r="H365" s="148"/>
      <c r="I365" s="148"/>
      <c r="J365" s="148"/>
      <c r="K365" s="148"/>
      <c r="L365" s="148"/>
      <c r="M365" s="148"/>
      <c r="N365" s="148"/>
      <c r="O365" s="148"/>
      <c r="P365" s="148"/>
      <c r="Q365" s="148"/>
      <c r="R365" s="148"/>
      <c r="S365" s="148"/>
    </row>
    <row r="366" ht="15.75" customHeight="1">
      <c r="A366" s="148"/>
      <c r="B366" s="148"/>
      <c r="C366" s="148"/>
      <c r="D366" s="148"/>
      <c r="E366" s="148"/>
      <c r="F366" s="148"/>
      <c r="G366" s="148"/>
      <c r="H366" s="148"/>
      <c r="I366" s="148"/>
      <c r="J366" s="148"/>
      <c r="K366" s="148"/>
      <c r="L366" s="148"/>
      <c r="M366" s="148"/>
      <c r="N366" s="148"/>
      <c r="O366" s="148"/>
      <c r="P366" s="148"/>
      <c r="Q366" s="148"/>
      <c r="R366" s="148"/>
      <c r="S366" s="148"/>
    </row>
    <row r="367" ht="15.75" customHeight="1">
      <c r="A367" s="148"/>
      <c r="B367" s="148"/>
      <c r="C367" s="148"/>
      <c r="D367" s="148"/>
      <c r="E367" s="148"/>
      <c r="F367" s="148"/>
      <c r="G367" s="148"/>
      <c r="H367" s="148"/>
      <c r="I367" s="148"/>
      <c r="J367" s="148"/>
      <c r="K367" s="148"/>
      <c r="L367" s="148"/>
      <c r="M367" s="148"/>
      <c r="N367" s="148"/>
      <c r="O367" s="148"/>
      <c r="P367" s="148"/>
      <c r="Q367" s="148"/>
      <c r="R367" s="148"/>
      <c r="S367" s="148"/>
    </row>
    <row r="368" ht="15.75" customHeight="1">
      <c r="A368" s="148"/>
      <c r="B368" s="148"/>
      <c r="C368" s="148"/>
      <c r="D368" s="148"/>
      <c r="E368" s="148"/>
      <c r="F368" s="148"/>
      <c r="G368" s="148"/>
      <c r="H368" s="148"/>
      <c r="I368" s="148"/>
      <c r="J368" s="148"/>
      <c r="K368" s="148"/>
      <c r="L368" s="148"/>
      <c r="M368" s="148"/>
      <c r="N368" s="148"/>
      <c r="O368" s="148"/>
      <c r="P368" s="148"/>
      <c r="Q368" s="148"/>
      <c r="R368" s="148"/>
      <c r="S368" s="148"/>
    </row>
    <row r="369" ht="15.75" customHeight="1">
      <c r="A369" s="148"/>
      <c r="B369" s="148"/>
      <c r="C369" s="148"/>
      <c r="D369" s="148"/>
      <c r="E369" s="148"/>
      <c r="F369" s="148"/>
      <c r="G369" s="148"/>
      <c r="H369" s="148"/>
      <c r="I369" s="148"/>
      <c r="J369" s="148"/>
      <c r="K369" s="148"/>
      <c r="L369" s="148"/>
      <c r="M369" s="148"/>
      <c r="N369" s="148"/>
      <c r="O369" s="148"/>
      <c r="P369" s="148"/>
      <c r="Q369" s="148"/>
      <c r="R369" s="148"/>
      <c r="S369" s="148"/>
    </row>
    <row r="370" ht="15.75" customHeight="1">
      <c r="A370" s="148"/>
      <c r="B370" s="148"/>
      <c r="C370" s="148"/>
      <c r="D370" s="148"/>
      <c r="E370" s="148"/>
      <c r="F370" s="148"/>
      <c r="G370" s="148"/>
      <c r="H370" s="148"/>
      <c r="I370" s="148"/>
      <c r="J370" s="148"/>
      <c r="K370" s="148"/>
      <c r="L370" s="148"/>
      <c r="M370" s="148"/>
      <c r="N370" s="148"/>
      <c r="O370" s="148"/>
      <c r="P370" s="148"/>
      <c r="Q370" s="148"/>
      <c r="R370" s="148"/>
      <c r="S370" s="148"/>
    </row>
    <row r="371" ht="15.75" customHeight="1">
      <c r="A371" s="148"/>
      <c r="B371" s="148"/>
      <c r="C371" s="148"/>
      <c r="D371" s="148"/>
      <c r="E371" s="148"/>
      <c r="F371" s="148"/>
      <c r="G371" s="148"/>
      <c r="H371" s="148"/>
      <c r="I371" s="148"/>
      <c r="J371" s="148"/>
      <c r="K371" s="148"/>
      <c r="L371" s="148"/>
      <c r="M371" s="148"/>
      <c r="N371" s="148"/>
      <c r="O371" s="148"/>
      <c r="P371" s="148"/>
      <c r="Q371" s="148"/>
      <c r="R371" s="148"/>
      <c r="S371" s="148"/>
    </row>
    <row r="372" ht="15.75" customHeight="1">
      <c r="A372" s="148"/>
      <c r="B372" s="148"/>
      <c r="C372" s="148"/>
      <c r="D372" s="148"/>
      <c r="E372" s="148"/>
      <c r="F372" s="148"/>
      <c r="G372" s="148"/>
      <c r="H372" s="148"/>
      <c r="I372" s="148"/>
      <c r="J372" s="148"/>
      <c r="K372" s="148"/>
      <c r="L372" s="148"/>
      <c r="M372" s="148"/>
      <c r="N372" s="148"/>
      <c r="O372" s="148"/>
      <c r="P372" s="148"/>
      <c r="Q372" s="148"/>
      <c r="R372" s="148"/>
      <c r="S372" s="148"/>
    </row>
    <row r="373" ht="15.75" customHeight="1">
      <c r="A373" s="148"/>
      <c r="B373" s="148"/>
      <c r="C373" s="148"/>
      <c r="D373" s="148"/>
      <c r="E373" s="148"/>
      <c r="F373" s="148"/>
      <c r="G373" s="148"/>
      <c r="H373" s="148"/>
      <c r="I373" s="148"/>
      <c r="J373" s="148"/>
      <c r="K373" s="148"/>
      <c r="L373" s="148"/>
      <c r="M373" s="148"/>
      <c r="N373" s="148"/>
      <c r="O373" s="148"/>
      <c r="P373" s="148"/>
      <c r="Q373" s="148"/>
      <c r="R373" s="148"/>
      <c r="S373" s="148"/>
    </row>
    <row r="374" ht="15.75" customHeight="1">
      <c r="A374" s="148"/>
      <c r="B374" s="148"/>
      <c r="C374" s="148"/>
      <c r="D374" s="148"/>
      <c r="E374" s="148"/>
      <c r="F374" s="148"/>
      <c r="G374" s="148"/>
      <c r="H374" s="148"/>
      <c r="I374" s="148"/>
      <c r="J374" s="148"/>
      <c r="K374" s="148"/>
      <c r="L374" s="148"/>
      <c r="M374" s="148"/>
      <c r="N374" s="148"/>
      <c r="O374" s="148"/>
      <c r="P374" s="148"/>
      <c r="Q374" s="148"/>
      <c r="R374" s="148"/>
      <c r="S374" s="148"/>
    </row>
    <row r="375" ht="15.75" customHeight="1">
      <c r="A375" s="148"/>
      <c r="B375" s="148"/>
      <c r="C375" s="148"/>
      <c r="D375" s="148"/>
      <c r="E375" s="148"/>
      <c r="F375" s="148"/>
      <c r="G375" s="148"/>
      <c r="H375" s="148"/>
      <c r="I375" s="148"/>
      <c r="J375" s="148"/>
      <c r="K375" s="148"/>
      <c r="L375" s="148"/>
      <c r="M375" s="148"/>
      <c r="N375" s="148"/>
      <c r="O375" s="148"/>
      <c r="P375" s="148"/>
      <c r="Q375" s="148"/>
      <c r="R375" s="148"/>
      <c r="S375" s="148"/>
    </row>
    <row r="376" ht="15.75" customHeight="1">
      <c r="A376" s="148"/>
      <c r="B376" s="148"/>
      <c r="C376" s="148"/>
      <c r="D376" s="148"/>
      <c r="E376" s="148"/>
      <c r="F376" s="148"/>
      <c r="G376" s="148"/>
      <c r="H376" s="148"/>
      <c r="I376" s="148"/>
      <c r="J376" s="148"/>
      <c r="K376" s="148"/>
      <c r="L376" s="148"/>
      <c r="M376" s="148"/>
      <c r="N376" s="148"/>
      <c r="O376" s="148"/>
      <c r="P376" s="148"/>
      <c r="Q376" s="148"/>
      <c r="R376" s="148"/>
      <c r="S376" s="148"/>
    </row>
    <row r="377" ht="15.75" customHeight="1">
      <c r="A377" s="148"/>
      <c r="B377" s="148"/>
      <c r="C377" s="148"/>
      <c r="D377" s="148"/>
      <c r="E377" s="148"/>
      <c r="F377" s="148"/>
      <c r="G377" s="148"/>
      <c r="H377" s="148"/>
      <c r="I377" s="148"/>
      <c r="J377" s="148"/>
      <c r="K377" s="148"/>
      <c r="L377" s="148"/>
      <c r="M377" s="148"/>
      <c r="N377" s="148"/>
      <c r="O377" s="148"/>
      <c r="P377" s="148"/>
      <c r="Q377" s="148"/>
      <c r="R377" s="148"/>
      <c r="S377" s="148"/>
    </row>
    <row r="378" ht="15.75" customHeight="1">
      <c r="A378" s="148"/>
      <c r="B378" s="148"/>
      <c r="C378" s="148"/>
      <c r="D378" s="148"/>
      <c r="E378" s="148"/>
      <c r="F378" s="148"/>
      <c r="G378" s="148"/>
      <c r="H378" s="148"/>
      <c r="I378" s="148"/>
      <c r="J378" s="148"/>
      <c r="K378" s="148"/>
      <c r="L378" s="148"/>
      <c r="M378" s="148"/>
      <c r="N378" s="148"/>
      <c r="O378" s="148"/>
      <c r="P378" s="148"/>
      <c r="Q378" s="148"/>
      <c r="R378" s="148"/>
      <c r="S378" s="148"/>
    </row>
    <row r="379" ht="15.75" customHeight="1">
      <c r="A379" s="148"/>
      <c r="B379" s="148"/>
      <c r="C379" s="148"/>
      <c r="D379" s="148"/>
      <c r="E379" s="148"/>
      <c r="F379" s="148"/>
      <c r="G379" s="148"/>
      <c r="H379" s="148"/>
      <c r="I379" s="148"/>
      <c r="J379" s="148"/>
      <c r="K379" s="148"/>
      <c r="L379" s="148"/>
      <c r="M379" s="148"/>
      <c r="N379" s="148"/>
      <c r="O379" s="148"/>
      <c r="P379" s="148"/>
      <c r="Q379" s="148"/>
      <c r="R379" s="148"/>
      <c r="S379" s="148"/>
    </row>
    <row r="380" ht="15.75" customHeight="1">
      <c r="A380" s="148"/>
      <c r="B380" s="148"/>
      <c r="C380" s="148"/>
      <c r="D380" s="148"/>
      <c r="E380" s="148"/>
      <c r="F380" s="148"/>
      <c r="G380" s="148"/>
      <c r="H380" s="148"/>
      <c r="I380" s="148"/>
      <c r="J380" s="148"/>
      <c r="K380" s="148"/>
      <c r="L380" s="148"/>
      <c r="M380" s="148"/>
      <c r="N380" s="148"/>
      <c r="O380" s="148"/>
      <c r="P380" s="148"/>
      <c r="Q380" s="148"/>
      <c r="R380" s="148"/>
      <c r="S380" s="148"/>
    </row>
    <row r="381" ht="15.75" customHeight="1">
      <c r="A381" s="148"/>
      <c r="B381" s="148"/>
      <c r="C381" s="148"/>
      <c r="D381" s="148"/>
      <c r="E381" s="148"/>
      <c r="F381" s="148"/>
      <c r="G381" s="148"/>
      <c r="H381" s="148"/>
      <c r="I381" s="148"/>
      <c r="J381" s="148"/>
      <c r="K381" s="148"/>
      <c r="L381" s="148"/>
      <c r="M381" s="148"/>
      <c r="N381" s="148"/>
      <c r="O381" s="148"/>
      <c r="P381" s="148"/>
      <c r="Q381" s="148"/>
      <c r="R381" s="148"/>
      <c r="S381" s="148"/>
    </row>
    <row r="382" ht="15.75" customHeight="1">
      <c r="A382" s="148"/>
      <c r="B382" s="148"/>
      <c r="C382" s="148"/>
      <c r="D382" s="148"/>
      <c r="E382" s="148"/>
      <c r="F382" s="148"/>
      <c r="G382" s="148"/>
      <c r="H382" s="148"/>
      <c r="I382" s="148"/>
      <c r="J382" s="148"/>
      <c r="K382" s="148"/>
      <c r="L382" s="148"/>
      <c r="M382" s="148"/>
      <c r="N382" s="148"/>
      <c r="O382" s="148"/>
      <c r="P382" s="148"/>
      <c r="Q382" s="148"/>
      <c r="R382" s="148"/>
      <c r="S382" s="148"/>
    </row>
    <row r="383" ht="15.75" customHeight="1">
      <c r="A383" s="148"/>
      <c r="B383" s="148"/>
      <c r="C383" s="148"/>
      <c r="D383" s="148"/>
      <c r="E383" s="148"/>
      <c r="F383" s="148"/>
      <c r="G383" s="148"/>
      <c r="H383" s="148"/>
      <c r="I383" s="148"/>
      <c r="J383" s="148"/>
      <c r="K383" s="148"/>
      <c r="L383" s="148"/>
      <c r="M383" s="148"/>
      <c r="N383" s="148"/>
      <c r="O383" s="148"/>
      <c r="P383" s="148"/>
      <c r="Q383" s="148"/>
      <c r="R383" s="148"/>
      <c r="S383" s="148"/>
    </row>
    <row r="384" ht="15.75" customHeight="1">
      <c r="A384" s="148"/>
      <c r="B384" s="148"/>
      <c r="C384" s="148"/>
      <c r="D384" s="148"/>
      <c r="E384" s="148"/>
      <c r="F384" s="148"/>
      <c r="G384" s="148"/>
      <c r="H384" s="148"/>
      <c r="I384" s="148"/>
      <c r="J384" s="148"/>
      <c r="K384" s="148"/>
      <c r="L384" s="148"/>
      <c r="M384" s="148"/>
      <c r="N384" s="148"/>
      <c r="O384" s="148"/>
      <c r="P384" s="148"/>
      <c r="Q384" s="148"/>
      <c r="R384" s="148"/>
      <c r="S384" s="148"/>
    </row>
    <row r="385" ht="15.75" customHeight="1">
      <c r="A385" s="148"/>
      <c r="B385" s="148"/>
      <c r="C385" s="148"/>
      <c r="D385" s="148"/>
      <c r="E385" s="148"/>
      <c r="F385" s="148"/>
      <c r="G385" s="148"/>
      <c r="H385" s="148"/>
      <c r="I385" s="148"/>
      <c r="J385" s="148"/>
      <c r="K385" s="148"/>
      <c r="L385" s="148"/>
      <c r="M385" s="148"/>
      <c r="N385" s="148"/>
      <c r="O385" s="148"/>
      <c r="P385" s="148"/>
      <c r="Q385" s="148"/>
      <c r="R385" s="148"/>
      <c r="S385" s="148"/>
    </row>
    <row r="386" ht="15.75" customHeight="1">
      <c r="A386" s="148"/>
      <c r="B386" s="148"/>
      <c r="C386" s="148"/>
      <c r="D386" s="148"/>
      <c r="E386" s="148"/>
      <c r="F386" s="148"/>
      <c r="G386" s="148"/>
      <c r="H386" s="148"/>
      <c r="I386" s="148"/>
      <c r="J386" s="148"/>
      <c r="K386" s="148"/>
      <c r="L386" s="148"/>
      <c r="M386" s="148"/>
      <c r="N386" s="148"/>
      <c r="O386" s="148"/>
      <c r="P386" s="148"/>
      <c r="Q386" s="148"/>
      <c r="R386" s="148"/>
      <c r="S386" s="148"/>
    </row>
    <row r="387" ht="15.75" customHeight="1">
      <c r="A387" s="148"/>
      <c r="B387" s="148"/>
      <c r="C387" s="148"/>
      <c r="D387" s="148"/>
      <c r="E387" s="148"/>
      <c r="F387" s="148"/>
      <c r="G387" s="148"/>
      <c r="H387" s="148"/>
      <c r="I387" s="148"/>
      <c r="J387" s="148"/>
      <c r="K387" s="148"/>
      <c r="L387" s="148"/>
      <c r="M387" s="148"/>
      <c r="N387" s="148"/>
      <c r="O387" s="148"/>
      <c r="P387" s="148"/>
      <c r="Q387" s="148"/>
      <c r="R387" s="148"/>
      <c r="S387" s="148"/>
    </row>
    <row r="388" ht="15.75" customHeight="1">
      <c r="A388" s="148"/>
      <c r="B388" s="148"/>
      <c r="C388" s="148"/>
      <c r="D388" s="148"/>
      <c r="E388" s="148"/>
      <c r="F388" s="148"/>
      <c r="G388" s="148"/>
      <c r="H388" s="148"/>
      <c r="I388" s="148"/>
      <c r="J388" s="148"/>
      <c r="K388" s="148"/>
      <c r="L388" s="148"/>
      <c r="M388" s="148"/>
      <c r="N388" s="148"/>
      <c r="O388" s="148"/>
      <c r="P388" s="148"/>
      <c r="Q388" s="148"/>
      <c r="R388" s="148"/>
      <c r="S388" s="148"/>
    </row>
    <row r="389" ht="15.75" customHeight="1">
      <c r="A389" s="148"/>
      <c r="B389" s="148"/>
      <c r="C389" s="148"/>
      <c r="D389" s="148"/>
      <c r="E389" s="148"/>
      <c r="F389" s="148"/>
      <c r="G389" s="148"/>
      <c r="H389" s="148"/>
      <c r="I389" s="148"/>
      <c r="J389" s="148"/>
      <c r="K389" s="148"/>
      <c r="L389" s="148"/>
      <c r="M389" s="148"/>
      <c r="N389" s="148"/>
      <c r="O389" s="148"/>
      <c r="P389" s="148"/>
      <c r="Q389" s="148"/>
      <c r="R389" s="148"/>
      <c r="S389" s="148"/>
    </row>
    <row r="390" ht="15.75" customHeight="1">
      <c r="A390" s="148"/>
      <c r="B390" s="148"/>
      <c r="C390" s="148"/>
      <c r="D390" s="148"/>
      <c r="E390" s="148"/>
      <c r="F390" s="148"/>
      <c r="G390" s="148"/>
      <c r="H390" s="148"/>
      <c r="I390" s="148"/>
      <c r="J390" s="148"/>
      <c r="K390" s="148"/>
      <c r="L390" s="148"/>
      <c r="M390" s="148"/>
      <c r="N390" s="148"/>
      <c r="O390" s="148"/>
      <c r="P390" s="148"/>
      <c r="Q390" s="148"/>
      <c r="R390" s="148"/>
      <c r="S390" s="148"/>
    </row>
    <row r="391" ht="15.75" customHeight="1">
      <c r="A391" s="148"/>
      <c r="B391" s="148"/>
      <c r="C391" s="148"/>
      <c r="D391" s="148"/>
      <c r="E391" s="148"/>
      <c r="F391" s="148"/>
      <c r="G391" s="148"/>
      <c r="H391" s="148"/>
      <c r="I391" s="148"/>
      <c r="J391" s="148"/>
      <c r="K391" s="148"/>
      <c r="L391" s="148"/>
      <c r="M391" s="148"/>
      <c r="N391" s="148"/>
      <c r="O391" s="148"/>
      <c r="P391" s="148"/>
      <c r="Q391" s="148"/>
      <c r="R391" s="148"/>
      <c r="S391" s="148"/>
    </row>
    <row r="392" ht="15.75" customHeight="1">
      <c r="A392" s="148"/>
      <c r="B392" s="148"/>
      <c r="C392" s="148"/>
      <c r="D392" s="148"/>
      <c r="E392" s="148"/>
      <c r="F392" s="148"/>
      <c r="G392" s="148"/>
      <c r="H392" s="148"/>
      <c r="I392" s="148"/>
      <c r="J392" s="148"/>
      <c r="K392" s="148"/>
      <c r="L392" s="148"/>
      <c r="M392" s="148"/>
      <c r="N392" s="148"/>
      <c r="O392" s="148"/>
      <c r="P392" s="148"/>
      <c r="Q392" s="148"/>
      <c r="R392" s="148"/>
      <c r="S392" s="148"/>
    </row>
    <row r="393" ht="15.75" customHeight="1">
      <c r="A393" s="148"/>
      <c r="B393" s="148"/>
      <c r="C393" s="148"/>
      <c r="D393" s="148"/>
      <c r="E393" s="148"/>
      <c r="F393" s="148"/>
      <c r="G393" s="148"/>
      <c r="H393" s="148"/>
      <c r="I393" s="148"/>
      <c r="J393" s="148"/>
      <c r="K393" s="148"/>
      <c r="L393" s="148"/>
      <c r="M393" s="148"/>
      <c r="N393" s="148"/>
      <c r="O393" s="148"/>
      <c r="P393" s="148"/>
      <c r="Q393" s="148"/>
      <c r="R393" s="148"/>
      <c r="S393" s="148"/>
    </row>
    <row r="394" ht="15.75" customHeight="1">
      <c r="A394" s="148"/>
      <c r="B394" s="148"/>
      <c r="C394" s="148"/>
      <c r="D394" s="148"/>
      <c r="E394" s="148"/>
      <c r="F394" s="148"/>
      <c r="G394" s="148"/>
      <c r="H394" s="148"/>
      <c r="I394" s="148"/>
      <c r="J394" s="148"/>
      <c r="K394" s="148"/>
      <c r="L394" s="148"/>
      <c r="M394" s="148"/>
      <c r="N394" s="148"/>
      <c r="O394" s="148"/>
      <c r="P394" s="148"/>
      <c r="Q394" s="148"/>
      <c r="R394" s="148"/>
      <c r="S394" s="148"/>
    </row>
    <row r="395" ht="15.75" customHeight="1">
      <c r="A395" s="148"/>
      <c r="B395" s="148"/>
      <c r="C395" s="148"/>
      <c r="D395" s="148"/>
      <c r="E395" s="148"/>
      <c r="F395" s="148"/>
      <c r="G395" s="148"/>
      <c r="H395" s="148"/>
      <c r="I395" s="148"/>
      <c r="J395" s="148"/>
      <c r="K395" s="148"/>
      <c r="L395" s="148"/>
      <c r="M395" s="148"/>
      <c r="N395" s="148"/>
      <c r="O395" s="148"/>
      <c r="P395" s="148"/>
      <c r="Q395" s="148"/>
      <c r="R395" s="148"/>
      <c r="S395" s="148"/>
    </row>
    <row r="396" ht="15.75" customHeight="1">
      <c r="A396" s="148"/>
      <c r="B396" s="148"/>
      <c r="C396" s="148"/>
      <c r="D396" s="148"/>
      <c r="E396" s="148"/>
      <c r="F396" s="148"/>
      <c r="G396" s="148"/>
      <c r="H396" s="148"/>
      <c r="I396" s="148"/>
      <c r="J396" s="148"/>
      <c r="K396" s="148"/>
      <c r="L396" s="148"/>
      <c r="M396" s="148"/>
      <c r="N396" s="148"/>
      <c r="O396" s="148"/>
      <c r="P396" s="148"/>
      <c r="Q396" s="148"/>
      <c r="R396" s="148"/>
      <c r="S396" s="148"/>
    </row>
    <row r="397" ht="15.75" customHeight="1">
      <c r="A397" s="148"/>
      <c r="B397" s="148"/>
      <c r="C397" s="148"/>
      <c r="D397" s="148"/>
      <c r="E397" s="148"/>
      <c r="F397" s="148"/>
      <c r="G397" s="148"/>
      <c r="H397" s="148"/>
      <c r="I397" s="148"/>
      <c r="J397" s="148"/>
      <c r="K397" s="148"/>
      <c r="L397" s="148"/>
      <c r="M397" s="148"/>
      <c r="N397" s="148"/>
      <c r="O397" s="148"/>
      <c r="P397" s="148"/>
      <c r="Q397" s="148"/>
      <c r="R397" s="148"/>
      <c r="S397" s="148"/>
    </row>
    <row r="398" ht="15.75" customHeight="1">
      <c r="A398" s="148"/>
      <c r="B398" s="148"/>
      <c r="C398" s="148"/>
      <c r="D398" s="148"/>
      <c r="E398" s="148"/>
      <c r="F398" s="148"/>
      <c r="G398" s="148"/>
      <c r="H398" s="148"/>
      <c r="I398" s="148"/>
      <c r="J398" s="148"/>
      <c r="K398" s="148"/>
      <c r="L398" s="148"/>
      <c r="M398" s="148"/>
      <c r="N398" s="148"/>
      <c r="O398" s="148"/>
      <c r="P398" s="148"/>
      <c r="Q398" s="148"/>
      <c r="R398" s="148"/>
      <c r="S398" s="148"/>
    </row>
    <row r="399" ht="15.75" customHeight="1">
      <c r="A399" s="148"/>
      <c r="B399" s="148"/>
      <c r="C399" s="148"/>
      <c r="D399" s="148"/>
      <c r="E399" s="148"/>
      <c r="F399" s="148"/>
      <c r="G399" s="148"/>
      <c r="H399" s="148"/>
      <c r="I399" s="148"/>
      <c r="J399" s="148"/>
      <c r="K399" s="148"/>
      <c r="L399" s="148"/>
      <c r="M399" s="148"/>
      <c r="N399" s="148"/>
      <c r="O399" s="148"/>
      <c r="P399" s="148"/>
      <c r="Q399" s="148"/>
      <c r="R399" s="148"/>
      <c r="S399" s="148"/>
    </row>
    <row r="400" ht="15.75" customHeight="1">
      <c r="A400" s="148"/>
      <c r="B400" s="148"/>
      <c r="C400" s="148"/>
      <c r="D400" s="148"/>
      <c r="E400" s="148"/>
      <c r="F400" s="148"/>
      <c r="G400" s="148"/>
      <c r="H400" s="148"/>
      <c r="I400" s="148"/>
      <c r="J400" s="148"/>
      <c r="K400" s="148"/>
      <c r="L400" s="148"/>
      <c r="M400" s="148"/>
      <c r="N400" s="148"/>
      <c r="O400" s="148"/>
      <c r="P400" s="148"/>
      <c r="Q400" s="148"/>
      <c r="R400" s="148"/>
      <c r="S400" s="148"/>
    </row>
    <row r="401" ht="15.75" customHeight="1">
      <c r="A401" s="148"/>
      <c r="B401" s="148"/>
      <c r="C401" s="148"/>
      <c r="D401" s="148"/>
      <c r="E401" s="148"/>
      <c r="F401" s="148"/>
      <c r="G401" s="148"/>
      <c r="H401" s="148"/>
      <c r="I401" s="148"/>
      <c r="J401" s="148"/>
      <c r="K401" s="148"/>
      <c r="L401" s="148"/>
      <c r="M401" s="148"/>
      <c r="N401" s="148"/>
      <c r="O401" s="148"/>
      <c r="P401" s="148"/>
      <c r="Q401" s="148"/>
      <c r="R401" s="148"/>
      <c r="S401" s="148"/>
    </row>
    <row r="402" ht="15.75" customHeight="1">
      <c r="A402" s="148"/>
      <c r="B402" s="148"/>
      <c r="C402" s="148"/>
      <c r="D402" s="148"/>
      <c r="E402" s="148"/>
      <c r="F402" s="148"/>
      <c r="G402" s="148"/>
      <c r="H402" s="148"/>
      <c r="I402" s="148"/>
      <c r="J402" s="148"/>
      <c r="K402" s="148"/>
      <c r="L402" s="148"/>
      <c r="M402" s="148"/>
      <c r="N402" s="148"/>
      <c r="O402" s="148"/>
      <c r="P402" s="148"/>
      <c r="Q402" s="148"/>
      <c r="R402" s="148"/>
      <c r="S402" s="148"/>
    </row>
    <row r="403" ht="15.75" customHeight="1">
      <c r="A403" s="148"/>
      <c r="B403" s="148"/>
      <c r="C403" s="148"/>
      <c r="D403" s="148"/>
      <c r="E403" s="148"/>
      <c r="F403" s="148"/>
      <c r="G403" s="148"/>
      <c r="H403" s="148"/>
      <c r="I403" s="148"/>
      <c r="J403" s="148"/>
      <c r="K403" s="148"/>
      <c r="L403" s="148"/>
      <c r="M403" s="148"/>
      <c r="N403" s="148"/>
      <c r="O403" s="148"/>
      <c r="P403" s="148"/>
      <c r="Q403" s="148"/>
      <c r="R403" s="148"/>
      <c r="S403" s="148"/>
    </row>
    <row r="404" ht="15.75" customHeight="1">
      <c r="A404" s="148"/>
      <c r="B404" s="148"/>
      <c r="C404" s="148"/>
      <c r="D404" s="148"/>
      <c r="E404" s="148"/>
      <c r="F404" s="148"/>
      <c r="G404" s="148"/>
      <c r="H404" s="148"/>
      <c r="I404" s="148"/>
      <c r="J404" s="148"/>
      <c r="K404" s="148"/>
      <c r="L404" s="148"/>
      <c r="M404" s="148"/>
      <c r="N404" s="148"/>
      <c r="O404" s="148"/>
      <c r="P404" s="148"/>
      <c r="Q404" s="148"/>
      <c r="R404" s="148"/>
      <c r="S404" s="148"/>
    </row>
    <row r="405" ht="15.75" customHeight="1">
      <c r="A405" s="148"/>
      <c r="B405" s="148"/>
      <c r="C405" s="148"/>
      <c r="D405" s="148"/>
      <c r="E405" s="148"/>
      <c r="F405" s="148"/>
      <c r="G405" s="148"/>
      <c r="H405" s="148"/>
      <c r="I405" s="148"/>
      <c r="J405" s="148"/>
      <c r="K405" s="148"/>
      <c r="L405" s="148"/>
      <c r="M405" s="148"/>
      <c r="N405" s="148"/>
      <c r="O405" s="148"/>
      <c r="P405" s="148"/>
      <c r="Q405" s="148"/>
      <c r="R405" s="148"/>
      <c r="S405" s="148"/>
    </row>
    <row r="406" ht="15.75" customHeight="1">
      <c r="A406" s="148"/>
      <c r="B406" s="148"/>
      <c r="C406" s="148"/>
      <c r="D406" s="148"/>
      <c r="E406" s="148"/>
      <c r="F406" s="148"/>
      <c r="G406" s="148"/>
      <c r="H406" s="148"/>
      <c r="I406" s="148"/>
      <c r="J406" s="148"/>
      <c r="K406" s="148"/>
      <c r="L406" s="148"/>
      <c r="M406" s="148"/>
      <c r="N406" s="148"/>
      <c r="O406" s="148"/>
      <c r="P406" s="148"/>
      <c r="Q406" s="148"/>
      <c r="R406" s="148"/>
      <c r="S406" s="148"/>
    </row>
    <row r="407" ht="15.75" customHeight="1">
      <c r="A407" s="148"/>
      <c r="B407" s="148"/>
      <c r="C407" s="148"/>
      <c r="D407" s="148"/>
      <c r="E407" s="148"/>
      <c r="F407" s="148"/>
      <c r="G407" s="148"/>
      <c r="H407" s="148"/>
      <c r="I407" s="148"/>
      <c r="J407" s="148"/>
      <c r="K407" s="148"/>
      <c r="L407" s="148"/>
      <c r="M407" s="148"/>
      <c r="N407" s="148"/>
      <c r="O407" s="148"/>
      <c r="P407" s="148"/>
      <c r="Q407" s="148"/>
      <c r="R407" s="148"/>
      <c r="S407" s="148"/>
    </row>
    <row r="408" ht="15.75" customHeight="1">
      <c r="A408" s="148"/>
      <c r="B408" s="148"/>
      <c r="C408" s="148"/>
      <c r="D408" s="148"/>
      <c r="E408" s="148"/>
      <c r="F408" s="148"/>
      <c r="G408" s="148"/>
      <c r="H408" s="148"/>
      <c r="I408" s="148"/>
      <c r="J408" s="148"/>
      <c r="K408" s="148"/>
      <c r="L408" s="148"/>
      <c r="M408" s="148"/>
      <c r="N408" s="148"/>
      <c r="O408" s="148"/>
      <c r="P408" s="148"/>
      <c r="Q408" s="148"/>
      <c r="R408" s="148"/>
      <c r="S408" s="148"/>
    </row>
    <row r="409" ht="15.75" customHeight="1">
      <c r="A409" s="148"/>
      <c r="B409" s="148"/>
      <c r="C409" s="148"/>
      <c r="D409" s="148"/>
      <c r="E409" s="148"/>
      <c r="F409" s="148"/>
      <c r="G409" s="148"/>
      <c r="H409" s="148"/>
      <c r="I409" s="148"/>
      <c r="J409" s="148"/>
      <c r="K409" s="148"/>
      <c r="L409" s="148"/>
      <c r="M409" s="148"/>
      <c r="N409" s="148"/>
      <c r="O409" s="148"/>
      <c r="P409" s="148"/>
      <c r="Q409" s="148"/>
      <c r="R409" s="148"/>
      <c r="S409" s="148"/>
    </row>
    <row r="410" ht="15.75" customHeight="1">
      <c r="A410" s="148"/>
      <c r="B410" s="148"/>
      <c r="C410" s="148"/>
      <c r="D410" s="148"/>
      <c r="E410" s="148"/>
      <c r="F410" s="148"/>
      <c r="G410" s="148"/>
      <c r="H410" s="148"/>
      <c r="I410" s="148"/>
      <c r="J410" s="148"/>
      <c r="K410" s="148"/>
      <c r="L410" s="148"/>
      <c r="M410" s="148"/>
      <c r="N410" s="148"/>
      <c r="O410" s="148"/>
      <c r="P410" s="148"/>
      <c r="Q410" s="148"/>
      <c r="R410" s="148"/>
      <c r="S410" s="148"/>
    </row>
    <row r="411" ht="15.75" customHeight="1">
      <c r="A411" s="148"/>
      <c r="B411" s="148"/>
      <c r="C411" s="148"/>
      <c r="D411" s="148"/>
      <c r="E411" s="148"/>
      <c r="F411" s="148"/>
      <c r="G411" s="148"/>
      <c r="H411" s="148"/>
      <c r="I411" s="148"/>
      <c r="J411" s="148"/>
      <c r="K411" s="148"/>
      <c r="L411" s="148"/>
      <c r="M411" s="148"/>
      <c r="N411" s="148"/>
      <c r="O411" s="148"/>
      <c r="P411" s="148"/>
      <c r="Q411" s="148"/>
      <c r="R411" s="148"/>
      <c r="S411" s="148"/>
    </row>
    <row r="412" ht="15.75" customHeight="1">
      <c r="A412" s="148"/>
      <c r="B412" s="148"/>
      <c r="C412" s="148"/>
      <c r="D412" s="148"/>
      <c r="E412" s="148"/>
      <c r="F412" s="148"/>
      <c r="G412" s="148"/>
      <c r="H412" s="148"/>
      <c r="I412" s="148"/>
      <c r="J412" s="148"/>
      <c r="K412" s="148"/>
      <c r="L412" s="148"/>
      <c r="M412" s="148"/>
      <c r="N412" s="148"/>
      <c r="O412" s="148"/>
      <c r="P412" s="148"/>
      <c r="Q412" s="148"/>
      <c r="R412" s="148"/>
      <c r="S412" s="148"/>
    </row>
    <row r="413" ht="15.75" customHeight="1">
      <c r="A413" s="148"/>
      <c r="B413" s="148"/>
      <c r="C413" s="148"/>
      <c r="D413" s="148"/>
      <c r="E413" s="148"/>
      <c r="F413" s="148"/>
      <c r="G413" s="148"/>
      <c r="H413" s="148"/>
      <c r="I413" s="148"/>
      <c r="J413" s="148"/>
      <c r="K413" s="148"/>
      <c r="L413" s="148"/>
      <c r="M413" s="148"/>
      <c r="N413" s="148"/>
      <c r="O413" s="148"/>
      <c r="P413" s="148"/>
      <c r="Q413" s="148"/>
      <c r="R413" s="148"/>
      <c r="S413" s="148"/>
    </row>
    <row r="414" ht="15.75" customHeight="1">
      <c r="A414" s="148"/>
      <c r="B414" s="148"/>
      <c r="C414" s="148"/>
      <c r="D414" s="148"/>
      <c r="E414" s="148"/>
      <c r="F414" s="148"/>
      <c r="G414" s="148"/>
      <c r="H414" s="148"/>
      <c r="I414" s="148"/>
      <c r="J414" s="148"/>
      <c r="K414" s="148"/>
      <c r="L414" s="148"/>
      <c r="M414" s="148"/>
      <c r="N414" s="148"/>
      <c r="O414" s="148"/>
      <c r="P414" s="148"/>
      <c r="Q414" s="148"/>
      <c r="R414" s="148"/>
      <c r="S414" s="148"/>
    </row>
    <row r="415" ht="15.75" customHeight="1">
      <c r="A415" s="148"/>
      <c r="B415" s="148"/>
      <c r="C415" s="148"/>
      <c r="D415" s="148"/>
      <c r="E415" s="148"/>
      <c r="F415" s="148"/>
      <c r="G415" s="148"/>
      <c r="H415" s="148"/>
      <c r="I415" s="148"/>
      <c r="J415" s="148"/>
      <c r="K415" s="148"/>
      <c r="L415" s="148"/>
      <c r="M415" s="148"/>
      <c r="N415" s="148"/>
      <c r="O415" s="148"/>
      <c r="P415" s="148"/>
      <c r="Q415" s="148"/>
      <c r="R415" s="148"/>
      <c r="S415" s="148"/>
    </row>
    <row r="416" ht="15.75" customHeight="1">
      <c r="A416" s="148"/>
      <c r="B416" s="148"/>
      <c r="C416" s="148"/>
      <c r="D416" s="148"/>
      <c r="E416" s="148"/>
      <c r="F416" s="148"/>
      <c r="G416" s="148"/>
      <c r="H416" s="148"/>
      <c r="I416" s="148"/>
      <c r="J416" s="148"/>
      <c r="K416" s="148"/>
      <c r="L416" s="148"/>
      <c r="M416" s="148"/>
      <c r="N416" s="148"/>
      <c r="O416" s="148"/>
      <c r="P416" s="148"/>
      <c r="Q416" s="148"/>
      <c r="R416" s="148"/>
      <c r="S416" s="148"/>
    </row>
    <row r="417" ht="15.75" customHeight="1">
      <c r="A417" s="148"/>
      <c r="B417" s="148"/>
      <c r="C417" s="148"/>
      <c r="D417" s="148"/>
      <c r="E417" s="148"/>
      <c r="F417" s="148"/>
      <c r="G417" s="148"/>
      <c r="H417" s="148"/>
      <c r="I417" s="148"/>
      <c r="J417" s="148"/>
      <c r="K417" s="148"/>
      <c r="L417" s="148"/>
      <c r="M417" s="148"/>
      <c r="N417" s="148"/>
      <c r="O417" s="148"/>
      <c r="P417" s="148"/>
      <c r="Q417" s="148"/>
      <c r="R417" s="148"/>
      <c r="S417" s="148"/>
    </row>
    <row r="418" ht="15.75" customHeight="1">
      <c r="A418" s="148"/>
      <c r="B418" s="148"/>
      <c r="C418" s="148"/>
      <c r="D418" s="148"/>
      <c r="E418" s="148"/>
      <c r="F418" s="148"/>
      <c r="G418" s="148"/>
      <c r="H418" s="148"/>
      <c r="I418" s="148"/>
      <c r="J418" s="148"/>
      <c r="K418" s="148"/>
      <c r="L418" s="148"/>
      <c r="M418" s="148"/>
      <c r="N418" s="148"/>
      <c r="O418" s="148"/>
      <c r="P418" s="148"/>
      <c r="Q418" s="148"/>
      <c r="R418" s="148"/>
      <c r="S418" s="148"/>
    </row>
    <row r="419" ht="15.75" customHeight="1">
      <c r="A419" s="148"/>
      <c r="B419" s="148"/>
      <c r="C419" s="148"/>
      <c r="D419" s="148"/>
      <c r="E419" s="148"/>
      <c r="F419" s="148"/>
      <c r="G419" s="148"/>
      <c r="H419" s="148"/>
      <c r="I419" s="148"/>
      <c r="J419" s="148"/>
      <c r="K419" s="148"/>
      <c r="L419" s="148"/>
      <c r="M419" s="148"/>
      <c r="N419" s="148"/>
      <c r="O419" s="148"/>
      <c r="P419" s="148"/>
      <c r="Q419" s="148"/>
      <c r="R419" s="148"/>
      <c r="S419" s="148"/>
    </row>
    <row r="420" ht="15.75" customHeight="1">
      <c r="A420" s="148"/>
      <c r="B420" s="148"/>
      <c r="C420" s="148"/>
      <c r="D420" s="148"/>
      <c r="E420" s="148"/>
      <c r="F420" s="148"/>
      <c r="G420" s="148"/>
      <c r="H420" s="148"/>
      <c r="I420" s="148"/>
      <c r="J420" s="148"/>
      <c r="K420" s="148"/>
      <c r="L420" s="148"/>
      <c r="M420" s="148"/>
      <c r="N420" s="148"/>
      <c r="O420" s="148"/>
      <c r="P420" s="148"/>
      <c r="Q420" s="148"/>
      <c r="R420" s="148"/>
      <c r="S420" s="148"/>
    </row>
    <row r="421" ht="15.75" customHeight="1">
      <c r="A421" s="148"/>
      <c r="B421" s="148"/>
      <c r="C421" s="148"/>
      <c r="D421" s="148"/>
      <c r="E421" s="148"/>
      <c r="F421" s="148"/>
      <c r="G421" s="148"/>
      <c r="H421" s="148"/>
      <c r="I421" s="148"/>
      <c r="J421" s="148"/>
      <c r="K421" s="148"/>
      <c r="L421" s="148"/>
      <c r="M421" s="148"/>
      <c r="N421" s="148"/>
      <c r="O421" s="148"/>
      <c r="P421" s="148"/>
      <c r="Q421" s="148"/>
      <c r="R421" s="148"/>
      <c r="S421" s="148"/>
    </row>
    <row r="422" ht="15.75" customHeight="1">
      <c r="A422" s="148"/>
      <c r="B422" s="148"/>
      <c r="C422" s="148"/>
      <c r="D422" s="148"/>
      <c r="E422" s="148"/>
      <c r="F422" s="148"/>
      <c r="G422" s="148"/>
      <c r="H422" s="148"/>
      <c r="I422" s="148"/>
      <c r="J422" s="148"/>
      <c r="K422" s="148"/>
      <c r="L422" s="148"/>
      <c r="M422" s="148"/>
      <c r="N422" s="148"/>
      <c r="O422" s="148"/>
      <c r="P422" s="148"/>
      <c r="Q422" s="148"/>
      <c r="R422" s="148"/>
      <c r="S422" s="148"/>
    </row>
    <row r="423" ht="15.75" customHeight="1">
      <c r="A423" s="148"/>
      <c r="B423" s="148"/>
      <c r="C423" s="148"/>
      <c r="D423" s="148"/>
      <c r="E423" s="148"/>
      <c r="F423" s="148"/>
      <c r="G423" s="148"/>
      <c r="H423" s="148"/>
      <c r="I423" s="148"/>
      <c r="J423" s="148"/>
      <c r="K423" s="148"/>
      <c r="L423" s="148"/>
      <c r="M423" s="148"/>
      <c r="N423" s="148"/>
      <c r="O423" s="148"/>
      <c r="P423" s="148"/>
      <c r="Q423" s="148"/>
      <c r="R423" s="148"/>
      <c r="S423" s="148"/>
    </row>
    <row r="424" ht="15.75" customHeight="1">
      <c r="A424" s="148"/>
      <c r="B424" s="148"/>
      <c r="C424" s="148"/>
      <c r="D424" s="148"/>
      <c r="E424" s="148"/>
      <c r="F424" s="148"/>
      <c r="G424" s="148"/>
      <c r="H424" s="148"/>
      <c r="I424" s="148"/>
      <c r="J424" s="148"/>
      <c r="K424" s="148"/>
      <c r="L424" s="148"/>
      <c r="M424" s="148"/>
      <c r="N424" s="148"/>
      <c r="O424" s="148"/>
      <c r="P424" s="148"/>
      <c r="Q424" s="148"/>
      <c r="R424" s="148"/>
      <c r="S424" s="148"/>
    </row>
    <row r="425" ht="15.75" customHeight="1">
      <c r="A425" s="148"/>
      <c r="B425" s="148"/>
      <c r="C425" s="148"/>
      <c r="D425" s="148"/>
      <c r="E425" s="148"/>
      <c r="F425" s="148"/>
      <c r="G425" s="148"/>
      <c r="H425" s="148"/>
      <c r="I425" s="148"/>
      <c r="J425" s="148"/>
      <c r="K425" s="148"/>
      <c r="L425" s="148"/>
      <c r="M425" s="148"/>
      <c r="N425" s="148"/>
      <c r="O425" s="148"/>
      <c r="P425" s="148"/>
      <c r="Q425" s="148"/>
      <c r="R425" s="148"/>
      <c r="S425" s="148"/>
    </row>
    <row r="426" ht="15.75" customHeight="1">
      <c r="A426" s="148"/>
      <c r="B426" s="148"/>
      <c r="C426" s="148"/>
      <c r="D426" s="148"/>
      <c r="E426" s="148"/>
      <c r="F426" s="148"/>
      <c r="G426" s="148"/>
      <c r="H426" s="148"/>
      <c r="I426" s="148"/>
      <c r="J426" s="148"/>
      <c r="K426" s="148"/>
      <c r="L426" s="148"/>
      <c r="M426" s="148"/>
      <c r="N426" s="148"/>
      <c r="O426" s="148"/>
      <c r="P426" s="148"/>
      <c r="Q426" s="148"/>
      <c r="R426" s="148"/>
      <c r="S426" s="148"/>
    </row>
    <row r="427" ht="15.75" customHeight="1">
      <c r="A427" s="148"/>
      <c r="B427" s="148"/>
      <c r="C427" s="148"/>
      <c r="D427" s="148"/>
      <c r="E427" s="148"/>
      <c r="F427" s="148"/>
      <c r="G427" s="148"/>
      <c r="H427" s="148"/>
      <c r="I427" s="148"/>
      <c r="J427" s="148"/>
      <c r="K427" s="148"/>
      <c r="L427" s="148"/>
      <c r="M427" s="148"/>
      <c r="N427" s="148"/>
      <c r="O427" s="148"/>
      <c r="P427" s="148"/>
      <c r="Q427" s="148"/>
      <c r="R427" s="148"/>
      <c r="S427" s="148"/>
    </row>
    <row r="428" ht="15.75" customHeight="1">
      <c r="A428" s="148"/>
      <c r="B428" s="148"/>
      <c r="C428" s="148"/>
      <c r="D428" s="148"/>
      <c r="E428" s="148"/>
      <c r="F428" s="148"/>
      <c r="G428" s="148"/>
      <c r="H428" s="148"/>
      <c r="I428" s="148"/>
      <c r="J428" s="148"/>
      <c r="K428" s="148"/>
      <c r="L428" s="148"/>
      <c r="M428" s="148"/>
      <c r="N428" s="148"/>
      <c r="O428" s="148"/>
      <c r="P428" s="148"/>
      <c r="Q428" s="148"/>
      <c r="R428" s="148"/>
      <c r="S428" s="148"/>
    </row>
    <row r="429" ht="15.75" customHeight="1">
      <c r="A429" s="148"/>
      <c r="B429" s="148"/>
      <c r="C429" s="148"/>
      <c r="D429" s="148"/>
      <c r="E429" s="148"/>
      <c r="F429" s="148"/>
      <c r="G429" s="148"/>
      <c r="H429" s="148"/>
      <c r="I429" s="148"/>
      <c r="J429" s="148"/>
      <c r="K429" s="148"/>
      <c r="L429" s="148"/>
      <c r="M429" s="148"/>
      <c r="N429" s="148"/>
      <c r="O429" s="148"/>
      <c r="P429" s="148"/>
      <c r="Q429" s="148"/>
      <c r="R429" s="148"/>
      <c r="S429" s="148"/>
    </row>
    <row r="430" ht="15.75" customHeight="1">
      <c r="A430" s="148"/>
      <c r="B430" s="148"/>
      <c r="C430" s="148"/>
      <c r="D430" s="148"/>
      <c r="E430" s="148"/>
      <c r="F430" s="148"/>
      <c r="G430" s="148"/>
      <c r="H430" s="148"/>
      <c r="I430" s="148"/>
      <c r="J430" s="148"/>
      <c r="K430" s="148"/>
      <c r="L430" s="148"/>
      <c r="M430" s="148"/>
      <c r="N430" s="148"/>
      <c r="O430" s="148"/>
      <c r="P430" s="148"/>
      <c r="Q430" s="148"/>
      <c r="R430" s="148"/>
      <c r="S430" s="148"/>
    </row>
    <row r="431" ht="15.75" customHeight="1">
      <c r="A431" s="148"/>
      <c r="B431" s="148"/>
      <c r="C431" s="148"/>
      <c r="D431" s="148"/>
      <c r="E431" s="148"/>
      <c r="F431" s="148"/>
      <c r="G431" s="148"/>
      <c r="H431" s="148"/>
      <c r="I431" s="148"/>
      <c r="J431" s="148"/>
      <c r="K431" s="148"/>
      <c r="L431" s="148"/>
      <c r="M431" s="148"/>
      <c r="N431" s="148"/>
      <c r="O431" s="148"/>
      <c r="P431" s="148"/>
      <c r="Q431" s="148"/>
      <c r="R431" s="148"/>
      <c r="S431" s="148"/>
    </row>
    <row r="432" ht="15.75" customHeight="1">
      <c r="A432" s="148"/>
      <c r="B432" s="148"/>
      <c r="C432" s="148"/>
      <c r="D432" s="148"/>
      <c r="E432" s="148"/>
      <c r="F432" s="148"/>
      <c r="G432" s="148"/>
      <c r="H432" s="148"/>
      <c r="I432" s="148"/>
      <c r="J432" s="148"/>
      <c r="K432" s="148"/>
      <c r="L432" s="148"/>
      <c r="M432" s="148"/>
      <c r="N432" s="148"/>
      <c r="O432" s="148"/>
      <c r="P432" s="148"/>
      <c r="Q432" s="148"/>
      <c r="R432" s="148"/>
      <c r="S432" s="148"/>
    </row>
    <row r="433" ht="15.75" customHeight="1">
      <c r="A433" s="148"/>
      <c r="B433" s="148"/>
      <c r="C433" s="148"/>
      <c r="D433" s="148"/>
      <c r="E433" s="148"/>
      <c r="F433" s="148"/>
      <c r="G433" s="148"/>
      <c r="H433" s="148"/>
      <c r="I433" s="148"/>
      <c r="J433" s="148"/>
      <c r="K433" s="148"/>
      <c r="L433" s="148"/>
      <c r="M433" s="148"/>
      <c r="N433" s="148"/>
      <c r="O433" s="148"/>
      <c r="P433" s="148"/>
      <c r="Q433" s="148"/>
      <c r="R433" s="148"/>
      <c r="S433" s="148"/>
    </row>
    <row r="434" ht="15.75" customHeight="1">
      <c r="A434" s="148"/>
      <c r="B434" s="148"/>
      <c r="C434" s="148"/>
      <c r="D434" s="148"/>
      <c r="E434" s="148"/>
      <c r="F434" s="148"/>
      <c r="G434" s="148"/>
      <c r="H434" s="148"/>
      <c r="I434" s="148"/>
      <c r="J434" s="148"/>
      <c r="K434" s="148"/>
      <c r="L434" s="148"/>
      <c r="M434" s="148"/>
      <c r="N434" s="148"/>
      <c r="O434" s="148"/>
      <c r="P434" s="148"/>
      <c r="Q434" s="148"/>
      <c r="R434" s="148"/>
      <c r="S434" s="148"/>
    </row>
    <row r="435" ht="15.75" customHeight="1">
      <c r="A435" s="148"/>
      <c r="B435" s="148"/>
      <c r="C435" s="148"/>
      <c r="D435" s="148"/>
      <c r="E435" s="148"/>
      <c r="F435" s="148"/>
      <c r="G435" s="148"/>
      <c r="H435" s="148"/>
      <c r="I435" s="148"/>
      <c r="J435" s="148"/>
      <c r="K435" s="148"/>
      <c r="L435" s="148"/>
      <c r="M435" s="148"/>
      <c r="N435" s="148"/>
      <c r="O435" s="148"/>
      <c r="P435" s="148"/>
      <c r="Q435" s="148"/>
      <c r="R435" s="148"/>
      <c r="S435" s="148"/>
    </row>
    <row r="436" ht="15.75" customHeight="1">
      <c r="A436" s="148"/>
      <c r="B436" s="148"/>
      <c r="C436" s="148"/>
      <c r="D436" s="148"/>
      <c r="E436" s="148"/>
      <c r="F436" s="148"/>
      <c r="G436" s="148"/>
      <c r="H436" s="148"/>
      <c r="I436" s="148"/>
      <c r="J436" s="148"/>
      <c r="K436" s="148"/>
      <c r="L436" s="148"/>
      <c r="M436" s="148"/>
      <c r="N436" s="148"/>
      <c r="O436" s="148"/>
      <c r="P436" s="148"/>
      <c r="Q436" s="148"/>
      <c r="R436" s="148"/>
      <c r="S436" s="148"/>
    </row>
    <row r="437" ht="15.75" customHeight="1">
      <c r="A437" s="148"/>
      <c r="B437" s="148"/>
      <c r="C437" s="148"/>
      <c r="D437" s="148"/>
      <c r="E437" s="148"/>
      <c r="F437" s="148"/>
      <c r="G437" s="148"/>
      <c r="H437" s="148"/>
      <c r="I437" s="148"/>
      <c r="J437" s="148"/>
      <c r="K437" s="148"/>
      <c r="L437" s="148"/>
      <c r="M437" s="148"/>
      <c r="N437" s="148"/>
      <c r="O437" s="148"/>
      <c r="P437" s="148"/>
      <c r="Q437" s="148"/>
      <c r="R437" s="148"/>
      <c r="S437" s="148"/>
    </row>
    <row r="438" ht="15.75" customHeight="1">
      <c r="A438" s="148"/>
      <c r="B438" s="148"/>
      <c r="C438" s="148"/>
      <c r="D438" s="148"/>
      <c r="E438" s="148"/>
      <c r="F438" s="148"/>
      <c r="G438" s="148"/>
      <c r="H438" s="148"/>
      <c r="I438" s="148"/>
      <c r="J438" s="148"/>
      <c r="K438" s="148"/>
      <c r="L438" s="148"/>
      <c r="M438" s="148"/>
      <c r="N438" s="148"/>
      <c r="O438" s="148"/>
      <c r="P438" s="148"/>
      <c r="Q438" s="148"/>
      <c r="R438" s="148"/>
      <c r="S438" s="148"/>
    </row>
    <row r="439" ht="15.75" customHeight="1">
      <c r="A439" s="148"/>
      <c r="B439" s="148"/>
      <c r="C439" s="148"/>
      <c r="D439" s="148"/>
      <c r="E439" s="148"/>
      <c r="F439" s="148"/>
      <c r="G439" s="148"/>
      <c r="H439" s="148"/>
      <c r="I439" s="148"/>
      <c r="J439" s="148"/>
      <c r="K439" s="148"/>
      <c r="L439" s="148"/>
      <c r="M439" s="148"/>
      <c r="N439" s="148"/>
      <c r="O439" s="148"/>
      <c r="P439" s="148"/>
      <c r="Q439" s="148"/>
      <c r="R439" s="148"/>
      <c r="S439" s="148"/>
    </row>
    <row r="440" ht="15.75" customHeight="1">
      <c r="A440" s="148"/>
      <c r="B440" s="148"/>
      <c r="C440" s="148"/>
      <c r="D440" s="148"/>
      <c r="E440" s="148"/>
      <c r="F440" s="148"/>
      <c r="G440" s="148"/>
      <c r="H440" s="148"/>
      <c r="I440" s="148"/>
      <c r="J440" s="148"/>
      <c r="K440" s="148"/>
      <c r="L440" s="148"/>
      <c r="M440" s="148"/>
      <c r="N440" s="148"/>
      <c r="O440" s="148"/>
      <c r="P440" s="148"/>
      <c r="Q440" s="148"/>
      <c r="R440" s="148"/>
      <c r="S440" s="148"/>
    </row>
    <row r="441" ht="15.75" customHeight="1">
      <c r="A441" s="148"/>
      <c r="B441" s="148"/>
      <c r="C441" s="148"/>
      <c r="D441" s="148"/>
      <c r="E441" s="148"/>
      <c r="F441" s="148"/>
      <c r="G441" s="148"/>
      <c r="H441" s="148"/>
      <c r="I441" s="148"/>
      <c r="J441" s="148"/>
      <c r="K441" s="148"/>
      <c r="L441" s="148"/>
      <c r="M441" s="148"/>
      <c r="N441" s="148"/>
      <c r="O441" s="148"/>
      <c r="P441" s="148"/>
      <c r="Q441" s="148"/>
      <c r="R441" s="148"/>
      <c r="S441" s="148"/>
    </row>
    <row r="442" ht="15.75" customHeight="1">
      <c r="A442" s="148"/>
      <c r="B442" s="148"/>
      <c r="C442" s="148"/>
      <c r="D442" s="148"/>
      <c r="E442" s="148"/>
      <c r="F442" s="148"/>
      <c r="G442" s="148"/>
      <c r="H442" s="148"/>
      <c r="I442" s="148"/>
      <c r="J442" s="148"/>
      <c r="K442" s="148"/>
      <c r="L442" s="148"/>
      <c r="M442" s="148"/>
      <c r="N442" s="148"/>
      <c r="O442" s="148"/>
      <c r="P442" s="148"/>
      <c r="Q442" s="148"/>
      <c r="R442" s="148"/>
      <c r="S442" s="148"/>
    </row>
    <row r="443" ht="15.75" customHeight="1">
      <c r="A443" s="148"/>
      <c r="B443" s="148"/>
      <c r="C443" s="148"/>
      <c r="D443" s="148"/>
      <c r="E443" s="148"/>
      <c r="F443" s="148"/>
      <c r="G443" s="148"/>
      <c r="H443" s="148"/>
      <c r="I443" s="148"/>
      <c r="J443" s="148"/>
      <c r="K443" s="148"/>
      <c r="L443" s="148"/>
      <c r="M443" s="148"/>
      <c r="N443" s="148"/>
      <c r="O443" s="148"/>
      <c r="P443" s="148"/>
      <c r="Q443" s="148"/>
      <c r="R443" s="148"/>
      <c r="S443" s="148"/>
    </row>
    <row r="444" ht="15.75" customHeight="1">
      <c r="A444" s="148"/>
      <c r="B444" s="148"/>
      <c r="C444" s="148"/>
      <c r="D444" s="148"/>
      <c r="E444" s="148"/>
      <c r="F444" s="148"/>
      <c r="G444" s="148"/>
      <c r="H444" s="148"/>
      <c r="I444" s="148"/>
      <c r="J444" s="148"/>
      <c r="K444" s="148"/>
      <c r="L444" s="148"/>
      <c r="M444" s="148"/>
      <c r="N444" s="148"/>
      <c r="O444" s="148"/>
      <c r="P444" s="148"/>
      <c r="Q444" s="148"/>
      <c r="R444" s="148"/>
      <c r="S444" s="148"/>
    </row>
    <row r="445" ht="15.75" customHeight="1">
      <c r="A445" s="148"/>
      <c r="B445" s="148"/>
      <c r="C445" s="148"/>
      <c r="D445" s="148"/>
      <c r="E445" s="148"/>
      <c r="F445" s="148"/>
      <c r="G445" s="148"/>
      <c r="H445" s="148"/>
      <c r="I445" s="148"/>
      <c r="J445" s="148"/>
      <c r="K445" s="148"/>
      <c r="L445" s="148"/>
      <c r="M445" s="148"/>
      <c r="N445" s="148"/>
      <c r="O445" s="148"/>
      <c r="P445" s="148"/>
      <c r="Q445" s="148"/>
      <c r="R445" s="148"/>
      <c r="S445" s="148"/>
    </row>
    <row r="446" ht="15.75" customHeight="1">
      <c r="A446" s="148"/>
      <c r="B446" s="148"/>
      <c r="C446" s="148"/>
      <c r="D446" s="148"/>
      <c r="E446" s="148"/>
      <c r="F446" s="148"/>
      <c r="G446" s="148"/>
      <c r="H446" s="148"/>
      <c r="I446" s="148"/>
      <c r="J446" s="148"/>
      <c r="K446" s="148"/>
      <c r="L446" s="148"/>
      <c r="M446" s="148"/>
      <c r="N446" s="148"/>
      <c r="O446" s="148"/>
      <c r="P446" s="148"/>
      <c r="Q446" s="148"/>
      <c r="R446" s="148"/>
      <c r="S446" s="148"/>
    </row>
    <row r="447" ht="15.75" customHeight="1">
      <c r="A447" s="148"/>
      <c r="B447" s="148"/>
      <c r="C447" s="148"/>
      <c r="D447" s="148"/>
      <c r="E447" s="148"/>
      <c r="F447" s="148"/>
      <c r="G447" s="148"/>
      <c r="H447" s="148"/>
      <c r="I447" s="148"/>
      <c r="J447" s="148"/>
      <c r="K447" s="148"/>
      <c r="L447" s="148"/>
      <c r="M447" s="148"/>
      <c r="N447" s="148"/>
      <c r="O447" s="148"/>
      <c r="P447" s="148"/>
      <c r="Q447" s="148"/>
      <c r="R447" s="148"/>
      <c r="S447" s="148"/>
    </row>
    <row r="448" ht="15.75" customHeight="1">
      <c r="A448" s="148"/>
      <c r="B448" s="148"/>
      <c r="C448" s="148"/>
      <c r="D448" s="148"/>
      <c r="E448" s="148"/>
      <c r="F448" s="148"/>
      <c r="G448" s="148"/>
      <c r="H448" s="148"/>
      <c r="I448" s="148"/>
      <c r="J448" s="148"/>
      <c r="K448" s="148"/>
      <c r="L448" s="148"/>
      <c r="M448" s="148"/>
      <c r="N448" s="148"/>
      <c r="O448" s="148"/>
      <c r="P448" s="148"/>
      <c r="Q448" s="148"/>
      <c r="R448" s="148"/>
      <c r="S448" s="148"/>
    </row>
    <row r="449" ht="15.75" customHeight="1">
      <c r="A449" s="148"/>
      <c r="B449" s="148"/>
      <c r="C449" s="148"/>
      <c r="D449" s="148"/>
      <c r="E449" s="148"/>
      <c r="F449" s="148"/>
      <c r="G449" s="148"/>
      <c r="H449" s="148"/>
      <c r="I449" s="148"/>
      <c r="J449" s="148"/>
      <c r="K449" s="148"/>
      <c r="L449" s="148"/>
      <c r="M449" s="148"/>
      <c r="N449" s="148"/>
      <c r="O449" s="148"/>
      <c r="P449" s="148"/>
      <c r="Q449" s="148"/>
      <c r="R449" s="148"/>
      <c r="S449" s="148"/>
    </row>
    <row r="450" ht="15.75" customHeight="1">
      <c r="A450" s="148"/>
      <c r="B450" s="148"/>
      <c r="C450" s="148"/>
      <c r="D450" s="148"/>
      <c r="E450" s="148"/>
      <c r="F450" s="148"/>
      <c r="G450" s="148"/>
      <c r="H450" s="148"/>
      <c r="I450" s="148"/>
      <c r="J450" s="148"/>
      <c r="K450" s="148"/>
      <c r="L450" s="148"/>
      <c r="M450" s="148"/>
      <c r="N450" s="148"/>
      <c r="O450" s="148"/>
      <c r="P450" s="148"/>
      <c r="Q450" s="148"/>
      <c r="R450" s="148"/>
      <c r="S450" s="148"/>
    </row>
    <row r="451" ht="15.75" customHeight="1">
      <c r="A451" s="148"/>
      <c r="B451" s="148"/>
      <c r="C451" s="148"/>
      <c r="D451" s="148"/>
      <c r="E451" s="148"/>
      <c r="F451" s="148"/>
      <c r="G451" s="148"/>
      <c r="H451" s="148"/>
      <c r="I451" s="148"/>
      <c r="J451" s="148"/>
      <c r="K451" s="148"/>
      <c r="L451" s="148"/>
      <c r="M451" s="148"/>
      <c r="N451" s="148"/>
      <c r="O451" s="148"/>
      <c r="P451" s="148"/>
      <c r="Q451" s="148"/>
      <c r="R451" s="148"/>
      <c r="S451" s="148"/>
    </row>
    <row r="452" ht="15.75" customHeight="1">
      <c r="A452" s="148"/>
      <c r="B452" s="148"/>
      <c r="C452" s="148"/>
      <c r="D452" s="148"/>
      <c r="E452" s="148"/>
      <c r="F452" s="148"/>
      <c r="G452" s="148"/>
      <c r="H452" s="148"/>
      <c r="I452" s="148"/>
      <c r="J452" s="148"/>
      <c r="K452" s="148"/>
      <c r="L452" s="148"/>
      <c r="M452" s="148"/>
      <c r="N452" s="148"/>
      <c r="O452" s="148"/>
      <c r="P452" s="148"/>
      <c r="Q452" s="148"/>
      <c r="R452" s="148"/>
      <c r="S452" s="148"/>
    </row>
    <row r="453" ht="15.75" customHeight="1">
      <c r="A453" s="148"/>
      <c r="B453" s="148"/>
      <c r="C453" s="148"/>
      <c r="D453" s="148"/>
      <c r="E453" s="148"/>
      <c r="F453" s="148"/>
      <c r="G453" s="148"/>
      <c r="H453" s="148"/>
      <c r="I453" s="148"/>
      <c r="J453" s="148"/>
      <c r="K453" s="148"/>
      <c r="L453" s="148"/>
      <c r="M453" s="148"/>
      <c r="N453" s="148"/>
      <c r="O453" s="148"/>
      <c r="P453" s="148"/>
      <c r="Q453" s="148"/>
      <c r="R453" s="148"/>
      <c r="S453" s="148"/>
    </row>
    <row r="454" ht="15.75" customHeight="1">
      <c r="A454" s="148"/>
      <c r="B454" s="148"/>
      <c r="C454" s="148"/>
      <c r="D454" s="148"/>
      <c r="E454" s="148"/>
      <c r="F454" s="148"/>
      <c r="G454" s="148"/>
      <c r="H454" s="148"/>
      <c r="I454" s="148"/>
      <c r="J454" s="148"/>
      <c r="K454" s="148"/>
      <c r="L454" s="148"/>
      <c r="M454" s="148"/>
      <c r="N454" s="148"/>
      <c r="O454" s="148"/>
      <c r="P454" s="148"/>
      <c r="Q454" s="148"/>
      <c r="R454" s="148"/>
      <c r="S454" s="148"/>
    </row>
    <row r="455" ht="15.75" customHeight="1">
      <c r="A455" s="148"/>
      <c r="B455" s="148"/>
      <c r="C455" s="148"/>
      <c r="D455" s="148"/>
      <c r="E455" s="148"/>
      <c r="F455" s="148"/>
      <c r="G455" s="148"/>
      <c r="H455" s="148"/>
      <c r="I455" s="148"/>
      <c r="J455" s="148"/>
      <c r="K455" s="148"/>
      <c r="L455" s="148"/>
      <c r="M455" s="148"/>
      <c r="N455" s="148"/>
      <c r="O455" s="148"/>
      <c r="P455" s="148"/>
      <c r="Q455" s="148"/>
      <c r="R455" s="148"/>
      <c r="S455" s="148"/>
    </row>
    <row r="456" ht="15.75" customHeight="1">
      <c r="A456" s="148"/>
      <c r="B456" s="148"/>
      <c r="C456" s="148"/>
      <c r="D456" s="148"/>
      <c r="E456" s="148"/>
      <c r="F456" s="148"/>
      <c r="G456" s="148"/>
      <c r="H456" s="148"/>
      <c r="I456" s="148"/>
      <c r="J456" s="148"/>
      <c r="K456" s="148"/>
      <c r="L456" s="148"/>
      <c r="M456" s="148"/>
      <c r="N456" s="148"/>
      <c r="O456" s="148"/>
      <c r="P456" s="148"/>
      <c r="Q456" s="148"/>
      <c r="R456" s="148"/>
      <c r="S456" s="148"/>
    </row>
    <row r="457" ht="15.75" customHeight="1">
      <c r="A457" s="148"/>
      <c r="B457" s="148"/>
      <c r="C457" s="148"/>
      <c r="D457" s="148"/>
      <c r="E457" s="148"/>
      <c r="F457" s="148"/>
      <c r="G457" s="148"/>
      <c r="H457" s="148"/>
      <c r="I457" s="148"/>
      <c r="J457" s="148"/>
      <c r="K457" s="148"/>
      <c r="L457" s="148"/>
      <c r="M457" s="148"/>
      <c r="N457" s="148"/>
      <c r="O457" s="148"/>
      <c r="P457" s="148"/>
      <c r="Q457" s="148"/>
      <c r="R457" s="148"/>
      <c r="S457" s="148"/>
    </row>
    <row r="458" ht="15.75" customHeight="1">
      <c r="A458" s="148"/>
      <c r="B458" s="148"/>
      <c r="C458" s="148"/>
      <c r="D458" s="148"/>
      <c r="E458" s="148"/>
      <c r="F458" s="148"/>
      <c r="G458" s="148"/>
      <c r="H458" s="148"/>
      <c r="I458" s="148"/>
      <c r="J458" s="148"/>
      <c r="K458" s="148"/>
      <c r="L458" s="148"/>
      <c r="M458" s="148"/>
      <c r="N458" s="148"/>
      <c r="O458" s="148"/>
      <c r="P458" s="148"/>
      <c r="Q458" s="148"/>
      <c r="R458" s="148"/>
      <c r="S458" s="148"/>
    </row>
    <row r="459" ht="15.75" customHeight="1">
      <c r="A459" s="148"/>
      <c r="B459" s="148"/>
      <c r="C459" s="148"/>
      <c r="D459" s="148"/>
      <c r="E459" s="148"/>
      <c r="F459" s="148"/>
      <c r="G459" s="148"/>
      <c r="H459" s="148"/>
      <c r="I459" s="148"/>
      <c r="J459" s="148"/>
      <c r="K459" s="148"/>
      <c r="L459" s="148"/>
      <c r="M459" s="148"/>
      <c r="N459" s="148"/>
      <c r="O459" s="148"/>
      <c r="P459" s="148"/>
      <c r="Q459" s="148"/>
      <c r="R459" s="148"/>
      <c r="S459" s="148"/>
    </row>
    <row r="460" ht="15.75" customHeight="1">
      <c r="A460" s="148"/>
      <c r="B460" s="148"/>
      <c r="C460" s="148"/>
      <c r="D460" s="148"/>
      <c r="E460" s="148"/>
      <c r="F460" s="148"/>
      <c r="G460" s="148"/>
      <c r="H460" s="148"/>
      <c r="I460" s="148"/>
      <c r="J460" s="148"/>
      <c r="K460" s="148"/>
      <c r="L460" s="148"/>
      <c r="M460" s="148"/>
      <c r="N460" s="148"/>
      <c r="O460" s="148"/>
      <c r="P460" s="148"/>
      <c r="Q460" s="148"/>
      <c r="R460" s="148"/>
      <c r="S460" s="148"/>
    </row>
    <row r="461" ht="15.75" customHeight="1">
      <c r="A461" s="148"/>
      <c r="B461" s="148"/>
      <c r="C461" s="148"/>
      <c r="D461" s="148"/>
      <c r="E461" s="148"/>
      <c r="F461" s="148"/>
      <c r="G461" s="148"/>
      <c r="H461" s="148"/>
      <c r="I461" s="148"/>
      <c r="J461" s="148"/>
      <c r="K461" s="148"/>
      <c r="L461" s="148"/>
      <c r="M461" s="148"/>
      <c r="N461" s="148"/>
      <c r="O461" s="148"/>
      <c r="P461" s="148"/>
      <c r="Q461" s="148"/>
      <c r="R461" s="148"/>
      <c r="S461" s="148"/>
    </row>
    <row r="462" ht="15.75" customHeight="1">
      <c r="A462" s="148"/>
      <c r="B462" s="148"/>
      <c r="C462" s="148"/>
      <c r="D462" s="148"/>
      <c r="E462" s="148"/>
      <c r="F462" s="148"/>
      <c r="G462" s="148"/>
      <c r="H462" s="148"/>
      <c r="I462" s="148"/>
      <c r="J462" s="148"/>
      <c r="K462" s="148"/>
      <c r="L462" s="148"/>
      <c r="M462" s="148"/>
      <c r="N462" s="148"/>
      <c r="O462" s="148"/>
      <c r="P462" s="148"/>
      <c r="Q462" s="148"/>
      <c r="R462" s="148"/>
      <c r="S462" s="148"/>
    </row>
    <row r="463" ht="15.75" customHeight="1">
      <c r="A463" s="148"/>
      <c r="B463" s="148"/>
      <c r="C463" s="148"/>
      <c r="D463" s="148"/>
      <c r="E463" s="148"/>
      <c r="F463" s="148"/>
      <c r="G463" s="148"/>
      <c r="H463" s="148"/>
      <c r="I463" s="148"/>
      <c r="J463" s="148"/>
      <c r="K463" s="148"/>
      <c r="L463" s="148"/>
      <c r="M463" s="148"/>
      <c r="N463" s="148"/>
      <c r="O463" s="148"/>
      <c r="P463" s="148"/>
      <c r="Q463" s="148"/>
      <c r="R463" s="148"/>
      <c r="S463" s="148"/>
    </row>
    <row r="464" ht="15.75" customHeight="1">
      <c r="A464" s="148"/>
      <c r="B464" s="148"/>
      <c r="C464" s="148"/>
      <c r="D464" s="148"/>
      <c r="E464" s="148"/>
      <c r="F464" s="148"/>
      <c r="G464" s="148"/>
      <c r="H464" s="148"/>
      <c r="I464" s="148"/>
      <c r="J464" s="148"/>
      <c r="K464" s="148"/>
      <c r="L464" s="148"/>
      <c r="M464" s="148"/>
      <c r="N464" s="148"/>
      <c r="O464" s="148"/>
      <c r="P464" s="148"/>
      <c r="Q464" s="148"/>
      <c r="R464" s="148"/>
      <c r="S464" s="148"/>
    </row>
    <row r="465" ht="15.75" customHeight="1">
      <c r="A465" s="148"/>
      <c r="B465" s="148"/>
      <c r="C465" s="148"/>
      <c r="D465" s="148"/>
      <c r="E465" s="148"/>
      <c r="F465" s="148"/>
      <c r="G465" s="148"/>
      <c r="H465" s="148"/>
      <c r="I465" s="148"/>
      <c r="J465" s="148"/>
      <c r="K465" s="148"/>
      <c r="L465" s="148"/>
      <c r="M465" s="148"/>
      <c r="N465" s="148"/>
      <c r="O465" s="148"/>
      <c r="P465" s="148"/>
      <c r="Q465" s="148"/>
      <c r="R465" s="148"/>
      <c r="S465" s="148"/>
    </row>
    <row r="466" ht="15.75" customHeight="1">
      <c r="A466" s="148"/>
      <c r="B466" s="148"/>
      <c r="C466" s="148"/>
      <c r="D466" s="148"/>
      <c r="E466" s="148"/>
      <c r="F466" s="148"/>
      <c r="G466" s="148"/>
      <c r="H466" s="148"/>
      <c r="I466" s="148"/>
      <c r="J466" s="148"/>
      <c r="K466" s="148"/>
      <c r="L466" s="148"/>
      <c r="M466" s="148"/>
      <c r="N466" s="148"/>
      <c r="O466" s="148"/>
      <c r="P466" s="148"/>
      <c r="Q466" s="148"/>
      <c r="R466" s="148"/>
      <c r="S466" s="148"/>
    </row>
    <row r="467" ht="15.75" customHeight="1">
      <c r="A467" s="148"/>
      <c r="B467" s="148"/>
      <c r="C467" s="148"/>
      <c r="D467" s="148"/>
      <c r="E467" s="148"/>
      <c r="F467" s="148"/>
      <c r="G467" s="148"/>
      <c r="H467" s="148"/>
      <c r="I467" s="148"/>
      <c r="J467" s="148"/>
      <c r="K467" s="148"/>
      <c r="L467" s="148"/>
      <c r="M467" s="148"/>
      <c r="N467" s="148"/>
      <c r="O467" s="148"/>
      <c r="P467" s="148"/>
      <c r="Q467" s="148"/>
      <c r="R467" s="148"/>
      <c r="S467" s="148"/>
    </row>
    <row r="468" ht="15.75" customHeight="1">
      <c r="A468" s="148"/>
      <c r="B468" s="148"/>
      <c r="C468" s="148"/>
      <c r="D468" s="148"/>
      <c r="E468" s="148"/>
      <c r="F468" s="148"/>
      <c r="G468" s="148"/>
      <c r="H468" s="148"/>
      <c r="I468" s="148"/>
      <c r="J468" s="148"/>
      <c r="K468" s="148"/>
      <c r="L468" s="148"/>
      <c r="M468" s="148"/>
      <c r="N468" s="148"/>
      <c r="O468" s="148"/>
      <c r="P468" s="148"/>
      <c r="Q468" s="148"/>
      <c r="R468" s="148"/>
      <c r="S468" s="148"/>
    </row>
    <row r="469" ht="15.75" customHeight="1">
      <c r="A469" s="148"/>
      <c r="B469" s="148"/>
      <c r="C469" s="148"/>
      <c r="D469" s="148"/>
      <c r="E469" s="148"/>
      <c r="F469" s="148"/>
      <c r="G469" s="148"/>
      <c r="H469" s="148"/>
      <c r="I469" s="148"/>
      <c r="J469" s="148"/>
      <c r="K469" s="148"/>
      <c r="L469" s="148"/>
      <c r="M469" s="148"/>
      <c r="N469" s="148"/>
      <c r="O469" s="148"/>
      <c r="P469" s="148"/>
      <c r="Q469" s="148"/>
      <c r="R469" s="148"/>
      <c r="S469" s="148"/>
    </row>
    <row r="470" ht="15.75" customHeight="1">
      <c r="A470" s="148"/>
      <c r="B470" s="148"/>
      <c r="C470" s="148"/>
      <c r="D470" s="148"/>
      <c r="E470" s="148"/>
      <c r="F470" s="148"/>
      <c r="G470" s="148"/>
      <c r="H470" s="148"/>
      <c r="I470" s="148"/>
      <c r="J470" s="148"/>
      <c r="K470" s="148"/>
      <c r="L470" s="148"/>
      <c r="M470" s="148"/>
      <c r="N470" s="148"/>
      <c r="O470" s="148"/>
      <c r="P470" s="148"/>
      <c r="Q470" s="148"/>
      <c r="R470" s="148"/>
      <c r="S470" s="148"/>
    </row>
    <row r="471" ht="15.75" customHeight="1">
      <c r="A471" s="148"/>
      <c r="B471" s="148"/>
      <c r="C471" s="148"/>
      <c r="D471" s="148"/>
      <c r="E471" s="148"/>
      <c r="F471" s="148"/>
      <c r="G471" s="148"/>
      <c r="H471" s="148"/>
      <c r="I471" s="148"/>
      <c r="J471" s="148"/>
      <c r="K471" s="148"/>
      <c r="L471" s="148"/>
      <c r="M471" s="148"/>
      <c r="N471" s="148"/>
      <c r="O471" s="148"/>
      <c r="P471" s="148"/>
      <c r="Q471" s="148"/>
      <c r="R471" s="148"/>
      <c r="S471" s="148"/>
    </row>
    <row r="472" ht="15.75" customHeight="1">
      <c r="A472" s="148"/>
      <c r="B472" s="148"/>
      <c r="C472" s="148"/>
      <c r="D472" s="148"/>
      <c r="E472" s="148"/>
      <c r="F472" s="148"/>
      <c r="G472" s="148"/>
      <c r="H472" s="148"/>
      <c r="I472" s="148"/>
      <c r="J472" s="148"/>
      <c r="K472" s="148"/>
      <c r="L472" s="148"/>
      <c r="M472" s="148"/>
      <c r="N472" s="148"/>
      <c r="O472" s="148"/>
      <c r="P472" s="148"/>
      <c r="Q472" s="148"/>
      <c r="R472" s="148"/>
      <c r="S472" s="148"/>
    </row>
    <row r="473" ht="15.75" customHeight="1">
      <c r="A473" s="148"/>
      <c r="B473" s="148"/>
      <c r="C473" s="148"/>
      <c r="D473" s="148"/>
      <c r="E473" s="148"/>
      <c r="F473" s="148"/>
      <c r="G473" s="148"/>
      <c r="H473" s="148"/>
      <c r="I473" s="148"/>
      <c r="J473" s="148"/>
      <c r="K473" s="148"/>
      <c r="L473" s="148"/>
      <c r="M473" s="148"/>
      <c r="N473" s="148"/>
      <c r="O473" s="148"/>
      <c r="P473" s="148"/>
      <c r="Q473" s="148"/>
      <c r="R473" s="148"/>
      <c r="S473" s="148"/>
    </row>
    <row r="474" ht="15.75" customHeight="1">
      <c r="A474" s="148"/>
      <c r="B474" s="148"/>
      <c r="C474" s="148"/>
      <c r="D474" s="148"/>
      <c r="E474" s="148"/>
      <c r="F474" s="148"/>
      <c r="G474" s="148"/>
      <c r="H474" s="148"/>
      <c r="I474" s="148"/>
      <c r="J474" s="148"/>
      <c r="K474" s="148"/>
      <c r="L474" s="148"/>
      <c r="M474" s="148"/>
      <c r="N474" s="148"/>
      <c r="O474" s="148"/>
      <c r="P474" s="148"/>
      <c r="Q474" s="148"/>
      <c r="R474" s="148"/>
      <c r="S474" s="148"/>
    </row>
    <row r="475" ht="15.75" customHeight="1">
      <c r="A475" s="148"/>
      <c r="B475" s="148"/>
      <c r="C475" s="148"/>
      <c r="D475" s="148"/>
      <c r="E475" s="148"/>
      <c r="F475" s="148"/>
      <c r="G475" s="148"/>
      <c r="H475" s="148"/>
      <c r="I475" s="148"/>
      <c r="J475" s="148"/>
      <c r="K475" s="148"/>
      <c r="L475" s="148"/>
      <c r="M475" s="148"/>
      <c r="N475" s="148"/>
      <c r="O475" s="148"/>
      <c r="P475" s="148"/>
      <c r="Q475" s="148"/>
      <c r="R475" s="148"/>
      <c r="S475" s="148"/>
    </row>
    <row r="476" ht="15.75" customHeight="1">
      <c r="A476" s="148"/>
      <c r="B476" s="148"/>
      <c r="C476" s="148"/>
      <c r="D476" s="148"/>
      <c r="E476" s="148"/>
      <c r="F476" s="148"/>
      <c r="G476" s="148"/>
      <c r="H476" s="148"/>
      <c r="I476" s="148"/>
      <c r="J476" s="148"/>
      <c r="K476" s="148"/>
      <c r="L476" s="148"/>
      <c r="M476" s="148"/>
      <c r="N476" s="148"/>
      <c r="O476" s="148"/>
      <c r="P476" s="148"/>
      <c r="Q476" s="148"/>
      <c r="R476" s="148"/>
      <c r="S476" s="148"/>
    </row>
    <row r="477" ht="15.75" customHeight="1">
      <c r="A477" s="148"/>
      <c r="B477" s="148"/>
      <c r="C477" s="148"/>
      <c r="D477" s="148"/>
      <c r="E477" s="148"/>
      <c r="F477" s="148"/>
      <c r="G477" s="148"/>
      <c r="H477" s="148"/>
      <c r="I477" s="148"/>
      <c r="J477" s="148"/>
      <c r="K477" s="148"/>
      <c r="L477" s="148"/>
      <c r="M477" s="148"/>
      <c r="N477" s="148"/>
      <c r="O477" s="148"/>
      <c r="P477" s="148"/>
      <c r="Q477" s="148"/>
      <c r="R477" s="148"/>
      <c r="S477" s="148"/>
    </row>
    <row r="478" ht="15.75" customHeight="1">
      <c r="A478" s="148"/>
      <c r="B478" s="148"/>
      <c r="C478" s="148"/>
      <c r="D478" s="148"/>
      <c r="E478" s="148"/>
      <c r="F478" s="148"/>
      <c r="G478" s="148"/>
      <c r="H478" s="148"/>
      <c r="I478" s="148"/>
      <c r="J478" s="148"/>
      <c r="K478" s="148"/>
      <c r="L478" s="148"/>
      <c r="M478" s="148"/>
      <c r="N478" s="148"/>
      <c r="O478" s="148"/>
      <c r="P478" s="148"/>
      <c r="Q478" s="148"/>
      <c r="R478" s="148"/>
      <c r="S478" s="148"/>
    </row>
    <row r="479" ht="15.75" customHeight="1">
      <c r="A479" s="148"/>
      <c r="B479" s="148"/>
      <c r="C479" s="148"/>
      <c r="D479" s="148"/>
      <c r="E479" s="148"/>
      <c r="F479" s="148"/>
      <c r="G479" s="148"/>
      <c r="H479" s="148"/>
      <c r="I479" s="148"/>
      <c r="J479" s="148"/>
      <c r="K479" s="148"/>
      <c r="L479" s="148"/>
      <c r="M479" s="148"/>
      <c r="N479" s="148"/>
      <c r="O479" s="148"/>
      <c r="P479" s="148"/>
      <c r="Q479" s="148"/>
      <c r="R479" s="148"/>
      <c r="S479" s="148"/>
    </row>
    <row r="480" ht="15.75" customHeight="1">
      <c r="A480" s="148"/>
      <c r="B480" s="148"/>
      <c r="C480" s="148"/>
      <c r="D480" s="148"/>
      <c r="E480" s="148"/>
      <c r="F480" s="148"/>
      <c r="G480" s="148"/>
      <c r="H480" s="148"/>
      <c r="I480" s="148"/>
      <c r="J480" s="148"/>
      <c r="K480" s="148"/>
      <c r="L480" s="148"/>
      <c r="M480" s="148"/>
      <c r="N480" s="148"/>
      <c r="O480" s="148"/>
      <c r="P480" s="148"/>
      <c r="Q480" s="148"/>
      <c r="R480" s="148"/>
      <c r="S480" s="148"/>
    </row>
    <row r="481" ht="15.75" customHeight="1">
      <c r="A481" s="148"/>
      <c r="B481" s="148"/>
      <c r="C481" s="148"/>
      <c r="D481" s="148"/>
      <c r="E481" s="148"/>
      <c r="F481" s="148"/>
      <c r="G481" s="148"/>
      <c r="H481" s="148"/>
      <c r="I481" s="148"/>
      <c r="J481" s="148"/>
      <c r="K481" s="148"/>
      <c r="L481" s="148"/>
      <c r="M481" s="148"/>
      <c r="N481" s="148"/>
      <c r="O481" s="148"/>
      <c r="P481" s="148"/>
      <c r="Q481" s="148"/>
      <c r="R481" s="148"/>
      <c r="S481" s="148"/>
    </row>
    <row r="482" ht="15.75" customHeight="1">
      <c r="A482" s="148"/>
      <c r="B482" s="148"/>
      <c r="C482" s="148"/>
      <c r="D482" s="148"/>
      <c r="E482" s="148"/>
      <c r="F482" s="148"/>
      <c r="G482" s="148"/>
      <c r="H482" s="148"/>
      <c r="I482" s="148"/>
      <c r="J482" s="148"/>
      <c r="K482" s="148"/>
      <c r="L482" s="148"/>
      <c r="M482" s="148"/>
      <c r="N482" s="148"/>
      <c r="O482" s="148"/>
      <c r="P482" s="148"/>
      <c r="Q482" s="148"/>
      <c r="R482" s="148"/>
      <c r="S482" s="148"/>
    </row>
    <row r="483" ht="15.75" customHeight="1">
      <c r="A483" s="148"/>
      <c r="B483" s="148"/>
      <c r="C483" s="148"/>
      <c r="D483" s="148"/>
      <c r="E483" s="148"/>
      <c r="F483" s="148"/>
      <c r="G483" s="148"/>
      <c r="H483" s="148"/>
      <c r="I483" s="148"/>
      <c r="J483" s="148"/>
      <c r="K483" s="148"/>
      <c r="L483" s="148"/>
      <c r="M483" s="148"/>
      <c r="N483" s="148"/>
      <c r="O483" s="148"/>
      <c r="P483" s="148"/>
      <c r="Q483" s="148"/>
      <c r="R483" s="148"/>
      <c r="S483" s="148"/>
    </row>
    <row r="484" ht="15.75" customHeight="1">
      <c r="A484" s="148"/>
      <c r="B484" s="148"/>
      <c r="C484" s="148"/>
      <c r="D484" s="148"/>
      <c r="E484" s="148"/>
      <c r="F484" s="148"/>
      <c r="G484" s="148"/>
      <c r="H484" s="148"/>
      <c r="I484" s="148"/>
      <c r="J484" s="148"/>
      <c r="K484" s="148"/>
      <c r="L484" s="148"/>
      <c r="M484" s="148"/>
      <c r="N484" s="148"/>
      <c r="O484" s="148"/>
      <c r="P484" s="148"/>
      <c r="Q484" s="148"/>
      <c r="R484" s="148"/>
      <c r="S484" s="148"/>
    </row>
    <row r="485" ht="15.75" customHeight="1">
      <c r="A485" s="148"/>
      <c r="B485" s="148"/>
      <c r="C485" s="148"/>
      <c r="D485" s="148"/>
      <c r="E485" s="148"/>
      <c r="F485" s="148"/>
      <c r="G485" s="148"/>
      <c r="H485" s="148"/>
      <c r="I485" s="148"/>
      <c r="J485" s="148"/>
      <c r="K485" s="148"/>
      <c r="L485" s="148"/>
      <c r="M485" s="148"/>
      <c r="N485" s="148"/>
      <c r="O485" s="148"/>
      <c r="P485" s="148"/>
      <c r="Q485" s="148"/>
      <c r="R485" s="148"/>
      <c r="S485" s="148"/>
    </row>
    <row r="486" ht="15.75" customHeight="1">
      <c r="A486" s="148"/>
      <c r="B486" s="148"/>
      <c r="C486" s="148"/>
      <c r="D486" s="148"/>
      <c r="E486" s="148"/>
      <c r="F486" s="148"/>
      <c r="G486" s="148"/>
      <c r="H486" s="148"/>
      <c r="I486" s="148"/>
      <c r="J486" s="148"/>
      <c r="K486" s="148"/>
      <c r="L486" s="148"/>
      <c r="M486" s="148"/>
      <c r="N486" s="148"/>
      <c r="O486" s="148"/>
      <c r="P486" s="148"/>
      <c r="Q486" s="148"/>
      <c r="R486" s="148"/>
      <c r="S486" s="148"/>
    </row>
    <row r="487" ht="15.75" customHeight="1">
      <c r="A487" s="148"/>
      <c r="B487" s="148"/>
      <c r="C487" s="148"/>
      <c r="D487" s="148"/>
      <c r="E487" s="148"/>
      <c r="F487" s="148"/>
      <c r="G487" s="148"/>
      <c r="H487" s="148"/>
      <c r="I487" s="148"/>
      <c r="J487" s="148"/>
      <c r="K487" s="148"/>
      <c r="L487" s="148"/>
      <c r="M487" s="148"/>
      <c r="N487" s="148"/>
      <c r="O487" s="148"/>
      <c r="P487" s="148"/>
      <c r="Q487" s="148"/>
      <c r="R487" s="148"/>
      <c r="S487" s="148"/>
    </row>
    <row r="488" ht="15.75" customHeight="1">
      <c r="A488" s="148"/>
      <c r="B488" s="148"/>
      <c r="C488" s="148"/>
      <c r="D488" s="148"/>
      <c r="E488" s="148"/>
      <c r="F488" s="148"/>
      <c r="G488" s="148"/>
      <c r="H488" s="148"/>
      <c r="I488" s="148"/>
      <c r="J488" s="148"/>
      <c r="K488" s="148"/>
      <c r="L488" s="148"/>
      <c r="M488" s="148"/>
      <c r="N488" s="148"/>
      <c r="O488" s="148"/>
      <c r="P488" s="148"/>
      <c r="Q488" s="148"/>
      <c r="R488" s="148"/>
      <c r="S488" s="148"/>
    </row>
    <row r="489" ht="15.75" customHeight="1">
      <c r="A489" s="148"/>
      <c r="B489" s="148"/>
      <c r="C489" s="148"/>
      <c r="D489" s="148"/>
      <c r="E489" s="148"/>
      <c r="F489" s="148"/>
      <c r="G489" s="148"/>
      <c r="H489" s="148"/>
      <c r="I489" s="148"/>
      <c r="J489" s="148"/>
      <c r="K489" s="148"/>
      <c r="L489" s="148"/>
      <c r="M489" s="148"/>
      <c r="N489" s="148"/>
      <c r="O489" s="148"/>
      <c r="P489" s="148"/>
      <c r="Q489" s="148"/>
      <c r="R489" s="148"/>
      <c r="S489" s="148"/>
    </row>
    <row r="490" ht="15.75" customHeight="1">
      <c r="A490" s="148"/>
      <c r="B490" s="148"/>
      <c r="C490" s="148"/>
      <c r="D490" s="148"/>
      <c r="E490" s="148"/>
      <c r="F490" s="148"/>
      <c r="G490" s="148"/>
      <c r="H490" s="148"/>
      <c r="I490" s="148"/>
      <c r="J490" s="148"/>
      <c r="K490" s="148"/>
      <c r="L490" s="148"/>
      <c r="M490" s="148"/>
      <c r="N490" s="148"/>
      <c r="O490" s="148"/>
      <c r="P490" s="148"/>
      <c r="Q490" s="148"/>
      <c r="R490" s="148"/>
      <c r="S490" s="148"/>
    </row>
    <row r="491" ht="15.75" customHeight="1">
      <c r="A491" s="148"/>
      <c r="B491" s="148"/>
      <c r="C491" s="148"/>
      <c r="D491" s="148"/>
      <c r="E491" s="148"/>
      <c r="F491" s="148"/>
      <c r="G491" s="148"/>
      <c r="H491" s="148"/>
      <c r="I491" s="148"/>
      <c r="J491" s="148"/>
      <c r="K491" s="148"/>
      <c r="L491" s="148"/>
      <c r="M491" s="148"/>
      <c r="N491" s="148"/>
      <c r="O491" s="148"/>
      <c r="P491" s="148"/>
      <c r="Q491" s="148"/>
      <c r="R491" s="148"/>
      <c r="S491" s="148"/>
    </row>
    <row r="492" ht="15.75" customHeight="1">
      <c r="A492" s="148"/>
      <c r="B492" s="148"/>
      <c r="C492" s="148"/>
      <c r="D492" s="148"/>
      <c r="E492" s="148"/>
      <c r="F492" s="148"/>
      <c r="G492" s="148"/>
      <c r="H492" s="148"/>
      <c r="I492" s="148"/>
      <c r="J492" s="148"/>
      <c r="K492" s="148"/>
      <c r="L492" s="148"/>
      <c r="M492" s="148"/>
      <c r="N492" s="148"/>
      <c r="O492" s="148"/>
      <c r="P492" s="148"/>
      <c r="Q492" s="148"/>
      <c r="R492" s="148"/>
      <c r="S492" s="148"/>
    </row>
    <row r="493" ht="15.75" customHeight="1">
      <c r="A493" s="148"/>
      <c r="B493" s="148"/>
      <c r="C493" s="148"/>
      <c r="D493" s="148"/>
      <c r="E493" s="148"/>
      <c r="F493" s="148"/>
      <c r="G493" s="148"/>
      <c r="H493" s="148"/>
      <c r="I493" s="148"/>
      <c r="J493" s="148"/>
      <c r="K493" s="148"/>
      <c r="L493" s="148"/>
      <c r="M493" s="148"/>
      <c r="N493" s="148"/>
      <c r="O493" s="148"/>
      <c r="P493" s="148"/>
      <c r="Q493" s="148"/>
      <c r="R493" s="148"/>
      <c r="S493" s="148"/>
    </row>
    <row r="494" ht="15.75" customHeight="1">
      <c r="A494" s="148"/>
      <c r="B494" s="148"/>
      <c r="C494" s="148"/>
      <c r="D494" s="148"/>
      <c r="E494" s="148"/>
      <c r="F494" s="148"/>
      <c r="G494" s="148"/>
      <c r="H494" s="148"/>
      <c r="I494" s="148"/>
      <c r="J494" s="148"/>
      <c r="K494" s="148"/>
      <c r="L494" s="148"/>
      <c r="M494" s="148"/>
      <c r="N494" s="148"/>
      <c r="O494" s="148"/>
      <c r="P494" s="148"/>
      <c r="Q494" s="148"/>
      <c r="R494" s="148"/>
      <c r="S494" s="148"/>
    </row>
    <row r="495" ht="15.75" customHeight="1">
      <c r="A495" s="148"/>
      <c r="B495" s="148"/>
      <c r="C495" s="148"/>
      <c r="D495" s="148"/>
      <c r="E495" s="148"/>
      <c r="F495" s="148"/>
      <c r="G495" s="148"/>
      <c r="H495" s="148"/>
      <c r="I495" s="148"/>
      <c r="J495" s="148"/>
      <c r="K495" s="148"/>
      <c r="L495" s="148"/>
      <c r="M495" s="148"/>
      <c r="N495" s="148"/>
      <c r="O495" s="148"/>
      <c r="P495" s="148"/>
      <c r="Q495" s="148"/>
      <c r="R495" s="148"/>
      <c r="S495" s="148"/>
    </row>
    <row r="496" ht="15.75" customHeight="1">
      <c r="A496" s="148"/>
      <c r="B496" s="148"/>
      <c r="C496" s="148"/>
      <c r="D496" s="148"/>
      <c r="E496" s="148"/>
      <c r="F496" s="148"/>
      <c r="G496" s="148"/>
      <c r="H496" s="148"/>
      <c r="I496" s="148"/>
      <c r="J496" s="148"/>
      <c r="K496" s="148"/>
      <c r="L496" s="148"/>
      <c r="M496" s="148"/>
      <c r="N496" s="148"/>
      <c r="O496" s="148"/>
      <c r="P496" s="148"/>
      <c r="Q496" s="148"/>
      <c r="R496" s="148"/>
      <c r="S496" s="148"/>
    </row>
    <row r="497" ht="15.75" customHeight="1">
      <c r="A497" s="148"/>
      <c r="B497" s="148"/>
      <c r="C497" s="148"/>
      <c r="D497" s="148"/>
      <c r="E497" s="148"/>
      <c r="F497" s="148"/>
      <c r="G497" s="148"/>
      <c r="H497" s="148"/>
      <c r="I497" s="148"/>
      <c r="J497" s="148"/>
      <c r="K497" s="148"/>
      <c r="L497" s="148"/>
      <c r="M497" s="148"/>
      <c r="N497" s="148"/>
      <c r="O497" s="148"/>
      <c r="P497" s="148"/>
      <c r="Q497" s="148"/>
      <c r="R497" s="148"/>
      <c r="S497" s="148"/>
    </row>
    <row r="498" ht="15.75" customHeight="1">
      <c r="A498" s="148"/>
      <c r="B498" s="148"/>
      <c r="C498" s="148"/>
      <c r="D498" s="148"/>
      <c r="E498" s="148"/>
      <c r="F498" s="148"/>
      <c r="G498" s="148"/>
      <c r="H498" s="148"/>
      <c r="I498" s="148"/>
      <c r="J498" s="148"/>
      <c r="K498" s="148"/>
      <c r="L498" s="148"/>
      <c r="M498" s="148"/>
      <c r="N498" s="148"/>
      <c r="O498" s="148"/>
      <c r="P498" s="148"/>
      <c r="Q498" s="148"/>
      <c r="R498" s="148"/>
      <c r="S498" s="148"/>
    </row>
    <row r="499" ht="15.75" customHeight="1">
      <c r="A499" s="148"/>
      <c r="B499" s="148"/>
      <c r="C499" s="148"/>
      <c r="D499" s="148"/>
      <c r="E499" s="148"/>
      <c r="F499" s="148"/>
      <c r="G499" s="148"/>
      <c r="H499" s="148"/>
      <c r="I499" s="148"/>
      <c r="J499" s="148"/>
      <c r="K499" s="148"/>
      <c r="L499" s="148"/>
      <c r="M499" s="148"/>
      <c r="N499" s="148"/>
      <c r="O499" s="148"/>
      <c r="P499" s="148"/>
      <c r="Q499" s="148"/>
      <c r="R499" s="148"/>
      <c r="S499" s="148"/>
    </row>
    <row r="500" ht="15.75" customHeight="1">
      <c r="A500" s="148"/>
      <c r="B500" s="148"/>
      <c r="C500" s="148"/>
      <c r="D500" s="148"/>
      <c r="E500" s="148"/>
      <c r="F500" s="148"/>
      <c r="G500" s="148"/>
      <c r="H500" s="148"/>
      <c r="I500" s="148"/>
      <c r="J500" s="148"/>
      <c r="K500" s="148"/>
      <c r="L500" s="148"/>
      <c r="M500" s="148"/>
      <c r="N500" s="148"/>
      <c r="O500" s="148"/>
      <c r="P500" s="148"/>
      <c r="Q500" s="148"/>
      <c r="R500" s="148"/>
      <c r="S500" s="148"/>
    </row>
    <row r="501" ht="15.75" customHeight="1">
      <c r="A501" s="148"/>
      <c r="B501" s="148"/>
      <c r="C501" s="148"/>
      <c r="D501" s="148"/>
      <c r="E501" s="148"/>
      <c r="F501" s="148"/>
      <c r="G501" s="148"/>
      <c r="H501" s="148"/>
      <c r="I501" s="148"/>
      <c r="J501" s="148"/>
      <c r="K501" s="148"/>
      <c r="L501" s="148"/>
      <c r="M501" s="148"/>
      <c r="N501" s="148"/>
      <c r="O501" s="148"/>
      <c r="P501" s="148"/>
      <c r="Q501" s="148"/>
      <c r="R501" s="148"/>
      <c r="S501" s="148"/>
    </row>
    <row r="502" ht="15.75" customHeight="1">
      <c r="A502" s="148"/>
      <c r="B502" s="148"/>
      <c r="C502" s="148"/>
      <c r="D502" s="148"/>
      <c r="E502" s="148"/>
      <c r="F502" s="148"/>
      <c r="G502" s="148"/>
      <c r="H502" s="148"/>
      <c r="I502" s="148"/>
      <c r="J502" s="148"/>
      <c r="K502" s="148"/>
      <c r="L502" s="148"/>
      <c r="M502" s="148"/>
      <c r="N502" s="148"/>
      <c r="O502" s="148"/>
      <c r="P502" s="148"/>
      <c r="Q502" s="148"/>
      <c r="R502" s="148"/>
      <c r="S502" s="148"/>
    </row>
    <row r="503" ht="15.75" customHeight="1">
      <c r="A503" s="148"/>
      <c r="B503" s="148"/>
      <c r="C503" s="148"/>
      <c r="D503" s="148"/>
      <c r="E503" s="148"/>
      <c r="F503" s="148"/>
      <c r="G503" s="148"/>
      <c r="H503" s="148"/>
      <c r="I503" s="148"/>
      <c r="J503" s="148"/>
      <c r="K503" s="148"/>
      <c r="L503" s="148"/>
      <c r="M503" s="148"/>
      <c r="N503" s="148"/>
      <c r="O503" s="148"/>
      <c r="P503" s="148"/>
      <c r="Q503" s="148"/>
      <c r="R503" s="148"/>
      <c r="S503" s="148"/>
    </row>
    <row r="504" ht="15.75" customHeight="1">
      <c r="A504" s="148"/>
      <c r="B504" s="148"/>
      <c r="C504" s="148"/>
      <c r="D504" s="148"/>
      <c r="E504" s="148"/>
      <c r="F504" s="148"/>
      <c r="G504" s="148"/>
      <c r="H504" s="148"/>
      <c r="I504" s="148"/>
      <c r="J504" s="148"/>
      <c r="K504" s="148"/>
      <c r="L504" s="148"/>
      <c r="M504" s="148"/>
      <c r="N504" s="148"/>
      <c r="O504" s="148"/>
      <c r="P504" s="148"/>
      <c r="Q504" s="148"/>
      <c r="R504" s="148"/>
      <c r="S504" s="148"/>
    </row>
    <row r="505" ht="15.75" customHeight="1">
      <c r="A505" s="148"/>
      <c r="B505" s="148"/>
      <c r="C505" s="148"/>
      <c r="D505" s="148"/>
      <c r="E505" s="148"/>
      <c r="F505" s="148"/>
      <c r="G505" s="148"/>
      <c r="H505" s="148"/>
      <c r="I505" s="148"/>
      <c r="J505" s="148"/>
      <c r="K505" s="148"/>
      <c r="L505" s="148"/>
      <c r="M505" s="148"/>
      <c r="N505" s="148"/>
      <c r="O505" s="148"/>
      <c r="P505" s="148"/>
      <c r="Q505" s="148"/>
      <c r="R505" s="148"/>
      <c r="S505" s="148"/>
    </row>
    <row r="506" ht="15.75" customHeight="1">
      <c r="A506" s="148"/>
      <c r="B506" s="148"/>
      <c r="C506" s="148"/>
      <c r="D506" s="148"/>
      <c r="E506" s="148"/>
      <c r="F506" s="148"/>
      <c r="G506" s="148"/>
      <c r="H506" s="148"/>
      <c r="I506" s="148"/>
      <c r="J506" s="148"/>
      <c r="K506" s="148"/>
      <c r="L506" s="148"/>
      <c r="M506" s="148"/>
      <c r="N506" s="148"/>
      <c r="O506" s="148"/>
      <c r="P506" s="148"/>
      <c r="Q506" s="148"/>
      <c r="R506" s="148"/>
      <c r="S506" s="148"/>
    </row>
    <row r="507" ht="15.75" customHeight="1">
      <c r="A507" s="148"/>
      <c r="B507" s="148"/>
      <c r="C507" s="148"/>
      <c r="D507" s="148"/>
      <c r="E507" s="148"/>
      <c r="F507" s="148"/>
      <c r="G507" s="148"/>
      <c r="H507" s="148"/>
      <c r="I507" s="148"/>
      <c r="J507" s="148"/>
      <c r="K507" s="148"/>
      <c r="L507" s="148"/>
      <c r="M507" s="148"/>
      <c r="N507" s="148"/>
      <c r="O507" s="148"/>
      <c r="P507" s="148"/>
      <c r="Q507" s="148"/>
      <c r="R507" s="148"/>
      <c r="S507" s="148"/>
    </row>
    <row r="508" ht="15.75" customHeight="1">
      <c r="A508" s="148"/>
      <c r="B508" s="148"/>
      <c r="C508" s="148"/>
      <c r="D508" s="148"/>
      <c r="E508" s="148"/>
      <c r="F508" s="148"/>
      <c r="G508" s="148"/>
      <c r="H508" s="148"/>
      <c r="I508" s="148"/>
      <c r="J508" s="148"/>
      <c r="K508" s="148"/>
      <c r="L508" s="148"/>
      <c r="M508" s="148"/>
      <c r="N508" s="148"/>
      <c r="O508" s="148"/>
      <c r="P508" s="148"/>
      <c r="Q508" s="148"/>
      <c r="R508" s="148"/>
      <c r="S508" s="148"/>
    </row>
    <row r="509" ht="15.75" customHeight="1">
      <c r="A509" s="148"/>
      <c r="B509" s="148"/>
      <c r="C509" s="148"/>
      <c r="D509" s="148"/>
      <c r="E509" s="148"/>
      <c r="F509" s="148"/>
      <c r="G509" s="148"/>
      <c r="H509" s="148"/>
      <c r="I509" s="148"/>
      <c r="J509" s="148"/>
      <c r="K509" s="148"/>
      <c r="L509" s="148"/>
      <c r="M509" s="148"/>
      <c r="N509" s="148"/>
      <c r="O509" s="148"/>
      <c r="P509" s="148"/>
      <c r="Q509" s="148"/>
      <c r="R509" s="148"/>
      <c r="S509" s="148"/>
    </row>
    <row r="510" ht="15.75" customHeight="1">
      <c r="A510" s="148"/>
      <c r="B510" s="148"/>
      <c r="C510" s="148"/>
      <c r="D510" s="148"/>
      <c r="E510" s="148"/>
      <c r="F510" s="148"/>
      <c r="G510" s="148"/>
      <c r="H510" s="148"/>
      <c r="I510" s="148"/>
      <c r="J510" s="148"/>
      <c r="K510" s="148"/>
      <c r="L510" s="148"/>
      <c r="M510" s="148"/>
      <c r="N510" s="148"/>
      <c r="O510" s="148"/>
      <c r="P510" s="148"/>
      <c r="Q510" s="148"/>
      <c r="R510" s="148"/>
      <c r="S510" s="148"/>
    </row>
    <row r="511" ht="15.75" customHeight="1">
      <c r="A511" s="148"/>
      <c r="B511" s="148"/>
      <c r="C511" s="148"/>
      <c r="D511" s="148"/>
      <c r="E511" s="148"/>
      <c r="F511" s="148"/>
      <c r="G511" s="148"/>
      <c r="H511" s="148"/>
      <c r="I511" s="148"/>
      <c r="J511" s="148"/>
      <c r="K511" s="148"/>
      <c r="L511" s="148"/>
      <c r="M511" s="148"/>
      <c r="N511" s="148"/>
      <c r="O511" s="148"/>
      <c r="P511" s="148"/>
      <c r="Q511" s="148"/>
      <c r="R511" s="148"/>
      <c r="S511" s="148"/>
    </row>
    <row r="512" ht="15.75" customHeight="1">
      <c r="A512" s="148"/>
      <c r="B512" s="148"/>
      <c r="C512" s="148"/>
      <c r="D512" s="148"/>
      <c r="E512" s="148"/>
      <c r="F512" s="148"/>
      <c r="G512" s="148"/>
      <c r="H512" s="148"/>
      <c r="I512" s="148"/>
      <c r="J512" s="148"/>
      <c r="K512" s="148"/>
      <c r="L512" s="148"/>
      <c r="M512" s="148"/>
      <c r="N512" s="148"/>
      <c r="O512" s="148"/>
      <c r="P512" s="148"/>
      <c r="Q512" s="148"/>
      <c r="R512" s="148"/>
      <c r="S512" s="148"/>
    </row>
    <row r="513" ht="15.75" customHeight="1">
      <c r="A513" s="148"/>
      <c r="B513" s="148"/>
      <c r="C513" s="148"/>
      <c r="D513" s="148"/>
      <c r="E513" s="148"/>
      <c r="F513" s="148"/>
      <c r="G513" s="148"/>
      <c r="H513" s="148"/>
      <c r="I513" s="148"/>
      <c r="J513" s="148"/>
      <c r="K513" s="148"/>
      <c r="L513" s="148"/>
      <c r="M513" s="148"/>
      <c r="N513" s="148"/>
      <c r="O513" s="148"/>
      <c r="P513" s="148"/>
      <c r="Q513" s="148"/>
      <c r="R513" s="148"/>
      <c r="S513" s="148"/>
    </row>
    <row r="514" ht="15.75" customHeight="1">
      <c r="A514" s="148"/>
      <c r="B514" s="148"/>
      <c r="C514" s="148"/>
      <c r="D514" s="148"/>
      <c r="E514" s="148"/>
      <c r="F514" s="148"/>
      <c r="G514" s="148"/>
      <c r="H514" s="148"/>
      <c r="I514" s="148"/>
      <c r="J514" s="148"/>
      <c r="K514" s="148"/>
      <c r="L514" s="148"/>
      <c r="M514" s="148"/>
      <c r="N514" s="148"/>
      <c r="O514" s="148"/>
      <c r="P514" s="148"/>
      <c r="Q514" s="148"/>
      <c r="R514" s="148"/>
      <c r="S514" s="148"/>
    </row>
    <row r="515" ht="15.75" customHeight="1">
      <c r="A515" s="148"/>
      <c r="B515" s="148"/>
      <c r="C515" s="148"/>
      <c r="D515" s="148"/>
      <c r="E515" s="148"/>
      <c r="F515" s="148"/>
      <c r="G515" s="148"/>
      <c r="H515" s="148"/>
      <c r="I515" s="148"/>
      <c r="J515" s="148"/>
      <c r="K515" s="148"/>
      <c r="L515" s="148"/>
      <c r="M515" s="148"/>
      <c r="N515" s="148"/>
      <c r="O515" s="148"/>
      <c r="P515" s="148"/>
      <c r="Q515" s="148"/>
      <c r="R515" s="148"/>
      <c r="S515" s="148"/>
    </row>
    <row r="516" ht="15.75" customHeight="1">
      <c r="A516" s="148"/>
      <c r="B516" s="148"/>
      <c r="C516" s="148"/>
      <c r="D516" s="148"/>
      <c r="E516" s="148"/>
      <c r="F516" s="148"/>
      <c r="G516" s="148"/>
      <c r="H516" s="148"/>
      <c r="I516" s="148"/>
      <c r="J516" s="148"/>
      <c r="K516" s="148"/>
      <c r="L516" s="148"/>
      <c r="M516" s="148"/>
      <c r="N516" s="148"/>
      <c r="O516" s="148"/>
      <c r="P516" s="148"/>
      <c r="Q516" s="148"/>
      <c r="R516" s="148"/>
      <c r="S516" s="148"/>
    </row>
    <row r="517" ht="15.75" customHeight="1">
      <c r="A517" s="148"/>
      <c r="B517" s="148"/>
      <c r="C517" s="148"/>
      <c r="D517" s="148"/>
      <c r="E517" s="148"/>
      <c r="F517" s="148"/>
      <c r="G517" s="148"/>
      <c r="H517" s="148"/>
      <c r="I517" s="148"/>
      <c r="J517" s="148"/>
      <c r="K517" s="148"/>
      <c r="L517" s="148"/>
      <c r="M517" s="148"/>
      <c r="N517" s="148"/>
      <c r="O517" s="148"/>
      <c r="P517" s="148"/>
      <c r="Q517" s="148"/>
      <c r="R517" s="148"/>
      <c r="S517" s="148"/>
    </row>
    <row r="518" ht="15.75" customHeight="1">
      <c r="A518" s="148"/>
      <c r="B518" s="148"/>
      <c r="C518" s="148"/>
      <c r="D518" s="148"/>
      <c r="E518" s="148"/>
      <c r="F518" s="148"/>
      <c r="G518" s="148"/>
      <c r="H518" s="148"/>
      <c r="I518" s="148"/>
      <c r="J518" s="148"/>
      <c r="K518" s="148"/>
      <c r="L518" s="148"/>
      <c r="M518" s="148"/>
      <c r="N518" s="148"/>
      <c r="O518" s="148"/>
      <c r="P518" s="148"/>
      <c r="Q518" s="148"/>
      <c r="R518" s="148"/>
      <c r="S518" s="148"/>
    </row>
    <row r="519" ht="15.75" customHeight="1">
      <c r="A519" s="148"/>
      <c r="B519" s="148"/>
      <c r="C519" s="148"/>
      <c r="D519" s="148"/>
      <c r="E519" s="148"/>
      <c r="F519" s="148"/>
      <c r="G519" s="148"/>
      <c r="H519" s="148"/>
      <c r="I519" s="148"/>
      <c r="J519" s="148"/>
      <c r="K519" s="148"/>
      <c r="L519" s="148"/>
      <c r="M519" s="148"/>
      <c r="N519" s="148"/>
      <c r="O519" s="148"/>
      <c r="P519" s="148"/>
      <c r="Q519" s="148"/>
      <c r="R519" s="148"/>
      <c r="S519" s="148"/>
    </row>
    <row r="520" ht="15.75" customHeight="1">
      <c r="A520" s="148"/>
      <c r="B520" s="148"/>
      <c r="C520" s="148"/>
      <c r="D520" s="148"/>
      <c r="E520" s="148"/>
      <c r="F520" s="148"/>
      <c r="G520" s="148"/>
      <c r="H520" s="148"/>
      <c r="I520" s="148"/>
      <c r="J520" s="148"/>
      <c r="K520" s="148"/>
      <c r="L520" s="148"/>
      <c r="M520" s="148"/>
      <c r="N520" s="148"/>
      <c r="O520" s="148"/>
      <c r="P520" s="148"/>
      <c r="Q520" s="148"/>
      <c r="R520" s="148"/>
      <c r="S520" s="148"/>
    </row>
    <row r="521" ht="15.75" customHeight="1">
      <c r="A521" s="148"/>
      <c r="B521" s="148"/>
      <c r="C521" s="148"/>
      <c r="D521" s="148"/>
      <c r="E521" s="148"/>
      <c r="F521" s="148"/>
      <c r="G521" s="148"/>
      <c r="H521" s="148"/>
      <c r="I521" s="148"/>
      <c r="J521" s="148"/>
      <c r="K521" s="148"/>
      <c r="L521" s="148"/>
      <c r="M521" s="148"/>
      <c r="N521" s="148"/>
      <c r="O521" s="148"/>
      <c r="P521" s="148"/>
      <c r="Q521" s="148"/>
      <c r="R521" s="148"/>
      <c r="S521" s="148"/>
    </row>
    <row r="522" ht="15.75" customHeight="1">
      <c r="A522" s="148"/>
      <c r="B522" s="148"/>
      <c r="C522" s="148"/>
      <c r="D522" s="148"/>
      <c r="E522" s="148"/>
      <c r="F522" s="148"/>
      <c r="G522" s="148"/>
      <c r="H522" s="148"/>
      <c r="I522" s="148"/>
      <c r="J522" s="148"/>
      <c r="K522" s="148"/>
      <c r="L522" s="148"/>
      <c r="M522" s="148"/>
      <c r="N522" s="148"/>
      <c r="O522" s="148"/>
      <c r="P522" s="148"/>
      <c r="Q522" s="148"/>
      <c r="R522" s="148"/>
      <c r="S522" s="148"/>
    </row>
    <row r="523" ht="15.75" customHeight="1">
      <c r="A523" s="148"/>
      <c r="B523" s="148"/>
      <c r="C523" s="148"/>
      <c r="D523" s="148"/>
      <c r="E523" s="148"/>
      <c r="F523" s="148"/>
      <c r="G523" s="148"/>
      <c r="H523" s="148"/>
      <c r="I523" s="148"/>
      <c r="J523" s="148"/>
      <c r="K523" s="148"/>
      <c r="L523" s="148"/>
      <c r="M523" s="148"/>
      <c r="N523" s="148"/>
      <c r="O523" s="148"/>
      <c r="P523" s="148"/>
      <c r="Q523" s="148"/>
      <c r="R523" s="148"/>
      <c r="S523" s="148"/>
    </row>
    <row r="524" ht="15.75" customHeight="1">
      <c r="A524" s="148"/>
      <c r="B524" s="148"/>
      <c r="C524" s="148"/>
      <c r="D524" s="148"/>
      <c r="E524" s="148"/>
      <c r="F524" s="148"/>
      <c r="G524" s="148"/>
      <c r="H524" s="148"/>
      <c r="I524" s="148"/>
      <c r="J524" s="148"/>
      <c r="K524" s="148"/>
      <c r="L524" s="148"/>
      <c r="M524" s="148"/>
      <c r="N524" s="148"/>
      <c r="O524" s="148"/>
      <c r="P524" s="148"/>
      <c r="Q524" s="148"/>
      <c r="R524" s="148"/>
      <c r="S524" s="148"/>
    </row>
    <row r="525" ht="15.75" customHeight="1">
      <c r="A525" s="148"/>
      <c r="B525" s="148"/>
      <c r="C525" s="148"/>
      <c r="D525" s="148"/>
      <c r="E525" s="148"/>
      <c r="F525" s="148"/>
      <c r="G525" s="148"/>
      <c r="H525" s="148"/>
      <c r="I525" s="148"/>
      <c r="J525" s="148"/>
      <c r="K525" s="148"/>
      <c r="L525" s="148"/>
      <c r="M525" s="148"/>
      <c r="N525" s="148"/>
      <c r="O525" s="148"/>
      <c r="P525" s="148"/>
      <c r="Q525" s="148"/>
      <c r="R525" s="148"/>
      <c r="S525" s="148"/>
    </row>
    <row r="526" ht="15.75" customHeight="1">
      <c r="A526" s="148"/>
      <c r="B526" s="148"/>
      <c r="C526" s="148"/>
      <c r="D526" s="148"/>
      <c r="E526" s="148"/>
      <c r="F526" s="148"/>
      <c r="G526" s="148"/>
      <c r="H526" s="148"/>
      <c r="I526" s="148"/>
      <c r="J526" s="148"/>
      <c r="K526" s="148"/>
      <c r="L526" s="148"/>
      <c r="M526" s="148"/>
      <c r="N526" s="148"/>
      <c r="O526" s="148"/>
      <c r="P526" s="148"/>
      <c r="Q526" s="148"/>
      <c r="R526" s="148"/>
      <c r="S526" s="148"/>
    </row>
    <row r="527" ht="15.75" customHeight="1">
      <c r="A527" s="148"/>
      <c r="B527" s="148"/>
      <c r="C527" s="148"/>
      <c r="D527" s="148"/>
      <c r="E527" s="148"/>
      <c r="F527" s="148"/>
      <c r="G527" s="148"/>
      <c r="H527" s="148"/>
      <c r="I527" s="148"/>
      <c r="J527" s="148"/>
      <c r="K527" s="148"/>
      <c r="L527" s="148"/>
      <c r="M527" s="148"/>
      <c r="N527" s="148"/>
      <c r="O527" s="148"/>
      <c r="P527" s="148"/>
      <c r="Q527" s="148"/>
      <c r="R527" s="148"/>
      <c r="S527" s="148"/>
    </row>
    <row r="528" ht="15.75" customHeight="1">
      <c r="A528" s="148"/>
      <c r="B528" s="148"/>
      <c r="C528" s="148"/>
      <c r="D528" s="148"/>
      <c r="E528" s="148"/>
      <c r="F528" s="148"/>
      <c r="G528" s="148"/>
      <c r="H528" s="148"/>
      <c r="I528" s="148"/>
      <c r="J528" s="148"/>
      <c r="K528" s="148"/>
      <c r="L528" s="148"/>
      <c r="M528" s="148"/>
      <c r="N528" s="148"/>
      <c r="O528" s="148"/>
      <c r="P528" s="148"/>
      <c r="Q528" s="148"/>
      <c r="R528" s="148"/>
      <c r="S528" s="148"/>
    </row>
    <row r="529" ht="15.75" customHeight="1">
      <c r="A529" s="148"/>
      <c r="B529" s="148"/>
      <c r="C529" s="148"/>
      <c r="D529" s="148"/>
      <c r="E529" s="148"/>
      <c r="F529" s="148"/>
      <c r="G529" s="148"/>
      <c r="H529" s="148"/>
      <c r="I529" s="148"/>
      <c r="J529" s="148"/>
      <c r="K529" s="148"/>
      <c r="L529" s="148"/>
      <c r="M529" s="148"/>
      <c r="N529" s="148"/>
      <c r="O529" s="148"/>
      <c r="P529" s="148"/>
      <c r="Q529" s="148"/>
      <c r="R529" s="148"/>
      <c r="S529" s="148"/>
    </row>
    <row r="530" ht="15.75" customHeight="1">
      <c r="A530" s="148"/>
      <c r="B530" s="148"/>
      <c r="C530" s="148"/>
      <c r="D530" s="148"/>
      <c r="E530" s="148"/>
      <c r="F530" s="148"/>
      <c r="G530" s="148"/>
      <c r="H530" s="148"/>
      <c r="I530" s="148"/>
      <c r="J530" s="148"/>
      <c r="K530" s="148"/>
      <c r="L530" s="148"/>
      <c r="M530" s="148"/>
      <c r="N530" s="148"/>
      <c r="O530" s="148"/>
      <c r="P530" s="148"/>
      <c r="Q530" s="148"/>
      <c r="R530" s="148"/>
      <c r="S530" s="148"/>
    </row>
    <row r="531" ht="15.75" customHeight="1">
      <c r="A531" s="148"/>
      <c r="B531" s="148"/>
      <c r="C531" s="148"/>
      <c r="D531" s="148"/>
      <c r="E531" s="148"/>
      <c r="F531" s="148"/>
      <c r="G531" s="148"/>
      <c r="H531" s="148"/>
      <c r="I531" s="148"/>
      <c r="J531" s="148"/>
      <c r="K531" s="148"/>
      <c r="L531" s="148"/>
      <c r="M531" s="148"/>
      <c r="N531" s="148"/>
      <c r="O531" s="148"/>
      <c r="P531" s="148"/>
      <c r="Q531" s="148"/>
      <c r="R531" s="148"/>
      <c r="S531" s="148"/>
    </row>
    <row r="532" ht="15.75" customHeight="1">
      <c r="A532" s="148"/>
      <c r="B532" s="148"/>
      <c r="C532" s="148"/>
      <c r="D532" s="148"/>
      <c r="E532" s="148"/>
      <c r="F532" s="148"/>
      <c r="G532" s="148"/>
      <c r="H532" s="148"/>
      <c r="I532" s="148"/>
      <c r="J532" s="148"/>
      <c r="K532" s="148"/>
      <c r="L532" s="148"/>
      <c r="M532" s="148"/>
      <c r="N532" s="148"/>
      <c r="O532" s="148"/>
      <c r="P532" s="148"/>
      <c r="Q532" s="148"/>
      <c r="R532" s="148"/>
      <c r="S532" s="148"/>
    </row>
    <row r="533" ht="15.75" customHeight="1">
      <c r="A533" s="148"/>
      <c r="B533" s="148"/>
      <c r="C533" s="148"/>
      <c r="D533" s="148"/>
      <c r="E533" s="148"/>
      <c r="F533" s="148"/>
      <c r="G533" s="148"/>
      <c r="H533" s="148"/>
      <c r="I533" s="148"/>
      <c r="J533" s="148"/>
      <c r="K533" s="148"/>
      <c r="L533" s="148"/>
      <c r="M533" s="148"/>
      <c r="N533" s="148"/>
      <c r="O533" s="148"/>
      <c r="P533" s="148"/>
      <c r="Q533" s="148"/>
      <c r="R533" s="148"/>
      <c r="S533" s="148"/>
    </row>
    <row r="534" ht="15.75" customHeight="1">
      <c r="A534" s="148"/>
      <c r="B534" s="148"/>
      <c r="C534" s="148"/>
      <c r="D534" s="148"/>
      <c r="E534" s="148"/>
      <c r="F534" s="148"/>
      <c r="G534" s="148"/>
      <c r="H534" s="148"/>
      <c r="I534" s="148"/>
      <c r="J534" s="148"/>
      <c r="K534" s="148"/>
      <c r="L534" s="148"/>
      <c r="M534" s="148"/>
      <c r="N534" s="148"/>
      <c r="O534" s="148"/>
      <c r="P534" s="148"/>
      <c r="Q534" s="148"/>
      <c r="R534" s="148"/>
      <c r="S534" s="148"/>
    </row>
    <row r="535" ht="15.75" customHeight="1">
      <c r="A535" s="148"/>
      <c r="B535" s="148"/>
      <c r="C535" s="148"/>
      <c r="D535" s="148"/>
      <c r="E535" s="148"/>
      <c r="F535" s="148"/>
      <c r="G535" s="148"/>
      <c r="H535" s="148"/>
      <c r="I535" s="148"/>
      <c r="J535" s="148"/>
      <c r="K535" s="148"/>
      <c r="L535" s="148"/>
      <c r="M535" s="148"/>
      <c r="N535" s="148"/>
      <c r="O535" s="148"/>
      <c r="P535" s="148"/>
      <c r="Q535" s="148"/>
      <c r="R535" s="148"/>
      <c r="S535" s="148"/>
    </row>
    <row r="536" ht="15.75" customHeight="1">
      <c r="A536" s="148"/>
      <c r="B536" s="148"/>
      <c r="C536" s="148"/>
      <c r="D536" s="148"/>
      <c r="E536" s="148"/>
      <c r="F536" s="148"/>
      <c r="G536" s="148"/>
      <c r="H536" s="148"/>
      <c r="I536" s="148"/>
      <c r="J536" s="148"/>
      <c r="K536" s="148"/>
      <c r="L536" s="148"/>
      <c r="M536" s="148"/>
      <c r="N536" s="148"/>
      <c r="O536" s="148"/>
      <c r="P536" s="148"/>
      <c r="Q536" s="148"/>
      <c r="R536" s="148"/>
      <c r="S536" s="148"/>
    </row>
    <row r="537" ht="15.75" customHeight="1">
      <c r="A537" s="148"/>
      <c r="B537" s="148"/>
      <c r="C537" s="148"/>
      <c r="D537" s="148"/>
      <c r="E537" s="148"/>
      <c r="F537" s="148"/>
      <c r="G537" s="148"/>
      <c r="H537" s="148"/>
      <c r="I537" s="148"/>
      <c r="J537" s="148"/>
      <c r="K537" s="148"/>
      <c r="L537" s="148"/>
      <c r="M537" s="148"/>
      <c r="N537" s="148"/>
      <c r="O537" s="148"/>
      <c r="P537" s="148"/>
      <c r="Q537" s="148"/>
      <c r="R537" s="148"/>
      <c r="S537" s="148"/>
    </row>
    <row r="538" ht="15.75" customHeight="1">
      <c r="A538" s="148"/>
      <c r="B538" s="148"/>
      <c r="C538" s="148"/>
      <c r="D538" s="148"/>
      <c r="E538" s="148"/>
      <c r="F538" s="148"/>
      <c r="G538" s="148"/>
      <c r="H538" s="148"/>
      <c r="I538" s="148"/>
      <c r="J538" s="148"/>
      <c r="K538" s="148"/>
      <c r="L538" s="148"/>
      <c r="M538" s="148"/>
      <c r="N538" s="148"/>
      <c r="O538" s="148"/>
      <c r="P538" s="148"/>
      <c r="Q538" s="148"/>
      <c r="R538" s="148"/>
      <c r="S538" s="148"/>
    </row>
    <row r="539" ht="15.75" customHeight="1">
      <c r="A539" s="148"/>
      <c r="B539" s="148"/>
      <c r="C539" s="148"/>
      <c r="D539" s="148"/>
      <c r="E539" s="148"/>
      <c r="F539" s="148"/>
      <c r="G539" s="148"/>
      <c r="H539" s="148"/>
      <c r="I539" s="148"/>
      <c r="J539" s="148"/>
      <c r="K539" s="148"/>
      <c r="L539" s="148"/>
      <c r="M539" s="148"/>
      <c r="N539" s="148"/>
      <c r="O539" s="148"/>
      <c r="P539" s="148"/>
      <c r="Q539" s="148"/>
      <c r="R539" s="148"/>
      <c r="S539" s="148"/>
    </row>
    <row r="540" ht="15.75" customHeight="1">
      <c r="A540" s="148"/>
      <c r="B540" s="148"/>
      <c r="C540" s="148"/>
      <c r="D540" s="148"/>
      <c r="E540" s="148"/>
      <c r="F540" s="148"/>
      <c r="G540" s="148"/>
      <c r="H540" s="148"/>
      <c r="I540" s="148"/>
      <c r="J540" s="148"/>
      <c r="K540" s="148"/>
      <c r="L540" s="148"/>
      <c r="M540" s="148"/>
      <c r="N540" s="148"/>
      <c r="O540" s="148"/>
      <c r="P540" s="148"/>
      <c r="Q540" s="148"/>
      <c r="R540" s="148"/>
      <c r="S540" s="148"/>
    </row>
    <row r="541" ht="15.75" customHeight="1">
      <c r="A541" s="148"/>
      <c r="B541" s="148"/>
      <c r="C541" s="148"/>
      <c r="D541" s="148"/>
      <c r="E541" s="148"/>
      <c r="F541" s="148"/>
      <c r="G541" s="148"/>
      <c r="H541" s="148"/>
      <c r="I541" s="148"/>
      <c r="J541" s="148"/>
      <c r="K541" s="148"/>
      <c r="L541" s="148"/>
      <c r="M541" s="148"/>
      <c r="N541" s="148"/>
      <c r="O541" s="148"/>
      <c r="P541" s="148"/>
      <c r="Q541" s="148"/>
      <c r="R541" s="148"/>
      <c r="S541" s="148"/>
    </row>
    <row r="542" ht="15.75" customHeight="1">
      <c r="A542" s="148"/>
      <c r="B542" s="148"/>
      <c r="C542" s="148"/>
      <c r="D542" s="148"/>
      <c r="E542" s="148"/>
      <c r="F542" s="148"/>
      <c r="G542" s="148"/>
      <c r="H542" s="148"/>
      <c r="I542" s="148"/>
      <c r="J542" s="148"/>
      <c r="K542" s="148"/>
      <c r="L542" s="148"/>
      <c r="M542" s="148"/>
      <c r="N542" s="148"/>
      <c r="O542" s="148"/>
      <c r="P542" s="148"/>
      <c r="Q542" s="148"/>
      <c r="R542" s="148"/>
      <c r="S542" s="148"/>
    </row>
    <row r="543" ht="15.75" customHeight="1">
      <c r="A543" s="148"/>
      <c r="B543" s="148"/>
      <c r="C543" s="148"/>
      <c r="D543" s="148"/>
      <c r="E543" s="148"/>
      <c r="F543" s="148"/>
      <c r="G543" s="148"/>
      <c r="H543" s="148"/>
      <c r="I543" s="148"/>
      <c r="J543" s="148"/>
      <c r="K543" s="148"/>
      <c r="L543" s="148"/>
      <c r="M543" s="148"/>
      <c r="N543" s="148"/>
      <c r="O543" s="148"/>
      <c r="P543" s="148"/>
      <c r="Q543" s="148"/>
      <c r="R543" s="148"/>
      <c r="S543" s="148"/>
    </row>
    <row r="544" ht="15.75" customHeight="1">
      <c r="A544" s="148"/>
      <c r="B544" s="148"/>
      <c r="C544" s="148"/>
      <c r="D544" s="148"/>
      <c r="E544" s="148"/>
      <c r="F544" s="148"/>
      <c r="G544" s="148"/>
      <c r="H544" s="148"/>
      <c r="I544" s="148"/>
      <c r="J544" s="148"/>
      <c r="K544" s="148"/>
      <c r="L544" s="148"/>
      <c r="M544" s="148"/>
      <c r="N544" s="148"/>
      <c r="O544" s="148"/>
      <c r="P544" s="148"/>
      <c r="Q544" s="148"/>
      <c r="R544" s="148"/>
      <c r="S544" s="148"/>
    </row>
    <row r="545" ht="15.75" customHeight="1">
      <c r="A545" s="148"/>
      <c r="B545" s="148"/>
      <c r="C545" s="148"/>
      <c r="D545" s="148"/>
      <c r="E545" s="148"/>
      <c r="F545" s="148"/>
      <c r="G545" s="148"/>
      <c r="H545" s="148"/>
      <c r="I545" s="148"/>
      <c r="J545" s="148"/>
      <c r="K545" s="148"/>
      <c r="L545" s="148"/>
      <c r="M545" s="148"/>
      <c r="N545" s="148"/>
      <c r="O545" s="148"/>
      <c r="P545" s="148"/>
      <c r="Q545" s="148"/>
      <c r="R545" s="148"/>
      <c r="S545" s="148"/>
    </row>
    <row r="546" ht="15.75" customHeight="1">
      <c r="A546" s="148"/>
      <c r="B546" s="148"/>
      <c r="C546" s="148"/>
      <c r="D546" s="148"/>
      <c r="E546" s="148"/>
      <c r="F546" s="148"/>
      <c r="G546" s="148"/>
      <c r="H546" s="148"/>
      <c r="I546" s="148"/>
      <c r="J546" s="148"/>
      <c r="K546" s="148"/>
      <c r="L546" s="148"/>
      <c r="M546" s="148"/>
      <c r="N546" s="148"/>
      <c r="O546" s="148"/>
      <c r="P546" s="148"/>
      <c r="Q546" s="148"/>
      <c r="R546" s="148"/>
      <c r="S546" s="148"/>
    </row>
    <row r="547" ht="15.75" customHeight="1">
      <c r="A547" s="148"/>
      <c r="B547" s="148"/>
      <c r="C547" s="148"/>
      <c r="D547" s="148"/>
      <c r="E547" s="148"/>
      <c r="F547" s="148"/>
      <c r="G547" s="148"/>
      <c r="H547" s="148"/>
      <c r="I547" s="148"/>
      <c r="J547" s="148"/>
      <c r="K547" s="148"/>
      <c r="L547" s="148"/>
      <c r="M547" s="148"/>
      <c r="N547" s="148"/>
      <c r="O547" s="148"/>
      <c r="P547" s="148"/>
      <c r="Q547" s="148"/>
      <c r="R547" s="148"/>
      <c r="S547" s="148"/>
    </row>
    <row r="548" ht="15.75" customHeight="1">
      <c r="A548" s="148"/>
      <c r="B548" s="148"/>
      <c r="C548" s="148"/>
      <c r="D548" s="148"/>
      <c r="E548" s="148"/>
      <c r="F548" s="148"/>
      <c r="G548" s="148"/>
      <c r="H548" s="148"/>
      <c r="I548" s="148"/>
      <c r="J548" s="148"/>
      <c r="K548" s="148"/>
      <c r="L548" s="148"/>
      <c r="M548" s="148"/>
      <c r="N548" s="148"/>
      <c r="O548" s="148"/>
      <c r="P548" s="148"/>
      <c r="Q548" s="148"/>
      <c r="R548" s="148"/>
      <c r="S548" s="148"/>
    </row>
    <row r="549" ht="15.75" customHeight="1">
      <c r="A549" s="148"/>
      <c r="B549" s="148"/>
      <c r="C549" s="148"/>
      <c r="D549" s="148"/>
      <c r="E549" s="148"/>
      <c r="F549" s="148"/>
      <c r="G549" s="148"/>
      <c r="H549" s="148"/>
      <c r="I549" s="148"/>
      <c r="J549" s="148"/>
      <c r="K549" s="148"/>
      <c r="L549" s="148"/>
      <c r="M549" s="148"/>
      <c r="N549" s="148"/>
      <c r="O549" s="148"/>
      <c r="P549" s="148"/>
      <c r="Q549" s="148"/>
      <c r="R549" s="148"/>
      <c r="S549" s="148"/>
    </row>
    <row r="550" ht="15.75" customHeight="1">
      <c r="A550" s="148"/>
      <c r="B550" s="148"/>
      <c r="C550" s="148"/>
      <c r="D550" s="148"/>
      <c r="E550" s="148"/>
      <c r="F550" s="148"/>
      <c r="G550" s="148"/>
      <c r="H550" s="148"/>
      <c r="I550" s="148"/>
      <c r="J550" s="148"/>
      <c r="K550" s="148"/>
      <c r="L550" s="148"/>
      <c r="M550" s="148"/>
      <c r="N550" s="148"/>
      <c r="O550" s="148"/>
      <c r="P550" s="148"/>
      <c r="Q550" s="148"/>
      <c r="R550" s="148"/>
      <c r="S550" s="148"/>
    </row>
    <row r="551" ht="15.75" customHeight="1">
      <c r="A551" s="148"/>
      <c r="B551" s="148"/>
      <c r="C551" s="148"/>
      <c r="D551" s="148"/>
      <c r="E551" s="148"/>
      <c r="F551" s="148"/>
      <c r="G551" s="148"/>
      <c r="H551" s="148"/>
      <c r="I551" s="148"/>
      <c r="J551" s="148"/>
      <c r="K551" s="148"/>
      <c r="L551" s="148"/>
      <c r="M551" s="148"/>
      <c r="N551" s="148"/>
      <c r="O551" s="148"/>
      <c r="P551" s="148"/>
      <c r="Q551" s="148"/>
      <c r="R551" s="148"/>
      <c r="S551" s="148"/>
    </row>
    <row r="552" ht="15.75" customHeight="1">
      <c r="A552" s="148"/>
      <c r="B552" s="148"/>
      <c r="C552" s="148"/>
      <c r="D552" s="148"/>
      <c r="E552" s="148"/>
      <c r="F552" s="148"/>
      <c r="G552" s="148"/>
      <c r="H552" s="148"/>
      <c r="I552" s="148"/>
      <c r="J552" s="148"/>
      <c r="K552" s="148"/>
      <c r="L552" s="148"/>
      <c r="M552" s="148"/>
      <c r="N552" s="148"/>
      <c r="O552" s="148"/>
      <c r="P552" s="148"/>
      <c r="Q552" s="148"/>
      <c r="R552" s="148"/>
      <c r="S552" s="148"/>
    </row>
    <row r="553" ht="15.75" customHeight="1">
      <c r="A553" s="148"/>
      <c r="B553" s="148"/>
      <c r="C553" s="148"/>
      <c r="D553" s="148"/>
      <c r="E553" s="148"/>
      <c r="F553" s="148"/>
      <c r="G553" s="148"/>
      <c r="H553" s="148"/>
      <c r="I553" s="148"/>
      <c r="J553" s="148"/>
      <c r="K553" s="148"/>
      <c r="L553" s="148"/>
      <c r="M553" s="148"/>
      <c r="N553" s="148"/>
      <c r="O553" s="148"/>
      <c r="P553" s="148"/>
      <c r="Q553" s="148"/>
      <c r="R553" s="148"/>
      <c r="S553" s="148"/>
    </row>
    <row r="554" ht="15.75" customHeight="1">
      <c r="A554" s="148"/>
      <c r="B554" s="148"/>
      <c r="C554" s="148"/>
      <c r="D554" s="148"/>
      <c r="E554" s="148"/>
      <c r="F554" s="148"/>
      <c r="G554" s="148"/>
      <c r="H554" s="148"/>
      <c r="I554" s="148"/>
      <c r="J554" s="148"/>
      <c r="K554" s="148"/>
      <c r="L554" s="148"/>
      <c r="M554" s="148"/>
      <c r="N554" s="148"/>
      <c r="O554" s="148"/>
      <c r="P554" s="148"/>
      <c r="Q554" s="148"/>
      <c r="R554" s="148"/>
      <c r="S554" s="148"/>
    </row>
    <row r="555" ht="15.75" customHeight="1">
      <c r="A555" s="148"/>
      <c r="B555" s="148"/>
      <c r="C555" s="148"/>
      <c r="D555" s="148"/>
      <c r="E555" s="148"/>
      <c r="F555" s="148"/>
      <c r="G555" s="148"/>
      <c r="H555" s="148"/>
      <c r="I555" s="148"/>
      <c r="J555" s="148"/>
      <c r="K555" s="148"/>
      <c r="L555" s="148"/>
      <c r="M555" s="148"/>
      <c r="N555" s="148"/>
      <c r="O555" s="148"/>
      <c r="P555" s="148"/>
      <c r="Q555" s="148"/>
      <c r="R555" s="148"/>
      <c r="S555" s="148"/>
    </row>
    <row r="556" ht="15.75" customHeight="1">
      <c r="A556" s="148"/>
      <c r="B556" s="148"/>
      <c r="C556" s="148"/>
      <c r="D556" s="148"/>
      <c r="E556" s="148"/>
      <c r="F556" s="148"/>
      <c r="G556" s="148"/>
      <c r="H556" s="148"/>
      <c r="I556" s="148"/>
      <c r="J556" s="148"/>
      <c r="K556" s="148"/>
      <c r="L556" s="148"/>
      <c r="M556" s="148"/>
      <c r="N556" s="148"/>
      <c r="O556" s="148"/>
      <c r="P556" s="148"/>
      <c r="Q556" s="148"/>
      <c r="R556" s="148"/>
      <c r="S556" s="148"/>
    </row>
    <row r="557" ht="15.75" customHeight="1">
      <c r="A557" s="148"/>
      <c r="B557" s="148"/>
      <c r="C557" s="148"/>
      <c r="D557" s="148"/>
      <c r="E557" s="148"/>
      <c r="F557" s="148"/>
      <c r="G557" s="148"/>
      <c r="H557" s="148"/>
      <c r="I557" s="148"/>
      <c r="J557" s="148"/>
      <c r="K557" s="148"/>
      <c r="L557" s="148"/>
      <c r="M557" s="148"/>
      <c r="N557" s="148"/>
      <c r="O557" s="148"/>
      <c r="P557" s="148"/>
      <c r="Q557" s="148"/>
      <c r="R557" s="148"/>
      <c r="S557" s="148"/>
    </row>
    <row r="558" ht="15.75" customHeight="1">
      <c r="A558" s="148"/>
      <c r="B558" s="148"/>
      <c r="C558" s="148"/>
      <c r="D558" s="148"/>
      <c r="E558" s="148"/>
      <c r="F558" s="148"/>
      <c r="G558" s="148"/>
      <c r="H558" s="148"/>
      <c r="I558" s="148"/>
      <c r="J558" s="148"/>
      <c r="K558" s="148"/>
      <c r="L558" s="148"/>
      <c r="M558" s="148"/>
      <c r="N558" s="148"/>
      <c r="O558" s="148"/>
      <c r="P558" s="148"/>
      <c r="Q558" s="148"/>
      <c r="R558" s="148"/>
      <c r="S558" s="148"/>
    </row>
    <row r="559" ht="15.75" customHeight="1">
      <c r="A559" s="148"/>
      <c r="B559" s="148"/>
      <c r="C559" s="148"/>
      <c r="D559" s="148"/>
      <c r="E559" s="148"/>
      <c r="F559" s="148"/>
      <c r="G559" s="148"/>
      <c r="H559" s="148"/>
      <c r="I559" s="148"/>
      <c r="J559" s="148"/>
      <c r="K559" s="148"/>
      <c r="L559" s="148"/>
      <c r="M559" s="148"/>
      <c r="N559" s="148"/>
      <c r="O559" s="148"/>
      <c r="P559" s="148"/>
      <c r="Q559" s="148"/>
      <c r="R559" s="148"/>
      <c r="S559" s="148"/>
    </row>
    <row r="560" ht="15.75" customHeight="1">
      <c r="A560" s="148"/>
      <c r="B560" s="148"/>
      <c r="C560" s="148"/>
      <c r="D560" s="148"/>
      <c r="E560" s="148"/>
      <c r="F560" s="148"/>
      <c r="G560" s="148"/>
      <c r="H560" s="148"/>
      <c r="I560" s="148"/>
      <c r="J560" s="148"/>
      <c r="K560" s="148"/>
      <c r="L560" s="148"/>
      <c r="M560" s="148"/>
      <c r="N560" s="148"/>
      <c r="O560" s="148"/>
      <c r="P560" s="148"/>
      <c r="Q560" s="148"/>
      <c r="R560" s="148"/>
      <c r="S560" s="148"/>
    </row>
    <row r="561" ht="15.75" customHeight="1">
      <c r="A561" s="148"/>
      <c r="B561" s="148"/>
      <c r="C561" s="148"/>
      <c r="D561" s="148"/>
      <c r="E561" s="148"/>
      <c r="F561" s="148"/>
      <c r="G561" s="148"/>
      <c r="H561" s="148"/>
      <c r="I561" s="148"/>
      <c r="J561" s="148"/>
      <c r="K561" s="148"/>
      <c r="L561" s="148"/>
      <c r="M561" s="148"/>
      <c r="N561" s="148"/>
      <c r="O561" s="148"/>
      <c r="P561" s="148"/>
      <c r="Q561" s="148"/>
      <c r="R561" s="148"/>
      <c r="S561" s="148"/>
    </row>
    <row r="562" ht="15.75" customHeight="1">
      <c r="A562" s="148"/>
      <c r="B562" s="148"/>
      <c r="C562" s="148"/>
      <c r="D562" s="148"/>
      <c r="E562" s="148"/>
      <c r="F562" s="148"/>
      <c r="G562" s="148"/>
      <c r="H562" s="148"/>
      <c r="I562" s="148"/>
      <c r="J562" s="148"/>
      <c r="K562" s="148"/>
      <c r="L562" s="148"/>
      <c r="M562" s="148"/>
      <c r="N562" s="148"/>
      <c r="O562" s="148"/>
      <c r="P562" s="148"/>
      <c r="Q562" s="148"/>
      <c r="R562" s="148"/>
      <c r="S562" s="148"/>
    </row>
    <row r="563" ht="15.75" customHeight="1">
      <c r="A563" s="148"/>
      <c r="B563" s="148"/>
      <c r="C563" s="148"/>
      <c r="D563" s="148"/>
      <c r="E563" s="148"/>
      <c r="F563" s="148"/>
      <c r="G563" s="148"/>
      <c r="H563" s="148"/>
      <c r="I563" s="148"/>
      <c r="J563" s="148"/>
      <c r="K563" s="148"/>
      <c r="L563" s="148"/>
      <c r="M563" s="148"/>
      <c r="N563" s="148"/>
      <c r="O563" s="148"/>
      <c r="P563" s="148"/>
      <c r="Q563" s="148"/>
      <c r="R563" s="148"/>
      <c r="S563" s="148"/>
    </row>
    <row r="564" ht="15.75" customHeight="1">
      <c r="A564" s="148"/>
      <c r="B564" s="148"/>
      <c r="C564" s="148"/>
      <c r="D564" s="148"/>
      <c r="E564" s="148"/>
      <c r="F564" s="148"/>
      <c r="G564" s="148"/>
      <c r="H564" s="148"/>
      <c r="I564" s="148"/>
      <c r="J564" s="148"/>
      <c r="K564" s="148"/>
      <c r="L564" s="148"/>
      <c r="M564" s="148"/>
      <c r="N564" s="148"/>
      <c r="O564" s="148"/>
      <c r="P564" s="148"/>
      <c r="Q564" s="148"/>
      <c r="R564" s="148"/>
      <c r="S564" s="148"/>
    </row>
    <row r="565" ht="15.75" customHeight="1">
      <c r="A565" s="148"/>
      <c r="B565" s="148"/>
      <c r="C565" s="148"/>
      <c r="D565" s="148"/>
      <c r="E565" s="148"/>
      <c r="F565" s="148"/>
      <c r="G565" s="148"/>
      <c r="H565" s="148"/>
      <c r="I565" s="148"/>
      <c r="J565" s="148"/>
      <c r="K565" s="148"/>
      <c r="L565" s="148"/>
      <c r="M565" s="148"/>
      <c r="N565" s="148"/>
      <c r="O565" s="148"/>
      <c r="P565" s="148"/>
      <c r="Q565" s="148"/>
      <c r="R565" s="148"/>
      <c r="S565" s="148"/>
    </row>
    <row r="566" ht="15.75" customHeight="1">
      <c r="A566" s="148"/>
      <c r="B566" s="148"/>
      <c r="C566" s="148"/>
      <c r="D566" s="148"/>
      <c r="E566" s="148"/>
      <c r="F566" s="148"/>
      <c r="G566" s="148"/>
      <c r="H566" s="148"/>
      <c r="I566" s="148"/>
      <c r="J566" s="148"/>
      <c r="K566" s="148"/>
      <c r="L566" s="148"/>
      <c r="M566" s="148"/>
      <c r="N566" s="148"/>
      <c r="O566" s="148"/>
      <c r="P566" s="148"/>
      <c r="Q566" s="148"/>
      <c r="R566" s="148"/>
      <c r="S566" s="148"/>
    </row>
    <row r="567" ht="15.75" customHeight="1">
      <c r="A567" s="148"/>
      <c r="B567" s="148"/>
      <c r="C567" s="148"/>
      <c r="D567" s="148"/>
      <c r="E567" s="148"/>
      <c r="F567" s="148"/>
      <c r="G567" s="148"/>
      <c r="H567" s="148"/>
      <c r="I567" s="148"/>
      <c r="J567" s="148"/>
      <c r="K567" s="148"/>
      <c r="L567" s="148"/>
      <c r="M567" s="148"/>
      <c r="N567" s="148"/>
      <c r="O567" s="148"/>
      <c r="P567" s="148"/>
      <c r="Q567" s="148"/>
      <c r="R567" s="148"/>
      <c r="S567" s="148"/>
    </row>
    <row r="568" ht="15.75" customHeight="1">
      <c r="A568" s="148"/>
      <c r="B568" s="148"/>
      <c r="C568" s="148"/>
      <c r="D568" s="148"/>
      <c r="E568" s="148"/>
      <c r="F568" s="148"/>
      <c r="G568" s="148"/>
      <c r="H568" s="148"/>
      <c r="I568" s="148"/>
      <c r="J568" s="148"/>
      <c r="K568" s="148"/>
      <c r="L568" s="148"/>
      <c r="M568" s="148"/>
      <c r="N568" s="148"/>
      <c r="O568" s="148"/>
      <c r="P568" s="148"/>
      <c r="Q568" s="148"/>
      <c r="R568" s="148"/>
      <c r="S568" s="148"/>
    </row>
    <row r="569" ht="15.75" customHeight="1">
      <c r="A569" s="148"/>
      <c r="B569" s="148"/>
      <c r="C569" s="148"/>
      <c r="D569" s="148"/>
      <c r="E569" s="148"/>
      <c r="F569" s="148"/>
      <c r="G569" s="148"/>
      <c r="H569" s="148"/>
      <c r="I569" s="148"/>
      <c r="J569" s="148"/>
      <c r="K569" s="148"/>
      <c r="L569" s="148"/>
      <c r="M569" s="148"/>
      <c r="N569" s="148"/>
      <c r="O569" s="148"/>
      <c r="P569" s="148"/>
      <c r="Q569" s="148"/>
      <c r="R569" s="148"/>
      <c r="S569" s="148"/>
    </row>
    <row r="570" ht="15.75" customHeight="1">
      <c r="A570" s="148"/>
      <c r="B570" s="148"/>
      <c r="C570" s="148"/>
      <c r="D570" s="148"/>
      <c r="E570" s="148"/>
      <c r="F570" s="148"/>
      <c r="G570" s="148"/>
      <c r="H570" s="148"/>
      <c r="I570" s="148"/>
      <c r="J570" s="148"/>
      <c r="K570" s="148"/>
      <c r="L570" s="148"/>
      <c r="M570" s="148"/>
      <c r="N570" s="148"/>
      <c r="O570" s="148"/>
      <c r="P570" s="148"/>
      <c r="Q570" s="148"/>
      <c r="R570" s="148"/>
      <c r="S570" s="148"/>
    </row>
    <row r="571" ht="15.75" customHeight="1">
      <c r="A571" s="148"/>
      <c r="B571" s="148"/>
      <c r="C571" s="148"/>
      <c r="D571" s="148"/>
      <c r="E571" s="148"/>
      <c r="F571" s="148"/>
      <c r="G571" s="148"/>
      <c r="H571" s="148"/>
      <c r="I571" s="148"/>
      <c r="J571" s="148"/>
      <c r="K571" s="148"/>
      <c r="L571" s="148"/>
      <c r="M571" s="148"/>
      <c r="N571" s="148"/>
      <c r="O571" s="148"/>
      <c r="P571" s="148"/>
      <c r="Q571" s="148"/>
      <c r="R571" s="148"/>
      <c r="S571" s="148"/>
    </row>
    <row r="572" ht="15.75" customHeight="1">
      <c r="A572" s="148"/>
      <c r="B572" s="148"/>
      <c r="C572" s="148"/>
      <c r="D572" s="148"/>
      <c r="E572" s="148"/>
      <c r="F572" s="148"/>
      <c r="G572" s="148"/>
      <c r="H572" s="148"/>
      <c r="I572" s="148"/>
      <c r="J572" s="148"/>
      <c r="K572" s="148"/>
      <c r="L572" s="148"/>
      <c r="M572" s="148"/>
      <c r="N572" s="148"/>
      <c r="O572" s="148"/>
      <c r="P572" s="148"/>
      <c r="Q572" s="148"/>
      <c r="R572" s="148"/>
      <c r="S572" s="148"/>
    </row>
    <row r="573" ht="15.75" customHeight="1">
      <c r="A573" s="148"/>
      <c r="B573" s="148"/>
      <c r="C573" s="148"/>
      <c r="D573" s="148"/>
      <c r="E573" s="148"/>
      <c r="F573" s="148"/>
      <c r="G573" s="148"/>
      <c r="H573" s="148"/>
      <c r="I573" s="148"/>
      <c r="J573" s="148"/>
      <c r="K573" s="148"/>
      <c r="L573" s="148"/>
      <c r="M573" s="148"/>
      <c r="N573" s="148"/>
      <c r="O573" s="148"/>
      <c r="P573" s="148"/>
      <c r="Q573" s="148"/>
      <c r="R573" s="148"/>
      <c r="S573" s="148"/>
    </row>
    <row r="574" ht="15.75" customHeight="1">
      <c r="A574" s="148"/>
      <c r="B574" s="148"/>
      <c r="C574" s="148"/>
      <c r="D574" s="148"/>
      <c r="E574" s="148"/>
      <c r="F574" s="148"/>
      <c r="G574" s="148"/>
      <c r="H574" s="148"/>
      <c r="I574" s="148"/>
      <c r="J574" s="148"/>
      <c r="K574" s="148"/>
      <c r="L574" s="148"/>
      <c r="M574" s="148"/>
      <c r="N574" s="148"/>
      <c r="O574" s="148"/>
      <c r="P574" s="148"/>
      <c r="Q574" s="148"/>
      <c r="R574" s="148"/>
      <c r="S574" s="148"/>
    </row>
    <row r="575" ht="15.75" customHeight="1">
      <c r="A575" s="148"/>
      <c r="B575" s="148"/>
      <c r="C575" s="148"/>
      <c r="D575" s="148"/>
      <c r="E575" s="148"/>
      <c r="F575" s="148"/>
      <c r="G575" s="148"/>
      <c r="H575" s="148"/>
      <c r="I575" s="148"/>
      <c r="J575" s="148"/>
      <c r="K575" s="148"/>
      <c r="L575" s="148"/>
      <c r="M575" s="148"/>
      <c r="N575" s="148"/>
      <c r="O575" s="148"/>
      <c r="P575" s="148"/>
      <c r="Q575" s="148"/>
      <c r="R575" s="148"/>
      <c r="S575" s="148"/>
    </row>
    <row r="576" ht="15.75" customHeight="1">
      <c r="A576" s="148"/>
      <c r="B576" s="148"/>
      <c r="C576" s="148"/>
      <c r="D576" s="148"/>
      <c r="E576" s="148"/>
      <c r="F576" s="148"/>
      <c r="G576" s="148"/>
      <c r="H576" s="148"/>
      <c r="I576" s="148"/>
      <c r="J576" s="148"/>
      <c r="K576" s="148"/>
      <c r="L576" s="148"/>
      <c r="M576" s="148"/>
      <c r="N576" s="148"/>
      <c r="O576" s="148"/>
      <c r="P576" s="148"/>
      <c r="Q576" s="148"/>
      <c r="R576" s="148"/>
      <c r="S576" s="148"/>
    </row>
    <row r="577" ht="15.75" customHeight="1">
      <c r="A577" s="148"/>
      <c r="B577" s="148"/>
      <c r="C577" s="148"/>
      <c r="D577" s="148"/>
      <c r="E577" s="148"/>
      <c r="F577" s="148"/>
      <c r="G577" s="148"/>
      <c r="H577" s="148"/>
      <c r="I577" s="148"/>
      <c r="J577" s="148"/>
      <c r="K577" s="148"/>
      <c r="L577" s="148"/>
      <c r="M577" s="148"/>
      <c r="N577" s="148"/>
      <c r="O577" s="148"/>
      <c r="P577" s="148"/>
      <c r="Q577" s="148"/>
      <c r="R577" s="148"/>
      <c r="S577" s="148"/>
    </row>
    <row r="578" ht="15.75" customHeight="1">
      <c r="A578" s="148"/>
      <c r="B578" s="148"/>
      <c r="C578" s="148"/>
      <c r="D578" s="148"/>
      <c r="E578" s="148"/>
      <c r="F578" s="148"/>
      <c r="G578" s="148"/>
      <c r="H578" s="148"/>
      <c r="I578" s="148"/>
      <c r="J578" s="148"/>
      <c r="K578" s="148"/>
      <c r="L578" s="148"/>
      <c r="M578" s="148"/>
      <c r="N578" s="148"/>
      <c r="O578" s="148"/>
      <c r="P578" s="148"/>
      <c r="Q578" s="148"/>
      <c r="R578" s="148"/>
      <c r="S578" s="148"/>
    </row>
    <row r="579" ht="15.75" customHeight="1">
      <c r="A579" s="148"/>
      <c r="B579" s="148"/>
      <c r="C579" s="148"/>
      <c r="D579" s="148"/>
      <c r="E579" s="148"/>
      <c r="F579" s="148"/>
      <c r="G579" s="148"/>
      <c r="H579" s="148"/>
      <c r="I579" s="148"/>
      <c r="J579" s="148"/>
      <c r="K579" s="148"/>
      <c r="L579" s="148"/>
      <c r="M579" s="148"/>
      <c r="N579" s="148"/>
      <c r="O579" s="148"/>
      <c r="P579" s="148"/>
      <c r="Q579" s="148"/>
      <c r="R579" s="148"/>
      <c r="S579" s="148"/>
    </row>
    <row r="580" ht="15.75" customHeight="1">
      <c r="A580" s="148"/>
      <c r="B580" s="148"/>
      <c r="C580" s="148"/>
      <c r="D580" s="148"/>
      <c r="E580" s="148"/>
      <c r="F580" s="148"/>
      <c r="G580" s="148"/>
      <c r="H580" s="148"/>
      <c r="I580" s="148"/>
      <c r="J580" s="148"/>
      <c r="K580" s="148"/>
      <c r="L580" s="148"/>
      <c r="M580" s="148"/>
      <c r="N580" s="148"/>
      <c r="O580" s="148"/>
      <c r="P580" s="148"/>
      <c r="Q580" s="148"/>
      <c r="R580" s="148"/>
      <c r="S580" s="148"/>
    </row>
    <row r="581" ht="15.75" customHeight="1">
      <c r="A581" s="148"/>
      <c r="B581" s="148"/>
      <c r="C581" s="148"/>
      <c r="D581" s="148"/>
      <c r="E581" s="148"/>
      <c r="F581" s="148"/>
      <c r="G581" s="148"/>
      <c r="H581" s="148"/>
      <c r="I581" s="148"/>
      <c r="J581" s="148"/>
      <c r="K581" s="148"/>
      <c r="L581" s="148"/>
      <c r="M581" s="148"/>
      <c r="N581" s="148"/>
      <c r="O581" s="148"/>
      <c r="P581" s="148"/>
      <c r="Q581" s="148"/>
      <c r="R581" s="148"/>
      <c r="S581" s="148"/>
    </row>
    <row r="582" ht="15.75" customHeight="1">
      <c r="A582" s="148"/>
      <c r="B582" s="148"/>
      <c r="C582" s="148"/>
      <c r="D582" s="148"/>
      <c r="E582" s="148"/>
      <c r="F582" s="148"/>
      <c r="G582" s="148"/>
      <c r="H582" s="148"/>
      <c r="I582" s="148"/>
      <c r="J582" s="148"/>
      <c r="K582" s="148"/>
      <c r="L582" s="148"/>
      <c r="M582" s="148"/>
      <c r="N582" s="148"/>
      <c r="O582" s="148"/>
      <c r="P582" s="148"/>
      <c r="Q582" s="148"/>
      <c r="R582" s="148"/>
      <c r="S582" s="148"/>
    </row>
    <row r="583" ht="15.75" customHeight="1">
      <c r="A583" s="148"/>
      <c r="B583" s="148"/>
      <c r="C583" s="148"/>
      <c r="D583" s="148"/>
      <c r="E583" s="148"/>
      <c r="F583" s="148"/>
      <c r="G583" s="148"/>
      <c r="H583" s="148"/>
      <c r="I583" s="148"/>
      <c r="J583" s="148"/>
      <c r="K583" s="148"/>
      <c r="L583" s="148"/>
      <c r="M583" s="148"/>
      <c r="N583" s="148"/>
      <c r="O583" s="148"/>
      <c r="P583" s="148"/>
      <c r="Q583" s="148"/>
      <c r="R583" s="148"/>
      <c r="S583" s="148"/>
    </row>
    <row r="584" ht="15.75" customHeight="1">
      <c r="A584" s="148"/>
      <c r="B584" s="148"/>
      <c r="C584" s="148"/>
      <c r="D584" s="148"/>
      <c r="E584" s="148"/>
      <c r="F584" s="148"/>
      <c r="G584" s="148"/>
      <c r="H584" s="148"/>
      <c r="I584" s="148"/>
      <c r="J584" s="148"/>
      <c r="K584" s="148"/>
      <c r="L584" s="148"/>
      <c r="M584" s="148"/>
      <c r="N584" s="148"/>
      <c r="O584" s="148"/>
      <c r="P584" s="148"/>
      <c r="Q584" s="148"/>
      <c r="R584" s="148"/>
      <c r="S584" s="148"/>
    </row>
    <row r="585" ht="15.75" customHeight="1">
      <c r="A585" s="148"/>
      <c r="B585" s="148"/>
      <c r="C585" s="148"/>
      <c r="D585" s="148"/>
      <c r="E585" s="148"/>
      <c r="F585" s="148"/>
      <c r="G585" s="148"/>
      <c r="H585" s="148"/>
      <c r="I585" s="148"/>
      <c r="J585" s="148"/>
      <c r="K585" s="148"/>
      <c r="L585" s="148"/>
      <c r="M585" s="148"/>
      <c r="N585" s="148"/>
      <c r="O585" s="148"/>
      <c r="P585" s="148"/>
      <c r="Q585" s="148"/>
      <c r="R585" s="148"/>
      <c r="S585" s="148"/>
    </row>
    <row r="586" ht="15.75" customHeight="1">
      <c r="A586" s="148"/>
      <c r="B586" s="148"/>
      <c r="C586" s="148"/>
      <c r="D586" s="148"/>
      <c r="E586" s="148"/>
      <c r="F586" s="148"/>
      <c r="G586" s="148"/>
      <c r="H586" s="148"/>
      <c r="I586" s="148"/>
      <c r="J586" s="148"/>
      <c r="K586" s="148"/>
      <c r="L586" s="148"/>
      <c r="M586" s="148"/>
      <c r="N586" s="148"/>
      <c r="O586" s="148"/>
      <c r="P586" s="148"/>
      <c r="Q586" s="148"/>
      <c r="R586" s="148"/>
      <c r="S586" s="148"/>
    </row>
    <row r="587" ht="15.75" customHeight="1">
      <c r="A587" s="148"/>
      <c r="B587" s="148"/>
      <c r="C587" s="148"/>
      <c r="D587" s="148"/>
      <c r="E587" s="148"/>
      <c r="F587" s="148"/>
      <c r="G587" s="148"/>
      <c r="H587" s="148"/>
      <c r="I587" s="148"/>
      <c r="J587" s="148"/>
      <c r="K587" s="148"/>
      <c r="L587" s="148"/>
      <c r="M587" s="148"/>
      <c r="N587" s="148"/>
      <c r="O587" s="148"/>
      <c r="P587" s="148"/>
      <c r="Q587" s="148"/>
      <c r="R587" s="148"/>
      <c r="S587" s="148"/>
    </row>
    <row r="588" ht="15.75" customHeight="1">
      <c r="A588" s="148"/>
      <c r="B588" s="148"/>
      <c r="C588" s="148"/>
      <c r="D588" s="148"/>
      <c r="E588" s="148"/>
      <c r="F588" s="148"/>
      <c r="G588" s="148"/>
      <c r="H588" s="148"/>
      <c r="I588" s="148"/>
      <c r="J588" s="148"/>
      <c r="K588" s="148"/>
      <c r="L588" s="148"/>
      <c r="M588" s="148"/>
      <c r="N588" s="148"/>
      <c r="O588" s="148"/>
      <c r="P588" s="148"/>
      <c r="Q588" s="148"/>
      <c r="R588" s="148"/>
      <c r="S588" s="148"/>
    </row>
    <row r="589" ht="15.75" customHeight="1">
      <c r="A589" s="148"/>
      <c r="B589" s="148"/>
      <c r="C589" s="148"/>
      <c r="D589" s="148"/>
      <c r="E589" s="148"/>
      <c r="F589" s="148"/>
      <c r="G589" s="148"/>
      <c r="H589" s="148"/>
      <c r="I589" s="148"/>
      <c r="J589" s="148"/>
      <c r="K589" s="148"/>
      <c r="L589" s="148"/>
      <c r="M589" s="148"/>
      <c r="N589" s="148"/>
      <c r="O589" s="148"/>
      <c r="P589" s="148"/>
      <c r="Q589" s="148"/>
      <c r="R589" s="148"/>
      <c r="S589" s="148"/>
    </row>
    <row r="590" ht="15.75" customHeight="1">
      <c r="A590" s="148"/>
      <c r="B590" s="148"/>
      <c r="C590" s="148"/>
      <c r="D590" s="148"/>
      <c r="E590" s="148"/>
      <c r="F590" s="148"/>
      <c r="G590" s="148"/>
      <c r="H590" s="148"/>
      <c r="I590" s="148"/>
      <c r="J590" s="148"/>
      <c r="K590" s="148"/>
      <c r="L590" s="148"/>
      <c r="M590" s="148"/>
      <c r="N590" s="148"/>
      <c r="O590" s="148"/>
      <c r="P590" s="148"/>
      <c r="Q590" s="148"/>
      <c r="R590" s="148"/>
      <c r="S590" s="148"/>
    </row>
    <row r="591" ht="15.75" customHeight="1">
      <c r="A591" s="148"/>
      <c r="B591" s="148"/>
      <c r="C591" s="148"/>
      <c r="D591" s="148"/>
      <c r="E591" s="148"/>
      <c r="F591" s="148"/>
      <c r="G591" s="148"/>
      <c r="H591" s="148"/>
      <c r="I591" s="148"/>
      <c r="J591" s="148"/>
      <c r="K591" s="148"/>
      <c r="L591" s="148"/>
      <c r="M591" s="148"/>
      <c r="N591" s="148"/>
      <c r="O591" s="148"/>
      <c r="P591" s="148"/>
      <c r="Q591" s="148"/>
      <c r="R591" s="148"/>
      <c r="S591" s="148"/>
    </row>
    <row r="592" ht="15.75" customHeight="1">
      <c r="A592" s="148"/>
      <c r="B592" s="148"/>
      <c r="C592" s="148"/>
      <c r="D592" s="148"/>
      <c r="E592" s="148"/>
      <c r="F592" s="148"/>
      <c r="G592" s="148"/>
      <c r="H592" s="148"/>
      <c r="I592" s="148"/>
      <c r="J592" s="148"/>
      <c r="K592" s="148"/>
      <c r="L592" s="148"/>
      <c r="M592" s="148"/>
      <c r="N592" s="148"/>
      <c r="O592" s="148"/>
      <c r="P592" s="148"/>
      <c r="Q592" s="148"/>
      <c r="R592" s="148"/>
      <c r="S592" s="148"/>
    </row>
    <row r="593" ht="15.75" customHeight="1">
      <c r="A593" s="148"/>
      <c r="B593" s="148"/>
      <c r="C593" s="148"/>
      <c r="D593" s="148"/>
      <c r="E593" s="148"/>
      <c r="F593" s="148"/>
      <c r="G593" s="148"/>
      <c r="H593" s="148"/>
      <c r="I593" s="148"/>
      <c r="J593" s="148"/>
      <c r="K593" s="148"/>
      <c r="L593" s="148"/>
      <c r="M593" s="148"/>
      <c r="N593" s="148"/>
      <c r="O593" s="148"/>
      <c r="P593" s="148"/>
      <c r="Q593" s="148"/>
      <c r="R593" s="148"/>
      <c r="S593" s="148"/>
    </row>
    <row r="594" ht="15.75" customHeight="1">
      <c r="A594" s="148"/>
      <c r="B594" s="148"/>
      <c r="C594" s="148"/>
      <c r="D594" s="148"/>
      <c r="E594" s="148"/>
      <c r="F594" s="148"/>
      <c r="G594" s="148"/>
      <c r="H594" s="148"/>
      <c r="I594" s="148"/>
      <c r="J594" s="148"/>
      <c r="K594" s="148"/>
      <c r="L594" s="148"/>
      <c r="M594" s="148"/>
      <c r="N594" s="148"/>
      <c r="O594" s="148"/>
      <c r="P594" s="148"/>
      <c r="Q594" s="148"/>
      <c r="R594" s="148"/>
      <c r="S594" s="148"/>
    </row>
    <row r="595" ht="15.75" customHeight="1">
      <c r="A595" s="148"/>
      <c r="B595" s="148"/>
      <c r="C595" s="148"/>
      <c r="D595" s="148"/>
      <c r="E595" s="148"/>
      <c r="F595" s="148"/>
      <c r="G595" s="148"/>
      <c r="H595" s="148"/>
      <c r="I595" s="148"/>
      <c r="J595" s="148"/>
      <c r="K595" s="148"/>
      <c r="L595" s="148"/>
      <c r="M595" s="148"/>
      <c r="N595" s="148"/>
      <c r="O595" s="148"/>
      <c r="P595" s="148"/>
      <c r="Q595" s="148"/>
      <c r="R595" s="148"/>
      <c r="S595" s="148"/>
    </row>
    <row r="596" ht="15.75" customHeight="1">
      <c r="A596" s="148"/>
      <c r="B596" s="148"/>
      <c r="C596" s="148"/>
      <c r="D596" s="148"/>
      <c r="E596" s="148"/>
      <c r="F596" s="148"/>
      <c r="G596" s="148"/>
      <c r="H596" s="148"/>
      <c r="I596" s="148"/>
      <c r="J596" s="148"/>
      <c r="K596" s="148"/>
      <c r="L596" s="148"/>
      <c r="M596" s="148"/>
      <c r="N596" s="148"/>
      <c r="O596" s="148"/>
      <c r="P596" s="148"/>
      <c r="Q596" s="148"/>
      <c r="R596" s="148"/>
      <c r="S596" s="148"/>
    </row>
    <row r="597" ht="15.75" customHeight="1">
      <c r="A597" s="148"/>
      <c r="B597" s="148"/>
      <c r="C597" s="148"/>
      <c r="D597" s="148"/>
      <c r="E597" s="148"/>
      <c r="F597" s="148"/>
      <c r="G597" s="148"/>
      <c r="H597" s="148"/>
      <c r="I597" s="148"/>
      <c r="J597" s="148"/>
      <c r="K597" s="148"/>
      <c r="L597" s="148"/>
      <c r="M597" s="148"/>
      <c r="N597" s="148"/>
      <c r="O597" s="148"/>
      <c r="P597" s="148"/>
      <c r="Q597" s="148"/>
      <c r="R597" s="148"/>
      <c r="S597" s="148"/>
    </row>
    <row r="598" ht="15.75" customHeight="1">
      <c r="A598" s="148"/>
      <c r="B598" s="148"/>
      <c r="C598" s="148"/>
      <c r="D598" s="148"/>
      <c r="E598" s="148"/>
      <c r="F598" s="148"/>
      <c r="G598" s="148"/>
      <c r="H598" s="148"/>
      <c r="I598" s="148"/>
      <c r="J598" s="148"/>
      <c r="K598" s="148"/>
      <c r="L598" s="148"/>
      <c r="M598" s="148"/>
      <c r="N598" s="148"/>
      <c r="O598" s="148"/>
      <c r="P598" s="148"/>
      <c r="Q598" s="148"/>
      <c r="R598" s="148"/>
      <c r="S598" s="148"/>
    </row>
    <row r="599" ht="15.75" customHeight="1">
      <c r="A599" s="148"/>
      <c r="B599" s="148"/>
      <c r="C599" s="148"/>
      <c r="D599" s="148"/>
      <c r="E599" s="148"/>
      <c r="F599" s="148"/>
      <c r="G599" s="148"/>
      <c r="H599" s="148"/>
      <c r="I599" s="148"/>
      <c r="J599" s="148"/>
      <c r="K599" s="148"/>
      <c r="L599" s="148"/>
      <c r="M599" s="148"/>
      <c r="N599" s="148"/>
      <c r="O599" s="148"/>
      <c r="P599" s="148"/>
      <c r="Q599" s="148"/>
      <c r="R599" s="148"/>
      <c r="S599" s="148"/>
    </row>
    <row r="600" ht="15.75" customHeight="1">
      <c r="A600" s="148"/>
      <c r="B600" s="148"/>
      <c r="C600" s="148"/>
      <c r="D600" s="148"/>
      <c r="E600" s="148"/>
      <c r="F600" s="148"/>
      <c r="G600" s="148"/>
      <c r="H600" s="148"/>
      <c r="I600" s="148"/>
      <c r="J600" s="148"/>
      <c r="K600" s="148"/>
      <c r="L600" s="148"/>
      <c r="M600" s="148"/>
      <c r="N600" s="148"/>
      <c r="O600" s="148"/>
      <c r="P600" s="148"/>
      <c r="Q600" s="148"/>
      <c r="R600" s="148"/>
      <c r="S600" s="148"/>
    </row>
    <row r="601" ht="15.75" customHeight="1">
      <c r="A601" s="148"/>
      <c r="B601" s="148"/>
      <c r="C601" s="148"/>
      <c r="D601" s="148"/>
      <c r="E601" s="148"/>
      <c r="F601" s="148"/>
      <c r="G601" s="148"/>
      <c r="H601" s="148"/>
      <c r="I601" s="148"/>
      <c r="J601" s="148"/>
      <c r="K601" s="148"/>
      <c r="L601" s="148"/>
      <c r="M601" s="148"/>
      <c r="N601" s="148"/>
      <c r="O601" s="148"/>
      <c r="P601" s="148"/>
      <c r="Q601" s="148"/>
      <c r="R601" s="148"/>
      <c r="S601" s="148"/>
    </row>
    <row r="602" ht="15.75" customHeight="1">
      <c r="A602" s="148"/>
      <c r="B602" s="148"/>
      <c r="C602" s="148"/>
      <c r="D602" s="148"/>
      <c r="E602" s="148"/>
      <c r="F602" s="148"/>
      <c r="G602" s="148"/>
      <c r="H602" s="148"/>
      <c r="I602" s="148"/>
      <c r="J602" s="148"/>
      <c r="K602" s="148"/>
      <c r="L602" s="148"/>
      <c r="M602" s="148"/>
      <c r="N602" s="148"/>
      <c r="O602" s="148"/>
      <c r="P602" s="148"/>
      <c r="Q602" s="148"/>
      <c r="R602" s="148"/>
      <c r="S602" s="148"/>
    </row>
    <row r="603" ht="15.75" customHeight="1">
      <c r="A603" s="148"/>
      <c r="B603" s="148"/>
      <c r="C603" s="148"/>
      <c r="D603" s="148"/>
      <c r="E603" s="148"/>
      <c r="F603" s="148"/>
      <c r="G603" s="148"/>
      <c r="H603" s="148"/>
      <c r="I603" s="148"/>
      <c r="J603" s="148"/>
      <c r="K603" s="148"/>
      <c r="L603" s="148"/>
      <c r="M603" s="148"/>
      <c r="N603" s="148"/>
      <c r="O603" s="148"/>
      <c r="P603" s="148"/>
      <c r="Q603" s="148"/>
      <c r="R603" s="148"/>
      <c r="S603" s="148"/>
    </row>
    <row r="604" ht="15.75" customHeight="1">
      <c r="A604" s="148"/>
      <c r="B604" s="148"/>
      <c r="C604" s="148"/>
      <c r="D604" s="148"/>
      <c r="E604" s="148"/>
      <c r="F604" s="148"/>
      <c r="G604" s="148"/>
      <c r="H604" s="148"/>
      <c r="I604" s="148"/>
      <c r="J604" s="148"/>
      <c r="K604" s="148"/>
      <c r="L604" s="148"/>
      <c r="M604" s="148"/>
      <c r="N604" s="148"/>
      <c r="O604" s="148"/>
      <c r="P604" s="148"/>
      <c r="Q604" s="148"/>
      <c r="R604" s="148"/>
      <c r="S604" s="148"/>
    </row>
    <row r="605" ht="15.75" customHeight="1">
      <c r="A605" s="148"/>
      <c r="B605" s="148"/>
      <c r="C605" s="148"/>
      <c r="D605" s="148"/>
      <c r="E605" s="148"/>
      <c r="F605" s="148"/>
      <c r="G605" s="148"/>
      <c r="H605" s="148"/>
      <c r="I605" s="148"/>
      <c r="J605" s="148"/>
      <c r="K605" s="148"/>
      <c r="L605" s="148"/>
      <c r="M605" s="148"/>
      <c r="N605" s="148"/>
      <c r="O605" s="148"/>
      <c r="P605" s="148"/>
      <c r="Q605" s="148"/>
      <c r="R605" s="148"/>
      <c r="S605" s="148"/>
    </row>
    <row r="606" ht="15.75" customHeight="1">
      <c r="A606" s="148"/>
      <c r="B606" s="148"/>
      <c r="C606" s="148"/>
      <c r="D606" s="148"/>
      <c r="E606" s="148"/>
      <c r="F606" s="148"/>
      <c r="G606" s="148"/>
      <c r="H606" s="148"/>
      <c r="I606" s="148"/>
      <c r="J606" s="148"/>
      <c r="K606" s="148"/>
      <c r="L606" s="148"/>
      <c r="M606" s="148"/>
      <c r="N606" s="148"/>
      <c r="O606" s="148"/>
      <c r="P606" s="148"/>
      <c r="Q606" s="148"/>
      <c r="R606" s="148"/>
      <c r="S606" s="148"/>
    </row>
    <row r="607" ht="15.75" customHeight="1">
      <c r="A607" s="148"/>
      <c r="B607" s="148"/>
      <c r="C607" s="148"/>
      <c r="D607" s="148"/>
      <c r="E607" s="148"/>
      <c r="F607" s="148"/>
      <c r="G607" s="148"/>
      <c r="H607" s="148"/>
      <c r="I607" s="148"/>
      <c r="J607" s="148"/>
      <c r="K607" s="148"/>
      <c r="L607" s="148"/>
      <c r="M607" s="148"/>
      <c r="N607" s="148"/>
      <c r="O607" s="148"/>
      <c r="P607" s="148"/>
      <c r="Q607" s="148"/>
      <c r="R607" s="148"/>
      <c r="S607" s="148"/>
    </row>
    <row r="608" ht="15.75" customHeight="1">
      <c r="A608" s="148"/>
      <c r="B608" s="148"/>
      <c r="C608" s="148"/>
      <c r="D608" s="148"/>
      <c r="E608" s="148"/>
      <c r="F608" s="148"/>
      <c r="G608" s="148"/>
      <c r="H608" s="148"/>
      <c r="I608" s="148"/>
      <c r="J608" s="148"/>
      <c r="K608" s="148"/>
      <c r="L608" s="148"/>
      <c r="M608" s="148"/>
      <c r="N608" s="148"/>
      <c r="O608" s="148"/>
      <c r="P608" s="148"/>
      <c r="Q608" s="148"/>
      <c r="R608" s="148"/>
      <c r="S608" s="148"/>
    </row>
    <row r="609" ht="15.75" customHeight="1">
      <c r="A609" s="148"/>
      <c r="B609" s="148"/>
      <c r="C609" s="148"/>
      <c r="D609" s="148"/>
      <c r="E609" s="148"/>
      <c r="F609" s="148"/>
      <c r="G609" s="148"/>
      <c r="H609" s="148"/>
      <c r="I609" s="148"/>
      <c r="J609" s="148"/>
      <c r="K609" s="148"/>
      <c r="L609" s="148"/>
      <c r="M609" s="148"/>
      <c r="N609" s="148"/>
      <c r="O609" s="148"/>
      <c r="P609" s="148"/>
      <c r="Q609" s="148"/>
      <c r="R609" s="148"/>
      <c r="S609" s="148"/>
    </row>
    <row r="610" ht="15.75" customHeight="1">
      <c r="A610" s="148"/>
      <c r="B610" s="148"/>
      <c r="C610" s="148"/>
      <c r="D610" s="148"/>
      <c r="E610" s="148"/>
      <c r="F610" s="148"/>
      <c r="G610" s="148"/>
      <c r="H610" s="148"/>
      <c r="I610" s="148"/>
      <c r="J610" s="148"/>
      <c r="K610" s="148"/>
      <c r="L610" s="148"/>
      <c r="M610" s="148"/>
      <c r="N610" s="148"/>
      <c r="O610" s="148"/>
      <c r="P610" s="148"/>
      <c r="Q610" s="148"/>
      <c r="R610" s="148"/>
      <c r="S610" s="148"/>
    </row>
    <row r="611" ht="15.75" customHeight="1">
      <c r="A611" s="148"/>
      <c r="B611" s="148"/>
      <c r="C611" s="148"/>
      <c r="D611" s="148"/>
      <c r="E611" s="148"/>
      <c r="F611" s="148"/>
      <c r="G611" s="148"/>
      <c r="H611" s="148"/>
      <c r="I611" s="148"/>
      <c r="J611" s="148"/>
      <c r="K611" s="148"/>
      <c r="L611" s="148"/>
      <c r="M611" s="148"/>
      <c r="N611" s="148"/>
      <c r="O611" s="148"/>
      <c r="P611" s="148"/>
      <c r="Q611" s="148"/>
      <c r="R611" s="148"/>
      <c r="S611" s="148"/>
    </row>
    <row r="612" ht="15.75" customHeight="1">
      <c r="A612" s="148"/>
      <c r="B612" s="148"/>
      <c r="C612" s="148"/>
      <c r="D612" s="148"/>
      <c r="E612" s="148"/>
      <c r="F612" s="148"/>
      <c r="G612" s="148"/>
      <c r="H612" s="148"/>
      <c r="I612" s="148"/>
      <c r="J612" s="148"/>
      <c r="K612" s="148"/>
      <c r="L612" s="148"/>
      <c r="M612" s="148"/>
      <c r="N612" s="148"/>
      <c r="O612" s="148"/>
      <c r="P612" s="148"/>
      <c r="Q612" s="148"/>
      <c r="R612" s="148"/>
      <c r="S612" s="148"/>
    </row>
    <row r="613" ht="15.75" customHeight="1">
      <c r="A613" s="148"/>
      <c r="B613" s="148"/>
      <c r="C613" s="148"/>
      <c r="D613" s="148"/>
      <c r="E613" s="148"/>
      <c r="F613" s="148"/>
      <c r="G613" s="148"/>
      <c r="H613" s="148"/>
      <c r="I613" s="148"/>
      <c r="J613" s="148"/>
      <c r="K613" s="148"/>
      <c r="L613" s="148"/>
      <c r="M613" s="148"/>
      <c r="N613" s="148"/>
      <c r="O613" s="148"/>
      <c r="P613" s="148"/>
      <c r="Q613" s="148"/>
      <c r="R613" s="148"/>
      <c r="S613" s="148"/>
    </row>
    <row r="614" ht="15.75" customHeight="1">
      <c r="A614" s="148"/>
      <c r="B614" s="148"/>
      <c r="C614" s="148"/>
      <c r="D614" s="148"/>
      <c r="E614" s="148"/>
      <c r="F614" s="148"/>
      <c r="G614" s="148"/>
      <c r="H614" s="148"/>
      <c r="I614" s="148"/>
      <c r="J614" s="148"/>
      <c r="K614" s="148"/>
      <c r="L614" s="148"/>
      <c r="M614" s="148"/>
      <c r="N614" s="148"/>
      <c r="O614" s="148"/>
      <c r="P614" s="148"/>
      <c r="Q614" s="148"/>
      <c r="R614" s="148"/>
      <c r="S614" s="148"/>
    </row>
    <row r="615" ht="15.75" customHeight="1">
      <c r="A615" s="148"/>
      <c r="B615" s="148"/>
      <c r="C615" s="148"/>
      <c r="D615" s="148"/>
      <c r="E615" s="148"/>
      <c r="F615" s="148"/>
      <c r="G615" s="148"/>
      <c r="H615" s="148"/>
      <c r="I615" s="148"/>
      <c r="J615" s="148"/>
      <c r="K615" s="148"/>
      <c r="L615" s="148"/>
      <c r="M615" s="148"/>
      <c r="N615" s="148"/>
      <c r="O615" s="148"/>
      <c r="P615" s="148"/>
      <c r="Q615" s="148"/>
      <c r="R615" s="148"/>
      <c r="S615" s="148"/>
    </row>
    <row r="616" ht="15.75" customHeight="1">
      <c r="A616" s="148"/>
      <c r="B616" s="148"/>
      <c r="C616" s="148"/>
      <c r="D616" s="148"/>
      <c r="E616" s="148"/>
      <c r="F616" s="148"/>
      <c r="G616" s="148"/>
      <c r="H616" s="148"/>
      <c r="I616" s="148"/>
      <c r="J616" s="148"/>
      <c r="K616" s="148"/>
      <c r="L616" s="148"/>
      <c r="M616" s="148"/>
      <c r="N616" s="148"/>
      <c r="O616" s="148"/>
      <c r="P616" s="148"/>
      <c r="Q616" s="148"/>
      <c r="R616" s="148"/>
      <c r="S616" s="148"/>
    </row>
    <row r="617" ht="15.75" customHeight="1">
      <c r="A617" s="148"/>
      <c r="B617" s="148"/>
      <c r="C617" s="148"/>
      <c r="D617" s="148"/>
      <c r="E617" s="148"/>
      <c r="F617" s="148"/>
      <c r="G617" s="148"/>
      <c r="H617" s="148"/>
      <c r="I617" s="148"/>
      <c r="J617" s="148"/>
      <c r="K617" s="148"/>
      <c r="L617" s="148"/>
      <c r="M617" s="148"/>
      <c r="N617" s="148"/>
      <c r="O617" s="148"/>
      <c r="P617" s="148"/>
      <c r="Q617" s="148"/>
      <c r="R617" s="148"/>
      <c r="S617" s="148"/>
    </row>
    <row r="618" ht="15.75" customHeight="1">
      <c r="A618" s="148"/>
      <c r="B618" s="148"/>
      <c r="C618" s="148"/>
      <c r="D618" s="148"/>
      <c r="E618" s="148"/>
      <c r="F618" s="148"/>
      <c r="G618" s="148"/>
      <c r="H618" s="148"/>
      <c r="I618" s="148"/>
      <c r="J618" s="148"/>
      <c r="K618" s="148"/>
      <c r="L618" s="148"/>
      <c r="M618" s="148"/>
      <c r="N618" s="148"/>
      <c r="O618" s="148"/>
      <c r="P618" s="148"/>
      <c r="Q618" s="148"/>
      <c r="R618" s="148"/>
      <c r="S618" s="148"/>
    </row>
    <row r="619" ht="15.75" customHeight="1">
      <c r="A619" s="148"/>
      <c r="B619" s="148"/>
      <c r="C619" s="148"/>
      <c r="D619" s="148"/>
      <c r="E619" s="148"/>
      <c r="F619" s="148"/>
      <c r="G619" s="148"/>
      <c r="H619" s="148"/>
      <c r="I619" s="148"/>
      <c r="J619" s="148"/>
      <c r="K619" s="148"/>
      <c r="L619" s="148"/>
      <c r="M619" s="148"/>
      <c r="N619" s="148"/>
      <c r="O619" s="148"/>
      <c r="P619" s="148"/>
      <c r="Q619" s="148"/>
      <c r="R619" s="148"/>
      <c r="S619" s="148"/>
    </row>
    <row r="620" ht="15.75" customHeight="1">
      <c r="A620" s="148"/>
      <c r="B620" s="148"/>
      <c r="C620" s="148"/>
      <c r="D620" s="148"/>
      <c r="E620" s="148"/>
      <c r="F620" s="148"/>
      <c r="G620" s="148"/>
      <c r="H620" s="148"/>
      <c r="I620" s="148"/>
      <c r="J620" s="148"/>
      <c r="K620" s="148"/>
      <c r="L620" s="148"/>
      <c r="M620" s="148"/>
      <c r="N620" s="148"/>
      <c r="O620" s="148"/>
      <c r="P620" s="148"/>
      <c r="Q620" s="148"/>
      <c r="R620" s="148"/>
      <c r="S620" s="148"/>
    </row>
    <row r="621" ht="15.75" customHeight="1">
      <c r="A621" s="148"/>
      <c r="B621" s="148"/>
      <c r="C621" s="148"/>
      <c r="D621" s="148"/>
      <c r="E621" s="148"/>
      <c r="F621" s="148"/>
      <c r="G621" s="148"/>
      <c r="H621" s="148"/>
      <c r="I621" s="148"/>
      <c r="J621" s="148"/>
      <c r="K621" s="148"/>
      <c r="L621" s="148"/>
      <c r="M621" s="148"/>
      <c r="N621" s="148"/>
      <c r="O621" s="148"/>
      <c r="P621" s="148"/>
      <c r="Q621" s="148"/>
      <c r="R621" s="148"/>
      <c r="S621" s="148"/>
    </row>
    <row r="622" ht="15.75" customHeight="1">
      <c r="A622" s="148"/>
      <c r="B622" s="148"/>
      <c r="C622" s="148"/>
      <c r="D622" s="148"/>
      <c r="E622" s="148"/>
      <c r="F622" s="148"/>
      <c r="G622" s="148"/>
      <c r="H622" s="148"/>
      <c r="I622" s="148"/>
      <c r="J622" s="148"/>
      <c r="K622" s="148"/>
      <c r="L622" s="148"/>
      <c r="M622" s="148"/>
      <c r="N622" s="148"/>
      <c r="O622" s="148"/>
      <c r="P622" s="148"/>
      <c r="Q622" s="148"/>
      <c r="R622" s="148"/>
      <c r="S622" s="148"/>
    </row>
    <row r="623" ht="15.75" customHeight="1">
      <c r="A623" s="148"/>
      <c r="B623" s="148"/>
      <c r="C623" s="148"/>
      <c r="D623" s="148"/>
      <c r="E623" s="148"/>
      <c r="F623" s="148"/>
      <c r="G623" s="148"/>
      <c r="H623" s="148"/>
      <c r="I623" s="148"/>
      <c r="J623" s="148"/>
      <c r="K623" s="148"/>
      <c r="L623" s="148"/>
      <c r="M623" s="148"/>
      <c r="N623" s="148"/>
      <c r="O623" s="148"/>
      <c r="P623" s="148"/>
      <c r="Q623" s="148"/>
      <c r="R623" s="148"/>
      <c r="S623" s="148"/>
    </row>
    <row r="624" ht="15.75" customHeight="1">
      <c r="A624" s="148"/>
      <c r="B624" s="148"/>
      <c r="C624" s="148"/>
      <c r="D624" s="148"/>
      <c r="E624" s="148"/>
      <c r="F624" s="148"/>
      <c r="G624" s="148"/>
      <c r="H624" s="148"/>
      <c r="I624" s="148"/>
      <c r="J624" s="148"/>
      <c r="K624" s="148"/>
      <c r="L624" s="148"/>
      <c r="M624" s="148"/>
      <c r="N624" s="148"/>
      <c r="O624" s="148"/>
      <c r="P624" s="148"/>
      <c r="Q624" s="148"/>
      <c r="R624" s="148"/>
      <c r="S624" s="148"/>
    </row>
    <row r="625" ht="15.75" customHeight="1">
      <c r="A625" s="148"/>
      <c r="B625" s="148"/>
      <c r="C625" s="148"/>
      <c r="D625" s="148"/>
      <c r="E625" s="148"/>
      <c r="F625" s="148"/>
      <c r="G625" s="148"/>
      <c r="H625" s="148"/>
      <c r="I625" s="148"/>
      <c r="J625" s="148"/>
      <c r="K625" s="148"/>
      <c r="L625" s="148"/>
      <c r="M625" s="148"/>
      <c r="N625" s="148"/>
      <c r="O625" s="148"/>
      <c r="P625" s="148"/>
      <c r="Q625" s="148"/>
      <c r="R625" s="148"/>
      <c r="S625" s="148"/>
    </row>
    <row r="626" ht="15.75" customHeight="1">
      <c r="A626" s="148"/>
      <c r="B626" s="148"/>
      <c r="C626" s="148"/>
      <c r="D626" s="148"/>
      <c r="E626" s="148"/>
      <c r="F626" s="148"/>
      <c r="G626" s="148"/>
      <c r="H626" s="148"/>
      <c r="I626" s="148"/>
      <c r="J626" s="148"/>
      <c r="K626" s="148"/>
      <c r="L626" s="148"/>
      <c r="M626" s="148"/>
      <c r="N626" s="148"/>
      <c r="O626" s="148"/>
      <c r="P626" s="148"/>
      <c r="Q626" s="148"/>
      <c r="R626" s="148"/>
      <c r="S626" s="148"/>
    </row>
    <row r="627" ht="15.75" customHeight="1">
      <c r="A627" s="148"/>
      <c r="B627" s="148"/>
      <c r="C627" s="148"/>
      <c r="D627" s="148"/>
      <c r="E627" s="148"/>
      <c r="F627" s="148"/>
      <c r="G627" s="148"/>
      <c r="H627" s="148"/>
      <c r="I627" s="148"/>
      <c r="J627" s="148"/>
      <c r="K627" s="148"/>
      <c r="L627" s="148"/>
      <c r="M627" s="148"/>
      <c r="N627" s="148"/>
      <c r="O627" s="148"/>
      <c r="P627" s="148"/>
      <c r="Q627" s="148"/>
      <c r="R627" s="148"/>
      <c r="S627" s="148"/>
    </row>
    <row r="628" ht="15.75" customHeight="1">
      <c r="A628" s="148"/>
      <c r="B628" s="148"/>
      <c r="C628" s="148"/>
      <c r="D628" s="148"/>
      <c r="E628" s="148"/>
      <c r="F628" s="148"/>
      <c r="G628" s="148"/>
      <c r="H628" s="148"/>
      <c r="I628" s="148"/>
      <c r="J628" s="148"/>
      <c r="K628" s="148"/>
      <c r="L628" s="148"/>
      <c r="M628" s="148"/>
      <c r="N628" s="148"/>
      <c r="O628" s="148"/>
      <c r="P628" s="148"/>
      <c r="Q628" s="148"/>
      <c r="R628" s="148"/>
      <c r="S628" s="148"/>
    </row>
    <row r="629" ht="15.75" customHeight="1">
      <c r="A629" s="148"/>
      <c r="B629" s="148"/>
      <c r="C629" s="148"/>
      <c r="D629" s="148"/>
      <c r="E629" s="148"/>
      <c r="F629" s="148"/>
      <c r="G629" s="148"/>
      <c r="H629" s="148"/>
      <c r="I629" s="148"/>
      <c r="J629" s="148"/>
      <c r="K629" s="148"/>
      <c r="L629" s="148"/>
      <c r="M629" s="148"/>
      <c r="N629" s="148"/>
      <c r="O629" s="148"/>
      <c r="P629" s="148"/>
      <c r="Q629" s="148"/>
      <c r="R629" s="148"/>
      <c r="S629" s="148"/>
    </row>
    <row r="630" ht="15.75" customHeight="1">
      <c r="A630" s="148"/>
      <c r="B630" s="148"/>
      <c r="C630" s="148"/>
      <c r="D630" s="148"/>
      <c r="E630" s="148"/>
      <c r="F630" s="148"/>
      <c r="G630" s="148"/>
      <c r="H630" s="148"/>
      <c r="I630" s="148"/>
      <c r="J630" s="148"/>
      <c r="K630" s="148"/>
      <c r="L630" s="148"/>
      <c r="M630" s="148"/>
      <c r="N630" s="148"/>
      <c r="O630" s="148"/>
      <c r="P630" s="148"/>
      <c r="Q630" s="148"/>
      <c r="R630" s="148"/>
      <c r="S630" s="148"/>
    </row>
    <row r="631" ht="15.75" customHeight="1">
      <c r="A631" s="148"/>
      <c r="B631" s="148"/>
      <c r="C631" s="148"/>
      <c r="D631" s="148"/>
      <c r="E631" s="148"/>
      <c r="F631" s="148"/>
      <c r="G631" s="148"/>
      <c r="H631" s="148"/>
      <c r="I631" s="148"/>
      <c r="J631" s="148"/>
      <c r="K631" s="148"/>
      <c r="L631" s="148"/>
      <c r="M631" s="148"/>
      <c r="N631" s="148"/>
      <c r="O631" s="148"/>
      <c r="P631" s="148"/>
      <c r="Q631" s="148"/>
      <c r="R631" s="148"/>
      <c r="S631" s="148"/>
    </row>
    <row r="632" ht="15.75" customHeight="1">
      <c r="A632" s="148"/>
      <c r="B632" s="148"/>
      <c r="C632" s="148"/>
      <c r="D632" s="148"/>
      <c r="E632" s="148"/>
      <c r="F632" s="148"/>
      <c r="G632" s="148"/>
      <c r="H632" s="148"/>
      <c r="I632" s="148"/>
      <c r="J632" s="148"/>
      <c r="K632" s="148"/>
      <c r="L632" s="148"/>
      <c r="M632" s="148"/>
      <c r="N632" s="148"/>
      <c r="O632" s="148"/>
      <c r="P632" s="148"/>
      <c r="Q632" s="148"/>
      <c r="R632" s="148"/>
      <c r="S632" s="148"/>
    </row>
    <row r="633" ht="15.75" customHeight="1">
      <c r="A633" s="148"/>
      <c r="B633" s="148"/>
      <c r="C633" s="148"/>
      <c r="D633" s="148"/>
      <c r="E633" s="148"/>
      <c r="F633" s="148"/>
      <c r="G633" s="148"/>
      <c r="H633" s="148"/>
      <c r="I633" s="148"/>
      <c r="J633" s="148"/>
      <c r="K633" s="148"/>
      <c r="L633" s="148"/>
      <c r="M633" s="148"/>
      <c r="N633" s="148"/>
      <c r="O633" s="148"/>
      <c r="P633" s="148"/>
      <c r="Q633" s="148"/>
      <c r="R633" s="148"/>
      <c r="S633" s="148"/>
    </row>
    <row r="634" ht="15.75" customHeight="1">
      <c r="A634" s="148"/>
      <c r="B634" s="148"/>
      <c r="C634" s="148"/>
      <c r="D634" s="148"/>
      <c r="E634" s="148"/>
      <c r="F634" s="148"/>
      <c r="G634" s="148"/>
      <c r="H634" s="148"/>
      <c r="I634" s="148"/>
      <c r="J634" s="148"/>
      <c r="K634" s="148"/>
      <c r="L634" s="148"/>
      <c r="M634" s="148"/>
      <c r="N634" s="148"/>
      <c r="O634" s="148"/>
      <c r="P634" s="148"/>
      <c r="Q634" s="148"/>
      <c r="R634" s="148"/>
      <c r="S634" s="148"/>
    </row>
    <row r="635" ht="15.75" customHeight="1">
      <c r="A635" s="148"/>
      <c r="B635" s="148"/>
      <c r="C635" s="148"/>
      <c r="D635" s="148"/>
      <c r="E635" s="148"/>
      <c r="F635" s="148"/>
      <c r="G635" s="148"/>
      <c r="H635" s="148"/>
      <c r="I635" s="148"/>
      <c r="J635" s="148"/>
      <c r="K635" s="148"/>
      <c r="L635" s="148"/>
      <c r="M635" s="148"/>
      <c r="N635" s="148"/>
      <c r="O635" s="148"/>
      <c r="P635" s="148"/>
      <c r="Q635" s="148"/>
      <c r="R635" s="148"/>
      <c r="S635" s="148"/>
    </row>
    <row r="636" ht="15.75" customHeight="1">
      <c r="A636" s="148"/>
      <c r="B636" s="148"/>
      <c r="C636" s="148"/>
      <c r="D636" s="148"/>
      <c r="E636" s="148"/>
      <c r="F636" s="148"/>
      <c r="G636" s="148"/>
      <c r="H636" s="148"/>
      <c r="I636" s="148"/>
      <c r="J636" s="148"/>
      <c r="K636" s="148"/>
      <c r="L636" s="148"/>
      <c r="M636" s="148"/>
      <c r="N636" s="148"/>
      <c r="O636" s="148"/>
      <c r="P636" s="148"/>
      <c r="Q636" s="148"/>
      <c r="R636" s="148"/>
      <c r="S636" s="148"/>
    </row>
    <row r="637" ht="15.75" customHeight="1">
      <c r="A637" s="148"/>
      <c r="B637" s="148"/>
      <c r="C637" s="148"/>
      <c r="D637" s="148"/>
      <c r="E637" s="148"/>
      <c r="F637" s="148"/>
      <c r="G637" s="148"/>
      <c r="H637" s="148"/>
      <c r="I637" s="148"/>
      <c r="J637" s="148"/>
      <c r="K637" s="148"/>
      <c r="L637" s="148"/>
      <c r="M637" s="148"/>
      <c r="N637" s="148"/>
      <c r="O637" s="148"/>
      <c r="P637" s="148"/>
      <c r="Q637" s="148"/>
      <c r="R637" s="148"/>
      <c r="S637" s="148"/>
    </row>
    <row r="638" ht="15.75" customHeight="1">
      <c r="A638" s="148"/>
      <c r="B638" s="148"/>
      <c r="C638" s="148"/>
      <c r="D638" s="148"/>
      <c r="E638" s="148"/>
      <c r="F638" s="148"/>
      <c r="G638" s="148"/>
      <c r="H638" s="148"/>
      <c r="I638" s="148"/>
      <c r="J638" s="148"/>
      <c r="K638" s="148"/>
      <c r="L638" s="148"/>
      <c r="M638" s="148"/>
      <c r="N638" s="148"/>
      <c r="O638" s="148"/>
      <c r="P638" s="148"/>
      <c r="Q638" s="148"/>
      <c r="R638" s="148"/>
      <c r="S638" s="148"/>
    </row>
    <row r="639" ht="15.75" customHeight="1">
      <c r="A639" s="148"/>
      <c r="B639" s="148"/>
      <c r="C639" s="148"/>
      <c r="D639" s="148"/>
      <c r="E639" s="148"/>
      <c r="F639" s="148"/>
      <c r="G639" s="148"/>
      <c r="H639" s="148"/>
      <c r="I639" s="148"/>
      <c r="J639" s="148"/>
      <c r="K639" s="148"/>
      <c r="L639" s="148"/>
      <c r="M639" s="148"/>
      <c r="N639" s="148"/>
      <c r="O639" s="148"/>
      <c r="P639" s="148"/>
      <c r="Q639" s="148"/>
      <c r="R639" s="148"/>
      <c r="S639" s="148"/>
    </row>
    <row r="640" ht="15.75" customHeight="1">
      <c r="A640" s="148"/>
      <c r="B640" s="148"/>
      <c r="C640" s="148"/>
      <c r="D640" s="148"/>
      <c r="E640" s="148"/>
      <c r="F640" s="148"/>
      <c r="G640" s="148"/>
      <c r="H640" s="148"/>
      <c r="I640" s="148"/>
      <c r="J640" s="148"/>
      <c r="K640" s="148"/>
      <c r="L640" s="148"/>
      <c r="M640" s="148"/>
      <c r="N640" s="148"/>
      <c r="O640" s="148"/>
      <c r="P640" s="148"/>
      <c r="Q640" s="148"/>
      <c r="R640" s="148"/>
      <c r="S640" s="148"/>
    </row>
    <row r="641" ht="15.75" customHeight="1">
      <c r="A641" s="148"/>
      <c r="B641" s="148"/>
      <c r="C641" s="148"/>
      <c r="D641" s="148"/>
      <c r="E641" s="148"/>
      <c r="F641" s="148"/>
      <c r="G641" s="148"/>
      <c r="H641" s="148"/>
      <c r="I641" s="148"/>
      <c r="J641" s="148"/>
      <c r="K641" s="148"/>
      <c r="L641" s="148"/>
      <c r="M641" s="148"/>
      <c r="N641" s="148"/>
      <c r="O641" s="148"/>
      <c r="P641" s="148"/>
      <c r="Q641" s="148"/>
      <c r="R641" s="148"/>
      <c r="S641" s="148"/>
    </row>
    <row r="642" ht="15.75" customHeight="1">
      <c r="A642" s="148"/>
      <c r="B642" s="148"/>
      <c r="C642" s="148"/>
      <c r="D642" s="148"/>
      <c r="E642" s="148"/>
      <c r="F642" s="148"/>
      <c r="G642" s="148"/>
      <c r="H642" s="148"/>
      <c r="I642" s="148"/>
      <c r="J642" s="148"/>
      <c r="K642" s="148"/>
      <c r="L642" s="148"/>
      <c r="M642" s="148"/>
      <c r="N642" s="148"/>
      <c r="O642" s="148"/>
      <c r="P642" s="148"/>
      <c r="Q642" s="148"/>
      <c r="R642" s="148"/>
      <c r="S642" s="148"/>
    </row>
    <row r="643" ht="15.75" customHeight="1">
      <c r="A643" s="148"/>
      <c r="B643" s="148"/>
      <c r="C643" s="148"/>
      <c r="D643" s="148"/>
      <c r="E643" s="148"/>
      <c r="F643" s="148"/>
      <c r="G643" s="148"/>
      <c r="H643" s="148"/>
      <c r="I643" s="148"/>
      <c r="J643" s="148"/>
      <c r="K643" s="148"/>
      <c r="L643" s="148"/>
      <c r="M643" s="148"/>
      <c r="N643" s="148"/>
      <c r="O643" s="148"/>
      <c r="P643" s="148"/>
      <c r="Q643" s="148"/>
      <c r="R643" s="148"/>
      <c r="S643" s="148"/>
    </row>
    <row r="644" ht="15.75" customHeight="1">
      <c r="A644" s="148"/>
      <c r="B644" s="148"/>
      <c r="C644" s="148"/>
      <c r="D644" s="148"/>
      <c r="E644" s="148"/>
      <c r="F644" s="148"/>
      <c r="G644" s="148"/>
      <c r="H644" s="148"/>
      <c r="I644" s="148"/>
      <c r="J644" s="148"/>
      <c r="K644" s="148"/>
      <c r="L644" s="148"/>
      <c r="M644" s="148"/>
      <c r="N644" s="148"/>
      <c r="O644" s="148"/>
      <c r="P644" s="148"/>
      <c r="Q644" s="148"/>
      <c r="R644" s="148"/>
      <c r="S644" s="148"/>
    </row>
    <row r="645" ht="15.75" customHeight="1">
      <c r="A645" s="148"/>
      <c r="B645" s="148"/>
      <c r="C645" s="148"/>
      <c r="D645" s="148"/>
      <c r="E645" s="148"/>
      <c r="F645" s="148"/>
      <c r="G645" s="148"/>
      <c r="H645" s="148"/>
      <c r="I645" s="148"/>
      <c r="J645" s="148"/>
      <c r="K645" s="148"/>
      <c r="L645" s="148"/>
      <c r="M645" s="148"/>
      <c r="N645" s="148"/>
      <c r="O645" s="148"/>
      <c r="P645" s="148"/>
      <c r="Q645" s="148"/>
      <c r="R645" s="148"/>
      <c r="S645" s="148"/>
    </row>
    <row r="646" ht="15.75" customHeight="1">
      <c r="A646" s="148"/>
      <c r="B646" s="148"/>
      <c r="C646" s="148"/>
      <c r="D646" s="148"/>
      <c r="E646" s="148"/>
      <c r="F646" s="148"/>
      <c r="G646" s="148"/>
      <c r="H646" s="148"/>
      <c r="I646" s="148"/>
      <c r="J646" s="148"/>
      <c r="K646" s="148"/>
      <c r="L646" s="148"/>
      <c r="M646" s="148"/>
      <c r="N646" s="148"/>
      <c r="O646" s="148"/>
      <c r="P646" s="148"/>
      <c r="Q646" s="148"/>
      <c r="R646" s="148"/>
      <c r="S646" s="148"/>
    </row>
    <row r="647" ht="15.75" customHeight="1">
      <c r="A647" s="148"/>
      <c r="B647" s="148"/>
      <c r="C647" s="148"/>
      <c r="D647" s="148"/>
      <c r="E647" s="148"/>
      <c r="F647" s="148"/>
      <c r="G647" s="148"/>
      <c r="H647" s="148"/>
      <c r="I647" s="148"/>
      <c r="J647" s="148"/>
      <c r="K647" s="148"/>
      <c r="L647" s="148"/>
      <c r="M647" s="148"/>
      <c r="N647" s="148"/>
      <c r="O647" s="148"/>
      <c r="P647" s="148"/>
      <c r="Q647" s="148"/>
      <c r="R647" s="148"/>
      <c r="S647" s="148"/>
    </row>
    <row r="648" ht="15.75" customHeight="1">
      <c r="A648" s="148"/>
      <c r="B648" s="148"/>
      <c r="C648" s="148"/>
      <c r="D648" s="148"/>
      <c r="E648" s="148"/>
      <c r="F648" s="148"/>
      <c r="G648" s="148"/>
      <c r="H648" s="148"/>
      <c r="I648" s="148"/>
      <c r="J648" s="148"/>
      <c r="K648" s="148"/>
      <c r="L648" s="148"/>
      <c r="M648" s="148"/>
      <c r="N648" s="148"/>
      <c r="O648" s="148"/>
      <c r="P648" s="148"/>
      <c r="Q648" s="148"/>
      <c r="R648" s="148"/>
      <c r="S648" s="148"/>
    </row>
    <row r="649" ht="15.75" customHeight="1">
      <c r="A649" s="148"/>
      <c r="B649" s="148"/>
      <c r="C649" s="148"/>
      <c r="D649" s="148"/>
      <c r="E649" s="148"/>
      <c r="F649" s="148"/>
      <c r="G649" s="148"/>
      <c r="H649" s="148"/>
      <c r="I649" s="148"/>
      <c r="J649" s="148"/>
      <c r="K649" s="148"/>
      <c r="L649" s="148"/>
      <c r="M649" s="148"/>
      <c r="N649" s="148"/>
      <c r="O649" s="148"/>
      <c r="P649" s="148"/>
      <c r="Q649" s="148"/>
      <c r="R649" s="148"/>
      <c r="S649" s="148"/>
    </row>
    <row r="650" ht="15.75" customHeight="1">
      <c r="A650" s="148"/>
      <c r="B650" s="148"/>
      <c r="C650" s="148"/>
      <c r="D650" s="148"/>
      <c r="E650" s="148"/>
      <c r="F650" s="148"/>
      <c r="G650" s="148"/>
      <c r="H650" s="148"/>
      <c r="I650" s="148"/>
      <c r="J650" s="148"/>
      <c r="K650" s="148"/>
      <c r="L650" s="148"/>
      <c r="M650" s="148"/>
      <c r="N650" s="148"/>
      <c r="O650" s="148"/>
      <c r="P650" s="148"/>
      <c r="Q650" s="148"/>
      <c r="R650" s="148"/>
      <c r="S650" s="148"/>
    </row>
    <row r="651" ht="15.75" customHeight="1">
      <c r="A651" s="148"/>
      <c r="B651" s="148"/>
      <c r="C651" s="148"/>
      <c r="D651" s="148"/>
      <c r="E651" s="148"/>
      <c r="F651" s="148"/>
      <c r="G651" s="148"/>
      <c r="H651" s="148"/>
      <c r="I651" s="148"/>
      <c r="J651" s="148"/>
      <c r="K651" s="148"/>
      <c r="L651" s="148"/>
      <c r="M651" s="148"/>
      <c r="N651" s="148"/>
      <c r="O651" s="148"/>
      <c r="P651" s="148"/>
      <c r="Q651" s="148"/>
      <c r="R651" s="148"/>
      <c r="S651" s="148"/>
    </row>
    <row r="652" ht="15.75" customHeight="1">
      <c r="A652" s="148"/>
      <c r="B652" s="148"/>
      <c r="C652" s="148"/>
      <c r="D652" s="148"/>
      <c r="E652" s="148"/>
      <c r="F652" s="148"/>
      <c r="G652" s="148"/>
      <c r="H652" s="148"/>
      <c r="I652" s="148"/>
      <c r="J652" s="148"/>
      <c r="K652" s="148"/>
      <c r="L652" s="148"/>
      <c r="M652" s="148"/>
      <c r="N652" s="148"/>
      <c r="O652" s="148"/>
      <c r="P652" s="148"/>
      <c r="Q652" s="148"/>
      <c r="R652" s="148"/>
      <c r="S652" s="148"/>
    </row>
    <row r="653" ht="15.75" customHeight="1">
      <c r="A653" s="148"/>
      <c r="B653" s="148"/>
      <c r="C653" s="148"/>
      <c r="D653" s="148"/>
      <c r="E653" s="148"/>
      <c r="F653" s="148"/>
      <c r="G653" s="148"/>
      <c r="H653" s="148"/>
      <c r="I653" s="148"/>
      <c r="J653" s="148"/>
      <c r="K653" s="148"/>
      <c r="L653" s="148"/>
      <c r="M653" s="148"/>
      <c r="N653" s="148"/>
      <c r="O653" s="148"/>
      <c r="P653" s="148"/>
      <c r="Q653" s="148"/>
      <c r="R653" s="148"/>
      <c r="S653" s="148"/>
    </row>
    <row r="654" ht="15.75" customHeight="1">
      <c r="A654" s="148"/>
      <c r="B654" s="148"/>
      <c r="C654" s="148"/>
      <c r="D654" s="148"/>
      <c r="E654" s="148"/>
      <c r="F654" s="148"/>
      <c r="G654" s="148"/>
      <c r="H654" s="148"/>
      <c r="I654" s="148"/>
      <c r="J654" s="148"/>
      <c r="K654" s="148"/>
      <c r="L654" s="148"/>
      <c r="M654" s="148"/>
      <c r="N654" s="148"/>
      <c r="O654" s="148"/>
      <c r="P654" s="148"/>
      <c r="Q654" s="148"/>
      <c r="R654" s="148"/>
      <c r="S654" s="148"/>
    </row>
    <row r="655" ht="15.75" customHeight="1">
      <c r="A655" s="148"/>
      <c r="B655" s="148"/>
      <c r="C655" s="148"/>
      <c r="D655" s="148"/>
      <c r="E655" s="148"/>
      <c r="F655" s="148"/>
      <c r="G655" s="148"/>
      <c r="H655" s="148"/>
      <c r="I655" s="148"/>
      <c r="J655" s="148"/>
      <c r="K655" s="148"/>
      <c r="L655" s="148"/>
      <c r="M655" s="148"/>
      <c r="N655" s="148"/>
      <c r="O655" s="148"/>
      <c r="P655" s="148"/>
      <c r="Q655" s="148"/>
      <c r="R655" s="148"/>
      <c r="S655" s="148"/>
    </row>
    <row r="656" ht="15.75" customHeight="1">
      <c r="A656" s="148"/>
      <c r="B656" s="148"/>
      <c r="C656" s="148"/>
      <c r="D656" s="148"/>
      <c r="E656" s="148"/>
      <c r="F656" s="148"/>
      <c r="G656" s="148"/>
      <c r="H656" s="148"/>
      <c r="I656" s="148"/>
      <c r="J656" s="148"/>
      <c r="K656" s="148"/>
      <c r="L656" s="148"/>
      <c r="M656" s="148"/>
      <c r="N656" s="148"/>
      <c r="O656" s="148"/>
      <c r="P656" s="148"/>
      <c r="Q656" s="148"/>
      <c r="R656" s="148"/>
      <c r="S656" s="148"/>
    </row>
    <row r="657" ht="15.75" customHeight="1">
      <c r="A657" s="148"/>
      <c r="B657" s="148"/>
      <c r="C657" s="148"/>
      <c r="D657" s="148"/>
      <c r="E657" s="148"/>
      <c r="F657" s="148"/>
      <c r="G657" s="148"/>
      <c r="H657" s="148"/>
      <c r="I657" s="148"/>
      <c r="J657" s="148"/>
      <c r="K657" s="148"/>
      <c r="L657" s="148"/>
      <c r="M657" s="148"/>
      <c r="N657" s="148"/>
      <c r="O657" s="148"/>
      <c r="P657" s="148"/>
      <c r="Q657" s="148"/>
      <c r="R657" s="148"/>
      <c r="S657" s="148"/>
    </row>
    <row r="658" ht="15.75" customHeight="1">
      <c r="A658" s="148"/>
      <c r="B658" s="148"/>
      <c r="C658" s="148"/>
      <c r="D658" s="148"/>
      <c r="E658" s="148"/>
      <c r="F658" s="148"/>
      <c r="G658" s="148"/>
      <c r="H658" s="148"/>
      <c r="I658" s="148"/>
      <c r="J658" s="148"/>
      <c r="K658" s="148"/>
      <c r="L658" s="148"/>
      <c r="M658" s="148"/>
      <c r="N658" s="148"/>
      <c r="O658" s="148"/>
      <c r="P658" s="148"/>
      <c r="Q658" s="148"/>
      <c r="R658" s="148"/>
      <c r="S658" s="148"/>
    </row>
    <row r="659" ht="15.75" customHeight="1">
      <c r="A659" s="148"/>
      <c r="B659" s="148"/>
      <c r="C659" s="148"/>
      <c r="D659" s="148"/>
      <c r="E659" s="148"/>
      <c r="F659" s="148"/>
      <c r="G659" s="148"/>
      <c r="H659" s="148"/>
      <c r="I659" s="148"/>
      <c r="J659" s="148"/>
      <c r="K659" s="148"/>
      <c r="L659" s="148"/>
      <c r="M659" s="148"/>
      <c r="N659" s="148"/>
      <c r="O659" s="148"/>
      <c r="P659" s="148"/>
      <c r="Q659" s="148"/>
      <c r="R659" s="148"/>
      <c r="S659" s="148"/>
    </row>
    <row r="660" ht="15.75" customHeight="1">
      <c r="A660" s="148"/>
      <c r="B660" s="148"/>
      <c r="C660" s="148"/>
      <c r="D660" s="148"/>
      <c r="E660" s="148"/>
      <c r="F660" s="148"/>
      <c r="G660" s="148"/>
      <c r="H660" s="148"/>
      <c r="I660" s="148"/>
      <c r="J660" s="148"/>
      <c r="K660" s="148"/>
      <c r="L660" s="148"/>
      <c r="M660" s="148"/>
      <c r="N660" s="148"/>
      <c r="O660" s="148"/>
      <c r="P660" s="148"/>
      <c r="Q660" s="148"/>
      <c r="R660" s="148"/>
      <c r="S660" s="148"/>
    </row>
    <row r="661" ht="15.75" customHeight="1">
      <c r="A661" s="148"/>
      <c r="B661" s="148"/>
      <c r="C661" s="148"/>
      <c r="D661" s="148"/>
      <c r="E661" s="148"/>
      <c r="F661" s="148"/>
      <c r="G661" s="148"/>
      <c r="H661" s="148"/>
      <c r="I661" s="148"/>
      <c r="J661" s="148"/>
      <c r="K661" s="148"/>
      <c r="L661" s="148"/>
      <c r="M661" s="148"/>
      <c r="N661" s="148"/>
      <c r="O661" s="148"/>
      <c r="P661" s="148"/>
      <c r="Q661" s="148"/>
      <c r="R661" s="148"/>
      <c r="S661" s="148"/>
    </row>
    <row r="662" ht="15.75" customHeight="1">
      <c r="A662" s="148"/>
      <c r="B662" s="148"/>
      <c r="C662" s="148"/>
      <c r="D662" s="148"/>
      <c r="E662" s="148"/>
      <c r="F662" s="148"/>
      <c r="G662" s="148"/>
      <c r="H662" s="148"/>
      <c r="I662" s="148"/>
      <c r="J662" s="148"/>
      <c r="K662" s="148"/>
      <c r="L662" s="148"/>
      <c r="M662" s="148"/>
      <c r="N662" s="148"/>
      <c r="O662" s="148"/>
      <c r="P662" s="148"/>
      <c r="Q662" s="148"/>
      <c r="R662" s="148"/>
      <c r="S662" s="148"/>
    </row>
    <row r="663" ht="15.75" customHeight="1">
      <c r="A663" s="148"/>
      <c r="B663" s="148"/>
      <c r="C663" s="148"/>
      <c r="D663" s="148"/>
      <c r="E663" s="148"/>
      <c r="F663" s="148"/>
      <c r="G663" s="148"/>
      <c r="H663" s="148"/>
      <c r="I663" s="148"/>
      <c r="J663" s="148"/>
      <c r="K663" s="148"/>
      <c r="L663" s="148"/>
      <c r="M663" s="148"/>
      <c r="N663" s="148"/>
      <c r="O663" s="148"/>
      <c r="P663" s="148"/>
      <c r="Q663" s="148"/>
      <c r="R663" s="148"/>
      <c r="S663" s="148"/>
    </row>
    <row r="664" ht="15.75" customHeight="1">
      <c r="A664" s="148"/>
      <c r="B664" s="148"/>
      <c r="C664" s="148"/>
      <c r="D664" s="148"/>
      <c r="E664" s="148"/>
      <c r="F664" s="148"/>
      <c r="G664" s="148"/>
      <c r="H664" s="148"/>
      <c r="I664" s="148"/>
      <c r="J664" s="148"/>
      <c r="K664" s="148"/>
      <c r="L664" s="148"/>
      <c r="M664" s="148"/>
      <c r="N664" s="148"/>
      <c r="O664" s="148"/>
      <c r="P664" s="148"/>
      <c r="Q664" s="148"/>
      <c r="R664" s="148"/>
      <c r="S664" s="148"/>
    </row>
    <row r="665" ht="15.75" customHeight="1">
      <c r="A665" s="148"/>
      <c r="B665" s="148"/>
      <c r="C665" s="148"/>
      <c r="D665" s="148"/>
      <c r="E665" s="148"/>
      <c r="F665" s="148"/>
      <c r="G665" s="148"/>
      <c r="H665" s="148"/>
      <c r="I665" s="148"/>
      <c r="J665" s="148"/>
      <c r="K665" s="148"/>
      <c r="L665" s="148"/>
      <c r="M665" s="148"/>
      <c r="N665" s="148"/>
      <c r="O665" s="148"/>
      <c r="P665" s="148"/>
      <c r="Q665" s="148"/>
      <c r="R665" s="148"/>
      <c r="S665" s="148"/>
    </row>
    <row r="666" ht="15.75" customHeight="1">
      <c r="A666" s="148"/>
      <c r="B666" s="148"/>
      <c r="C666" s="148"/>
      <c r="D666" s="148"/>
      <c r="E666" s="148"/>
      <c r="F666" s="148"/>
      <c r="G666" s="148"/>
      <c r="H666" s="148"/>
      <c r="I666" s="148"/>
      <c r="J666" s="148"/>
      <c r="K666" s="148"/>
      <c r="L666" s="148"/>
      <c r="M666" s="148"/>
      <c r="N666" s="148"/>
      <c r="O666" s="148"/>
      <c r="P666" s="148"/>
      <c r="Q666" s="148"/>
      <c r="R666" s="148"/>
      <c r="S666" s="148"/>
    </row>
    <row r="667" ht="15.75" customHeight="1">
      <c r="A667" s="148"/>
      <c r="B667" s="148"/>
      <c r="C667" s="148"/>
      <c r="D667" s="148"/>
      <c r="E667" s="148"/>
      <c r="F667" s="148"/>
      <c r="G667" s="148"/>
      <c r="H667" s="148"/>
      <c r="I667" s="148"/>
      <c r="J667" s="148"/>
      <c r="K667" s="148"/>
      <c r="L667" s="148"/>
      <c r="M667" s="148"/>
      <c r="N667" s="148"/>
      <c r="O667" s="148"/>
      <c r="P667" s="148"/>
      <c r="Q667" s="148"/>
      <c r="R667" s="148"/>
      <c r="S667" s="148"/>
    </row>
    <row r="668" ht="15.75" customHeight="1">
      <c r="A668" s="148"/>
      <c r="B668" s="148"/>
      <c r="C668" s="148"/>
      <c r="D668" s="148"/>
      <c r="E668" s="148"/>
      <c r="F668" s="148"/>
      <c r="G668" s="148"/>
      <c r="H668" s="148"/>
      <c r="I668" s="148"/>
      <c r="J668" s="148"/>
      <c r="K668" s="148"/>
      <c r="L668" s="148"/>
      <c r="M668" s="148"/>
      <c r="N668" s="148"/>
      <c r="O668" s="148"/>
      <c r="P668" s="148"/>
      <c r="Q668" s="148"/>
      <c r="R668" s="148"/>
      <c r="S668" s="148"/>
    </row>
    <row r="669" ht="15.75" customHeight="1">
      <c r="A669" s="148"/>
      <c r="B669" s="148"/>
      <c r="C669" s="148"/>
      <c r="D669" s="148"/>
      <c r="E669" s="148"/>
      <c r="F669" s="148"/>
      <c r="G669" s="148"/>
      <c r="H669" s="148"/>
      <c r="I669" s="148"/>
      <c r="J669" s="148"/>
      <c r="K669" s="148"/>
      <c r="L669" s="148"/>
      <c r="M669" s="148"/>
      <c r="N669" s="148"/>
      <c r="O669" s="148"/>
      <c r="P669" s="148"/>
      <c r="Q669" s="148"/>
      <c r="R669" s="148"/>
      <c r="S669" s="148"/>
    </row>
    <row r="670" ht="15.75" customHeight="1">
      <c r="A670" s="148"/>
      <c r="B670" s="148"/>
      <c r="C670" s="148"/>
      <c r="D670" s="148"/>
      <c r="E670" s="148"/>
      <c r="F670" s="148"/>
      <c r="G670" s="148"/>
      <c r="H670" s="148"/>
      <c r="I670" s="148"/>
      <c r="J670" s="148"/>
      <c r="K670" s="148"/>
      <c r="L670" s="148"/>
      <c r="M670" s="148"/>
      <c r="N670" s="148"/>
      <c r="O670" s="148"/>
      <c r="P670" s="148"/>
      <c r="Q670" s="148"/>
      <c r="R670" s="148"/>
      <c r="S670" s="148"/>
    </row>
    <row r="671" ht="15.75" customHeight="1">
      <c r="A671" s="148"/>
      <c r="B671" s="148"/>
      <c r="C671" s="148"/>
      <c r="D671" s="148"/>
      <c r="E671" s="148"/>
      <c r="F671" s="148"/>
      <c r="G671" s="148"/>
      <c r="H671" s="148"/>
      <c r="I671" s="148"/>
      <c r="J671" s="148"/>
      <c r="K671" s="148"/>
      <c r="L671" s="148"/>
      <c r="M671" s="148"/>
      <c r="N671" s="148"/>
      <c r="O671" s="148"/>
      <c r="P671" s="148"/>
      <c r="Q671" s="148"/>
      <c r="R671" s="148"/>
      <c r="S671" s="148"/>
    </row>
    <row r="672" ht="15.75" customHeight="1">
      <c r="A672" s="148"/>
      <c r="B672" s="148"/>
      <c r="C672" s="148"/>
      <c r="D672" s="148"/>
      <c r="E672" s="148"/>
      <c r="F672" s="148"/>
      <c r="G672" s="148"/>
      <c r="H672" s="148"/>
      <c r="I672" s="148"/>
      <c r="J672" s="148"/>
      <c r="K672" s="148"/>
      <c r="L672" s="148"/>
      <c r="M672" s="148"/>
      <c r="N672" s="148"/>
      <c r="O672" s="148"/>
      <c r="P672" s="148"/>
      <c r="Q672" s="148"/>
      <c r="R672" s="148"/>
      <c r="S672" s="148"/>
    </row>
    <row r="673" ht="15.75" customHeight="1">
      <c r="A673" s="148"/>
      <c r="B673" s="148"/>
      <c r="C673" s="148"/>
      <c r="D673" s="148"/>
      <c r="E673" s="148"/>
      <c r="F673" s="148"/>
      <c r="G673" s="148"/>
      <c r="H673" s="148"/>
      <c r="I673" s="148"/>
      <c r="J673" s="148"/>
      <c r="K673" s="148"/>
      <c r="L673" s="148"/>
      <c r="M673" s="148"/>
      <c r="N673" s="148"/>
      <c r="O673" s="148"/>
      <c r="P673" s="148"/>
      <c r="Q673" s="148"/>
      <c r="R673" s="148"/>
      <c r="S673" s="148"/>
    </row>
    <row r="674" ht="15.75" customHeight="1">
      <c r="A674" s="148"/>
      <c r="B674" s="148"/>
      <c r="C674" s="148"/>
      <c r="D674" s="148"/>
      <c r="E674" s="148"/>
      <c r="F674" s="148"/>
      <c r="G674" s="148"/>
      <c r="H674" s="148"/>
      <c r="I674" s="148"/>
      <c r="J674" s="148"/>
      <c r="K674" s="148"/>
      <c r="L674" s="148"/>
      <c r="M674" s="148"/>
      <c r="N674" s="148"/>
      <c r="O674" s="148"/>
      <c r="P674" s="148"/>
      <c r="Q674" s="148"/>
      <c r="R674" s="148"/>
      <c r="S674" s="148"/>
    </row>
    <row r="675" ht="15.75" customHeight="1">
      <c r="A675" s="148"/>
      <c r="B675" s="148"/>
      <c r="C675" s="148"/>
      <c r="D675" s="148"/>
      <c r="E675" s="148"/>
      <c r="F675" s="148"/>
      <c r="G675" s="148"/>
      <c r="H675" s="148"/>
      <c r="I675" s="148"/>
      <c r="J675" s="148"/>
      <c r="K675" s="148"/>
      <c r="L675" s="148"/>
      <c r="M675" s="148"/>
      <c r="N675" s="148"/>
      <c r="O675" s="148"/>
      <c r="P675" s="148"/>
      <c r="Q675" s="148"/>
      <c r="R675" s="148"/>
      <c r="S675" s="148"/>
    </row>
    <row r="676" ht="15.75" customHeight="1">
      <c r="A676" s="148"/>
      <c r="B676" s="148"/>
      <c r="C676" s="148"/>
      <c r="D676" s="148"/>
      <c r="E676" s="148"/>
      <c r="F676" s="148"/>
      <c r="G676" s="148"/>
      <c r="H676" s="148"/>
      <c r="I676" s="148"/>
      <c r="J676" s="148"/>
      <c r="K676" s="148"/>
      <c r="L676" s="148"/>
      <c r="M676" s="148"/>
      <c r="N676" s="148"/>
      <c r="O676" s="148"/>
      <c r="P676" s="148"/>
      <c r="Q676" s="148"/>
      <c r="R676" s="148"/>
      <c r="S676" s="148"/>
    </row>
    <row r="677" ht="15.75" customHeight="1">
      <c r="A677" s="148"/>
      <c r="B677" s="148"/>
      <c r="C677" s="148"/>
      <c r="D677" s="148"/>
      <c r="E677" s="148"/>
      <c r="F677" s="148"/>
      <c r="G677" s="148"/>
      <c r="H677" s="148"/>
      <c r="I677" s="148"/>
      <c r="J677" s="148"/>
      <c r="K677" s="148"/>
      <c r="L677" s="148"/>
      <c r="M677" s="148"/>
      <c r="N677" s="148"/>
      <c r="O677" s="148"/>
      <c r="P677" s="148"/>
      <c r="Q677" s="148"/>
      <c r="R677" s="148"/>
      <c r="S677" s="148"/>
    </row>
    <row r="678" ht="15.75" customHeight="1">
      <c r="A678" s="148"/>
      <c r="B678" s="148"/>
      <c r="C678" s="148"/>
      <c r="D678" s="148"/>
      <c r="E678" s="148"/>
      <c r="F678" s="148"/>
      <c r="G678" s="148"/>
      <c r="H678" s="148"/>
      <c r="I678" s="148"/>
      <c r="J678" s="148"/>
      <c r="K678" s="148"/>
      <c r="L678" s="148"/>
      <c r="M678" s="148"/>
      <c r="N678" s="148"/>
      <c r="O678" s="148"/>
      <c r="P678" s="148"/>
      <c r="Q678" s="148"/>
      <c r="R678" s="148"/>
      <c r="S678" s="148"/>
    </row>
    <row r="679" ht="15.75" customHeight="1">
      <c r="A679" s="148"/>
      <c r="B679" s="148"/>
      <c r="C679" s="148"/>
      <c r="D679" s="148"/>
      <c r="E679" s="148"/>
      <c r="F679" s="148"/>
      <c r="G679" s="148"/>
      <c r="H679" s="148"/>
      <c r="I679" s="148"/>
      <c r="J679" s="148"/>
      <c r="K679" s="148"/>
      <c r="L679" s="148"/>
      <c r="M679" s="148"/>
      <c r="N679" s="148"/>
      <c r="O679" s="148"/>
      <c r="P679" s="148"/>
      <c r="Q679" s="148"/>
      <c r="R679" s="148"/>
      <c r="S679" s="148"/>
    </row>
    <row r="680" ht="15.75" customHeight="1">
      <c r="A680" s="148"/>
      <c r="B680" s="148"/>
      <c r="C680" s="148"/>
      <c r="D680" s="148"/>
      <c r="E680" s="148"/>
      <c r="F680" s="148"/>
      <c r="G680" s="148"/>
      <c r="H680" s="148"/>
      <c r="I680" s="148"/>
      <c r="J680" s="148"/>
      <c r="K680" s="148"/>
      <c r="L680" s="148"/>
      <c r="M680" s="148"/>
      <c r="N680" s="148"/>
      <c r="O680" s="148"/>
      <c r="P680" s="148"/>
      <c r="Q680" s="148"/>
      <c r="R680" s="148"/>
      <c r="S680" s="148"/>
    </row>
    <row r="681" ht="15.75" customHeight="1">
      <c r="A681" s="148"/>
      <c r="B681" s="148"/>
      <c r="C681" s="148"/>
      <c r="D681" s="148"/>
      <c r="E681" s="148"/>
      <c r="F681" s="148"/>
      <c r="G681" s="148"/>
      <c r="H681" s="148"/>
      <c r="I681" s="148"/>
      <c r="J681" s="148"/>
      <c r="K681" s="148"/>
      <c r="L681" s="148"/>
      <c r="M681" s="148"/>
      <c r="N681" s="148"/>
      <c r="O681" s="148"/>
      <c r="P681" s="148"/>
      <c r="Q681" s="148"/>
      <c r="R681" s="148"/>
      <c r="S681" s="148"/>
    </row>
    <row r="682" ht="15.75" customHeight="1">
      <c r="A682" s="148"/>
      <c r="B682" s="148"/>
      <c r="C682" s="148"/>
      <c r="D682" s="148"/>
      <c r="E682" s="148"/>
      <c r="F682" s="148"/>
      <c r="G682" s="148"/>
      <c r="H682" s="148"/>
      <c r="I682" s="148"/>
      <c r="J682" s="148"/>
      <c r="K682" s="148"/>
      <c r="L682" s="148"/>
      <c r="M682" s="148"/>
      <c r="N682" s="148"/>
      <c r="O682" s="148"/>
      <c r="P682" s="148"/>
      <c r="Q682" s="148"/>
      <c r="R682" s="148"/>
      <c r="S682" s="148"/>
    </row>
    <row r="683" ht="15.75" customHeight="1">
      <c r="A683" s="148"/>
      <c r="B683" s="148"/>
      <c r="C683" s="148"/>
      <c r="D683" s="148"/>
      <c r="E683" s="148"/>
      <c r="F683" s="148"/>
      <c r="G683" s="148"/>
      <c r="H683" s="148"/>
      <c r="I683" s="148"/>
      <c r="J683" s="148"/>
      <c r="K683" s="148"/>
      <c r="L683" s="148"/>
      <c r="M683" s="148"/>
      <c r="N683" s="148"/>
      <c r="O683" s="148"/>
      <c r="P683" s="148"/>
      <c r="Q683" s="148"/>
      <c r="R683" s="148"/>
      <c r="S683" s="148"/>
    </row>
    <row r="684" ht="15.75" customHeight="1">
      <c r="A684" s="148"/>
      <c r="B684" s="148"/>
      <c r="C684" s="148"/>
      <c r="D684" s="148"/>
      <c r="E684" s="148"/>
      <c r="F684" s="148"/>
      <c r="G684" s="148"/>
      <c r="H684" s="148"/>
      <c r="I684" s="148"/>
      <c r="J684" s="148"/>
      <c r="K684" s="148"/>
      <c r="L684" s="148"/>
      <c r="M684" s="148"/>
      <c r="N684" s="148"/>
      <c r="O684" s="148"/>
      <c r="P684" s="148"/>
      <c r="Q684" s="148"/>
      <c r="R684" s="148"/>
      <c r="S684" s="148"/>
    </row>
    <row r="685" ht="15.75" customHeight="1">
      <c r="A685" s="148"/>
      <c r="B685" s="148"/>
      <c r="C685" s="148"/>
      <c r="D685" s="148"/>
      <c r="E685" s="148"/>
      <c r="F685" s="148"/>
      <c r="G685" s="148"/>
      <c r="H685" s="148"/>
      <c r="I685" s="148"/>
      <c r="J685" s="148"/>
      <c r="K685" s="148"/>
      <c r="L685" s="148"/>
      <c r="M685" s="148"/>
      <c r="N685" s="148"/>
      <c r="O685" s="148"/>
      <c r="P685" s="148"/>
      <c r="Q685" s="148"/>
      <c r="R685" s="148"/>
      <c r="S685" s="148"/>
    </row>
    <row r="686" ht="15.75" customHeight="1">
      <c r="A686" s="148"/>
      <c r="B686" s="148"/>
      <c r="C686" s="148"/>
      <c r="D686" s="148"/>
      <c r="E686" s="148"/>
      <c r="F686" s="148"/>
      <c r="G686" s="148"/>
      <c r="H686" s="148"/>
      <c r="I686" s="148"/>
      <c r="J686" s="148"/>
      <c r="K686" s="148"/>
      <c r="L686" s="148"/>
      <c r="M686" s="148"/>
      <c r="N686" s="148"/>
      <c r="O686" s="148"/>
      <c r="P686" s="148"/>
      <c r="Q686" s="148"/>
      <c r="R686" s="148"/>
      <c r="S686" s="148"/>
    </row>
    <row r="687" ht="15.75" customHeight="1">
      <c r="A687" s="148"/>
      <c r="B687" s="148"/>
      <c r="C687" s="148"/>
      <c r="D687" s="148"/>
      <c r="E687" s="148"/>
      <c r="F687" s="148"/>
      <c r="G687" s="148"/>
      <c r="H687" s="148"/>
      <c r="I687" s="148"/>
      <c r="J687" s="148"/>
      <c r="K687" s="148"/>
      <c r="L687" s="148"/>
      <c r="M687" s="148"/>
      <c r="N687" s="148"/>
      <c r="O687" s="148"/>
      <c r="P687" s="148"/>
      <c r="Q687" s="148"/>
      <c r="R687" s="148"/>
      <c r="S687" s="148"/>
    </row>
    <row r="688" ht="15.75" customHeight="1">
      <c r="A688" s="148"/>
      <c r="B688" s="148"/>
      <c r="C688" s="148"/>
      <c r="D688" s="148"/>
      <c r="E688" s="148"/>
      <c r="F688" s="148"/>
      <c r="G688" s="148"/>
      <c r="H688" s="148"/>
      <c r="I688" s="148"/>
      <c r="J688" s="148"/>
      <c r="K688" s="148"/>
      <c r="L688" s="148"/>
      <c r="M688" s="148"/>
      <c r="N688" s="148"/>
      <c r="O688" s="148"/>
      <c r="P688" s="148"/>
      <c r="Q688" s="148"/>
      <c r="R688" s="148"/>
      <c r="S688" s="148"/>
    </row>
    <row r="689" ht="15.75" customHeight="1">
      <c r="A689" s="148"/>
      <c r="B689" s="148"/>
      <c r="C689" s="148"/>
      <c r="D689" s="148"/>
      <c r="E689" s="148"/>
      <c r="F689" s="148"/>
      <c r="G689" s="148"/>
      <c r="H689" s="148"/>
      <c r="I689" s="148"/>
      <c r="J689" s="148"/>
      <c r="K689" s="148"/>
      <c r="L689" s="148"/>
      <c r="M689" s="148"/>
      <c r="N689" s="148"/>
      <c r="O689" s="148"/>
      <c r="P689" s="148"/>
      <c r="Q689" s="148"/>
      <c r="R689" s="148"/>
      <c r="S689" s="148"/>
    </row>
    <row r="690" ht="15.75" customHeight="1">
      <c r="A690" s="148"/>
      <c r="B690" s="148"/>
      <c r="C690" s="148"/>
      <c r="D690" s="148"/>
      <c r="E690" s="148"/>
      <c r="F690" s="148"/>
      <c r="G690" s="148"/>
      <c r="H690" s="148"/>
      <c r="I690" s="148"/>
      <c r="J690" s="148"/>
      <c r="K690" s="148"/>
      <c r="L690" s="148"/>
      <c r="M690" s="148"/>
      <c r="N690" s="148"/>
      <c r="O690" s="148"/>
      <c r="P690" s="148"/>
      <c r="Q690" s="148"/>
      <c r="R690" s="148"/>
      <c r="S690" s="148"/>
    </row>
    <row r="691" ht="15.75" customHeight="1">
      <c r="A691" s="148"/>
      <c r="B691" s="148"/>
      <c r="C691" s="148"/>
      <c r="D691" s="148"/>
      <c r="E691" s="148"/>
      <c r="F691" s="148"/>
      <c r="G691" s="148"/>
      <c r="H691" s="148"/>
      <c r="I691" s="148"/>
      <c r="J691" s="148"/>
      <c r="K691" s="148"/>
      <c r="L691" s="148"/>
      <c r="M691" s="148"/>
      <c r="N691" s="148"/>
      <c r="O691" s="148"/>
      <c r="P691" s="148"/>
      <c r="Q691" s="148"/>
      <c r="R691" s="148"/>
      <c r="S691" s="148"/>
    </row>
    <row r="692" ht="15.75" customHeight="1">
      <c r="A692" s="148"/>
      <c r="B692" s="148"/>
      <c r="C692" s="148"/>
      <c r="D692" s="148"/>
      <c r="E692" s="148"/>
      <c r="F692" s="148"/>
      <c r="G692" s="148"/>
      <c r="H692" s="148"/>
      <c r="I692" s="148"/>
      <c r="J692" s="148"/>
      <c r="K692" s="148"/>
      <c r="L692" s="148"/>
      <c r="M692" s="148"/>
      <c r="N692" s="148"/>
      <c r="O692" s="148"/>
      <c r="P692" s="148"/>
      <c r="Q692" s="148"/>
      <c r="R692" s="148"/>
      <c r="S692" s="148"/>
    </row>
    <row r="693" ht="15.75" customHeight="1">
      <c r="A693" s="148"/>
      <c r="B693" s="148"/>
      <c r="C693" s="148"/>
      <c r="D693" s="148"/>
      <c r="E693" s="148"/>
      <c r="F693" s="148"/>
      <c r="G693" s="148"/>
      <c r="H693" s="148"/>
      <c r="I693" s="148"/>
      <c r="J693" s="148"/>
      <c r="K693" s="148"/>
      <c r="L693" s="148"/>
      <c r="M693" s="148"/>
      <c r="N693" s="148"/>
      <c r="O693" s="148"/>
      <c r="P693" s="148"/>
      <c r="Q693" s="148"/>
      <c r="R693" s="148"/>
      <c r="S693" s="148"/>
    </row>
    <row r="694" ht="15.75" customHeight="1">
      <c r="A694" s="148"/>
      <c r="B694" s="148"/>
      <c r="C694" s="148"/>
      <c r="D694" s="148"/>
      <c r="E694" s="148"/>
      <c r="F694" s="148"/>
      <c r="G694" s="148"/>
      <c r="H694" s="148"/>
      <c r="I694" s="148"/>
      <c r="J694" s="148"/>
      <c r="K694" s="148"/>
      <c r="L694" s="148"/>
      <c r="M694" s="148"/>
      <c r="N694" s="148"/>
      <c r="O694" s="148"/>
      <c r="P694" s="148"/>
      <c r="Q694" s="148"/>
      <c r="R694" s="148"/>
      <c r="S694" s="148"/>
    </row>
    <row r="695" ht="15.75" customHeight="1">
      <c r="A695" s="148"/>
      <c r="B695" s="148"/>
      <c r="C695" s="148"/>
      <c r="D695" s="148"/>
      <c r="E695" s="148"/>
      <c r="F695" s="148"/>
      <c r="G695" s="148"/>
      <c r="H695" s="148"/>
      <c r="I695" s="148"/>
      <c r="J695" s="148"/>
      <c r="K695" s="148"/>
      <c r="L695" s="148"/>
      <c r="M695" s="148"/>
      <c r="N695" s="148"/>
      <c r="O695" s="148"/>
      <c r="P695" s="148"/>
      <c r="Q695" s="148"/>
      <c r="R695" s="148"/>
      <c r="S695" s="148"/>
    </row>
    <row r="696" ht="15.75" customHeight="1">
      <c r="A696" s="148"/>
      <c r="B696" s="148"/>
      <c r="C696" s="148"/>
      <c r="D696" s="148"/>
      <c r="E696" s="148"/>
      <c r="F696" s="148"/>
      <c r="G696" s="148"/>
      <c r="H696" s="148"/>
      <c r="I696" s="148"/>
      <c r="J696" s="148"/>
      <c r="K696" s="148"/>
      <c r="L696" s="148"/>
      <c r="M696" s="148"/>
      <c r="N696" s="148"/>
      <c r="O696" s="148"/>
      <c r="P696" s="148"/>
      <c r="Q696" s="148"/>
      <c r="R696" s="148"/>
      <c r="S696" s="148"/>
    </row>
    <row r="697" ht="15.75" customHeight="1">
      <c r="A697" s="148"/>
      <c r="B697" s="148"/>
      <c r="C697" s="148"/>
      <c r="D697" s="148"/>
      <c r="E697" s="148"/>
      <c r="F697" s="148"/>
      <c r="G697" s="148"/>
      <c r="H697" s="148"/>
      <c r="I697" s="148"/>
      <c r="J697" s="148"/>
      <c r="K697" s="148"/>
      <c r="L697" s="148"/>
      <c r="M697" s="148"/>
      <c r="N697" s="148"/>
      <c r="O697" s="148"/>
      <c r="P697" s="148"/>
      <c r="Q697" s="148"/>
      <c r="R697" s="148"/>
      <c r="S697" s="148"/>
    </row>
    <row r="698" ht="15.75" customHeight="1">
      <c r="A698" s="148"/>
      <c r="B698" s="148"/>
      <c r="C698" s="148"/>
      <c r="D698" s="148"/>
      <c r="E698" s="148"/>
      <c r="F698" s="148"/>
      <c r="G698" s="148"/>
      <c r="H698" s="148"/>
      <c r="I698" s="148"/>
      <c r="J698" s="148"/>
      <c r="K698" s="148"/>
      <c r="L698" s="148"/>
      <c r="M698" s="148"/>
      <c r="N698" s="148"/>
      <c r="O698" s="148"/>
      <c r="P698" s="148"/>
      <c r="Q698" s="148"/>
      <c r="R698" s="148"/>
      <c r="S698" s="148"/>
    </row>
    <row r="699" ht="15.75" customHeight="1">
      <c r="A699" s="148"/>
      <c r="B699" s="148"/>
      <c r="C699" s="148"/>
      <c r="D699" s="148"/>
      <c r="E699" s="148"/>
      <c r="F699" s="148"/>
      <c r="G699" s="148"/>
      <c r="H699" s="148"/>
      <c r="I699" s="148"/>
      <c r="J699" s="148"/>
      <c r="K699" s="148"/>
      <c r="L699" s="148"/>
      <c r="M699" s="148"/>
      <c r="N699" s="148"/>
      <c r="O699" s="148"/>
      <c r="P699" s="148"/>
      <c r="Q699" s="148"/>
      <c r="R699" s="148"/>
      <c r="S699" s="148"/>
    </row>
    <row r="700" ht="15.75" customHeight="1">
      <c r="A700" s="148"/>
      <c r="B700" s="148"/>
      <c r="C700" s="148"/>
      <c r="D700" s="148"/>
      <c r="E700" s="148"/>
      <c r="F700" s="148"/>
      <c r="G700" s="148"/>
      <c r="H700" s="148"/>
      <c r="I700" s="148"/>
      <c r="J700" s="148"/>
      <c r="K700" s="148"/>
      <c r="L700" s="148"/>
      <c r="M700" s="148"/>
      <c r="N700" s="148"/>
      <c r="O700" s="148"/>
      <c r="P700" s="148"/>
      <c r="Q700" s="148"/>
      <c r="R700" s="148"/>
      <c r="S700" s="148"/>
    </row>
    <row r="701" ht="15.75" customHeight="1">
      <c r="A701" s="148"/>
      <c r="B701" s="148"/>
      <c r="C701" s="148"/>
      <c r="D701" s="148"/>
      <c r="E701" s="148"/>
      <c r="F701" s="148"/>
      <c r="G701" s="148"/>
      <c r="H701" s="148"/>
      <c r="I701" s="148"/>
      <c r="J701" s="148"/>
      <c r="K701" s="148"/>
      <c r="L701" s="148"/>
      <c r="M701" s="148"/>
      <c r="N701" s="148"/>
      <c r="O701" s="148"/>
      <c r="P701" s="148"/>
      <c r="Q701" s="148"/>
      <c r="R701" s="148"/>
      <c r="S701" s="148"/>
    </row>
    <row r="702" ht="15.75" customHeight="1">
      <c r="A702" s="148"/>
      <c r="B702" s="148"/>
      <c r="C702" s="148"/>
      <c r="D702" s="148"/>
      <c r="E702" s="148"/>
      <c r="F702" s="148"/>
      <c r="G702" s="148"/>
      <c r="H702" s="148"/>
      <c r="I702" s="148"/>
      <c r="J702" s="148"/>
      <c r="K702" s="148"/>
      <c r="L702" s="148"/>
      <c r="M702" s="148"/>
      <c r="N702" s="148"/>
      <c r="O702" s="148"/>
      <c r="P702" s="148"/>
      <c r="Q702" s="148"/>
      <c r="R702" s="148"/>
      <c r="S702" s="148"/>
    </row>
    <row r="703" ht="15.75" customHeight="1">
      <c r="A703" s="148"/>
      <c r="B703" s="148"/>
      <c r="C703" s="148"/>
      <c r="D703" s="148"/>
      <c r="E703" s="148"/>
      <c r="F703" s="148"/>
      <c r="G703" s="148"/>
      <c r="H703" s="148"/>
      <c r="I703" s="148"/>
      <c r="J703" s="148"/>
      <c r="K703" s="148"/>
      <c r="L703" s="148"/>
      <c r="M703" s="148"/>
      <c r="N703" s="148"/>
      <c r="O703" s="148"/>
      <c r="P703" s="148"/>
      <c r="Q703" s="148"/>
      <c r="R703" s="148"/>
      <c r="S703" s="148"/>
    </row>
    <row r="704" ht="15.75" customHeight="1">
      <c r="A704" s="148"/>
      <c r="B704" s="148"/>
      <c r="C704" s="148"/>
      <c r="D704" s="148"/>
      <c r="E704" s="148"/>
      <c r="F704" s="148"/>
      <c r="G704" s="148"/>
      <c r="H704" s="148"/>
      <c r="I704" s="148"/>
      <c r="J704" s="148"/>
      <c r="K704" s="148"/>
      <c r="L704" s="148"/>
      <c r="M704" s="148"/>
      <c r="N704" s="148"/>
      <c r="O704" s="148"/>
      <c r="P704" s="148"/>
      <c r="Q704" s="148"/>
      <c r="R704" s="148"/>
      <c r="S704" s="148"/>
    </row>
    <row r="705" ht="15.75" customHeight="1">
      <c r="A705" s="148"/>
      <c r="B705" s="148"/>
      <c r="C705" s="148"/>
      <c r="D705" s="148"/>
      <c r="E705" s="148"/>
      <c r="F705" s="148"/>
      <c r="G705" s="148"/>
      <c r="H705" s="148"/>
      <c r="I705" s="148"/>
      <c r="J705" s="148"/>
      <c r="K705" s="148"/>
      <c r="L705" s="148"/>
      <c r="M705" s="148"/>
      <c r="N705" s="148"/>
      <c r="O705" s="148"/>
      <c r="P705" s="148"/>
      <c r="Q705" s="148"/>
      <c r="R705" s="148"/>
      <c r="S705" s="148"/>
    </row>
    <row r="706" ht="15.75" customHeight="1">
      <c r="A706" s="148"/>
      <c r="B706" s="148"/>
      <c r="C706" s="148"/>
      <c r="D706" s="148"/>
      <c r="E706" s="148"/>
      <c r="F706" s="148"/>
      <c r="G706" s="148"/>
      <c r="H706" s="148"/>
      <c r="I706" s="148"/>
      <c r="J706" s="148"/>
      <c r="K706" s="148"/>
      <c r="L706" s="148"/>
      <c r="M706" s="148"/>
      <c r="N706" s="148"/>
      <c r="O706" s="148"/>
      <c r="P706" s="148"/>
      <c r="Q706" s="148"/>
      <c r="R706" s="148"/>
      <c r="S706" s="148"/>
    </row>
    <row r="707" ht="15.75" customHeight="1">
      <c r="A707" s="148"/>
      <c r="B707" s="148"/>
      <c r="C707" s="148"/>
      <c r="D707" s="148"/>
      <c r="E707" s="148"/>
      <c r="F707" s="148"/>
      <c r="G707" s="148"/>
      <c r="H707" s="148"/>
      <c r="I707" s="148"/>
      <c r="J707" s="148"/>
      <c r="K707" s="148"/>
      <c r="L707" s="148"/>
      <c r="M707" s="148"/>
      <c r="N707" s="148"/>
      <c r="O707" s="148"/>
      <c r="P707" s="148"/>
      <c r="Q707" s="148"/>
      <c r="R707" s="148"/>
      <c r="S707" s="148"/>
    </row>
    <row r="708" ht="15.75" customHeight="1">
      <c r="A708" s="148"/>
      <c r="B708" s="148"/>
      <c r="C708" s="148"/>
      <c r="D708" s="148"/>
      <c r="E708" s="148"/>
      <c r="F708" s="148"/>
      <c r="G708" s="148"/>
      <c r="H708" s="148"/>
      <c r="I708" s="148"/>
      <c r="J708" s="148"/>
      <c r="K708" s="148"/>
      <c r="L708" s="148"/>
      <c r="M708" s="148"/>
      <c r="N708" s="148"/>
      <c r="O708" s="148"/>
      <c r="P708" s="148"/>
      <c r="Q708" s="148"/>
      <c r="R708" s="148"/>
      <c r="S708" s="148"/>
    </row>
    <row r="709" ht="15.75" customHeight="1">
      <c r="A709" s="148"/>
      <c r="B709" s="148"/>
      <c r="C709" s="148"/>
      <c r="D709" s="148"/>
      <c r="E709" s="148"/>
      <c r="F709" s="148"/>
      <c r="G709" s="148"/>
      <c r="H709" s="148"/>
      <c r="I709" s="148"/>
      <c r="J709" s="148"/>
      <c r="K709" s="148"/>
      <c r="L709" s="148"/>
      <c r="M709" s="148"/>
      <c r="N709" s="148"/>
      <c r="O709" s="148"/>
      <c r="P709" s="148"/>
      <c r="Q709" s="148"/>
      <c r="R709" s="148"/>
      <c r="S709" s="148"/>
    </row>
    <row r="710" ht="15.75" customHeight="1">
      <c r="A710" s="148"/>
      <c r="B710" s="148"/>
      <c r="C710" s="148"/>
      <c r="D710" s="148"/>
      <c r="E710" s="148"/>
      <c r="F710" s="148"/>
      <c r="G710" s="148"/>
      <c r="H710" s="148"/>
      <c r="I710" s="148"/>
      <c r="J710" s="148"/>
      <c r="K710" s="148"/>
      <c r="L710" s="148"/>
      <c r="M710" s="148"/>
      <c r="N710" s="148"/>
      <c r="O710" s="148"/>
      <c r="P710" s="148"/>
      <c r="Q710" s="148"/>
      <c r="R710" s="148"/>
      <c r="S710" s="148"/>
    </row>
    <row r="711" ht="15.75" customHeight="1">
      <c r="A711" s="148"/>
      <c r="B711" s="148"/>
      <c r="C711" s="148"/>
      <c r="D711" s="148"/>
      <c r="E711" s="148"/>
      <c r="F711" s="148"/>
      <c r="G711" s="148"/>
      <c r="H711" s="148"/>
      <c r="I711" s="148"/>
      <c r="J711" s="148"/>
      <c r="K711" s="148"/>
      <c r="L711" s="148"/>
      <c r="M711" s="148"/>
      <c r="N711" s="148"/>
      <c r="O711" s="148"/>
      <c r="P711" s="148"/>
      <c r="Q711" s="148"/>
      <c r="R711" s="148"/>
      <c r="S711" s="148"/>
    </row>
    <row r="712" ht="15.75" customHeight="1">
      <c r="A712" s="148"/>
      <c r="B712" s="148"/>
      <c r="C712" s="148"/>
      <c r="D712" s="148"/>
      <c r="E712" s="148"/>
      <c r="F712" s="148"/>
      <c r="G712" s="148"/>
      <c r="H712" s="148"/>
      <c r="I712" s="148"/>
      <c r="J712" s="148"/>
      <c r="K712" s="148"/>
      <c r="L712" s="148"/>
      <c r="M712" s="148"/>
      <c r="N712" s="148"/>
      <c r="O712" s="148"/>
      <c r="P712" s="148"/>
      <c r="Q712" s="148"/>
      <c r="R712" s="148"/>
      <c r="S712" s="148"/>
    </row>
    <row r="713" ht="15.75" customHeight="1">
      <c r="A713" s="148"/>
      <c r="B713" s="148"/>
      <c r="C713" s="148"/>
      <c r="D713" s="148"/>
      <c r="E713" s="148"/>
      <c r="F713" s="148"/>
      <c r="G713" s="148"/>
      <c r="H713" s="148"/>
      <c r="I713" s="148"/>
      <c r="J713" s="148"/>
      <c r="K713" s="148"/>
      <c r="L713" s="148"/>
      <c r="M713" s="148"/>
      <c r="N713" s="148"/>
      <c r="O713" s="148"/>
      <c r="P713" s="148"/>
      <c r="Q713" s="148"/>
      <c r="R713" s="148"/>
      <c r="S713" s="148"/>
    </row>
    <row r="714" ht="15.75" customHeight="1">
      <c r="A714" s="148"/>
      <c r="B714" s="148"/>
      <c r="C714" s="148"/>
      <c r="D714" s="148"/>
      <c r="E714" s="148"/>
      <c r="F714" s="148"/>
      <c r="G714" s="148"/>
      <c r="H714" s="148"/>
      <c r="I714" s="148"/>
      <c r="J714" s="148"/>
      <c r="K714" s="148"/>
      <c r="L714" s="148"/>
      <c r="M714" s="148"/>
      <c r="N714" s="148"/>
      <c r="O714" s="148"/>
      <c r="P714" s="148"/>
      <c r="Q714" s="148"/>
      <c r="R714" s="148"/>
      <c r="S714" s="148"/>
    </row>
    <row r="715" ht="15.75" customHeight="1">
      <c r="A715" s="148"/>
      <c r="B715" s="148"/>
      <c r="C715" s="148"/>
      <c r="D715" s="148"/>
      <c r="E715" s="148"/>
      <c r="F715" s="148"/>
      <c r="G715" s="148"/>
      <c r="H715" s="148"/>
      <c r="I715" s="148"/>
      <c r="J715" s="148"/>
      <c r="K715" s="148"/>
      <c r="L715" s="148"/>
      <c r="M715" s="148"/>
      <c r="N715" s="148"/>
      <c r="O715" s="148"/>
      <c r="P715" s="148"/>
      <c r="Q715" s="148"/>
      <c r="R715" s="148"/>
      <c r="S715" s="148"/>
    </row>
    <row r="716" ht="15.75" customHeight="1">
      <c r="A716" s="148"/>
      <c r="B716" s="148"/>
      <c r="C716" s="148"/>
      <c r="D716" s="148"/>
      <c r="E716" s="148"/>
      <c r="F716" s="148"/>
      <c r="G716" s="148"/>
      <c r="H716" s="148"/>
      <c r="I716" s="148"/>
      <c r="J716" s="148"/>
      <c r="K716" s="148"/>
      <c r="L716" s="148"/>
      <c r="M716" s="148"/>
      <c r="N716" s="148"/>
      <c r="O716" s="148"/>
      <c r="P716" s="148"/>
      <c r="Q716" s="148"/>
      <c r="R716" s="148"/>
      <c r="S716" s="148"/>
    </row>
    <row r="717" ht="15.75" customHeight="1">
      <c r="A717" s="148"/>
      <c r="B717" s="148"/>
      <c r="C717" s="148"/>
      <c r="D717" s="148"/>
      <c r="E717" s="148"/>
      <c r="F717" s="148"/>
      <c r="G717" s="148"/>
      <c r="H717" s="148"/>
      <c r="I717" s="148"/>
      <c r="J717" s="148"/>
      <c r="K717" s="148"/>
      <c r="L717" s="148"/>
      <c r="M717" s="148"/>
      <c r="N717" s="148"/>
      <c r="O717" s="148"/>
      <c r="P717" s="148"/>
      <c r="Q717" s="148"/>
      <c r="R717" s="148"/>
      <c r="S717" s="148"/>
    </row>
    <row r="718" ht="15.75" customHeight="1">
      <c r="A718" s="148"/>
      <c r="B718" s="148"/>
      <c r="C718" s="148"/>
      <c r="D718" s="148"/>
      <c r="E718" s="148"/>
      <c r="F718" s="148"/>
      <c r="G718" s="148"/>
      <c r="H718" s="148"/>
      <c r="I718" s="148"/>
      <c r="J718" s="148"/>
      <c r="K718" s="148"/>
      <c r="L718" s="148"/>
      <c r="M718" s="148"/>
      <c r="N718" s="148"/>
      <c r="O718" s="148"/>
      <c r="P718" s="148"/>
      <c r="Q718" s="148"/>
      <c r="R718" s="148"/>
      <c r="S718" s="148"/>
    </row>
    <row r="719" ht="15.75" customHeight="1">
      <c r="A719" s="148"/>
      <c r="B719" s="148"/>
      <c r="C719" s="148"/>
      <c r="D719" s="148"/>
      <c r="E719" s="148"/>
      <c r="F719" s="148"/>
      <c r="G719" s="148"/>
      <c r="H719" s="148"/>
      <c r="I719" s="148"/>
      <c r="J719" s="148"/>
      <c r="K719" s="148"/>
      <c r="L719" s="148"/>
      <c r="M719" s="148"/>
      <c r="N719" s="148"/>
      <c r="O719" s="148"/>
      <c r="P719" s="148"/>
      <c r="Q719" s="148"/>
      <c r="R719" s="148"/>
      <c r="S719" s="148"/>
    </row>
    <row r="720" ht="15.75" customHeight="1">
      <c r="A720" s="148"/>
      <c r="B720" s="148"/>
      <c r="C720" s="148"/>
      <c r="D720" s="148"/>
      <c r="E720" s="148"/>
      <c r="F720" s="148"/>
      <c r="G720" s="148"/>
      <c r="H720" s="148"/>
      <c r="I720" s="148"/>
      <c r="J720" s="148"/>
      <c r="K720" s="148"/>
      <c r="L720" s="148"/>
      <c r="M720" s="148"/>
      <c r="N720" s="148"/>
      <c r="O720" s="148"/>
      <c r="P720" s="148"/>
      <c r="Q720" s="148"/>
      <c r="R720" s="148"/>
      <c r="S720" s="148"/>
    </row>
    <row r="721" ht="15.75" customHeight="1">
      <c r="A721" s="148"/>
      <c r="B721" s="148"/>
      <c r="C721" s="148"/>
      <c r="D721" s="148"/>
      <c r="E721" s="148"/>
      <c r="F721" s="148"/>
      <c r="G721" s="148"/>
      <c r="H721" s="148"/>
      <c r="I721" s="148"/>
      <c r="J721" s="148"/>
      <c r="K721" s="148"/>
      <c r="L721" s="148"/>
      <c r="M721" s="148"/>
      <c r="N721" s="148"/>
      <c r="O721" s="148"/>
      <c r="P721" s="148"/>
      <c r="Q721" s="148"/>
      <c r="R721" s="148"/>
      <c r="S721" s="148"/>
    </row>
    <row r="722" ht="15.75" customHeight="1">
      <c r="A722" s="148"/>
      <c r="B722" s="148"/>
      <c r="C722" s="148"/>
      <c r="D722" s="148"/>
      <c r="E722" s="148"/>
      <c r="F722" s="148"/>
      <c r="G722" s="148"/>
      <c r="H722" s="148"/>
      <c r="I722" s="148"/>
      <c r="J722" s="148"/>
      <c r="K722" s="148"/>
      <c r="L722" s="148"/>
      <c r="M722" s="148"/>
      <c r="N722" s="148"/>
      <c r="O722" s="148"/>
      <c r="P722" s="148"/>
      <c r="Q722" s="148"/>
      <c r="R722" s="148"/>
      <c r="S722" s="148"/>
    </row>
    <row r="723" ht="15.75" customHeight="1">
      <c r="A723" s="148"/>
      <c r="B723" s="148"/>
      <c r="C723" s="148"/>
      <c r="D723" s="148"/>
      <c r="E723" s="148"/>
      <c r="F723" s="148"/>
      <c r="G723" s="148"/>
      <c r="H723" s="148"/>
      <c r="I723" s="148"/>
      <c r="J723" s="148"/>
      <c r="K723" s="148"/>
      <c r="L723" s="148"/>
      <c r="M723" s="148"/>
      <c r="N723" s="148"/>
      <c r="O723" s="148"/>
      <c r="P723" s="148"/>
      <c r="Q723" s="148"/>
      <c r="R723" s="148"/>
      <c r="S723" s="148"/>
    </row>
    <row r="724" ht="15.75" customHeight="1">
      <c r="A724" s="148"/>
      <c r="B724" s="148"/>
      <c r="C724" s="148"/>
      <c r="D724" s="148"/>
      <c r="E724" s="148"/>
      <c r="F724" s="148"/>
      <c r="G724" s="148"/>
      <c r="H724" s="148"/>
      <c r="I724" s="148"/>
      <c r="J724" s="148"/>
      <c r="K724" s="148"/>
      <c r="L724" s="148"/>
      <c r="M724" s="148"/>
      <c r="N724" s="148"/>
      <c r="O724" s="148"/>
      <c r="P724" s="148"/>
      <c r="Q724" s="148"/>
      <c r="R724" s="148"/>
      <c r="S724" s="148"/>
    </row>
    <row r="725" ht="15.75" customHeight="1">
      <c r="A725" s="148"/>
      <c r="B725" s="148"/>
      <c r="C725" s="148"/>
      <c r="D725" s="148"/>
      <c r="E725" s="148"/>
      <c r="F725" s="148"/>
      <c r="G725" s="148"/>
      <c r="H725" s="148"/>
      <c r="I725" s="148"/>
      <c r="J725" s="148"/>
      <c r="K725" s="148"/>
      <c r="L725" s="148"/>
      <c r="M725" s="148"/>
      <c r="N725" s="148"/>
      <c r="O725" s="148"/>
      <c r="P725" s="148"/>
      <c r="Q725" s="148"/>
      <c r="R725" s="148"/>
      <c r="S725" s="148"/>
    </row>
    <row r="726" ht="15.75" customHeight="1">
      <c r="A726" s="148"/>
      <c r="B726" s="148"/>
      <c r="C726" s="148"/>
      <c r="D726" s="148"/>
      <c r="E726" s="148"/>
      <c r="F726" s="148"/>
      <c r="G726" s="148"/>
      <c r="H726" s="148"/>
      <c r="I726" s="148"/>
      <c r="J726" s="148"/>
      <c r="K726" s="148"/>
      <c r="L726" s="148"/>
      <c r="M726" s="148"/>
      <c r="N726" s="148"/>
      <c r="O726" s="148"/>
      <c r="P726" s="148"/>
      <c r="Q726" s="148"/>
      <c r="R726" s="148"/>
      <c r="S726" s="148"/>
    </row>
    <row r="727" ht="15.75" customHeight="1">
      <c r="A727" s="148"/>
      <c r="B727" s="148"/>
      <c r="C727" s="148"/>
      <c r="D727" s="148"/>
      <c r="E727" s="148"/>
      <c r="F727" s="148"/>
      <c r="G727" s="148"/>
      <c r="H727" s="148"/>
      <c r="I727" s="148"/>
      <c r="J727" s="148"/>
      <c r="K727" s="148"/>
      <c r="L727" s="148"/>
      <c r="M727" s="148"/>
      <c r="N727" s="148"/>
      <c r="O727" s="148"/>
      <c r="P727" s="148"/>
      <c r="Q727" s="148"/>
      <c r="R727" s="148"/>
      <c r="S727" s="148"/>
    </row>
    <row r="728" ht="15.75" customHeight="1">
      <c r="A728" s="148"/>
      <c r="B728" s="148"/>
      <c r="C728" s="148"/>
      <c r="D728" s="148"/>
      <c r="E728" s="148"/>
      <c r="F728" s="148"/>
      <c r="G728" s="148"/>
      <c r="H728" s="148"/>
      <c r="I728" s="148"/>
      <c r="J728" s="148"/>
      <c r="K728" s="148"/>
      <c r="L728" s="148"/>
      <c r="M728" s="148"/>
      <c r="N728" s="148"/>
      <c r="O728" s="148"/>
      <c r="P728" s="148"/>
      <c r="Q728" s="148"/>
      <c r="R728" s="148"/>
      <c r="S728" s="148"/>
    </row>
    <row r="729" ht="15.75" customHeight="1">
      <c r="A729" s="148"/>
      <c r="B729" s="148"/>
      <c r="C729" s="148"/>
      <c r="D729" s="148"/>
      <c r="E729" s="148"/>
      <c r="F729" s="148"/>
      <c r="G729" s="148"/>
      <c r="H729" s="148"/>
      <c r="I729" s="148"/>
      <c r="J729" s="148"/>
      <c r="K729" s="148"/>
      <c r="L729" s="148"/>
      <c r="M729" s="148"/>
      <c r="N729" s="148"/>
      <c r="O729" s="148"/>
      <c r="P729" s="148"/>
      <c r="Q729" s="148"/>
      <c r="R729" s="148"/>
      <c r="S729" s="148"/>
    </row>
    <row r="730" ht="15.75" customHeight="1">
      <c r="A730" s="148"/>
      <c r="B730" s="148"/>
      <c r="C730" s="148"/>
      <c r="D730" s="148"/>
      <c r="E730" s="148"/>
      <c r="F730" s="148"/>
      <c r="G730" s="148"/>
      <c r="H730" s="148"/>
      <c r="I730" s="148"/>
      <c r="J730" s="148"/>
      <c r="K730" s="148"/>
      <c r="L730" s="148"/>
      <c r="M730" s="148"/>
      <c r="N730" s="148"/>
      <c r="O730" s="148"/>
      <c r="P730" s="148"/>
      <c r="Q730" s="148"/>
      <c r="R730" s="148"/>
      <c r="S730" s="148"/>
    </row>
    <row r="731" ht="15.75" customHeight="1">
      <c r="A731" s="148"/>
      <c r="B731" s="148"/>
      <c r="C731" s="148"/>
      <c r="D731" s="148"/>
      <c r="E731" s="148"/>
      <c r="F731" s="148"/>
      <c r="G731" s="148"/>
      <c r="H731" s="148"/>
      <c r="I731" s="148"/>
      <c r="J731" s="148"/>
      <c r="K731" s="148"/>
      <c r="L731" s="148"/>
      <c r="M731" s="148"/>
      <c r="N731" s="148"/>
      <c r="O731" s="148"/>
      <c r="P731" s="148"/>
      <c r="Q731" s="148"/>
      <c r="R731" s="148"/>
      <c r="S731" s="148"/>
    </row>
    <row r="732" ht="15.75" customHeight="1">
      <c r="A732" s="148"/>
      <c r="B732" s="148"/>
      <c r="C732" s="148"/>
      <c r="D732" s="148"/>
      <c r="E732" s="148"/>
      <c r="F732" s="148"/>
      <c r="G732" s="148"/>
      <c r="H732" s="148"/>
      <c r="I732" s="148"/>
      <c r="J732" s="148"/>
      <c r="K732" s="148"/>
      <c r="L732" s="148"/>
      <c r="M732" s="148"/>
      <c r="N732" s="148"/>
      <c r="O732" s="148"/>
      <c r="P732" s="148"/>
      <c r="Q732" s="148"/>
      <c r="R732" s="148"/>
      <c r="S732" s="148"/>
    </row>
    <row r="733" ht="15.75" customHeight="1">
      <c r="A733" s="148"/>
      <c r="B733" s="148"/>
      <c r="C733" s="148"/>
      <c r="D733" s="148"/>
      <c r="E733" s="148"/>
      <c r="F733" s="148"/>
      <c r="G733" s="148"/>
      <c r="H733" s="148"/>
      <c r="I733" s="148"/>
      <c r="J733" s="148"/>
      <c r="K733" s="148"/>
      <c r="L733" s="148"/>
      <c r="M733" s="148"/>
      <c r="N733" s="148"/>
      <c r="O733" s="148"/>
      <c r="P733" s="148"/>
      <c r="Q733" s="148"/>
      <c r="R733" s="148"/>
      <c r="S733" s="148"/>
    </row>
    <row r="734" ht="15.75" customHeight="1">
      <c r="A734" s="148"/>
      <c r="B734" s="148"/>
      <c r="C734" s="148"/>
      <c r="D734" s="148"/>
      <c r="E734" s="148"/>
      <c r="F734" s="148"/>
      <c r="G734" s="148"/>
      <c r="H734" s="148"/>
      <c r="I734" s="148"/>
      <c r="J734" s="148"/>
      <c r="K734" s="148"/>
      <c r="L734" s="148"/>
      <c r="M734" s="148"/>
      <c r="N734" s="148"/>
      <c r="O734" s="148"/>
      <c r="P734" s="148"/>
      <c r="Q734" s="148"/>
      <c r="R734" s="148"/>
      <c r="S734" s="148"/>
    </row>
    <row r="735" ht="15.75" customHeight="1">
      <c r="A735" s="148"/>
      <c r="B735" s="148"/>
      <c r="C735" s="148"/>
      <c r="D735" s="148"/>
      <c r="E735" s="148"/>
      <c r="F735" s="148"/>
      <c r="G735" s="148"/>
      <c r="H735" s="148"/>
      <c r="I735" s="148"/>
      <c r="J735" s="148"/>
      <c r="K735" s="148"/>
      <c r="L735" s="148"/>
      <c r="M735" s="148"/>
      <c r="N735" s="148"/>
      <c r="O735" s="148"/>
      <c r="P735" s="148"/>
      <c r="Q735" s="148"/>
      <c r="R735" s="148"/>
      <c r="S735" s="148"/>
    </row>
    <row r="736" ht="15.75" customHeight="1">
      <c r="A736" s="148"/>
      <c r="B736" s="148"/>
      <c r="C736" s="148"/>
      <c r="D736" s="148"/>
      <c r="E736" s="148"/>
      <c r="F736" s="148"/>
      <c r="G736" s="148"/>
      <c r="H736" s="148"/>
      <c r="I736" s="148"/>
      <c r="J736" s="148"/>
      <c r="K736" s="148"/>
      <c r="L736" s="148"/>
      <c r="M736" s="148"/>
      <c r="N736" s="148"/>
      <c r="O736" s="148"/>
      <c r="P736" s="148"/>
      <c r="Q736" s="148"/>
      <c r="R736" s="148"/>
      <c r="S736" s="148"/>
    </row>
    <row r="737" ht="15.75" customHeight="1">
      <c r="A737" s="148"/>
      <c r="B737" s="148"/>
      <c r="C737" s="148"/>
      <c r="D737" s="148"/>
      <c r="E737" s="148"/>
      <c r="F737" s="148"/>
      <c r="G737" s="148"/>
      <c r="H737" s="148"/>
      <c r="I737" s="148"/>
      <c r="J737" s="148"/>
      <c r="K737" s="148"/>
      <c r="L737" s="148"/>
      <c r="M737" s="148"/>
      <c r="N737" s="148"/>
      <c r="O737" s="148"/>
      <c r="P737" s="148"/>
      <c r="Q737" s="148"/>
      <c r="R737" s="148"/>
      <c r="S737" s="148"/>
    </row>
    <row r="738" ht="15.75" customHeight="1">
      <c r="A738" s="148"/>
      <c r="B738" s="148"/>
      <c r="C738" s="148"/>
      <c r="D738" s="148"/>
      <c r="E738" s="148"/>
      <c r="F738" s="148"/>
      <c r="G738" s="148"/>
      <c r="H738" s="148"/>
      <c r="I738" s="148"/>
      <c r="J738" s="148"/>
      <c r="K738" s="148"/>
      <c r="L738" s="148"/>
      <c r="M738" s="148"/>
      <c r="N738" s="148"/>
      <c r="O738" s="148"/>
      <c r="P738" s="148"/>
      <c r="Q738" s="148"/>
      <c r="R738" s="148"/>
      <c r="S738" s="148"/>
    </row>
    <row r="739" ht="15.75" customHeight="1">
      <c r="A739" s="148"/>
      <c r="B739" s="148"/>
      <c r="C739" s="148"/>
      <c r="D739" s="148"/>
      <c r="E739" s="148"/>
      <c r="F739" s="148"/>
      <c r="G739" s="148"/>
      <c r="H739" s="148"/>
      <c r="I739" s="148"/>
      <c r="J739" s="148"/>
      <c r="K739" s="148"/>
      <c r="L739" s="148"/>
      <c r="M739" s="148"/>
      <c r="N739" s="148"/>
      <c r="O739" s="148"/>
      <c r="P739" s="148"/>
      <c r="Q739" s="148"/>
      <c r="R739" s="148"/>
      <c r="S739" s="148"/>
    </row>
    <row r="740" ht="15.75" customHeight="1">
      <c r="A740" s="148"/>
      <c r="B740" s="148"/>
      <c r="C740" s="148"/>
      <c r="D740" s="148"/>
      <c r="E740" s="148"/>
      <c r="F740" s="148"/>
      <c r="G740" s="148"/>
      <c r="H740" s="148"/>
      <c r="I740" s="148"/>
      <c r="J740" s="148"/>
      <c r="K740" s="148"/>
      <c r="L740" s="148"/>
      <c r="M740" s="148"/>
      <c r="N740" s="148"/>
      <c r="O740" s="148"/>
      <c r="P740" s="148"/>
      <c r="Q740" s="148"/>
      <c r="R740" s="148"/>
      <c r="S740" s="148"/>
    </row>
    <row r="741" ht="15.75" customHeight="1">
      <c r="A741" s="148"/>
      <c r="B741" s="148"/>
      <c r="C741" s="148"/>
      <c r="D741" s="148"/>
      <c r="E741" s="148"/>
      <c r="F741" s="148"/>
      <c r="G741" s="148"/>
      <c r="H741" s="148"/>
      <c r="I741" s="148"/>
      <c r="J741" s="148"/>
      <c r="K741" s="148"/>
      <c r="L741" s="148"/>
      <c r="M741" s="148"/>
      <c r="N741" s="148"/>
      <c r="O741" s="148"/>
      <c r="P741" s="148"/>
      <c r="Q741" s="148"/>
      <c r="R741" s="148"/>
      <c r="S741" s="148"/>
    </row>
    <row r="742" ht="15.75" customHeight="1">
      <c r="A742" s="148"/>
      <c r="B742" s="148"/>
      <c r="C742" s="148"/>
      <c r="D742" s="148"/>
      <c r="E742" s="148"/>
      <c r="F742" s="148"/>
      <c r="G742" s="148"/>
      <c r="H742" s="148"/>
      <c r="I742" s="148"/>
      <c r="J742" s="148"/>
      <c r="K742" s="148"/>
      <c r="L742" s="148"/>
      <c r="M742" s="148"/>
      <c r="N742" s="148"/>
      <c r="O742" s="148"/>
      <c r="P742" s="148"/>
      <c r="Q742" s="148"/>
      <c r="R742" s="148"/>
      <c r="S742" s="148"/>
    </row>
    <row r="743" ht="15.75" customHeight="1">
      <c r="A743" s="148"/>
      <c r="B743" s="148"/>
      <c r="C743" s="148"/>
      <c r="D743" s="148"/>
      <c r="E743" s="148"/>
      <c r="F743" s="148"/>
      <c r="G743" s="148"/>
      <c r="H743" s="148"/>
      <c r="I743" s="148"/>
      <c r="J743" s="148"/>
      <c r="K743" s="148"/>
      <c r="L743" s="148"/>
      <c r="M743" s="148"/>
      <c r="N743" s="148"/>
      <c r="O743" s="148"/>
      <c r="P743" s="148"/>
      <c r="Q743" s="148"/>
      <c r="R743" s="148"/>
      <c r="S743" s="148"/>
    </row>
    <row r="744" ht="15.75" customHeight="1">
      <c r="A744" s="148"/>
      <c r="B744" s="148"/>
      <c r="C744" s="148"/>
      <c r="D744" s="148"/>
      <c r="E744" s="148"/>
      <c r="F744" s="148"/>
      <c r="G744" s="148"/>
      <c r="H744" s="148"/>
      <c r="I744" s="148"/>
      <c r="J744" s="148"/>
      <c r="K744" s="148"/>
      <c r="L744" s="148"/>
      <c r="M744" s="148"/>
      <c r="N744" s="148"/>
      <c r="O744" s="148"/>
      <c r="P744" s="148"/>
      <c r="Q744" s="148"/>
      <c r="R744" s="148"/>
      <c r="S744" s="148"/>
    </row>
    <row r="745" ht="15.75" customHeight="1">
      <c r="A745" s="148"/>
      <c r="B745" s="148"/>
      <c r="C745" s="148"/>
      <c r="D745" s="148"/>
      <c r="E745" s="148"/>
      <c r="F745" s="148"/>
      <c r="G745" s="148"/>
      <c r="H745" s="148"/>
      <c r="I745" s="148"/>
      <c r="J745" s="148"/>
      <c r="K745" s="148"/>
      <c r="L745" s="148"/>
      <c r="M745" s="148"/>
      <c r="N745" s="148"/>
      <c r="O745" s="148"/>
      <c r="P745" s="148"/>
      <c r="Q745" s="148"/>
      <c r="R745" s="148"/>
      <c r="S745" s="148"/>
    </row>
    <row r="746" ht="15.75" customHeight="1">
      <c r="A746" s="148"/>
      <c r="B746" s="148"/>
      <c r="C746" s="148"/>
      <c r="D746" s="148"/>
      <c r="E746" s="148"/>
      <c r="F746" s="148"/>
      <c r="G746" s="148"/>
      <c r="H746" s="148"/>
      <c r="I746" s="148"/>
      <c r="J746" s="148"/>
      <c r="K746" s="148"/>
      <c r="L746" s="148"/>
      <c r="M746" s="148"/>
      <c r="N746" s="148"/>
      <c r="O746" s="148"/>
      <c r="P746" s="148"/>
      <c r="Q746" s="148"/>
      <c r="R746" s="148"/>
      <c r="S746" s="148"/>
    </row>
    <row r="747" ht="15.75" customHeight="1">
      <c r="A747" s="148"/>
      <c r="B747" s="148"/>
      <c r="C747" s="148"/>
      <c r="D747" s="148"/>
      <c r="E747" s="148"/>
      <c r="F747" s="148"/>
      <c r="G747" s="148"/>
      <c r="H747" s="148"/>
      <c r="I747" s="148"/>
      <c r="J747" s="148"/>
      <c r="K747" s="148"/>
      <c r="L747" s="148"/>
      <c r="M747" s="148"/>
      <c r="N747" s="148"/>
      <c r="O747" s="148"/>
      <c r="P747" s="148"/>
      <c r="Q747" s="148"/>
      <c r="R747" s="148"/>
      <c r="S747" s="148"/>
    </row>
    <row r="748" ht="15.75" customHeight="1">
      <c r="A748" s="148"/>
      <c r="B748" s="148"/>
      <c r="C748" s="148"/>
      <c r="D748" s="148"/>
      <c r="E748" s="148"/>
      <c r="F748" s="148"/>
      <c r="G748" s="148"/>
      <c r="H748" s="148"/>
      <c r="I748" s="148"/>
      <c r="J748" s="148"/>
      <c r="K748" s="148"/>
      <c r="L748" s="148"/>
      <c r="M748" s="148"/>
      <c r="N748" s="148"/>
      <c r="O748" s="148"/>
      <c r="P748" s="148"/>
      <c r="Q748" s="148"/>
      <c r="R748" s="148"/>
      <c r="S748" s="148"/>
    </row>
    <row r="749" ht="15.75" customHeight="1">
      <c r="A749" s="148"/>
      <c r="B749" s="148"/>
      <c r="C749" s="148"/>
      <c r="D749" s="148"/>
      <c r="E749" s="148"/>
      <c r="F749" s="148"/>
      <c r="G749" s="148"/>
      <c r="H749" s="148"/>
      <c r="I749" s="148"/>
      <c r="J749" s="148"/>
      <c r="K749" s="148"/>
      <c r="L749" s="148"/>
      <c r="M749" s="148"/>
      <c r="N749" s="148"/>
      <c r="O749" s="148"/>
      <c r="P749" s="148"/>
      <c r="Q749" s="148"/>
      <c r="R749" s="148"/>
      <c r="S749" s="148"/>
    </row>
    <row r="750" ht="15.75" customHeight="1">
      <c r="A750" s="148"/>
      <c r="B750" s="148"/>
      <c r="C750" s="148"/>
      <c r="D750" s="148"/>
      <c r="E750" s="148"/>
      <c r="F750" s="148"/>
      <c r="G750" s="148"/>
      <c r="H750" s="148"/>
      <c r="I750" s="148"/>
      <c r="J750" s="148"/>
      <c r="K750" s="148"/>
      <c r="L750" s="148"/>
      <c r="M750" s="148"/>
      <c r="N750" s="148"/>
      <c r="O750" s="148"/>
      <c r="P750" s="148"/>
      <c r="Q750" s="148"/>
      <c r="R750" s="148"/>
      <c r="S750" s="148"/>
    </row>
    <row r="751" ht="15.75" customHeight="1">
      <c r="A751" s="148"/>
      <c r="B751" s="148"/>
      <c r="C751" s="148"/>
      <c r="D751" s="148"/>
      <c r="E751" s="148"/>
      <c r="F751" s="148"/>
      <c r="G751" s="148"/>
      <c r="H751" s="148"/>
      <c r="I751" s="148"/>
      <c r="J751" s="148"/>
      <c r="K751" s="148"/>
      <c r="L751" s="148"/>
      <c r="M751" s="148"/>
      <c r="N751" s="148"/>
      <c r="O751" s="148"/>
      <c r="P751" s="148"/>
      <c r="Q751" s="148"/>
      <c r="R751" s="148"/>
      <c r="S751" s="148"/>
    </row>
    <row r="752" ht="15.75" customHeight="1">
      <c r="A752" s="148"/>
      <c r="B752" s="148"/>
      <c r="C752" s="148"/>
      <c r="D752" s="148"/>
      <c r="E752" s="148"/>
      <c r="F752" s="148"/>
      <c r="G752" s="148"/>
      <c r="H752" s="148"/>
      <c r="I752" s="148"/>
      <c r="J752" s="148"/>
      <c r="K752" s="148"/>
      <c r="L752" s="148"/>
      <c r="M752" s="148"/>
      <c r="N752" s="148"/>
      <c r="O752" s="148"/>
      <c r="P752" s="148"/>
      <c r="Q752" s="148"/>
      <c r="R752" s="148"/>
      <c r="S752" s="148"/>
    </row>
    <row r="753" ht="15.75" customHeight="1">
      <c r="A753" s="148"/>
      <c r="B753" s="148"/>
      <c r="C753" s="148"/>
      <c r="D753" s="148"/>
      <c r="E753" s="148"/>
      <c r="F753" s="148"/>
      <c r="G753" s="148"/>
      <c r="H753" s="148"/>
      <c r="I753" s="148"/>
      <c r="J753" s="148"/>
      <c r="K753" s="148"/>
      <c r="L753" s="148"/>
      <c r="M753" s="148"/>
      <c r="N753" s="148"/>
      <c r="O753" s="148"/>
      <c r="P753" s="148"/>
      <c r="Q753" s="148"/>
      <c r="R753" s="148"/>
      <c r="S753" s="148"/>
    </row>
    <row r="754" ht="15.75" customHeight="1">
      <c r="A754" s="148"/>
      <c r="B754" s="148"/>
      <c r="C754" s="148"/>
      <c r="D754" s="148"/>
      <c r="E754" s="148"/>
      <c r="F754" s="148"/>
      <c r="G754" s="148"/>
      <c r="H754" s="148"/>
      <c r="I754" s="148"/>
      <c r="J754" s="148"/>
      <c r="K754" s="148"/>
      <c r="L754" s="148"/>
      <c r="M754" s="148"/>
      <c r="N754" s="148"/>
      <c r="O754" s="148"/>
      <c r="P754" s="148"/>
      <c r="Q754" s="148"/>
      <c r="R754" s="148"/>
      <c r="S754" s="148"/>
    </row>
    <row r="755" ht="15.75" customHeight="1">
      <c r="A755" s="148"/>
      <c r="B755" s="148"/>
      <c r="C755" s="148"/>
      <c r="D755" s="148"/>
      <c r="E755" s="148"/>
      <c r="F755" s="148"/>
      <c r="G755" s="148"/>
      <c r="H755" s="148"/>
      <c r="I755" s="148"/>
      <c r="J755" s="148"/>
      <c r="K755" s="148"/>
      <c r="L755" s="148"/>
      <c r="M755" s="148"/>
      <c r="N755" s="148"/>
      <c r="O755" s="148"/>
      <c r="P755" s="148"/>
      <c r="Q755" s="148"/>
      <c r="R755" s="148"/>
      <c r="S755" s="148"/>
    </row>
    <row r="756" ht="15.75" customHeight="1">
      <c r="A756" s="148"/>
      <c r="B756" s="148"/>
      <c r="C756" s="148"/>
      <c r="D756" s="148"/>
      <c r="E756" s="148"/>
      <c r="F756" s="148"/>
      <c r="G756" s="148"/>
      <c r="H756" s="148"/>
      <c r="I756" s="148"/>
      <c r="J756" s="148"/>
      <c r="K756" s="148"/>
      <c r="L756" s="148"/>
      <c r="M756" s="148"/>
      <c r="N756" s="148"/>
      <c r="O756" s="148"/>
      <c r="P756" s="148"/>
      <c r="Q756" s="148"/>
      <c r="R756" s="148"/>
      <c r="S756" s="148"/>
    </row>
    <row r="757" ht="15.75" customHeight="1">
      <c r="A757" s="148"/>
      <c r="B757" s="148"/>
      <c r="C757" s="148"/>
      <c r="D757" s="148"/>
      <c r="E757" s="148"/>
      <c r="F757" s="148"/>
      <c r="G757" s="148"/>
      <c r="H757" s="148"/>
      <c r="I757" s="148"/>
      <c r="J757" s="148"/>
      <c r="K757" s="148"/>
      <c r="L757" s="148"/>
      <c r="M757" s="148"/>
      <c r="N757" s="148"/>
      <c r="O757" s="148"/>
      <c r="P757" s="148"/>
      <c r="Q757" s="148"/>
      <c r="R757" s="148"/>
      <c r="S757" s="148"/>
    </row>
    <row r="758" ht="15.75" customHeight="1">
      <c r="A758" s="148"/>
      <c r="B758" s="148"/>
      <c r="C758" s="148"/>
      <c r="D758" s="148"/>
      <c r="E758" s="148"/>
      <c r="F758" s="148"/>
      <c r="G758" s="148"/>
      <c r="H758" s="148"/>
      <c r="I758" s="148"/>
      <c r="J758" s="148"/>
      <c r="K758" s="148"/>
      <c r="L758" s="148"/>
      <c r="M758" s="148"/>
      <c r="N758" s="148"/>
      <c r="O758" s="148"/>
      <c r="P758" s="148"/>
      <c r="Q758" s="148"/>
      <c r="R758" s="148"/>
      <c r="S758" s="148"/>
    </row>
    <row r="759" ht="15.75" customHeight="1">
      <c r="A759" s="148"/>
      <c r="B759" s="148"/>
      <c r="C759" s="148"/>
      <c r="D759" s="148"/>
      <c r="E759" s="148"/>
      <c r="F759" s="148"/>
      <c r="G759" s="148"/>
      <c r="H759" s="148"/>
      <c r="I759" s="148"/>
      <c r="J759" s="148"/>
      <c r="K759" s="148"/>
      <c r="L759" s="148"/>
      <c r="M759" s="148"/>
      <c r="N759" s="148"/>
      <c r="O759" s="148"/>
      <c r="P759" s="148"/>
      <c r="Q759" s="148"/>
      <c r="R759" s="148"/>
      <c r="S759" s="148"/>
    </row>
    <row r="760" ht="15.75" customHeight="1">
      <c r="A760" s="148"/>
      <c r="B760" s="148"/>
      <c r="C760" s="148"/>
      <c r="D760" s="148"/>
      <c r="E760" s="148"/>
      <c r="F760" s="148"/>
      <c r="G760" s="148"/>
      <c r="H760" s="148"/>
      <c r="I760" s="148"/>
      <c r="J760" s="148"/>
      <c r="K760" s="148"/>
      <c r="L760" s="148"/>
      <c r="M760" s="148"/>
      <c r="N760" s="148"/>
      <c r="O760" s="148"/>
      <c r="P760" s="148"/>
      <c r="Q760" s="148"/>
      <c r="R760" s="148"/>
      <c r="S760" s="148"/>
    </row>
    <row r="761" ht="15.75" customHeight="1">
      <c r="A761" s="148"/>
      <c r="B761" s="148"/>
      <c r="C761" s="148"/>
      <c r="D761" s="148"/>
      <c r="E761" s="148"/>
      <c r="F761" s="148"/>
      <c r="G761" s="148"/>
      <c r="H761" s="148"/>
      <c r="I761" s="148"/>
      <c r="J761" s="148"/>
      <c r="K761" s="148"/>
      <c r="L761" s="148"/>
      <c r="M761" s="148"/>
      <c r="N761" s="148"/>
      <c r="O761" s="148"/>
      <c r="P761" s="148"/>
      <c r="Q761" s="148"/>
      <c r="R761" s="148"/>
      <c r="S761" s="148"/>
    </row>
    <row r="762" ht="15.75" customHeight="1">
      <c r="A762" s="148"/>
      <c r="B762" s="148"/>
      <c r="C762" s="148"/>
      <c r="D762" s="148"/>
      <c r="E762" s="148"/>
      <c r="F762" s="148"/>
      <c r="G762" s="148"/>
      <c r="H762" s="148"/>
      <c r="I762" s="148"/>
      <c r="J762" s="148"/>
      <c r="K762" s="148"/>
      <c r="L762" s="148"/>
      <c r="M762" s="148"/>
      <c r="N762" s="148"/>
      <c r="O762" s="148"/>
      <c r="P762" s="148"/>
      <c r="Q762" s="148"/>
      <c r="R762" s="148"/>
      <c r="S762" s="148"/>
    </row>
    <row r="763" ht="15.75" customHeight="1">
      <c r="A763" s="148"/>
      <c r="B763" s="148"/>
      <c r="C763" s="148"/>
      <c r="D763" s="148"/>
      <c r="E763" s="148"/>
      <c r="F763" s="148"/>
      <c r="G763" s="148"/>
      <c r="H763" s="148"/>
      <c r="I763" s="148"/>
      <c r="J763" s="148"/>
      <c r="K763" s="148"/>
      <c r="L763" s="148"/>
      <c r="M763" s="148"/>
      <c r="N763" s="148"/>
      <c r="O763" s="148"/>
      <c r="P763" s="148"/>
      <c r="Q763" s="148"/>
      <c r="R763" s="148"/>
      <c r="S763" s="148"/>
    </row>
    <row r="764" ht="15.75" customHeight="1">
      <c r="A764" s="148"/>
      <c r="B764" s="148"/>
      <c r="C764" s="148"/>
      <c r="D764" s="148"/>
      <c r="E764" s="148"/>
      <c r="F764" s="148"/>
      <c r="G764" s="148"/>
      <c r="H764" s="148"/>
      <c r="I764" s="148"/>
      <c r="J764" s="148"/>
      <c r="K764" s="148"/>
      <c r="L764" s="148"/>
      <c r="M764" s="148"/>
      <c r="N764" s="148"/>
      <c r="O764" s="148"/>
      <c r="P764" s="148"/>
      <c r="Q764" s="148"/>
      <c r="R764" s="148"/>
      <c r="S764" s="148"/>
    </row>
    <row r="765" ht="15.75" customHeight="1">
      <c r="A765" s="148"/>
      <c r="B765" s="148"/>
      <c r="C765" s="148"/>
      <c r="D765" s="148"/>
      <c r="E765" s="148"/>
      <c r="F765" s="148"/>
      <c r="G765" s="148"/>
      <c r="H765" s="148"/>
      <c r="I765" s="148"/>
      <c r="J765" s="148"/>
      <c r="K765" s="148"/>
      <c r="L765" s="148"/>
      <c r="M765" s="148"/>
      <c r="N765" s="148"/>
      <c r="O765" s="148"/>
      <c r="P765" s="148"/>
      <c r="Q765" s="148"/>
      <c r="R765" s="148"/>
      <c r="S765" s="148"/>
    </row>
    <row r="766" ht="15.75" customHeight="1">
      <c r="A766" s="148"/>
      <c r="B766" s="148"/>
      <c r="C766" s="148"/>
      <c r="D766" s="148"/>
      <c r="E766" s="148"/>
      <c r="F766" s="148"/>
      <c r="G766" s="148"/>
      <c r="H766" s="148"/>
      <c r="I766" s="148"/>
      <c r="J766" s="148"/>
      <c r="K766" s="148"/>
      <c r="L766" s="148"/>
      <c r="M766" s="148"/>
      <c r="N766" s="148"/>
      <c r="O766" s="148"/>
      <c r="P766" s="148"/>
      <c r="Q766" s="148"/>
      <c r="R766" s="148"/>
      <c r="S766" s="148"/>
    </row>
    <row r="767" ht="15.75" customHeight="1">
      <c r="A767" s="148"/>
      <c r="B767" s="148"/>
      <c r="C767" s="148"/>
      <c r="D767" s="148"/>
      <c r="E767" s="148"/>
      <c r="F767" s="148"/>
      <c r="G767" s="148"/>
      <c r="H767" s="148"/>
      <c r="I767" s="148"/>
      <c r="J767" s="148"/>
      <c r="K767" s="148"/>
      <c r="L767" s="148"/>
      <c r="M767" s="148"/>
      <c r="N767" s="148"/>
      <c r="O767" s="148"/>
      <c r="P767" s="148"/>
      <c r="Q767" s="148"/>
      <c r="R767" s="148"/>
      <c r="S767" s="148"/>
    </row>
    <row r="768" ht="15.75" customHeight="1">
      <c r="A768" s="148"/>
      <c r="B768" s="148"/>
      <c r="C768" s="148"/>
      <c r="D768" s="148"/>
      <c r="E768" s="148"/>
      <c r="F768" s="148"/>
      <c r="G768" s="148"/>
      <c r="H768" s="148"/>
      <c r="I768" s="148"/>
      <c r="J768" s="148"/>
      <c r="K768" s="148"/>
      <c r="L768" s="148"/>
      <c r="M768" s="148"/>
      <c r="N768" s="148"/>
      <c r="O768" s="148"/>
      <c r="P768" s="148"/>
      <c r="Q768" s="148"/>
      <c r="R768" s="148"/>
      <c r="S768" s="148"/>
    </row>
    <row r="769" ht="15.75" customHeight="1">
      <c r="A769" s="148"/>
      <c r="B769" s="148"/>
      <c r="C769" s="148"/>
      <c r="D769" s="148"/>
      <c r="E769" s="148"/>
      <c r="F769" s="148"/>
      <c r="G769" s="148"/>
      <c r="H769" s="148"/>
      <c r="I769" s="148"/>
      <c r="J769" s="148"/>
      <c r="K769" s="148"/>
      <c r="L769" s="148"/>
      <c r="M769" s="148"/>
      <c r="N769" s="148"/>
      <c r="O769" s="148"/>
      <c r="P769" s="148"/>
      <c r="Q769" s="148"/>
      <c r="R769" s="148"/>
      <c r="S769" s="148"/>
    </row>
    <row r="770" ht="15.75" customHeight="1">
      <c r="A770" s="148"/>
      <c r="B770" s="148"/>
      <c r="C770" s="148"/>
      <c r="D770" s="148"/>
      <c r="E770" s="148"/>
      <c r="F770" s="148"/>
      <c r="G770" s="148"/>
      <c r="H770" s="148"/>
      <c r="I770" s="148"/>
      <c r="J770" s="148"/>
      <c r="K770" s="148"/>
      <c r="L770" s="148"/>
      <c r="M770" s="148"/>
      <c r="N770" s="148"/>
      <c r="O770" s="148"/>
      <c r="P770" s="148"/>
      <c r="Q770" s="148"/>
      <c r="R770" s="148"/>
      <c r="S770" s="148"/>
    </row>
    <row r="771" ht="15.75" customHeight="1">
      <c r="A771" s="148"/>
      <c r="B771" s="148"/>
      <c r="C771" s="148"/>
      <c r="D771" s="148"/>
      <c r="E771" s="148"/>
      <c r="F771" s="148"/>
      <c r="G771" s="148"/>
      <c r="H771" s="148"/>
      <c r="I771" s="148"/>
      <c r="J771" s="148"/>
      <c r="K771" s="148"/>
      <c r="L771" s="148"/>
      <c r="M771" s="148"/>
      <c r="N771" s="148"/>
      <c r="O771" s="148"/>
      <c r="P771" s="148"/>
      <c r="Q771" s="148"/>
      <c r="R771" s="148"/>
      <c r="S771" s="148"/>
    </row>
    <row r="772" ht="15.75" customHeight="1">
      <c r="A772" s="148"/>
      <c r="B772" s="148"/>
      <c r="C772" s="148"/>
      <c r="D772" s="148"/>
      <c r="E772" s="148"/>
      <c r="F772" s="148"/>
      <c r="G772" s="148"/>
      <c r="H772" s="148"/>
      <c r="I772" s="148"/>
      <c r="J772" s="148"/>
      <c r="K772" s="148"/>
      <c r="L772" s="148"/>
      <c r="M772" s="148"/>
      <c r="N772" s="148"/>
      <c r="O772" s="148"/>
      <c r="P772" s="148"/>
      <c r="Q772" s="148"/>
      <c r="R772" s="148"/>
      <c r="S772" s="148"/>
    </row>
    <row r="773" ht="15.75" customHeight="1">
      <c r="A773" s="148"/>
      <c r="B773" s="148"/>
      <c r="C773" s="148"/>
      <c r="D773" s="148"/>
      <c r="E773" s="148"/>
      <c r="F773" s="148"/>
      <c r="G773" s="148"/>
      <c r="H773" s="148"/>
      <c r="I773" s="148"/>
      <c r="J773" s="148"/>
      <c r="K773" s="148"/>
      <c r="L773" s="148"/>
      <c r="M773" s="148"/>
      <c r="N773" s="148"/>
      <c r="O773" s="148"/>
      <c r="P773" s="148"/>
      <c r="Q773" s="148"/>
      <c r="R773" s="148"/>
      <c r="S773" s="148"/>
    </row>
    <row r="774" ht="15.75" customHeight="1">
      <c r="A774" s="148"/>
      <c r="B774" s="148"/>
      <c r="C774" s="148"/>
      <c r="D774" s="148"/>
      <c r="E774" s="148"/>
      <c r="F774" s="148"/>
      <c r="G774" s="148"/>
      <c r="H774" s="148"/>
      <c r="I774" s="148"/>
      <c r="J774" s="148"/>
      <c r="K774" s="148"/>
      <c r="L774" s="148"/>
      <c r="M774" s="148"/>
      <c r="N774" s="148"/>
      <c r="O774" s="148"/>
      <c r="P774" s="148"/>
      <c r="Q774" s="148"/>
      <c r="R774" s="148"/>
      <c r="S774" s="148"/>
    </row>
    <row r="775" ht="15.75" customHeight="1">
      <c r="A775" s="148"/>
      <c r="B775" s="148"/>
      <c r="C775" s="148"/>
      <c r="D775" s="148"/>
      <c r="E775" s="148"/>
      <c r="F775" s="148"/>
      <c r="G775" s="148"/>
      <c r="H775" s="148"/>
      <c r="I775" s="148"/>
      <c r="J775" s="148"/>
      <c r="K775" s="148"/>
      <c r="L775" s="148"/>
      <c r="M775" s="148"/>
      <c r="N775" s="148"/>
      <c r="O775" s="148"/>
      <c r="P775" s="148"/>
      <c r="Q775" s="148"/>
      <c r="R775" s="148"/>
      <c r="S775" s="148"/>
    </row>
    <row r="776" ht="15.75" customHeight="1">
      <c r="A776" s="148"/>
      <c r="B776" s="148"/>
      <c r="C776" s="148"/>
      <c r="D776" s="148"/>
      <c r="E776" s="148"/>
      <c r="F776" s="148"/>
      <c r="G776" s="148"/>
      <c r="H776" s="148"/>
      <c r="I776" s="148"/>
      <c r="J776" s="148"/>
      <c r="K776" s="148"/>
      <c r="L776" s="148"/>
      <c r="M776" s="148"/>
      <c r="N776" s="148"/>
      <c r="O776" s="148"/>
      <c r="P776" s="148"/>
      <c r="Q776" s="148"/>
      <c r="R776" s="148"/>
      <c r="S776" s="148"/>
    </row>
    <row r="777" ht="15.75" customHeight="1">
      <c r="A777" s="148"/>
      <c r="B777" s="148"/>
      <c r="C777" s="148"/>
      <c r="D777" s="148"/>
      <c r="E777" s="148"/>
      <c r="F777" s="148"/>
      <c r="G777" s="148"/>
      <c r="H777" s="148"/>
      <c r="I777" s="148"/>
      <c r="J777" s="148"/>
      <c r="K777" s="148"/>
      <c r="L777" s="148"/>
      <c r="M777" s="148"/>
      <c r="N777" s="148"/>
      <c r="O777" s="148"/>
      <c r="P777" s="148"/>
      <c r="Q777" s="148"/>
      <c r="R777" s="148"/>
      <c r="S777" s="148"/>
    </row>
    <row r="778" ht="15.75" customHeight="1">
      <c r="A778" s="148"/>
      <c r="B778" s="148"/>
      <c r="C778" s="148"/>
      <c r="D778" s="148"/>
      <c r="E778" s="148"/>
      <c r="F778" s="148"/>
      <c r="G778" s="148"/>
      <c r="H778" s="148"/>
      <c r="I778" s="148"/>
      <c r="J778" s="148"/>
      <c r="K778" s="148"/>
      <c r="L778" s="148"/>
      <c r="M778" s="148"/>
      <c r="N778" s="148"/>
      <c r="O778" s="148"/>
      <c r="P778" s="148"/>
      <c r="Q778" s="148"/>
      <c r="R778" s="148"/>
      <c r="S778" s="148"/>
    </row>
    <row r="779" ht="15.75" customHeight="1">
      <c r="A779" s="148"/>
      <c r="B779" s="148"/>
      <c r="C779" s="148"/>
      <c r="D779" s="148"/>
      <c r="E779" s="148"/>
      <c r="F779" s="148"/>
      <c r="G779" s="148"/>
      <c r="H779" s="148"/>
      <c r="I779" s="148"/>
      <c r="J779" s="148"/>
      <c r="K779" s="148"/>
      <c r="L779" s="148"/>
      <c r="M779" s="148"/>
      <c r="N779" s="148"/>
      <c r="O779" s="148"/>
      <c r="P779" s="148"/>
      <c r="Q779" s="148"/>
      <c r="R779" s="148"/>
      <c r="S779" s="148"/>
    </row>
    <row r="780" ht="15.75" customHeight="1">
      <c r="A780" s="148"/>
      <c r="B780" s="148"/>
      <c r="C780" s="148"/>
      <c r="D780" s="148"/>
      <c r="E780" s="148"/>
      <c r="F780" s="148"/>
      <c r="G780" s="148"/>
      <c r="H780" s="148"/>
      <c r="I780" s="148"/>
      <c r="J780" s="148"/>
      <c r="K780" s="148"/>
      <c r="L780" s="148"/>
      <c r="M780" s="148"/>
      <c r="N780" s="148"/>
      <c r="O780" s="148"/>
      <c r="P780" s="148"/>
      <c r="Q780" s="148"/>
      <c r="R780" s="148"/>
      <c r="S780" s="148"/>
    </row>
    <row r="781" ht="15.75" customHeight="1">
      <c r="A781" s="148"/>
      <c r="B781" s="148"/>
      <c r="C781" s="148"/>
      <c r="D781" s="148"/>
      <c r="E781" s="148"/>
      <c r="F781" s="148"/>
      <c r="G781" s="148"/>
      <c r="H781" s="148"/>
      <c r="I781" s="148"/>
      <c r="J781" s="148"/>
      <c r="K781" s="148"/>
      <c r="L781" s="148"/>
      <c r="M781" s="148"/>
      <c r="N781" s="148"/>
      <c r="O781" s="148"/>
      <c r="P781" s="148"/>
      <c r="Q781" s="148"/>
      <c r="R781" s="148"/>
      <c r="S781" s="148"/>
    </row>
    <row r="782" ht="15.75" customHeight="1">
      <c r="A782" s="148"/>
      <c r="B782" s="148"/>
      <c r="C782" s="148"/>
      <c r="D782" s="148"/>
      <c r="E782" s="148"/>
      <c r="F782" s="148"/>
      <c r="G782" s="148"/>
      <c r="H782" s="148"/>
      <c r="I782" s="148"/>
      <c r="J782" s="148"/>
      <c r="K782" s="148"/>
      <c r="L782" s="148"/>
      <c r="M782" s="148"/>
      <c r="N782" s="148"/>
      <c r="O782" s="148"/>
      <c r="P782" s="148"/>
      <c r="Q782" s="148"/>
      <c r="R782" s="148"/>
      <c r="S782" s="148"/>
    </row>
    <row r="783" ht="15.75" customHeight="1">
      <c r="A783" s="148"/>
      <c r="B783" s="148"/>
      <c r="C783" s="148"/>
      <c r="D783" s="148"/>
      <c r="E783" s="148"/>
      <c r="F783" s="148"/>
      <c r="G783" s="148"/>
      <c r="H783" s="148"/>
      <c r="I783" s="148"/>
      <c r="J783" s="148"/>
      <c r="K783" s="148"/>
      <c r="L783" s="148"/>
      <c r="M783" s="148"/>
      <c r="N783" s="148"/>
      <c r="O783" s="148"/>
      <c r="P783" s="148"/>
      <c r="Q783" s="148"/>
      <c r="R783" s="148"/>
      <c r="S783" s="148"/>
    </row>
    <row r="784" ht="15.75" customHeight="1">
      <c r="A784" s="148"/>
      <c r="B784" s="148"/>
      <c r="C784" s="148"/>
      <c r="D784" s="148"/>
      <c r="E784" s="148"/>
      <c r="F784" s="148"/>
      <c r="G784" s="148"/>
      <c r="H784" s="148"/>
      <c r="I784" s="148"/>
      <c r="J784" s="148"/>
      <c r="K784" s="148"/>
      <c r="L784" s="148"/>
      <c r="M784" s="148"/>
      <c r="N784" s="148"/>
      <c r="O784" s="148"/>
      <c r="P784" s="148"/>
      <c r="Q784" s="148"/>
      <c r="R784" s="148"/>
      <c r="S784" s="148"/>
    </row>
    <row r="785" ht="15.75" customHeight="1">
      <c r="A785" s="148"/>
      <c r="B785" s="148"/>
      <c r="C785" s="148"/>
      <c r="D785" s="148"/>
      <c r="E785" s="148"/>
      <c r="F785" s="148"/>
      <c r="G785" s="148"/>
      <c r="H785" s="148"/>
      <c r="I785" s="148"/>
      <c r="J785" s="148"/>
      <c r="K785" s="148"/>
      <c r="L785" s="148"/>
      <c r="M785" s="148"/>
      <c r="N785" s="148"/>
      <c r="O785" s="148"/>
      <c r="P785" s="148"/>
      <c r="Q785" s="148"/>
      <c r="R785" s="148"/>
      <c r="S785" s="148"/>
    </row>
    <row r="786" ht="15.75" customHeight="1">
      <c r="A786" s="148"/>
      <c r="B786" s="148"/>
      <c r="C786" s="148"/>
      <c r="D786" s="148"/>
      <c r="E786" s="148"/>
      <c r="F786" s="148"/>
      <c r="G786" s="148"/>
      <c r="H786" s="148"/>
      <c r="I786" s="148"/>
      <c r="J786" s="148"/>
      <c r="K786" s="148"/>
      <c r="L786" s="148"/>
      <c r="M786" s="148"/>
      <c r="N786" s="148"/>
      <c r="O786" s="148"/>
      <c r="P786" s="148"/>
      <c r="Q786" s="148"/>
      <c r="R786" s="148"/>
      <c r="S786" s="148"/>
    </row>
    <row r="787" ht="15.75" customHeight="1">
      <c r="A787" s="148"/>
      <c r="B787" s="148"/>
      <c r="C787" s="148"/>
      <c r="D787" s="148"/>
      <c r="E787" s="148"/>
      <c r="F787" s="148"/>
      <c r="G787" s="148"/>
      <c r="H787" s="148"/>
      <c r="I787" s="148"/>
      <c r="J787" s="148"/>
      <c r="K787" s="148"/>
      <c r="L787" s="148"/>
      <c r="M787" s="148"/>
      <c r="N787" s="148"/>
      <c r="O787" s="148"/>
      <c r="P787" s="148"/>
      <c r="Q787" s="148"/>
      <c r="R787" s="148"/>
      <c r="S787" s="148"/>
    </row>
    <row r="788" ht="15.75" customHeight="1">
      <c r="A788" s="148"/>
      <c r="B788" s="148"/>
      <c r="C788" s="148"/>
      <c r="D788" s="148"/>
      <c r="E788" s="148"/>
      <c r="F788" s="148"/>
      <c r="G788" s="148"/>
      <c r="H788" s="148"/>
      <c r="I788" s="148"/>
      <c r="J788" s="148"/>
      <c r="K788" s="148"/>
      <c r="L788" s="148"/>
      <c r="M788" s="148"/>
      <c r="N788" s="148"/>
      <c r="O788" s="148"/>
      <c r="P788" s="148"/>
      <c r="Q788" s="148"/>
      <c r="R788" s="148"/>
      <c r="S788" s="148"/>
    </row>
    <row r="789" ht="15.75" customHeight="1">
      <c r="A789" s="148"/>
      <c r="B789" s="148"/>
      <c r="C789" s="148"/>
      <c r="D789" s="148"/>
      <c r="E789" s="148"/>
      <c r="F789" s="148"/>
      <c r="G789" s="148"/>
      <c r="H789" s="148"/>
      <c r="I789" s="148"/>
      <c r="J789" s="148"/>
      <c r="K789" s="148"/>
      <c r="L789" s="148"/>
      <c r="M789" s="148"/>
      <c r="N789" s="148"/>
      <c r="O789" s="148"/>
      <c r="P789" s="148"/>
      <c r="Q789" s="148"/>
      <c r="R789" s="148"/>
      <c r="S789" s="148"/>
    </row>
    <row r="790" ht="15.75" customHeight="1">
      <c r="A790" s="148"/>
      <c r="B790" s="148"/>
      <c r="C790" s="148"/>
      <c r="D790" s="148"/>
      <c r="E790" s="148"/>
      <c r="F790" s="148"/>
      <c r="G790" s="148"/>
      <c r="H790" s="148"/>
      <c r="I790" s="148"/>
      <c r="J790" s="148"/>
      <c r="K790" s="148"/>
      <c r="L790" s="148"/>
      <c r="M790" s="148"/>
      <c r="N790" s="148"/>
      <c r="O790" s="148"/>
      <c r="P790" s="148"/>
      <c r="Q790" s="148"/>
      <c r="R790" s="148"/>
      <c r="S790" s="148"/>
    </row>
    <row r="791" ht="15.75" customHeight="1">
      <c r="A791" s="148"/>
      <c r="B791" s="148"/>
      <c r="C791" s="148"/>
      <c r="D791" s="148"/>
      <c r="E791" s="148"/>
      <c r="F791" s="148"/>
      <c r="G791" s="148"/>
      <c r="H791" s="148"/>
      <c r="I791" s="148"/>
      <c r="J791" s="148"/>
      <c r="K791" s="148"/>
      <c r="L791" s="148"/>
      <c r="M791" s="148"/>
      <c r="N791" s="148"/>
      <c r="O791" s="148"/>
      <c r="P791" s="148"/>
      <c r="Q791" s="148"/>
      <c r="R791" s="148"/>
      <c r="S791" s="148"/>
    </row>
    <row r="792" ht="15.75" customHeight="1">
      <c r="A792" s="148"/>
      <c r="B792" s="148"/>
      <c r="C792" s="148"/>
      <c r="D792" s="148"/>
      <c r="E792" s="148"/>
      <c r="F792" s="148"/>
      <c r="G792" s="148"/>
      <c r="H792" s="148"/>
      <c r="I792" s="148"/>
      <c r="J792" s="148"/>
      <c r="K792" s="148"/>
      <c r="L792" s="148"/>
      <c r="M792" s="148"/>
      <c r="N792" s="148"/>
      <c r="O792" s="148"/>
      <c r="P792" s="148"/>
      <c r="Q792" s="148"/>
      <c r="R792" s="148"/>
      <c r="S792" s="148"/>
    </row>
    <row r="793" ht="15.75" customHeight="1">
      <c r="A793" s="148"/>
      <c r="B793" s="148"/>
      <c r="C793" s="148"/>
      <c r="D793" s="148"/>
      <c r="E793" s="148"/>
      <c r="F793" s="148"/>
      <c r="G793" s="148"/>
      <c r="H793" s="148"/>
      <c r="I793" s="148"/>
      <c r="J793" s="148"/>
      <c r="K793" s="148"/>
      <c r="L793" s="148"/>
      <c r="M793" s="148"/>
      <c r="N793" s="148"/>
      <c r="O793" s="148"/>
      <c r="P793" s="148"/>
      <c r="Q793" s="148"/>
      <c r="R793" s="148"/>
      <c r="S793" s="148"/>
    </row>
    <row r="794" ht="15.75" customHeight="1">
      <c r="A794" s="148"/>
      <c r="B794" s="148"/>
      <c r="C794" s="148"/>
      <c r="D794" s="148"/>
      <c r="E794" s="148"/>
      <c r="F794" s="148"/>
      <c r="G794" s="148"/>
      <c r="H794" s="148"/>
      <c r="I794" s="148"/>
      <c r="J794" s="148"/>
      <c r="K794" s="148"/>
      <c r="L794" s="148"/>
      <c r="M794" s="148"/>
      <c r="N794" s="148"/>
      <c r="O794" s="148"/>
      <c r="P794" s="148"/>
      <c r="Q794" s="148"/>
      <c r="R794" s="148"/>
      <c r="S794" s="148"/>
    </row>
    <row r="795" ht="15.75" customHeight="1">
      <c r="A795" s="148"/>
      <c r="B795" s="148"/>
      <c r="C795" s="148"/>
      <c r="D795" s="148"/>
      <c r="E795" s="148"/>
      <c r="F795" s="148"/>
      <c r="G795" s="148"/>
      <c r="H795" s="148"/>
      <c r="I795" s="148"/>
      <c r="J795" s="148"/>
      <c r="K795" s="148"/>
      <c r="L795" s="148"/>
      <c r="M795" s="148"/>
      <c r="N795" s="148"/>
      <c r="O795" s="148"/>
      <c r="P795" s="148"/>
      <c r="Q795" s="148"/>
      <c r="R795" s="148"/>
      <c r="S795" s="148"/>
    </row>
    <row r="796" ht="15.75" customHeight="1">
      <c r="A796" s="148"/>
      <c r="B796" s="148"/>
      <c r="C796" s="148"/>
      <c r="D796" s="148"/>
      <c r="E796" s="148"/>
      <c r="F796" s="148"/>
      <c r="G796" s="148"/>
      <c r="H796" s="148"/>
      <c r="I796" s="148"/>
      <c r="J796" s="148"/>
      <c r="K796" s="148"/>
      <c r="L796" s="148"/>
      <c r="M796" s="148"/>
      <c r="N796" s="148"/>
      <c r="O796" s="148"/>
      <c r="P796" s="148"/>
      <c r="Q796" s="148"/>
      <c r="R796" s="148"/>
      <c r="S796" s="148"/>
    </row>
    <row r="797" ht="15.75" customHeight="1">
      <c r="A797" s="148"/>
      <c r="B797" s="148"/>
      <c r="C797" s="148"/>
      <c r="D797" s="148"/>
      <c r="E797" s="148"/>
      <c r="F797" s="148"/>
      <c r="G797" s="148"/>
      <c r="H797" s="148"/>
      <c r="I797" s="148"/>
      <c r="J797" s="148"/>
      <c r="K797" s="148"/>
      <c r="L797" s="148"/>
      <c r="M797" s="148"/>
      <c r="N797" s="148"/>
      <c r="O797" s="148"/>
      <c r="P797" s="148"/>
      <c r="Q797" s="148"/>
      <c r="R797" s="148"/>
      <c r="S797" s="148"/>
    </row>
    <row r="798" ht="15.75" customHeight="1">
      <c r="A798" s="148"/>
      <c r="B798" s="148"/>
      <c r="C798" s="148"/>
      <c r="D798" s="148"/>
      <c r="E798" s="148"/>
      <c r="F798" s="148"/>
      <c r="G798" s="148"/>
      <c r="H798" s="148"/>
      <c r="I798" s="148"/>
      <c r="J798" s="148"/>
      <c r="K798" s="148"/>
      <c r="L798" s="148"/>
      <c r="M798" s="148"/>
      <c r="N798" s="148"/>
      <c r="O798" s="148"/>
      <c r="P798" s="148"/>
      <c r="Q798" s="148"/>
      <c r="R798" s="148"/>
      <c r="S798" s="148"/>
    </row>
    <row r="799" ht="15.75" customHeight="1">
      <c r="A799" s="148"/>
      <c r="B799" s="148"/>
      <c r="C799" s="148"/>
      <c r="D799" s="148"/>
      <c r="E799" s="148"/>
      <c r="F799" s="148"/>
      <c r="G799" s="148"/>
      <c r="H799" s="148"/>
      <c r="I799" s="148"/>
      <c r="J799" s="148"/>
      <c r="K799" s="148"/>
      <c r="L799" s="148"/>
      <c r="M799" s="148"/>
      <c r="N799" s="148"/>
      <c r="O799" s="148"/>
      <c r="P799" s="148"/>
      <c r="Q799" s="148"/>
      <c r="R799" s="148"/>
      <c r="S799" s="148"/>
    </row>
    <row r="800" ht="15.75" customHeight="1">
      <c r="A800" s="148"/>
      <c r="B800" s="148"/>
      <c r="C800" s="148"/>
      <c r="D800" s="148"/>
      <c r="E800" s="148"/>
      <c r="F800" s="148"/>
      <c r="G800" s="148"/>
      <c r="H800" s="148"/>
      <c r="I800" s="148"/>
      <c r="J800" s="148"/>
      <c r="K800" s="148"/>
      <c r="L800" s="148"/>
      <c r="M800" s="148"/>
      <c r="N800" s="148"/>
      <c r="O800" s="148"/>
      <c r="P800" s="148"/>
      <c r="Q800" s="148"/>
      <c r="R800" s="148"/>
      <c r="S800" s="148"/>
    </row>
    <row r="801" ht="15.75" customHeight="1">
      <c r="A801" s="148"/>
      <c r="B801" s="148"/>
      <c r="C801" s="148"/>
      <c r="D801" s="148"/>
      <c r="E801" s="148"/>
      <c r="F801" s="148"/>
      <c r="G801" s="148"/>
      <c r="H801" s="148"/>
      <c r="I801" s="148"/>
      <c r="J801" s="148"/>
      <c r="K801" s="148"/>
      <c r="L801" s="148"/>
      <c r="M801" s="148"/>
      <c r="N801" s="148"/>
      <c r="O801" s="148"/>
      <c r="P801" s="148"/>
      <c r="Q801" s="148"/>
      <c r="R801" s="148"/>
      <c r="S801" s="148"/>
    </row>
    <row r="802" ht="15.75" customHeight="1">
      <c r="A802" s="148"/>
      <c r="B802" s="148"/>
      <c r="C802" s="148"/>
      <c r="D802" s="148"/>
      <c r="E802" s="148"/>
      <c r="F802" s="148"/>
      <c r="G802" s="148"/>
      <c r="H802" s="148"/>
      <c r="I802" s="148"/>
      <c r="J802" s="148"/>
      <c r="K802" s="148"/>
      <c r="L802" s="148"/>
      <c r="M802" s="148"/>
      <c r="N802" s="148"/>
      <c r="O802" s="148"/>
      <c r="P802" s="148"/>
      <c r="Q802" s="148"/>
      <c r="R802" s="148"/>
      <c r="S802" s="148"/>
    </row>
    <row r="803" ht="15.75" customHeight="1">
      <c r="A803" s="148"/>
      <c r="B803" s="148"/>
      <c r="C803" s="148"/>
      <c r="D803" s="148"/>
      <c r="E803" s="148"/>
      <c r="F803" s="148"/>
      <c r="G803" s="148"/>
      <c r="H803" s="148"/>
      <c r="I803" s="148"/>
      <c r="J803" s="148"/>
      <c r="K803" s="148"/>
      <c r="L803" s="148"/>
      <c r="M803" s="148"/>
      <c r="N803" s="148"/>
      <c r="O803" s="148"/>
      <c r="P803" s="148"/>
      <c r="Q803" s="148"/>
      <c r="R803" s="148"/>
      <c r="S803" s="148"/>
    </row>
    <row r="804" ht="15.75" customHeight="1">
      <c r="A804" s="148"/>
      <c r="B804" s="148"/>
      <c r="C804" s="148"/>
      <c r="D804" s="148"/>
      <c r="E804" s="148"/>
      <c r="F804" s="148"/>
      <c r="G804" s="148"/>
      <c r="H804" s="148"/>
      <c r="I804" s="148"/>
      <c r="J804" s="148"/>
      <c r="K804" s="148"/>
      <c r="L804" s="148"/>
      <c r="M804" s="148"/>
      <c r="N804" s="148"/>
      <c r="O804" s="148"/>
      <c r="P804" s="148"/>
      <c r="Q804" s="148"/>
      <c r="R804" s="148"/>
      <c r="S804" s="148"/>
    </row>
    <row r="805" ht="15.75" customHeight="1">
      <c r="A805" s="148"/>
      <c r="B805" s="148"/>
      <c r="C805" s="148"/>
      <c r="D805" s="148"/>
      <c r="E805" s="148"/>
      <c r="F805" s="148"/>
      <c r="G805" s="148"/>
      <c r="H805" s="148"/>
      <c r="I805" s="148"/>
      <c r="J805" s="148"/>
      <c r="K805" s="148"/>
      <c r="L805" s="148"/>
      <c r="M805" s="148"/>
      <c r="N805" s="148"/>
      <c r="O805" s="148"/>
      <c r="P805" s="148"/>
      <c r="Q805" s="148"/>
      <c r="R805" s="148"/>
      <c r="S805" s="148"/>
    </row>
    <row r="806" ht="15.75" customHeight="1">
      <c r="A806" s="148"/>
      <c r="B806" s="148"/>
      <c r="C806" s="148"/>
      <c r="D806" s="148"/>
      <c r="E806" s="148"/>
      <c r="F806" s="148"/>
      <c r="G806" s="148"/>
      <c r="H806" s="148"/>
      <c r="I806" s="148"/>
      <c r="J806" s="148"/>
      <c r="K806" s="148"/>
      <c r="L806" s="148"/>
      <c r="M806" s="148"/>
      <c r="N806" s="148"/>
      <c r="O806" s="148"/>
      <c r="P806" s="148"/>
      <c r="Q806" s="148"/>
      <c r="R806" s="148"/>
      <c r="S806" s="148"/>
    </row>
    <row r="807" ht="15.75" customHeight="1">
      <c r="A807" s="148"/>
      <c r="B807" s="148"/>
      <c r="C807" s="148"/>
      <c r="D807" s="148"/>
      <c r="E807" s="148"/>
      <c r="F807" s="148"/>
      <c r="G807" s="148"/>
      <c r="H807" s="148"/>
      <c r="I807" s="148"/>
      <c r="J807" s="148"/>
      <c r="K807" s="148"/>
      <c r="L807" s="148"/>
      <c r="M807" s="148"/>
      <c r="N807" s="148"/>
      <c r="O807" s="148"/>
      <c r="P807" s="148"/>
      <c r="Q807" s="148"/>
      <c r="R807" s="148"/>
      <c r="S807" s="148"/>
    </row>
    <row r="808" ht="15.75" customHeight="1">
      <c r="A808" s="148"/>
      <c r="B808" s="148"/>
      <c r="C808" s="148"/>
      <c r="D808" s="148"/>
      <c r="E808" s="148"/>
      <c r="F808" s="148"/>
      <c r="G808" s="148"/>
      <c r="H808" s="148"/>
      <c r="I808" s="148"/>
      <c r="J808" s="148"/>
      <c r="K808" s="148"/>
      <c r="L808" s="148"/>
      <c r="M808" s="148"/>
      <c r="N808" s="148"/>
      <c r="O808" s="148"/>
      <c r="P808" s="148"/>
      <c r="Q808" s="148"/>
      <c r="R808" s="148"/>
      <c r="S808" s="148"/>
    </row>
    <row r="809" ht="15.75" customHeight="1">
      <c r="A809" s="148"/>
      <c r="B809" s="148"/>
      <c r="C809" s="148"/>
      <c r="D809" s="148"/>
      <c r="E809" s="148"/>
      <c r="F809" s="148"/>
      <c r="G809" s="148"/>
      <c r="H809" s="148"/>
      <c r="I809" s="148"/>
      <c r="J809" s="148"/>
      <c r="K809" s="148"/>
      <c r="L809" s="148"/>
      <c r="M809" s="148"/>
      <c r="N809" s="148"/>
      <c r="O809" s="148"/>
      <c r="P809" s="148"/>
      <c r="Q809" s="148"/>
      <c r="R809" s="148"/>
      <c r="S809" s="148"/>
    </row>
    <row r="810" ht="15.75" customHeight="1">
      <c r="A810" s="148"/>
      <c r="B810" s="148"/>
      <c r="C810" s="148"/>
      <c r="D810" s="148"/>
      <c r="E810" s="148"/>
      <c r="F810" s="148"/>
      <c r="G810" s="148"/>
      <c r="H810" s="148"/>
      <c r="I810" s="148"/>
      <c r="J810" s="148"/>
      <c r="K810" s="148"/>
      <c r="L810" s="148"/>
      <c r="M810" s="148"/>
      <c r="N810" s="148"/>
      <c r="O810" s="148"/>
      <c r="P810" s="148"/>
      <c r="Q810" s="148"/>
      <c r="R810" s="148"/>
      <c r="S810" s="148"/>
    </row>
    <row r="811" ht="15.75" customHeight="1">
      <c r="A811" s="148"/>
      <c r="B811" s="148"/>
      <c r="C811" s="148"/>
      <c r="D811" s="148"/>
      <c r="E811" s="148"/>
      <c r="F811" s="148"/>
      <c r="G811" s="148"/>
      <c r="H811" s="148"/>
      <c r="I811" s="148"/>
      <c r="J811" s="148"/>
      <c r="K811" s="148"/>
      <c r="L811" s="148"/>
      <c r="M811" s="148"/>
      <c r="N811" s="148"/>
      <c r="O811" s="148"/>
      <c r="P811" s="148"/>
      <c r="Q811" s="148"/>
      <c r="R811" s="148"/>
      <c r="S811" s="148"/>
    </row>
    <row r="812" ht="15.75" customHeight="1">
      <c r="A812" s="148"/>
      <c r="B812" s="148"/>
      <c r="C812" s="148"/>
      <c r="D812" s="148"/>
      <c r="E812" s="148"/>
      <c r="F812" s="148"/>
      <c r="G812" s="148"/>
      <c r="H812" s="148"/>
      <c r="I812" s="148"/>
      <c r="J812" s="148"/>
      <c r="K812" s="148"/>
      <c r="L812" s="148"/>
      <c r="M812" s="148"/>
      <c r="N812" s="148"/>
      <c r="O812" s="148"/>
      <c r="P812" s="148"/>
      <c r="Q812" s="148"/>
      <c r="R812" s="148"/>
      <c r="S812" s="148"/>
    </row>
    <row r="813" ht="15.75" customHeight="1">
      <c r="A813" s="148"/>
      <c r="B813" s="148"/>
      <c r="C813" s="148"/>
      <c r="D813" s="148"/>
      <c r="E813" s="148"/>
      <c r="F813" s="148"/>
      <c r="G813" s="148"/>
      <c r="H813" s="148"/>
      <c r="I813" s="148"/>
      <c r="J813" s="148"/>
      <c r="K813" s="148"/>
      <c r="L813" s="148"/>
      <c r="M813" s="148"/>
      <c r="N813" s="148"/>
      <c r="O813" s="148"/>
      <c r="P813" s="148"/>
      <c r="Q813" s="148"/>
      <c r="R813" s="148"/>
      <c r="S813" s="148"/>
    </row>
    <row r="814" ht="15.75" customHeight="1">
      <c r="A814" s="148"/>
      <c r="B814" s="148"/>
      <c r="C814" s="148"/>
      <c r="D814" s="148"/>
      <c r="E814" s="148"/>
      <c r="F814" s="148"/>
      <c r="G814" s="148"/>
      <c r="H814" s="148"/>
      <c r="I814" s="148"/>
      <c r="J814" s="148"/>
      <c r="K814" s="148"/>
      <c r="L814" s="148"/>
      <c r="M814" s="148"/>
      <c r="N814" s="148"/>
      <c r="O814" s="148"/>
      <c r="P814" s="148"/>
      <c r="Q814" s="148"/>
      <c r="R814" s="148"/>
      <c r="S814" s="148"/>
    </row>
    <row r="815" ht="15.75" customHeight="1">
      <c r="A815" s="148"/>
      <c r="B815" s="148"/>
      <c r="C815" s="148"/>
      <c r="D815" s="148"/>
      <c r="E815" s="148"/>
      <c r="F815" s="148"/>
      <c r="G815" s="148"/>
      <c r="H815" s="148"/>
      <c r="I815" s="148"/>
      <c r="J815" s="148"/>
      <c r="K815" s="148"/>
      <c r="L815" s="148"/>
      <c r="M815" s="148"/>
      <c r="N815" s="148"/>
      <c r="O815" s="148"/>
      <c r="P815" s="148"/>
      <c r="Q815" s="148"/>
      <c r="R815" s="148"/>
      <c r="S815" s="148"/>
    </row>
    <row r="816" ht="15.75" customHeight="1">
      <c r="A816" s="148"/>
      <c r="B816" s="148"/>
      <c r="C816" s="148"/>
      <c r="D816" s="148"/>
      <c r="E816" s="148"/>
      <c r="F816" s="148"/>
      <c r="G816" s="148"/>
      <c r="H816" s="148"/>
      <c r="I816" s="148"/>
      <c r="J816" s="148"/>
      <c r="K816" s="148"/>
      <c r="L816" s="148"/>
      <c r="M816" s="148"/>
      <c r="N816" s="148"/>
      <c r="O816" s="148"/>
      <c r="P816" s="148"/>
      <c r="Q816" s="148"/>
      <c r="R816" s="148"/>
      <c r="S816" s="148"/>
    </row>
    <row r="817" ht="15.75" customHeight="1">
      <c r="A817" s="148"/>
      <c r="B817" s="148"/>
      <c r="C817" s="148"/>
      <c r="D817" s="148"/>
      <c r="E817" s="148"/>
      <c r="F817" s="148"/>
      <c r="G817" s="148"/>
      <c r="H817" s="148"/>
      <c r="I817" s="148"/>
      <c r="J817" s="148"/>
      <c r="K817" s="148"/>
      <c r="L817" s="148"/>
      <c r="M817" s="148"/>
      <c r="N817" s="148"/>
      <c r="O817" s="148"/>
      <c r="P817" s="148"/>
      <c r="Q817" s="148"/>
      <c r="R817" s="148"/>
      <c r="S817" s="148"/>
    </row>
    <row r="818" ht="15.75" customHeight="1">
      <c r="A818" s="148"/>
      <c r="B818" s="148"/>
      <c r="C818" s="148"/>
      <c r="D818" s="148"/>
      <c r="E818" s="148"/>
      <c r="F818" s="148"/>
      <c r="G818" s="148"/>
      <c r="H818" s="148"/>
      <c r="I818" s="148"/>
      <c r="J818" s="148"/>
      <c r="K818" s="148"/>
      <c r="L818" s="148"/>
      <c r="M818" s="148"/>
      <c r="N818" s="148"/>
      <c r="O818" s="148"/>
      <c r="P818" s="148"/>
      <c r="Q818" s="148"/>
      <c r="R818" s="148"/>
      <c r="S818" s="148"/>
    </row>
    <row r="819" ht="15.75" customHeight="1">
      <c r="A819" s="148"/>
      <c r="B819" s="148"/>
      <c r="C819" s="148"/>
      <c r="D819" s="148"/>
      <c r="E819" s="148"/>
      <c r="F819" s="148"/>
      <c r="G819" s="148"/>
      <c r="H819" s="148"/>
      <c r="I819" s="148"/>
      <c r="J819" s="148"/>
      <c r="K819" s="148"/>
      <c r="L819" s="148"/>
      <c r="M819" s="148"/>
      <c r="N819" s="148"/>
      <c r="O819" s="148"/>
      <c r="P819" s="148"/>
      <c r="Q819" s="148"/>
      <c r="R819" s="148"/>
      <c r="S819" s="148"/>
    </row>
    <row r="820" ht="15.75" customHeight="1">
      <c r="A820" s="148"/>
      <c r="B820" s="148"/>
      <c r="C820" s="148"/>
      <c r="D820" s="148"/>
      <c r="E820" s="148"/>
      <c r="F820" s="148"/>
      <c r="G820" s="148"/>
      <c r="H820" s="148"/>
      <c r="I820" s="148"/>
      <c r="J820" s="148"/>
      <c r="K820" s="148"/>
      <c r="L820" s="148"/>
      <c r="M820" s="148"/>
      <c r="N820" s="148"/>
      <c r="O820" s="148"/>
      <c r="P820" s="148"/>
      <c r="Q820" s="148"/>
      <c r="R820" s="148"/>
      <c r="S820" s="148"/>
    </row>
    <row r="821" ht="15.75" customHeight="1">
      <c r="A821" s="148"/>
      <c r="B821" s="148"/>
      <c r="C821" s="148"/>
      <c r="D821" s="148"/>
      <c r="E821" s="148"/>
      <c r="F821" s="148"/>
      <c r="G821" s="148"/>
      <c r="H821" s="148"/>
      <c r="I821" s="148"/>
      <c r="J821" s="148"/>
      <c r="K821" s="148"/>
      <c r="L821" s="148"/>
      <c r="M821" s="148"/>
      <c r="N821" s="148"/>
      <c r="O821" s="148"/>
      <c r="P821" s="148"/>
      <c r="Q821" s="148"/>
      <c r="R821" s="148"/>
      <c r="S821" s="148"/>
    </row>
    <row r="822" ht="15.75" customHeight="1">
      <c r="A822" s="148"/>
      <c r="B822" s="148"/>
      <c r="C822" s="148"/>
      <c r="D822" s="148"/>
      <c r="E822" s="148"/>
      <c r="F822" s="148"/>
      <c r="G822" s="148"/>
      <c r="H822" s="148"/>
      <c r="I822" s="148"/>
      <c r="J822" s="148"/>
      <c r="K822" s="148"/>
      <c r="L822" s="148"/>
      <c r="M822" s="148"/>
      <c r="N822" s="148"/>
      <c r="O822" s="148"/>
      <c r="P822" s="148"/>
      <c r="Q822" s="148"/>
      <c r="R822" s="148"/>
      <c r="S822" s="148"/>
    </row>
    <row r="823" ht="15.75" customHeight="1">
      <c r="A823" s="148"/>
      <c r="B823" s="148"/>
      <c r="C823" s="148"/>
      <c r="D823" s="148"/>
      <c r="E823" s="148"/>
      <c r="F823" s="148"/>
      <c r="G823" s="148"/>
      <c r="H823" s="148"/>
      <c r="I823" s="148"/>
      <c r="J823" s="148"/>
      <c r="K823" s="148"/>
      <c r="L823" s="148"/>
      <c r="M823" s="148"/>
      <c r="N823" s="148"/>
      <c r="O823" s="148"/>
      <c r="P823" s="148"/>
      <c r="Q823" s="148"/>
      <c r="R823" s="148"/>
      <c r="S823" s="148"/>
    </row>
    <row r="824" ht="15.75" customHeight="1">
      <c r="A824" s="148"/>
      <c r="B824" s="148"/>
      <c r="C824" s="148"/>
      <c r="D824" s="148"/>
      <c r="E824" s="148"/>
      <c r="F824" s="148"/>
      <c r="G824" s="148"/>
      <c r="H824" s="148"/>
      <c r="I824" s="148"/>
      <c r="J824" s="148"/>
      <c r="K824" s="148"/>
      <c r="L824" s="148"/>
      <c r="M824" s="148"/>
      <c r="N824" s="148"/>
      <c r="O824" s="148"/>
      <c r="P824" s="148"/>
      <c r="Q824" s="148"/>
      <c r="R824" s="148"/>
      <c r="S824" s="148"/>
    </row>
    <row r="825" ht="15.75" customHeight="1">
      <c r="A825" s="148"/>
      <c r="B825" s="148"/>
      <c r="C825" s="148"/>
      <c r="D825" s="148"/>
      <c r="E825" s="148"/>
      <c r="F825" s="148"/>
      <c r="G825" s="148"/>
      <c r="H825" s="148"/>
      <c r="I825" s="148"/>
      <c r="J825" s="148"/>
      <c r="K825" s="148"/>
      <c r="L825" s="148"/>
      <c r="M825" s="148"/>
      <c r="N825" s="148"/>
      <c r="O825" s="148"/>
      <c r="P825" s="148"/>
      <c r="Q825" s="148"/>
      <c r="R825" s="148"/>
      <c r="S825" s="148"/>
    </row>
    <row r="826" ht="15.75" customHeight="1">
      <c r="A826" s="148"/>
      <c r="B826" s="148"/>
      <c r="C826" s="148"/>
      <c r="D826" s="148"/>
      <c r="E826" s="148"/>
      <c r="F826" s="148"/>
      <c r="G826" s="148"/>
      <c r="H826" s="148"/>
      <c r="I826" s="148"/>
      <c r="J826" s="148"/>
      <c r="K826" s="148"/>
      <c r="L826" s="148"/>
      <c r="M826" s="148"/>
      <c r="N826" s="148"/>
      <c r="O826" s="148"/>
      <c r="P826" s="148"/>
      <c r="Q826" s="148"/>
      <c r="R826" s="148"/>
      <c r="S826" s="148"/>
    </row>
    <row r="827" ht="15.75" customHeight="1">
      <c r="A827" s="148"/>
      <c r="B827" s="148"/>
      <c r="C827" s="148"/>
      <c r="D827" s="148"/>
      <c r="E827" s="148"/>
      <c r="F827" s="148"/>
      <c r="G827" s="148"/>
      <c r="H827" s="148"/>
      <c r="I827" s="148"/>
      <c r="J827" s="148"/>
      <c r="K827" s="148"/>
      <c r="L827" s="148"/>
      <c r="M827" s="148"/>
      <c r="N827" s="148"/>
      <c r="O827" s="148"/>
      <c r="P827" s="148"/>
      <c r="Q827" s="148"/>
      <c r="R827" s="148"/>
      <c r="S827" s="148"/>
    </row>
    <row r="828" ht="15.75" customHeight="1">
      <c r="A828" s="148"/>
      <c r="B828" s="148"/>
      <c r="C828" s="148"/>
      <c r="D828" s="148"/>
      <c r="E828" s="148"/>
      <c r="F828" s="148"/>
      <c r="G828" s="148"/>
      <c r="H828" s="148"/>
      <c r="I828" s="148"/>
      <c r="J828" s="148"/>
      <c r="K828" s="148"/>
      <c r="L828" s="148"/>
      <c r="M828" s="148"/>
      <c r="N828" s="148"/>
      <c r="O828" s="148"/>
      <c r="P828" s="148"/>
      <c r="Q828" s="148"/>
      <c r="R828" s="148"/>
      <c r="S828" s="148"/>
    </row>
    <row r="829" ht="15.75" customHeight="1">
      <c r="A829" s="148"/>
      <c r="B829" s="148"/>
      <c r="C829" s="148"/>
      <c r="D829" s="148"/>
      <c r="E829" s="148"/>
      <c r="F829" s="148"/>
      <c r="G829" s="148"/>
      <c r="H829" s="148"/>
      <c r="I829" s="148"/>
      <c r="J829" s="148"/>
      <c r="K829" s="148"/>
      <c r="L829" s="148"/>
      <c r="M829" s="148"/>
      <c r="N829" s="148"/>
      <c r="O829" s="148"/>
      <c r="P829" s="148"/>
      <c r="Q829" s="148"/>
      <c r="R829" s="148"/>
      <c r="S829" s="148"/>
    </row>
    <row r="830" ht="15.75" customHeight="1">
      <c r="A830" s="148"/>
      <c r="B830" s="148"/>
      <c r="C830" s="148"/>
      <c r="D830" s="148"/>
      <c r="E830" s="148"/>
      <c r="F830" s="148"/>
      <c r="G830" s="148"/>
      <c r="H830" s="148"/>
      <c r="I830" s="148"/>
      <c r="J830" s="148"/>
      <c r="K830" s="148"/>
      <c r="L830" s="148"/>
      <c r="M830" s="148"/>
      <c r="N830" s="148"/>
      <c r="O830" s="148"/>
      <c r="P830" s="148"/>
      <c r="Q830" s="148"/>
      <c r="R830" s="148"/>
      <c r="S830" s="148"/>
    </row>
    <row r="831" ht="15.75" customHeight="1">
      <c r="A831" s="148"/>
      <c r="B831" s="148"/>
      <c r="C831" s="148"/>
      <c r="D831" s="148"/>
      <c r="E831" s="148"/>
      <c r="F831" s="148"/>
      <c r="G831" s="148"/>
      <c r="H831" s="148"/>
      <c r="I831" s="148"/>
      <c r="J831" s="148"/>
      <c r="K831" s="148"/>
      <c r="L831" s="148"/>
      <c r="M831" s="148"/>
      <c r="N831" s="148"/>
      <c r="O831" s="148"/>
      <c r="P831" s="148"/>
      <c r="Q831" s="148"/>
      <c r="R831" s="148"/>
      <c r="S831" s="148"/>
    </row>
    <row r="832" ht="15.75" customHeight="1">
      <c r="A832" s="148"/>
      <c r="B832" s="148"/>
      <c r="C832" s="148"/>
      <c r="D832" s="148"/>
      <c r="E832" s="148"/>
      <c r="F832" s="148"/>
      <c r="G832" s="148"/>
      <c r="H832" s="148"/>
      <c r="I832" s="148"/>
      <c r="J832" s="148"/>
      <c r="K832" s="148"/>
      <c r="L832" s="148"/>
      <c r="M832" s="148"/>
      <c r="N832" s="148"/>
      <c r="O832" s="148"/>
      <c r="P832" s="148"/>
      <c r="Q832" s="148"/>
      <c r="R832" s="148"/>
      <c r="S832" s="148"/>
    </row>
    <row r="833" ht="15.75" customHeight="1">
      <c r="A833" s="148"/>
      <c r="B833" s="148"/>
      <c r="C833" s="148"/>
      <c r="D833" s="148"/>
      <c r="E833" s="148"/>
      <c r="F833" s="148"/>
      <c r="G833" s="148"/>
      <c r="H833" s="148"/>
      <c r="I833" s="148"/>
      <c r="J833" s="148"/>
      <c r="K833" s="148"/>
      <c r="L833" s="148"/>
      <c r="M833" s="148"/>
      <c r="N833" s="148"/>
      <c r="O833" s="148"/>
      <c r="P833" s="148"/>
      <c r="Q833" s="148"/>
      <c r="R833" s="148"/>
      <c r="S833" s="148"/>
    </row>
    <row r="834" ht="15.75" customHeight="1">
      <c r="A834" s="148"/>
      <c r="B834" s="148"/>
      <c r="C834" s="148"/>
      <c r="D834" s="148"/>
      <c r="E834" s="148"/>
      <c r="F834" s="148"/>
      <c r="G834" s="148"/>
      <c r="H834" s="148"/>
      <c r="I834" s="148"/>
      <c r="J834" s="148"/>
      <c r="K834" s="148"/>
      <c r="L834" s="148"/>
      <c r="M834" s="148"/>
      <c r="N834" s="148"/>
      <c r="O834" s="148"/>
      <c r="P834" s="148"/>
      <c r="Q834" s="148"/>
      <c r="R834" s="148"/>
      <c r="S834" s="148"/>
    </row>
    <row r="835" ht="15.75" customHeight="1">
      <c r="A835" s="148"/>
      <c r="B835" s="148"/>
      <c r="C835" s="148"/>
      <c r="D835" s="148"/>
      <c r="E835" s="148"/>
      <c r="F835" s="148"/>
      <c r="G835" s="148"/>
      <c r="H835" s="148"/>
      <c r="I835" s="148"/>
      <c r="J835" s="148"/>
      <c r="K835" s="148"/>
      <c r="L835" s="148"/>
      <c r="M835" s="148"/>
      <c r="N835" s="148"/>
      <c r="O835" s="148"/>
      <c r="P835" s="148"/>
      <c r="Q835" s="148"/>
      <c r="R835" s="148"/>
      <c r="S835" s="148"/>
    </row>
    <row r="836" ht="15.75" customHeight="1">
      <c r="A836" s="148"/>
      <c r="B836" s="148"/>
      <c r="C836" s="148"/>
      <c r="D836" s="148"/>
      <c r="E836" s="148"/>
      <c r="F836" s="148"/>
      <c r="G836" s="148"/>
      <c r="H836" s="148"/>
      <c r="I836" s="148"/>
      <c r="J836" s="148"/>
      <c r="K836" s="148"/>
      <c r="L836" s="148"/>
      <c r="M836" s="148"/>
      <c r="N836" s="148"/>
      <c r="O836" s="148"/>
      <c r="P836" s="148"/>
      <c r="Q836" s="148"/>
      <c r="R836" s="148"/>
      <c r="S836" s="148"/>
    </row>
    <row r="837" ht="15.75" customHeight="1">
      <c r="A837" s="148"/>
      <c r="B837" s="148"/>
      <c r="C837" s="148"/>
      <c r="D837" s="148"/>
      <c r="E837" s="148"/>
      <c r="F837" s="148"/>
      <c r="G837" s="148"/>
      <c r="H837" s="148"/>
      <c r="I837" s="148"/>
      <c r="J837" s="148"/>
      <c r="K837" s="148"/>
      <c r="L837" s="148"/>
      <c r="M837" s="148"/>
      <c r="N837" s="148"/>
      <c r="O837" s="148"/>
      <c r="P837" s="148"/>
      <c r="Q837" s="148"/>
      <c r="R837" s="148"/>
      <c r="S837" s="148"/>
    </row>
    <row r="838" ht="15.75" customHeight="1">
      <c r="A838" s="148"/>
      <c r="B838" s="148"/>
      <c r="C838" s="148"/>
      <c r="D838" s="148"/>
      <c r="E838" s="148"/>
      <c r="F838" s="148"/>
      <c r="G838" s="148"/>
      <c r="H838" s="148"/>
      <c r="I838" s="148"/>
      <c r="J838" s="148"/>
      <c r="K838" s="148"/>
      <c r="L838" s="148"/>
      <c r="M838" s="148"/>
      <c r="N838" s="148"/>
      <c r="O838" s="148"/>
      <c r="P838" s="148"/>
      <c r="Q838" s="148"/>
      <c r="R838" s="148"/>
      <c r="S838" s="148"/>
    </row>
    <row r="839" ht="15.75" customHeight="1">
      <c r="A839" s="148"/>
      <c r="B839" s="148"/>
      <c r="C839" s="148"/>
      <c r="D839" s="148"/>
      <c r="E839" s="148"/>
      <c r="F839" s="148"/>
      <c r="G839" s="148"/>
      <c r="H839" s="148"/>
      <c r="I839" s="148"/>
      <c r="J839" s="148"/>
      <c r="K839" s="148"/>
      <c r="L839" s="148"/>
      <c r="M839" s="148"/>
      <c r="N839" s="148"/>
      <c r="O839" s="148"/>
      <c r="P839" s="148"/>
      <c r="Q839" s="148"/>
      <c r="R839" s="148"/>
      <c r="S839" s="148"/>
    </row>
    <row r="840" ht="15.75" customHeight="1">
      <c r="A840" s="148"/>
      <c r="B840" s="148"/>
      <c r="C840" s="148"/>
      <c r="D840" s="148"/>
      <c r="E840" s="148"/>
      <c r="F840" s="148"/>
      <c r="G840" s="148"/>
      <c r="H840" s="148"/>
      <c r="I840" s="148"/>
      <c r="J840" s="148"/>
      <c r="K840" s="148"/>
      <c r="L840" s="148"/>
      <c r="M840" s="148"/>
      <c r="N840" s="148"/>
      <c r="O840" s="148"/>
      <c r="P840" s="148"/>
      <c r="Q840" s="148"/>
      <c r="R840" s="148"/>
      <c r="S840" s="148"/>
    </row>
    <row r="841" ht="15.75" customHeight="1">
      <c r="A841" s="148"/>
      <c r="B841" s="148"/>
      <c r="C841" s="148"/>
      <c r="D841" s="148"/>
      <c r="E841" s="148"/>
      <c r="F841" s="148"/>
      <c r="G841" s="148"/>
      <c r="H841" s="148"/>
      <c r="I841" s="148"/>
      <c r="J841" s="148"/>
      <c r="K841" s="148"/>
      <c r="L841" s="148"/>
      <c r="M841" s="148"/>
      <c r="N841" s="148"/>
      <c r="O841" s="148"/>
      <c r="P841" s="148"/>
      <c r="Q841" s="148"/>
      <c r="R841" s="148"/>
      <c r="S841" s="148"/>
    </row>
    <row r="842" ht="15.75" customHeight="1">
      <c r="A842" s="148"/>
      <c r="B842" s="148"/>
      <c r="C842" s="148"/>
      <c r="D842" s="148"/>
      <c r="E842" s="148"/>
      <c r="F842" s="148"/>
      <c r="G842" s="148"/>
      <c r="H842" s="148"/>
      <c r="I842" s="148"/>
      <c r="J842" s="148"/>
      <c r="K842" s="148"/>
      <c r="L842" s="148"/>
      <c r="M842" s="148"/>
      <c r="N842" s="148"/>
      <c r="O842" s="148"/>
      <c r="P842" s="148"/>
      <c r="Q842" s="148"/>
      <c r="R842" s="148"/>
      <c r="S842" s="148"/>
    </row>
    <row r="843" ht="15.75" customHeight="1">
      <c r="A843" s="148"/>
      <c r="B843" s="148"/>
      <c r="C843" s="148"/>
      <c r="D843" s="148"/>
      <c r="E843" s="148"/>
      <c r="F843" s="148"/>
      <c r="G843" s="148"/>
      <c r="H843" s="148"/>
      <c r="I843" s="148"/>
      <c r="J843" s="148"/>
      <c r="K843" s="148"/>
      <c r="L843" s="148"/>
      <c r="M843" s="148"/>
      <c r="N843" s="148"/>
      <c r="O843" s="148"/>
      <c r="P843" s="148"/>
      <c r="Q843" s="148"/>
      <c r="R843" s="148"/>
      <c r="S843" s="148"/>
    </row>
    <row r="844" ht="15.75" customHeight="1">
      <c r="A844" s="148"/>
      <c r="B844" s="148"/>
      <c r="C844" s="148"/>
      <c r="D844" s="148"/>
      <c r="E844" s="148"/>
      <c r="F844" s="148"/>
      <c r="G844" s="148"/>
      <c r="H844" s="148"/>
      <c r="I844" s="148"/>
      <c r="J844" s="148"/>
      <c r="K844" s="148"/>
      <c r="L844" s="148"/>
      <c r="M844" s="148"/>
      <c r="N844" s="148"/>
      <c r="O844" s="148"/>
      <c r="P844" s="148"/>
      <c r="Q844" s="148"/>
      <c r="R844" s="148"/>
      <c r="S844" s="148"/>
    </row>
    <row r="845" ht="15.75" customHeight="1">
      <c r="A845" s="148"/>
      <c r="B845" s="148"/>
      <c r="C845" s="148"/>
      <c r="D845" s="148"/>
      <c r="E845" s="148"/>
      <c r="F845" s="148"/>
      <c r="G845" s="148"/>
      <c r="H845" s="148"/>
      <c r="I845" s="148"/>
      <c r="J845" s="148"/>
      <c r="K845" s="148"/>
      <c r="L845" s="148"/>
      <c r="M845" s="148"/>
      <c r="N845" s="148"/>
      <c r="O845" s="148"/>
      <c r="P845" s="148"/>
      <c r="Q845" s="148"/>
      <c r="R845" s="148"/>
      <c r="S845" s="148"/>
    </row>
    <row r="846" ht="15.75" customHeight="1">
      <c r="A846" s="148"/>
      <c r="B846" s="148"/>
      <c r="C846" s="148"/>
      <c r="D846" s="148"/>
      <c r="E846" s="148"/>
      <c r="F846" s="148"/>
      <c r="G846" s="148"/>
      <c r="H846" s="148"/>
      <c r="I846" s="148"/>
      <c r="J846" s="148"/>
      <c r="K846" s="148"/>
      <c r="L846" s="148"/>
      <c r="M846" s="148"/>
      <c r="N846" s="148"/>
      <c r="O846" s="148"/>
      <c r="P846" s="148"/>
      <c r="Q846" s="148"/>
      <c r="R846" s="148"/>
      <c r="S846" s="148"/>
    </row>
    <row r="847" ht="15.75" customHeight="1">
      <c r="A847" s="148"/>
      <c r="B847" s="148"/>
      <c r="C847" s="148"/>
      <c r="D847" s="148"/>
      <c r="E847" s="148"/>
      <c r="F847" s="148"/>
      <c r="G847" s="148"/>
      <c r="H847" s="148"/>
      <c r="I847" s="148"/>
      <c r="J847" s="148"/>
      <c r="K847" s="148"/>
      <c r="L847" s="148"/>
      <c r="M847" s="148"/>
      <c r="N847" s="148"/>
      <c r="O847" s="148"/>
      <c r="P847" s="148"/>
      <c r="Q847" s="148"/>
      <c r="R847" s="148"/>
      <c r="S847" s="148"/>
    </row>
    <row r="848" ht="15.75" customHeight="1">
      <c r="A848" s="148"/>
      <c r="B848" s="148"/>
      <c r="C848" s="148"/>
      <c r="D848" s="148"/>
      <c r="E848" s="148"/>
      <c r="F848" s="148"/>
      <c r="G848" s="148"/>
      <c r="H848" s="148"/>
      <c r="I848" s="148"/>
      <c r="J848" s="148"/>
      <c r="K848" s="148"/>
      <c r="L848" s="148"/>
      <c r="M848" s="148"/>
      <c r="N848" s="148"/>
      <c r="O848" s="148"/>
      <c r="P848" s="148"/>
      <c r="Q848" s="148"/>
      <c r="R848" s="148"/>
      <c r="S848" s="148"/>
    </row>
    <row r="849" ht="15.75" customHeight="1">
      <c r="A849" s="148"/>
      <c r="B849" s="148"/>
      <c r="C849" s="148"/>
      <c r="D849" s="148"/>
      <c r="E849" s="148"/>
      <c r="F849" s="148"/>
      <c r="G849" s="148"/>
      <c r="H849" s="148"/>
      <c r="I849" s="148"/>
      <c r="J849" s="148"/>
      <c r="K849" s="148"/>
      <c r="L849" s="148"/>
      <c r="M849" s="148"/>
      <c r="N849" s="148"/>
      <c r="O849" s="148"/>
      <c r="P849" s="148"/>
      <c r="Q849" s="148"/>
      <c r="R849" s="148"/>
      <c r="S849" s="148"/>
    </row>
    <row r="850" ht="15.75" customHeight="1">
      <c r="A850" s="148"/>
      <c r="B850" s="148"/>
      <c r="C850" s="148"/>
      <c r="D850" s="148"/>
      <c r="E850" s="148"/>
      <c r="F850" s="148"/>
      <c r="G850" s="148"/>
      <c r="H850" s="148"/>
      <c r="I850" s="148"/>
      <c r="J850" s="148"/>
      <c r="K850" s="148"/>
      <c r="L850" s="148"/>
      <c r="M850" s="148"/>
      <c r="N850" s="148"/>
      <c r="O850" s="148"/>
      <c r="P850" s="148"/>
      <c r="Q850" s="148"/>
      <c r="R850" s="148"/>
      <c r="S850" s="148"/>
    </row>
    <row r="851" ht="15.75" customHeight="1">
      <c r="A851" s="148"/>
      <c r="B851" s="148"/>
      <c r="C851" s="148"/>
      <c r="D851" s="148"/>
      <c r="E851" s="148"/>
      <c r="F851" s="148"/>
      <c r="G851" s="148"/>
      <c r="H851" s="148"/>
      <c r="I851" s="148"/>
      <c r="J851" s="148"/>
      <c r="K851" s="148"/>
      <c r="L851" s="148"/>
      <c r="M851" s="148"/>
      <c r="N851" s="148"/>
      <c r="O851" s="148"/>
      <c r="P851" s="148"/>
      <c r="Q851" s="148"/>
      <c r="R851" s="148"/>
      <c r="S851" s="148"/>
    </row>
    <row r="852" ht="15.75" customHeight="1">
      <c r="A852" s="148"/>
      <c r="B852" s="148"/>
      <c r="C852" s="148"/>
      <c r="D852" s="148"/>
      <c r="E852" s="148"/>
      <c r="F852" s="148"/>
      <c r="G852" s="148"/>
      <c r="H852" s="148"/>
      <c r="I852" s="148"/>
      <c r="J852" s="148"/>
      <c r="K852" s="148"/>
      <c r="L852" s="148"/>
      <c r="M852" s="148"/>
      <c r="N852" s="148"/>
      <c r="O852" s="148"/>
      <c r="P852" s="148"/>
      <c r="Q852" s="148"/>
      <c r="R852" s="148"/>
      <c r="S852" s="148"/>
    </row>
    <row r="853" ht="15.75" customHeight="1">
      <c r="A853" s="148"/>
      <c r="B853" s="148"/>
      <c r="C853" s="148"/>
      <c r="D853" s="148"/>
      <c r="E853" s="148"/>
      <c r="F853" s="148"/>
      <c r="G853" s="148"/>
      <c r="H853" s="148"/>
      <c r="I853" s="148"/>
      <c r="J853" s="148"/>
      <c r="K853" s="148"/>
      <c r="L853" s="148"/>
      <c r="M853" s="148"/>
      <c r="N853" s="148"/>
      <c r="O853" s="148"/>
      <c r="P853" s="148"/>
      <c r="Q853" s="148"/>
      <c r="R853" s="148"/>
      <c r="S853" s="148"/>
    </row>
    <row r="854" ht="15.75" customHeight="1">
      <c r="A854" s="148"/>
      <c r="B854" s="148"/>
      <c r="C854" s="148"/>
      <c r="D854" s="148"/>
      <c r="E854" s="148"/>
      <c r="F854" s="148"/>
      <c r="G854" s="148"/>
      <c r="H854" s="148"/>
      <c r="I854" s="148"/>
      <c r="J854" s="148"/>
      <c r="K854" s="148"/>
      <c r="L854" s="148"/>
      <c r="M854" s="148"/>
      <c r="N854" s="148"/>
      <c r="O854" s="148"/>
      <c r="P854" s="148"/>
      <c r="Q854" s="148"/>
      <c r="R854" s="148"/>
      <c r="S854" s="148"/>
    </row>
    <row r="855" ht="15.75" customHeight="1">
      <c r="A855" s="148"/>
      <c r="B855" s="148"/>
      <c r="C855" s="148"/>
      <c r="D855" s="148"/>
      <c r="E855" s="148"/>
      <c r="F855" s="148"/>
      <c r="G855" s="148"/>
      <c r="H855" s="148"/>
      <c r="I855" s="148"/>
      <c r="J855" s="148"/>
      <c r="K855" s="148"/>
      <c r="L855" s="148"/>
      <c r="M855" s="148"/>
      <c r="N855" s="148"/>
      <c r="O855" s="148"/>
      <c r="P855" s="148"/>
      <c r="Q855" s="148"/>
      <c r="R855" s="148"/>
      <c r="S855" s="148"/>
    </row>
    <row r="856" ht="15.75" customHeight="1">
      <c r="A856" s="148"/>
      <c r="B856" s="148"/>
      <c r="C856" s="148"/>
      <c r="D856" s="148"/>
      <c r="E856" s="148"/>
      <c r="F856" s="148"/>
      <c r="G856" s="148"/>
      <c r="H856" s="148"/>
      <c r="I856" s="148"/>
      <c r="J856" s="148"/>
      <c r="K856" s="148"/>
      <c r="L856" s="148"/>
      <c r="M856" s="148"/>
      <c r="N856" s="148"/>
      <c r="O856" s="148"/>
      <c r="P856" s="148"/>
      <c r="Q856" s="148"/>
      <c r="R856" s="148"/>
      <c r="S856" s="148"/>
    </row>
    <row r="857" ht="15.75" customHeight="1">
      <c r="A857" s="148"/>
      <c r="B857" s="148"/>
      <c r="C857" s="148"/>
      <c r="D857" s="148"/>
      <c r="E857" s="148"/>
      <c r="F857" s="148"/>
      <c r="G857" s="148"/>
      <c r="H857" s="148"/>
      <c r="I857" s="148"/>
      <c r="J857" s="148"/>
      <c r="K857" s="148"/>
      <c r="L857" s="148"/>
      <c r="M857" s="148"/>
      <c r="N857" s="148"/>
      <c r="O857" s="148"/>
      <c r="P857" s="148"/>
      <c r="Q857" s="148"/>
      <c r="R857" s="148"/>
      <c r="S857" s="148"/>
    </row>
    <row r="858" ht="15.75" customHeight="1">
      <c r="A858" s="148"/>
      <c r="B858" s="148"/>
      <c r="C858" s="148"/>
      <c r="D858" s="148"/>
      <c r="E858" s="148"/>
      <c r="F858" s="148"/>
      <c r="G858" s="148"/>
      <c r="H858" s="148"/>
      <c r="I858" s="148"/>
      <c r="J858" s="148"/>
      <c r="K858" s="148"/>
      <c r="L858" s="148"/>
      <c r="M858" s="148"/>
      <c r="N858" s="148"/>
      <c r="O858" s="148"/>
      <c r="P858" s="148"/>
      <c r="Q858" s="148"/>
      <c r="R858" s="148"/>
      <c r="S858" s="148"/>
    </row>
    <row r="859" ht="15.75" customHeight="1">
      <c r="A859" s="148"/>
      <c r="B859" s="148"/>
      <c r="C859" s="148"/>
      <c r="D859" s="148"/>
      <c r="E859" s="148"/>
      <c r="F859" s="148"/>
      <c r="G859" s="148"/>
      <c r="H859" s="148"/>
      <c r="I859" s="148"/>
      <c r="J859" s="148"/>
      <c r="K859" s="148"/>
      <c r="L859" s="148"/>
      <c r="M859" s="148"/>
      <c r="N859" s="148"/>
      <c r="O859" s="148"/>
      <c r="P859" s="148"/>
      <c r="Q859" s="148"/>
      <c r="R859" s="148"/>
      <c r="S859" s="148"/>
    </row>
    <row r="860" ht="15.75" customHeight="1">
      <c r="A860" s="148"/>
      <c r="B860" s="148"/>
      <c r="C860" s="148"/>
      <c r="D860" s="148"/>
      <c r="E860" s="148"/>
      <c r="F860" s="148"/>
      <c r="G860" s="148"/>
      <c r="H860" s="148"/>
      <c r="I860" s="148"/>
      <c r="J860" s="148"/>
      <c r="K860" s="148"/>
      <c r="L860" s="148"/>
      <c r="M860" s="148"/>
      <c r="N860" s="148"/>
      <c r="O860" s="148"/>
      <c r="P860" s="148"/>
      <c r="Q860" s="148"/>
      <c r="R860" s="148"/>
      <c r="S860" s="148"/>
    </row>
    <row r="861" ht="15.75" customHeight="1">
      <c r="A861" s="148"/>
      <c r="B861" s="148"/>
      <c r="C861" s="148"/>
      <c r="D861" s="148"/>
      <c r="E861" s="148"/>
      <c r="F861" s="148"/>
      <c r="G861" s="148"/>
      <c r="H861" s="148"/>
      <c r="I861" s="148"/>
      <c r="J861" s="148"/>
      <c r="K861" s="148"/>
      <c r="L861" s="148"/>
      <c r="M861" s="148"/>
      <c r="N861" s="148"/>
      <c r="O861" s="148"/>
      <c r="P861" s="148"/>
      <c r="Q861" s="148"/>
      <c r="R861" s="148"/>
      <c r="S861" s="148"/>
    </row>
    <row r="862" ht="15.75" customHeight="1">
      <c r="A862" s="148"/>
      <c r="B862" s="148"/>
      <c r="C862" s="148"/>
      <c r="D862" s="148"/>
      <c r="E862" s="148"/>
      <c r="F862" s="148"/>
      <c r="G862" s="148"/>
      <c r="H862" s="148"/>
      <c r="I862" s="148"/>
      <c r="J862" s="148"/>
      <c r="K862" s="148"/>
      <c r="L862" s="148"/>
      <c r="M862" s="148"/>
      <c r="N862" s="148"/>
      <c r="O862" s="148"/>
      <c r="P862" s="148"/>
      <c r="Q862" s="148"/>
      <c r="R862" s="148"/>
      <c r="S862" s="148"/>
    </row>
    <row r="863" ht="15.75" customHeight="1">
      <c r="A863" s="148"/>
      <c r="B863" s="148"/>
      <c r="C863" s="148"/>
      <c r="D863" s="148"/>
      <c r="E863" s="148"/>
      <c r="F863" s="148"/>
      <c r="G863" s="148"/>
      <c r="H863" s="148"/>
      <c r="I863" s="148"/>
      <c r="J863" s="148"/>
      <c r="K863" s="148"/>
      <c r="L863" s="148"/>
      <c r="M863" s="148"/>
      <c r="N863" s="148"/>
      <c r="O863" s="148"/>
      <c r="P863" s="148"/>
      <c r="Q863" s="148"/>
      <c r="R863" s="148"/>
      <c r="S863" s="148"/>
    </row>
    <row r="864" ht="15.75" customHeight="1">
      <c r="A864" s="148"/>
      <c r="B864" s="148"/>
      <c r="C864" s="148"/>
      <c r="D864" s="148"/>
      <c r="E864" s="148"/>
      <c r="F864" s="148"/>
      <c r="G864" s="148"/>
      <c r="H864" s="148"/>
      <c r="I864" s="148"/>
      <c r="J864" s="148"/>
      <c r="K864" s="148"/>
      <c r="L864" s="148"/>
      <c r="M864" s="148"/>
      <c r="N864" s="148"/>
      <c r="O864" s="148"/>
      <c r="P864" s="148"/>
      <c r="Q864" s="148"/>
      <c r="R864" s="148"/>
      <c r="S864" s="148"/>
    </row>
    <row r="865" ht="15.75" customHeight="1">
      <c r="A865" s="148"/>
      <c r="B865" s="148"/>
      <c r="C865" s="148"/>
      <c r="D865" s="148"/>
      <c r="E865" s="148"/>
      <c r="F865" s="148"/>
      <c r="G865" s="148"/>
      <c r="H865" s="148"/>
      <c r="I865" s="148"/>
      <c r="J865" s="148"/>
      <c r="K865" s="148"/>
      <c r="L865" s="148"/>
      <c r="M865" s="148"/>
      <c r="N865" s="148"/>
      <c r="O865" s="148"/>
      <c r="P865" s="148"/>
      <c r="Q865" s="148"/>
      <c r="R865" s="148"/>
      <c r="S865" s="148"/>
    </row>
    <row r="866" ht="15.75" customHeight="1">
      <c r="A866" s="148"/>
      <c r="B866" s="148"/>
      <c r="C866" s="148"/>
      <c r="D866" s="148"/>
      <c r="E866" s="148"/>
      <c r="F866" s="148"/>
      <c r="G866" s="148"/>
      <c r="H866" s="148"/>
      <c r="I866" s="148"/>
      <c r="J866" s="148"/>
      <c r="K866" s="148"/>
      <c r="L866" s="148"/>
      <c r="M866" s="148"/>
      <c r="N866" s="148"/>
      <c r="O866" s="148"/>
      <c r="P866" s="148"/>
      <c r="Q866" s="148"/>
      <c r="R866" s="148"/>
      <c r="S866" s="148"/>
    </row>
    <row r="867" ht="15.75" customHeight="1">
      <c r="A867" s="148"/>
      <c r="B867" s="148"/>
      <c r="C867" s="148"/>
      <c r="D867" s="148"/>
      <c r="E867" s="148"/>
      <c r="F867" s="148"/>
      <c r="G867" s="148"/>
      <c r="H867" s="148"/>
      <c r="I867" s="148"/>
      <c r="J867" s="148"/>
      <c r="K867" s="148"/>
      <c r="L867" s="148"/>
      <c r="M867" s="148"/>
      <c r="N867" s="148"/>
      <c r="O867" s="148"/>
      <c r="P867" s="148"/>
      <c r="Q867" s="148"/>
      <c r="R867" s="148"/>
      <c r="S867" s="148"/>
    </row>
    <row r="868" ht="15.75" customHeight="1">
      <c r="A868" s="148"/>
      <c r="B868" s="148"/>
      <c r="C868" s="148"/>
      <c r="D868" s="148"/>
      <c r="E868" s="148"/>
      <c r="F868" s="148"/>
      <c r="G868" s="148"/>
      <c r="H868" s="148"/>
      <c r="I868" s="148"/>
      <c r="J868" s="148"/>
      <c r="K868" s="148"/>
      <c r="L868" s="148"/>
      <c r="M868" s="148"/>
      <c r="N868" s="148"/>
      <c r="O868" s="148"/>
      <c r="P868" s="148"/>
      <c r="Q868" s="148"/>
      <c r="R868" s="148"/>
      <c r="S868" s="148"/>
    </row>
    <row r="869" ht="15.75" customHeight="1">
      <c r="A869" s="148"/>
      <c r="B869" s="148"/>
      <c r="C869" s="148"/>
      <c r="D869" s="148"/>
      <c r="E869" s="148"/>
      <c r="F869" s="148"/>
      <c r="G869" s="148"/>
      <c r="H869" s="148"/>
      <c r="I869" s="148"/>
      <c r="J869" s="148"/>
      <c r="K869" s="148"/>
      <c r="L869" s="148"/>
      <c r="M869" s="148"/>
      <c r="N869" s="148"/>
      <c r="O869" s="148"/>
      <c r="P869" s="148"/>
      <c r="Q869" s="148"/>
      <c r="R869" s="148"/>
      <c r="S869" s="148"/>
    </row>
    <row r="870" ht="15.75" customHeight="1">
      <c r="A870" s="148"/>
      <c r="B870" s="148"/>
      <c r="C870" s="148"/>
      <c r="D870" s="148"/>
      <c r="E870" s="148"/>
      <c r="F870" s="148"/>
      <c r="G870" s="148"/>
      <c r="H870" s="148"/>
      <c r="I870" s="148"/>
      <c r="J870" s="148"/>
      <c r="K870" s="148"/>
      <c r="L870" s="148"/>
      <c r="M870" s="148"/>
      <c r="N870" s="148"/>
      <c r="O870" s="148"/>
      <c r="P870" s="148"/>
      <c r="Q870" s="148"/>
      <c r="R870" s="148"/>
      <c r="S870" s="148"/>
    </row>
    <row r="871" ht="15.75" customHeight="1">
      <c r="A871" s="148"/>
      <c r="B871" s="148"/>
      <c r="C871" s="148"/>
      <c r="D871" s="148"/>
      <c r="E871" s="148"/>
      <c r="F871" s="148"/>
      <c r="G871" s="148"/>
      <c r="H871" s="148"/>
      <c r="I871" s="148"/>
      <c r="J871" s="148"/>
      <c r="K871" s="148"/>
      <c r="L871" s="148"/>
      <c r="M871" s="148"/>
      <c r="N871" s="148"/>
      <c r="O871" s="148"/>
      <c r="P871" s="148"/>
      <c r="Q871" s="148"/>
      <c r="R871" s="148"/>
      <c r="S871" s="148"/>
    </row>
    <row r="872" ht="15.75" customHeight="1">
      <c r="A872" s="148"/>
      <c r="B872" s="148"/>
      <c r="C872" s="148"/>
      <c r="D872" s="148"/>
      <c r="E872" s="148"/>
      <c r="F872" s="148"/>
      <c r="G872" s="148"/>
      <c r="H872" s="148"/>
      <c r="I872" s="148"/>
      <c r="J872" s="148"/>
      <c r="K872" s="148"/>
      <c r="L872" s="148"/>
      <c r="M872" s="148"/>
      <c r="N872" s="148"/>
      <c r="O872" s="148"/>
      <c r="P872" s="148"/>
      <c r="Q872" s="148"/>
      <c r="R872" s="148"/>
      <c r="S872" s="148"/>
    </row>
    <row r="873" ht="15.75" customHeight="1">
      <c r="A873" s="148"/>
      <c r="B873" s="148"/>
      <c r="C873" s="148"/>
      <c r="D873" s="148"/>
      <c r="E873" s="148"/>
      <c r="F873" s="148"/>
      <c r="G873" s="148"/>
      <c r="H873" s="148"/>
      <c r="I873" s="148"/>
      <c r="J873" s="148"/>
      <c r="K873" s="148"/>
      <c r="L873" s="148"/>
      <c r="M873" s="148"/>
      <c r="N873" s="148"/>
      <c r="O873" s="148"/>
      <c r="P873" s="148"/>
      <c r="Q873" s="148"/>
      <c r="R873" s="148"/>
      <c r="S873" s="148"/>
    </row>
    <row r="874" ht="15.75" customHeight="1">
      <c r="A874" s="148"/>
      <c r="B874" s="148"/>
      <c r="C874" s="148"/>
      <c r="D874" s="148"/>
      <c r="E874" s="148"/>
      <c r="F874" s="148"/>
      <c r="G874" s="148"/>
      <c r="H874" s="148"/>
      <c r="I874" s="148"/>
      <c r="J874" s="148"/>
      <c r="K874" s="148"/>
      <c r="L874" s="148"/>
      <c r="M874" s="148"/>
      <c r="N874" s="148"/>
      <c r="O874" s="148"/>
      <c r="P874" s="148"/>
      <c r="Q874" s="148"/>
      <c r="R874" s="148"/>
      <c r="S874" s="148"/>
    </row>
    <row r="875" ht="15.75" customHeight="1">
      <c r="A875" s="148"/>
      <c r="B875" s="148"/>
      <c r="C875" s="148"/>
      <c r="D875" s="148"/>
      <c r="E875" s="148"/>
      <c r="F875" s="148"/>
      <c r="G875" s="148"/>
      <c r="H875" s="148"/>
      <c r="I875" s="148"/>
      <c r="J875" s="148"/>
      <c r="K875" s="148"/>
      <c r="L875" s="148"/>
      <c r="M875" s="148"/>
      <c r="N875" s="148"/>
      <c r="O875" s="148"/>
      <c r="P875" s="148"/>
      <c r="Q875" s="148"/>
      <c r="R875" s="148"/>
      <c r="S875" s="148"/>
    </row>
    <row r="876" ht="15.75" customHeight="1">
      <c r="A876" s="148"/>
      <c r="B876" s="148"/>
      <c r="C876" s="148"/>
      <c r="D876" s="148"/>
      <c r="E876" s="148"/>
      <c r="F876" s="148"/>
      <c r="G876" s="148"/>
      <c r="H876" s="148"/>
      <c r="I876" s="148"/>
      <c r="J876" s="148"/>
      <c r="K876" s="148"/>
      <c r="L876" s="148"/>
      <c r="M876" s="148"/>
      <c r="N876" s="148"/>
      <c r="O876" s="148"/>
      <c r="P876" s="148"/>
      <c r="Q876" s="148"/>
      <c r="R876" s="148"/>
      <c r="S876" s="148"/>
    </row>
    <row r="877" ht="15.75" customHeight="1">
      <c r="A877" s="148"/>
      <c r="B877" s="148"/>
      <c r="C877" s="148"/>
      <c r="D877" s="148"/>
      <c r="E877" s="148"/>
      <c r="F877" s="148"/>
      <c r="G877" s="148"/>
      <c r="H877" s="148"/>
      <c r="I877" s="148"/>
      <c r="J877" s="148"/>
      <c r="K877" s="148"/>
      <c r="L877" s="148"/>
      <c r="M877" s="148"/>
      <c r="N877" s="148"/>
      <c r="O877" s="148"/>
      <c r="P877" s="148"/>
      <c r="Q877" s="148"/>
      <c r="R877" s="148"/>
      <c r="S877" s="148"/>
    </row>
    <row r="878" ht="15.75" customHeight="1">
      <c r="A878" s="148"/>
      <c r="B878" s="148"/>
      <c r="C878" s="148"/>
      <c r="D878" s="148"/>
      <c r="E878" s="148"/>
      <c r="F878" s="148"/>
      <c r="G878" s="148"/>
      <c r="H878" s="148"/>
      <c r="I878" s="148"/>
      <c r="J878" s="148"/>
      <c r="K878" s="148"/>
      <c r="L878" s="148"/>
      <c r="M878" s="148"/>
      <c r="N878" s="148"/>
      <c r="O878" s="148"/>
      <c r="P878" s="148"/>
      <c r="Q878" s="148"/>
      <c r="R878" s="148"/>
      <c r="S878" s="148"/>
    </row>
    <row r="879" ht="15.75" customHeight="1">
      <c r="A879" s="148"/>
      <c r="B879" s="148"/>
      <c r="C879" s="148"/>
      <c r="D879" s="148"/>
      <c r="E879" s="148"/>
      <c r="F879" s="148"/>
      <c r="G879" s="148"/>
      <c r="H879" s="148"/>
      <c r="I879" s="148"/>
      <c r="J879" s="148"/>
      <c r="K879" s="148"/>
      <c r="L879" s="148"/>
      <c r="M879" s="148"/>
      <c r="N879" s="148"/>
      <c r="O879" s="148"/>
      <c r="P879" s="148"/>
      <c r="Q879" s="148"/>
      <c r="R879" s="148"/>
      <c r="S879" s="148"/>
    </row>
    <row r="880" ht="15.75" customHeight="1">
      <c r="A880" s="148"/>
      <c r="B880" s="148"/>
      <c r="C880" s="148"/>
      <c r="D880" s="148"/>
      <c r="E880" s="148"/>
      <c r="F880" s="148"/>
      <c r="G880" s="148"/>
      <c r="H880" s="148"/>
      <c r="I880" s="148"/>
      <c r="J880" s="148"/>
      <c r="K880" s="148"/>
      <c r="L880" s="148"/>
      <c r="M880" s="148"/>
      <c r="N880" s="148"/>
      <c r="O880" s="148"/>
      <c r="P880" s="148"/>
      <c r="Q880" s="148"/>
      <c r="R880" s="148"/>
      <c r="S880" s="148"/>
    </row>
    <row r="881" ht="15.75" customHeight="1">
      <c r="A881" s="148"/>
      <c r="B881" s="148"/>
      <c r="C881" s="148"/>
      <c r="D881" s="148"/>
      <c r="E881" s="148"/>
      <c r="F881" s="148"/>
      <c r="G881" s="148"/>
      <c r="H881" s="148"/>
      <c r="I881" s="148"/>
      <c r="J881" s="148"/>
      <c r="K881" s="148"/>
      <c r="L881" s="148"/>
      <c r="M881" s="148"/>
      <c r="N881" s="148"/>
      <c r="O881" s="148"/>
      <c r="P881" s="148"/>
      <c r="Q881" s="148"/>
      <c r="R881" s="148"/>
      <c r="S881" s="148"/>
    </row>
    <row r="882" ht="15.75" customHeight="1">
      <c r="A882" s="148"/>
      <c r="B882" s="148"/>
      <c r="C882" s="148"/>
      <c r="D882" s="148"/>
      <c r="E882" s="148"/>
      <c r="F882" s="148"/>
      <c r="G882" s="148"/>
      <c r="H882" s="148"/>
      <c r="I882" s="148"/>
      <c r="J882" s="148"/>
      <c r="K882" s="148"/>
      <c r="L882" s="148"/>
      <c r="M882" s="148"/>
      <c r="N882" s="148"/>
      <c r="O882" s="148"/>
      <c r="P882" s="148"/>
      <c r="Q882" s="148"/>
      <c r="R882" s="148"/>
      <c r="S882" s="148"/>
    </row>
    <row r="883" ht="15.75" customHeight="1">
      <c r="A883" s="148"/>
      <c r="B883" s="148"/>
      <c r="C883" s="148"/>
      <c r="D883" s="148"/>
      <c r="E883" s="148"/>
      <c r="F883" s="148"/>
      <c r="G883" s="148"/>
      <c r="H883" s="148"/>
      <c r="I883" s="148"/>
      <c r="J883" s="148"/>
      <c r="K883" s="148"/>
      <c r="L883" s="148"/>
      <c r="M883" s="148"/>
      <c r="N883" s="148"/>
      <c r="O883" s="148"/>
      <c r="P883" s="148"/>
      <c r="Q883" s="148"/>
      <c r="R883" s="148"/>
      <c r="S883" s="148"/>
    </row>
    <row r="884" ht="15.75" customHeight="1">
      <c r="A884" s="148"/>
      <c r="B884" s="148"/>
      <c r="C884" s="148"/>
      <c r="D884" s="148"/>
      <c r="E884" s="148"/>
      <c r="F884" s="148"/>
      <c r="G884" s="148"/>
      <c r="H884" s="148"/>
      <c r="I884" s="148"/>
      <c r="J884" s="148"/>
      <c r="K884" s="148"/>
      <c r="L884" s="148"/>
      <c r="M884" s="148"/>
      <c r="N884" s="148"/>
      <c r="O884" s="148"/>
      <c r="P884" s="148"/>
      <c r="Q884" s="148"/>
      <c r="R884" s="148"/>
      <c r="S884" s="148"/>
    </row>
    <row r="885" ht="15.75" customHeight="1">
      <c r="A885" s="148"/>
      <c r="B885" s="148"/>
      <c r="C885" s="148"/>
      <c r="D885" s="148"/>
      <c r="E885" s="148"/>
      <c r="F885" s="148"/>
      <c r="G885" s="148"/>
      <c r="H885" s="148"/>
      <c r="I885" s="148"/>
      <c r="J885" s="148"/>
      <c r="K885" s="148"/>
      <c r="L885" s="148"/>
      <c r="M885" s="148"/>
      <c r="N885" s="148"/>
      <c r="O885" s="148"/>
      <c r="P885" s="148"/>
      <c r="Q885" s="148"/>
      <c r="R885" s="148"/>
      <c r="S885" s="148"/>
    </row>
    <row r="886" ht="15.75" customHeight="1">
      <c r="A886" s="148"/>
      <c r="B886" s="148"/>
      <c r="C886" s="148"/>
      <c r="D886" s="148"/>
      <c r="E886" s="148"/>
      <c r="F886" s="148"/>
      <c r="G886" s="148"/>
      <c r="H886" s="148"/>
      <c r="I886" s="148"/>
      <c r="J886" s="148"/>
      <c r="K886" s="148"/>
      <c r="L886" s="148"/>
      <c r="M886" s="148"/>
      <c r="N886" s="148"/>
      <c r="O886" s="148"/>
      <c r="P886" s="148"/>
      <c r="Q886" s="148"/>
      <c r="R886" s="148"/>
      <c r="S886" s="148"/>
    </row>
    <row r="887" ht="15.75" customHeight="1">
      <c r="A887" s="148"/>
      <c r="B887" s="148"/>
      <c r="C887" s="148"/>
      <c r="D887" s="148"/>
      <c r="E887" s="148"/>
      <c r="F887" s="148"/>
      <c r="G887" s="148"/>
      <c r="H887" s="148"/>
      <c r="I887" s="148"/>
      <c r="J887" s="148"/>
      <c r="K887" s="148"/>
      <c r="L887" s="148"/>
      <c r="M887" s="148"/>
      <c r="N887" s="148"/>
      <c r="O887" s="148"/>
      <c r="P887" s="148"/>
      <c r="Q887" s="148"/>
      <c r="R887" s="148"/>
      <c r="S887" s="148"/>
    </row>
    <row r="888" ht="15.75" customHeight="1">
      <c r="A888" s="148"/>
      <c r="B888" s="148"/>
      <c r="C888" s="148"/>
      <c r="D888" s="148"/>
      <c r="E888" s="148"/>
      <c r="F888" s="148"/>
      <c r="G888" s="148"/>
      <c r="H888" s="148"/>
      <c r="I888" s="148"/>
      <c r="J888" s="148"/>
      <c r="K888" s="148"/>
      <c r="L888" s="148"/>
      <c r="M888" s="148"/>
      <c r="N888" s="148"/>
      <c r="O888" s="148"/>
      <c r="P888" s="148"/>
      <c r="Q888" s="148"/>
      <c r="R888" s="148"/>
      <c r="S888" s="148"/>
    </row>
    <row r="889" ht="15.75" customHeight="1">
      <c r="A889" s="148"/>
      <c r="B889" s="148"/>
      <c r="C889" s="148"/>
      <c r="D889" s="148"/>
      <c r="E889" s="148"/>
      <c r="F889" s="148"/>
      <c r="G889" s="148"/>
      <c r="H889" s="148"/>
      <c r="I889" s="148"/>
      <c r="J889" s="148"/>
      <c r="K889" s="148"/>
      <c r="L889" s="148"/>
      <c r="M889" s="148"/>
      <c r="N889" s="148"/>
      <c r="O889" s="148"/>
      <c r="P889" s="148"/>
      <c r="Q889" s="148"/>
      <c r="R889" s="148"/>
      <c r="S889" s="148"/>
    </row>
    <row r="890" ht="15.75" customHeight="1">
      <c r="A890" s="148"/>
      <c r="B890" s="148"/>
      <c r="C890" s="148"/>
      <c r="D890" s="148"/>
      <c r="E890" s="148"/>
      <c r="F890" s="148"/>
      <c r="G890" s="148"/>
      <c r="H890" s="148"/>
      <c r="I890" s="148"/>
      <c r="J890" s="148"/>
      <c r="K890" s="148"/>
      <c r="L890" s="148"/>
      <c r="M890" s="148"/>
      <c r="N890" s="148"/>
      <c r="O890" s="148"/>
      <c r="P890" s="148"/>
      <c r="Q890" s="148"/>
      <c r="R890" s="148"/>
      <c r="S890" s="148"/>
    </row>
    <row r="891" ht="15.75" customHeight="1">
      <c r="A891" s="148"/>
      <c r="B891" s="148"/>
      <c r="C891" s="148"/>
      <c r="D891" s="148"/>
      <c r="E891" s="148"/>
      <c r="F891" s="148"/>
      <c r="G891" s="148"/>
      <c r="H891" s="148"/>
      <c r="I891" s="148"/>
      <c r="J891" s="148"/>
      <c r="K891" s="148"/>
      <c r="L891" s="148"/>
      <c r="M891" s="148"/>
      <c r="N891" s="148"/>
      <c r="O891" s="148"/>
      <c r="P891" s="148"/>
      <c r="Q891" s="148"/>
      <c r="R891" s="148"/>
      <c r="S891" s="148"/>
    </row>
    <row r="892" ht="15.75" customHeight="1">
      <c r="A892" s="148"/>
      <c r="B892" s="148"/>
      <c r="C892" s="148"/>
      <c r="D892" s="148"/>
      <c r="E892" s="148"/>
      <c r="F892" s="148"/>
      <c r="G892" s="148"/>
      <c r="H892" s="148"/>
      <c r="I892" s="148"/>
      <c r="J892" s="148"/>
      <c r="K892" s="148"/>
      <c r="L892" s="148"/>
      <c r="M892" s="148"/>
      <c r="N892" s="148"/>
      <c r="O892" s="148"/>
      <c r="P892" s="148"/>
      <c r="Q892" s="148"/>
      <c r="R892" s="148"/>
      <c r="S892" s="148"/>
    </row>
    <row r="893" ht="15.75" customHeight="1">
      <c r="A893" s="148"/>
      <c r="B893" s="148"/>
      <c r="C893" s="148"/>
      <c r="D893" s="148"/>
      <c r="E893" s="148"/>
      <c r="F893" s="148"/>
      <c r="G893" s="148"/>
      <c r="H893" s="148"/>
      <c r="I893" s="148"/>
      <c r="J893" s="148"/>
      <c r="K893" s="148"/>
      <c r="L893" s="148"/>
      <c r="M893" s="148"/>
      <c r="N893" s="148"/>
      <c r="O893" s="148"/>
      <c r="P893" s="148"/>
      <c r="Q893" s="148"/>
      <c r="R893" s="148"/>
      <c r="S893" s="148"/>
    </row>
    <row r="894" ht="15.75" customHeight="1">
      <c r="A894" s="148"/>
      <c r="B894" s="148"/>
      <c r="C894" s="148"/>
      <c r="D894" s="148"/>
      <c r="E894" s="148"/>
      <c r="F894" s="148"/>
      <c r="G894" s="148"/>
      <c r="H894" s="148"/>
      <c r="I894" s="148"/>
      <c r="J894" s="148"/>
      <c r="K894" s="148"/>
      <c r="L894" s="148"/>
      <c r="M894" s="148"/>
      <c r="N894" s="148"/>
      <c r="O894" s="148"/>
      <c r="P894" s="148"/>
      <c r="Q894" s="148"/>
      <c r="R894" s="148"/>
      <c r="S894" s="148"/>
    </row>
    <row r="895" ht="15.75" customHeight="1">
      <c r="A895" s="148"/>
      <c r="B895" s="148"/>
      <c r="C895" s="148"/>
      <c r="D895" s="148"/>
      <c r="E895" s="148"/>
      <c r="F895" s="148"/>
      <c r="G895" s="148"/>
      <c r="H895" s="148"/>
      <c r="I895" s="148"/>
      <c r="J895" s="148"/>
      <c r="K895" s="148"/>
      <c r="L895" s="148"/>
      <c r="M895" s="148"/>
      <c r="N895" s="148"/>
      <c r="O895" s="148"/>
      <c r="P895" s="148"/>
      <c r="Q895" s="148"/>
      <c r="R895" s="148"/>
      <c r="S895" s="148"/>
    </row>
    <row r="896" ht="15.75" customHeight="1">
      <c r="A896" s="148"/>
      <c r="B896" s="148"/>
      <c r="C896" s="148"/>
      <c r="D896" s="148"/>
      <c r="E896" s="148"/>
      <c r="F896" s="148"/>
      <c r="G896" s="148"/>
      <c r="H896" s="148"/>
      <c r="I896" s="148"/>
      <c r="J896" s="148"/>
      <c r="K896" s="148"/>
      <c r="L896" s="148"/>
      <c r="M896" s="148"/>
      <c r="N896" s="148"/>
      <c r="O896" s="148"/>
      <c r="P896" s="148"/>
      <c r="Q896" s="148"/>
      <c r="R896" s="148"/>
      <c r="S896" s="148"/>
    </row>
    <row r="897" ht="15.75" customHeight="1">
      <c r="A897" s="148"/>
      <c r="B897" s="148"/>
      <c r="C897" s="148"/>
      <c r="D897" s="148"/>
      <c r="E897" s="148"/>
      <c r="F897" s="148"/>
      <c r="G897" s="148"/>
      <c r="H897" s="148"/>
      <c r="I897" s="148"/>
      <c r="J897" s="148"/>
      <c r="K897" s="148"/>
      <c r="L897" s="148"/>
      <c r="M897" s="148"/>
      <c r="N897" s="148"/>
      <c r="O897" s="148"/>
      <c r="P897" s="148"/>
      <c r="Q897" s="148"/>
      <c r="R897" s="148"/>
      <c r="S897" s="148"/>
    </row>
    <row r="898" ht="15.75" customHeight="1">
      <c r="A898" s="148"/>
      <c r="B898" s="148"/>
      <c r="C898" s="148"/>
      <c r="D898" s="148"/>
      <c r="E898" s="148"/>
      <c r="F898" s="148"/>
      <c r="G898" s="148"/>
      <c r="H898" s="148"/>
      <c r="I898" s="148"/>
      <c r="J898" s="148"/>
      <c r="K898" s="148"/>
      <c r="L898" s="148"/>
      <c r="M898" s="148"/>
      <c r="N898" s="148"/>
      <c r="O898" s="148"/>
      <c r="P898" s="148"/>
      <c r="Q898" s="148"/>
      <c r="R898" s="148"/>
      <c r="S898" s="148"/>
    </row>
    <row r="899" ht="15.75" customHeight="1">
      <c r="A899" s="148"/>
      <c r="B899" s="148"/>
      <c r="C899" s="148"/>
      <c r="D899" s="148"/>
      <c r="E899" s="148"/>
      <c r="F899" s="148"/>
      <c r="G899" s="148"/>
      <c r="H899" s="148"/>
      <c r="I899" s="148"/>
      <c r="J899" s="148"/>
      <c r="K899" s="148"/>
      <c r="L899" s="148"/>
      <c r="M899" s="148"/>
      <c r="N899" s="148"/>
      <c r="O899" s="148"/>
      <c r="P899" s="148"/>
      <c r="Q899" s="148"/>
      <c r="R899" s="148"/>
      <c r="S899" s="148"/>
    </row>
    <row r="900" ht="15.75" customHeight="1">
      <c r="A900" s="148"/>
      <c r="B900" s="148"/>
      <c r="C900" s="148"/>
      <c r="D900" s="148"/>
      <c r="E900" s="148"/>
      <c r="F900" s="148"/>
      <c r="G900" s="148"/>
      <c r="H900" s="148"/>
      <c r="I900" s="148"/>
      <c r="J900" s="148"/>
      <c r="K900" s="148"/>
      <c r="L900" s="148"/>
      <c r="M900" s="148"/>
      <c r="N900" s="148"/>
      <c r="O900" s="148"/>
      <c r="P900" s="148"/>
      <c r="Q900" s="148"/>
      <c r="R900" s="148"/>
      <c r="S900" s="148"/>
    </row>
    <row r="901" ht="15.75" customHeight="1">
      <c r="A901" s="148"/>
      <c r="B901" s="148"/>
      <c r="C901" s="148"/>
      <c r="D901" s="148"/>
      <c r="E901" s="148"/>
      <c r="F901" s="148"/>
      <c r="G901" s="148"/>
      <c r="H901" s="148"/>
      <c r="I901" s="148"/>
      <c r="J901" s="148"/>
      <c r="K901" s="148"/>
      <c r="L901" s="148"/>
      <c r="M901" s="148"/>
      <c r="N901" s="148"/>
      <c r="O901" s="148"/>
      <c r="P901" s="148"/>
      <c r="Q901" s="148"/>
      <c r="R901" s="148"/>
      <c r="S901" s="148"/>
    </row>
    <row r="902" ht="15.75" customHeight="1">
      <c r="A902" s="148"/>
      <c r="B902" s="148"/>
      <c r="C902" s="148"/>
      <c r="D902" s="148"/>
      <c r="E902" s="148"/>
      <c r="F902" s="148"/>
      <c r="G902" s="148"/>
      <c r="H902" s="148"/>
      <c r="I902" s="148"/>
      <c r="J902" s="148"/>
      <c r="K902" s="148"/>
      <c r="L902" s="148"/>
      <c r="M902" s="148"/>
      <c r="N902" s="148"/>
      <c r="O902" s="148"/>
      <c r="P902" s="148"/>
      <c r="Q902" s="148"/>
      <c r="R902" s="148"/>
      <c r="S902" s="148"/>
    </row>
    <row r="903" ht="15.75" customHeight="1">
      <c r="A903" s="148"/>
      <c r="B903" s="148"/>
      <c r="C903" s="148"/>
      <c r="D903" s="148"/>
      <c r="E903" s="148"/>
      <c r="F903" s="148"/>
      <c r="G903" s="148"/>
      <c r="H903" s="148"/>
      <c r="I903" s="148"/>
      <c r="J903" s="148"/>
      <c r="K903" s="148"/>
      <c r="L903" s="148"/>
      <c r="M903" s="148"/>
      <c r="N903" s="148"/>
      <c r="O903" s="148"/>
      <c r="P903" s="148"/>
      <c r="Q903" s="148"/>
      <c r="R903" s="148"/>
      <c r="S903" s="148"/>
    </row>
    <row r="904" ht="15.75" customHeight="1">
      <c r="A904" s="148"/>
      <c r="B904" s="148"/>
      <c r="C904" s="148"/>
      <c r="D904" s="148"/>
      <c r="E904" s="148"/>
      <c r="F904" s="148"/>
      <c r="G904" s="148"/>
      <c r="H904" s="148"/>
      <c r="I904" s="148"/>
      <c r="J904" s="148"/>
      <c r="K904" s="148"/>
      <c r="L904" s="148"/>
      <c r="M904" s="148"/>
      <c r="N904" s="148"/>
      <c r="O904" s="148"/>
      <c r="P904" s="148"/>
      <c r="Q904" s="148"/>
      <c r="R904" s="148"/>
      <c r="S904" s="148"/>
    </row>
    <row r="905" ht="15.75" customHeight="1">
      <c r="A905" s="148"/>
      <c r="B905" s="148"/>
      <c r="C905" s="148"/>
      <c r="D905" s="148"/>
      <c r="E905" s="148"/>
      <c r="F905" s="148"/>
      <c r="G905" s="148"/>
      <c r="H905" s="148"/>
      <c r="I905" s="148"/>
      <c r="J905" s="148"/>
      <c r="K905" s="148"/>
      <c r="L905" s="148"/>
      <c r="M905" s="148"/>
      <c r="N905" s="148"/>
      <c r="O905" s="148"/>
      <c r="P905" s="148"/>
      <c r="Q905" s="148"/>
      <c r="R905" s="148"/>
      <c r="S905" s="148"/>
    </row>
    <row r="906" ht="15.75" customHeight="1">
      <c r="A906" s="148"/>
      <c r="B906" s="148"/>
      <c r="C906" s="148"/>
      <c r="D906" s="148"/>
      <c r="E906" s="148"/>
      <c r="F906" s="148"/>
      <c r="G906" s="148"/>
      <c r="H906" s="148"/>
      <c r="I906" s="148"/>
      <c r="J906" s="148"/>
      <c r="K906" s="148"/>
      <c r="L906" s="148"/>
      <c r="M906" s="148"/>
      <c r="N906" s="148"/>
      <c r="O906" s="148"/>
      <c r="P906" s="148"/>
      <c r="Q906" s="148"/>
      <c r="R906" s="148"/>
      <c r="S906" s="148"/>
    </row>
    <row r="907" ht="15.75" customHeight="1">
      <c r="A907" s="148"/>
      <c r="B907" s="148"/>
      <c r="C907" s="148"/>
      <c r="D907" s="148"/>
      <c r="E907" s="148"/>
      <c r="F907" s="148"/>
      <c r="G907" s="148"/>
      <c r="H907" s="148"/>
      <c r="I907" s="148"/>
      <c r="J907" s="148"/>
      <c r="K907" s="148"/>
      <c r="L907" s="148"/>
      <c r="M907" s="148"/>
      <c r="N907" s="148"/>
      <c r="O907" s="148"/>
      <c r="P907" s="148"/>
      <c r="Q907" s="148"/>
      <c r="R907" s="148"/>
      <c r="S907" s="148"/>
    </row>
    <row r="908" ht="15.75" customHeight="1">
      <c r="A908" s="148"/>
      <c r="B908" s="148"/>
      <c r="C908" s="148"/>
      <c r="D908" s="148"/>
      <c r="E908" s="148"/>
      <c r="F908" s="148"/>
      <c r="G908" s="148"/>
      <c r="H908" s="148"/>
      <c r="I908" s="148"/>
      <c r="J908" s="148"/>
      <c r="K908" s="148"/>
      <c r="L908" s="148"/>
      <c r="M908" s="148"/>
      <c r="N908" s="148"/>
      <c r="O908" s="148"/>
      <c r="P908" s="148"/>
      <c r="Q908" s="148"/>
      <c r="R908" s="148"/>
      <c r="S908" s="148"/>
    </row>
    <row r="909" ht="15.75" customHeight="1">
      <c r="A909" s="148"/>
      <c r="B909" s="148"/>
      <c r="C909" s="148"/>
      <c r="D909" s="148"/>
      <c r="E909" s="148"/>
      <c r="F909" s="148"/>
      <c r="G909" s="148"/>
      <c r="H909" s="148"/>
      <c r="I909" s="148"/>
      <c r="J909" s="148"/>
      <c r="K909" s="148"/>
      <c r="L909" s="148"/>
      <c r="M909" s="148"/>
      <c r="N909" s="148"/>
      <c r="O909" s="148"/>
      <c r="P909" s="148"/>
      <c r="Q909" s="148"/>
      <c r="R909" s="148"/>
      <c r="S909" s="148"/>
    </row>
    <row r="910" ht="15.75" customHeight="1">
      <c r="A910" s="148"/>
      <c r="B910" s="148"/>
      <c r="C910" s="148"/>
      <c r="D910" s="148"/>
      <c r="E910" s="148"/>
      <c r="F910" s="148"/>
      <c r="G910" s="148"/>
      <c r="H910" s="148"/>
      <c r="I910" s="148"/>
      <c r="J910" s="148"/>
      <c r="K910" s="148"/>
      <c r="L910" s="148"/>
      <c r="M910" s="148"/>
      <c r="N910" s="148"/>
      <c r="O910" s="148"/>
      <c r="P910" s="148"/>
      <c r="Q910" s="148"/>
      <c r="R910" s="148"/>
      <c r="S910" s="148"/>
    </row>
    <row r="911" ht="15.75" customHeight="1">
      <c r="A911" s="148"/>
      <c r="B911" s="148"/>
      <c r="C911" s="148"/>
      <c r="D911" s="148"/>
      <c r="E911" s="148"/>
      <c r="F911" s="148"/>
      <c r="G911" s="148"/>
      <c r="H911" s="148"/>
      <c r="I911" s="148"/>
      <c r="J911" s="148"/>
      <c r="K911" s="148"/>
      <c r="L911" s="148"/>
      <c r="M911" s="148"/>
      <c r="N911" s="148"/>
      <c r="O911" s="148"/>
      <c r="P911" s="148"/>
      <c r="Q911" s="148"/>
      <c r="R911" s="148"/>
      <c r="S911" s="148"/>
    </row>
    <row r="912" ht="15.75" customHeight="1">
      <c r="A912" s="148"/>
      <c r="B912" s="148"/>
      <c r="C912" s="148"/>
      <c r="D912" s="148"/>
      <c r="E912" s="148"/>
      <c r="F912" s="148"/>
      <c r="G912" s="148"/>
      <c r="H912" s="148"/>
      <c r="I912" s="148"/>
      <c r="J912" s="148"/>
      <c r="K912" s="148"/>
      <c r="L912" s="148"/>
      <c r="M912" s="148"/>
      <c r="N912" s="148"/>
      <c r="O912" s="148"/>
      <c r="P912" s="148"/>
      <c r="Q912" s="148"/>
      <c r="R912" s="148"/>
      <c r="S912" s="148"/>
    </row>
    <row r="913" ht="15.75" customHeight="1">
      <c r="A913" s="148"/>
      <c r="B913" s="148"/>
      <c r="C913" s="148"/>
      <c r="D913" s="148"/>
      <c r="E913" s="148"/>
      <c r="F913" s="148"/>
      <c r="G913" s="148"/>
      <c r="H913" s="148"/>
      <c r="I913" s="148"/>
      <c r="J913" s="148"/>
      <c r="K913" s="148"/>
      <c r="L913" s="148"/>
      <c r="M913" s="148"/>
      <c r="N913" s="148"/>
      <c r="O913" s="148"/>
      <c r="P913" s="148"/>
      <c r="Q913" s="148"/>
      <c r="R913" s="148"/>
      <c r="S913" s="148"/>
    </row>
    <row r="914" ht="15.75" customHeight="1">
      <c r="A914" s="148"/>
      <c r="B914" s="148"/>
      <c r="C914" s="148"/>
      <c r="D914" s="148"/>
      <c r="E914" s="148"/>
      <c r="F914" s="148"/>
      <c r="G914" s="148"/>
      <c r="H914" s="148"/>
      <c r="I914" s="148"/>
      <c r="J914" s="148"/>
      <c r="K914" s="148"/>
      <c r="L914" s="148"/>
      <c r="M914" s="148"/>
      <c r="N914" s="148"/>
      <c r="O914" s="148"/>
      <c r="P914" s="148"/>
      <c r="Q914" s="148"/>
      <c r="R914" s="148"/>
      <c r="S914" s="148"/>
    </row>
    <row r="915" ht="15.75" customHeight="1">
      <c r="A915" s="148"/>
      <c r="B915" s="148"/>
      <c r="C915" s="148"/>
      <c r="D915" s="148"/>
      <c r="E915" s="148"/>
      <c r="F915" s="148"/>
      <c r="G915" s="148"/>
      <c r="H915" s="148"/>
      <c r="I915" s="148"/>
      <c r="J915" s="148"/>
      <c r="K915" s="148"/>
      <c r="L915" s="148"/>
      <c r="M915" s="148"/>
      <c r="N915" s="148"/>
      <c r="O915" s="148"/>
      <c r="P915" s="148"/>
      <c r="Q915" s="148"/>
      <c r="R915" s="148"/>
      <c r="S915" s="148"/>
    </row>
    <row r="916" ht="15.75" customHeight="1">
      <c r="A916" s="148"/>
      <c r="B916" s="148"/>
      <c r="C916" s="148"/>
      <c r="D916" s="148"/>
      <c r="E916" s="148"/>
      <c r="F916" s="148"/>
      <c r="G916" s="148"/>
      <c r="H916" s="148"/>
      <c r="I916" s="148"/>
      <c r="J916" s="148"/>
      <c r="K916" s="148"/>
      <c r="L916" s="148"/>
      <c r="M916" s="148"/>
      <c r="N916" s="148"/>
      <c r="O916" s="148"/>
      <c r="P916" s="148"/>
      <c r="Q916" s="148"/>
      <c r="R916" s="148"/>
      <c r="S916" s="148"/>
    </row>
    <row r="917" ht="15.75" customHeight="1">
      <c r="A917" s="148"/>
      <c r="B917" s="148"/>
      <c r="C917" s="148"/>
      <c r="D917" s="148"/>
      <c r="E917" s="148"/>
      <c r="F917" s="148"/>
      <c r="G917" s="148"/>
      <c r="H917" s="148"/>
      <c r="I917" s="148"/>
      <c r="J917" s="148"/>
      <c r="K917" s="148"/>
      <c r="L917" s="148"/>
      <c r="M917" s="148"/>
      <c r="N917" s="148"/>
      <c r="O917" s="148"/>
      <c r="P917" s="148"/>
      <c r="Q917" s="148"/>
      <c r="R917" s="148"/>
      <c r="S917" s="148"/>
    </row>
    <row r="918" ht="15.75" customHeight="1">
      <c r="A918" s="148"/>
      <c r="B918" s="148"/>
      <c r="C918" s="148"/>
      <c r="D918" s="148"/>
      <c r="E918" s="148"/>
      <c r="F918" s="148"/>
      <c r="G918" s="148"/>
      <c r="H918" s="148"/>
      <c r="I918" s="148"/>
      <c r="J918" s="148"/>
      <c r="K918" s="148"/>
      <c r="L918" s="148"/>
      <c r="M918" s="148"/>
      <c r="N918" s="148"/>
      <c r="O918" s="148"/>
      <c r="P918" s="148"/>
      <c r="Q918" s="148"/>
      <c r="R918" s="148"/>
      <c r="S918" s="148"/>
    </row>
    <row r="919" ht="15.75" customHeight="1">
      <c r="A919" s="148"/>
      <c r="B919" s="148"/>
      <c r="C919" s="148"/>
      <c r="D919" s="148"/>
      <c r="E919" s="148"/>
      <c r="F919" s="148"/>
      <c r="G919" s="148"/>
      <c r="H919" s="148"/>
      <c r="I919" s="148"/>
      <c r="J919" s="148"/>
      <c r="K919" s="148"/>
      <c r="L919" s="148"/>
      <c r="M919" s="148"/>
      <c r="N919" s="148"/>
      <c r="O919" s="148"/>
      <c r="P919" s="148"/>
      <c r="Q919" s="148"/>
      <c r="R919" s="148"/>
      <c r="S919" s="148"/>
    </row>
    <row r="920" ht="15.75" customHeight="1">
      <c r="A920" s="148"/>
      <c r="B920" s="148"/>
      <c r="C920" s="148"/>
      <c r="D920" s="148"/>
      <c r="E920" s="148"/>
      <c r="F920" s="148"/>
      <c r="G920" s="148"/>
      <c r="H920" s="148"/>
      <c r="I920" s="148"/>
      <c r="J920" s="148"/>
      <c r="K920" s="148"/>
      <c r="L920" s="148"/>
      <c r="M920" s="148"/>
      <c r="N920" s="148"/>
      <c r="O920" s="148"/>
      <c r="P920" s="148"/>
      <c r="Q920" s="148"/>
      <c r="R920" s="148"/>
      <c r="S920" s="148"/>
    </row>
    <row r="921" ht="15.75" customHeight="1">
      <c r="A921" s="148"/>
      <c r="B921" s="148"/>
      <c r="C921" s="148"/>
      <c r="D921" s="148"/>
      <c r="E921" s="148"/>
      <c r="F921" s="148"/>
      <c r="G921" s="148"/>
      <c r="H921" s="148"/>
      <c r="I921" s="148"/>
      <c r="J921" s="148"/>
      <c r="K921" s="148"/>
      <c r="L921" s="148"/>
      <c r="M921" s="148"/>
      <c r="N921" s="148"/>
      <c r="O921" s="148"/>
      <c r="P921" s="148"/>
      <c r="Q921" s="148"/>
      <c r="R921" s="148"/>
      <c r="S921" s="148"/>
    </row>
    <row r="922" ht="15.75" customHeight="1">
      <c r="A922" s="148"/>
      <c r="B922" s="148"/>
      <c r="C922" s="148"/>
      <c r="D922" s="148"/>
      <c r="E922" s="148"/>
      <c r="F922" s="148"/>
      <c r="G922" s="148"/>
      <c r="H922" s="148"/>
      <c r="I922" s="148"/>
      <c r="J922" s="148"/>
      <c r="K922" s="148"/>
      <c r="L922" s="148"/>
      <c r="M922" s="148"/>
      <c r="N922" s="148"/>
      <c r="O922" s="148"/>
      <c r="P922" s="148"/>
      <c r="Q922" s="148"/>
      <c r="R922" s="148"/>
      <c r="S922" s="148"/>
    </row>
    <row r="923" ht="15.75" customHeight="1">
      <c r="A923" s="148"/>
      <c r="B923" s="148"/>
      <c r="C923" s="148"/>
      <c r="D923" s="148"/>
      <c r="E923" s="148"/>
      <c r="F923" s="148"/>
      <c r="G923" s="148"/>
      <c r="H923" s="148"/>
      <c r="I923" s="148"/>
      <c r="J923" s="148"/>
      <c r="K923" s="148"/>
      <c r="L923" s="148"/>
      <c r="M923" s="148"/>
      <c r="N923" s="148"/>
      <c r="O923" s="148"/>
      <c r="P923" s="148"/>
      <c r="Q923" s="148"/>
      <c r="R923" s="148"/>
      <c r="S923" s="148"/>
    </row>
    <row r="924" ht="15.75" customHeight="1">
      <c r="A924" s="148"/>
      <c r="B924" s="148"/>
      <c r="C924" s="148"/>
      <c r="D924" s="148"/>
      <c r="E924" s="148"/>
      <c r="F924" s="148"/>
      <c r="G924" s="148"/>
      <c r="H924" s="148"/>
      <c r="I924" s="148"/>
      <c r="J924" s="148"/>
      <c r="K924" s="148"/>
      <c r="L924" s="148"/>
      <c r="M924" s="148"/>
      <c r="N924" s="148"/>
      <c r="O924" s="148"/>
      <c r="P924" s="148"/>
      <c r="Q924" s="148"/>
      <c r="R924" s="148"/>
      <c r="S924" s="148"/>
    </row>
    <row r="925" ht="15.75" customHeight="1">
      <c r="A925" s="148"/>
      <c r="B925" s="148"/>
      <c r="C925" s="148"/>
      <c r="D925" s="148"/>
      <c r="E925" s="148"/>
      <c r="F925" s="148"/>
      <c r="G925" s="148"/>
      <c r="H925" s="148"/>
      <c r="I925" s="148"/>
      <c r="J925" s="148"/>
      <c r="K925" s="148"/>
      <c r="L925" s="148"/>
      <c r="M925" s="148"/>
      <c r="N925" s="148"/>
      <c r="O925" s="148"/>
      <c r="P925" s="148"/>
      <c r="Q925" s="148"/>
      <c r="R925" s="148"/>
      <c r="S925" s="148"/>
    </row>
    <row r="926" ht="15.75" customHeight="1">
      <c r="A926" s="148"/>
      <c r="B926" s="148"/>
      <c r="C926" s="148"/>
      <c r="D926" s="148"/>
      <c r="E926" s="148"/>
      <c r="F926" s="148"/>
      <c r="G926" s="148"/>
      <c r="H926" s="148"/>
      <c r="I926" s="148"/>
      <c r="J926" s="148"/>
      <c r="K926" s="148"/>
      <c r="L926" s="148"/>
      <c r="M926" s="148"/>
      <c r="N926" s="148"/>
      <c r="O926" s="148"/>
      <c r="P926" s="148"/>
      <c r="Q926" s="148"/>
      <c r="R926" s="148"/>
      <c r="S926" s="148"/>
    </row>
    <row r="927" ht="15.75" customHeight="1">
      <c r="A927" s="148"/>
      <c r="B927" s="148"/>
      <c r="C927" s="148"/>
      <c r="D927" s="148"/>
      <c r="E927" s="148"/>
      <c r="F927" s="148"/>
      <c r="G927" s="148"/>
      <c r="H927" s="148"/>
      <c r="I927" s="148"/>
      <c r="J927" s="148"/>
      <c r="K927" s="148"/>
      <c r="L927" s="148"/>
      <c r="M927" s="148"/>
      <c r="N927" s="148"/>
      <c r="O927" s="148"/>
      <c r="P927" s="148"/>
      <c r="Q927" s="148"/>
      <c r="R927" s="148"/>
      <c r="S927" s="148"/>
    </row>
    <row r="928" ht="15.75" customHeight="1">
      <c r="A928" s="148"/>
      <c r="B928" s="148"/>
      <c r="C928" s="148"/>
      <c r="D928" s="148"/>
      <c r="E928" s="148"/>
      <c r="F928" s="148"/>
      <c r="G928" s="148"/>
      <c r="H928" s="148"/>
      <c r="I928" s="148"/>
      <c r="J928" s="148"/>
      <c r="K928" s="148"/>
      <c r="L928" s="148"/>
      <c r="M928" s="148"/>
      <c r="N928" s="148"/>
      <c r="O928" s="148"/>
      <c r="P928" s="148"/>
      <c r="Q928" s="148"/>
      <c r="R928" s="148"/>
      <c r="S928" s="148"/>
    </row>
    <row r="929" ht="15.75" customHeight="1">
      <c r="A929" s="148"/>
      <c r="B929" s="148"/>
      <c r="C929" s="148"/>
      <c r="D929" s="148"/>
      <c r="E929" s="148"/>
      <c r="F929" s="148"/>
      <c r="G929" s="148"/>
      <c r="H929" s="148"/>
      <c r="I929" s="148"/>
      <c r="J929" s="148"/>
      <c r="K929" s="148"/>
      <c r="L929" s="148"/>
      <c r="M929" s="148"/>
      <c r="N929" s="148"/>
      <c r="O929" s="148"/>
      <c r="P929" s="148"/>
      <c r="Q929" s="148"/>
      <c r="R929" s="148"/>
      <c r="S929" s="148"/>
    </row>
    <row r="930" ht="15.75" customHeight="1">
      <c r="A930" s="148"/>
      <c r="B930" s="148"/>
      <c r="C930" s="148"/>
      <c r="D930" s="148"/>
      <c r="E930" s="148"/>
      <c r="F930" s="148"/>
      <c r="G930" s="148"/>
      <c r="H930" s="148"/>
      <c r="I930" s="148"/>
      <c r="J930" s="148"/>
      <c r="K930" s="148"/>
      <c r="L930" s="148"/>
      <c r="M930" s="148"/>
      <c r="N930" s="148"/>
      <c r="O930" s="148"/>
      <c r="P930" s="148"/>
      <c r="Q930" s="148"/>
      <c r="R930" s="148"/>
      <c r="S930" s="148"/>
    </row>
    <row r="931" ht="15.75" customHeight="1">
      <c r="A931" s="148"/>
      <c r="B931" s="148"/>
      <c r="C931" s="148"/>
      <c r="D931" s="148"/>
      <c r="E931" s="148"/>
      <c r="F931" s="148"/>
      <c r="G931" s="148"/>
      <c r="H931" s="148"/>
      <c r="I931" s="148"/>
      <c r="J931" s="148"/>
      <c r="K931" s="148"/>
      <c r="L931" s="148"/>
      <c r="M931" s="148"/>
      <c r="N931" s="148"/>
      <c r="O931" s="148"/>
      <c r="P931" s="148"/>
      <c r="Q931" s="148"/>
      <c r="R931" s="148"/>
      <c r="S931" s="148"/>
    </row>
    <row r="932" ht="15.75" customHeight="1">
      <c r="A932" s="148"/>
      <c r="B932" s="148"/>
      <c r="C932" s="148"/>
      <c r="D932" s="148"/>
      <c r="E932" s="148"/>
      <c r="F932" s="148"/>
      <c r="G932" s="148"/>
      <c r="H932" s="148"/>
      <c r="I932" s="148"/>
      <c r="J932" s="148"/>
      <c r="K932" s="148"/>
      <c r="L932" s="148"/>
      <c r="M932" s="148"/>
      <c r="N932" s="148"/>
      <c r="O932" s="148"/>
      <c r="P932" s="148"/>
      <c r="Q932" s="148"/>
      <c r="R932" s="148"/>
      <c r="S932" s="148"/>
    </row>
    <row r="933" ht="15.75" customHeight="1">
      <c r="A933" s="148"/>
      <c r="B933" s="148"/>
      <c r="C933" s="148"/>
      <c r="D933" s="148"/>
      <c r="E933" s="148"/>
      <c r="F933" s="148"/>
      <c r="G933" s="148"/>
      <c r="H933" s="148"/>
      <c r="I933" s="148"/>
      <c r="J933" s="148"/>
      <c r="K933" s="148"/>
      <c r="L933" s="148"/>
      <c r="M933" s="148"/>
      <c r="N933" s="148"/>
      <c r="O933" s="148"/>
      <c r="P933" s="148"/>
      <c r="Q933" s="148"/>
      <c r="R933" s="148"/>
      <c r="S933" s="148"/>
    </row>
    <row r="934" ht="15.75" customHeight="1">
      <c r="A934" s="148"/>
      <c r="B934" s="148"/>
      <c r="C934" s="148"/>
      <c r="D934" s="148"/>
      <c r="E934" s="148"/>
      <c r="F934" s="148"/>
      <c r="G934" s="148"/>
      <c r="H934" s="148"/>
      <c r="I934" s="148"/>
      <c r="J934" s="148"/>
      <c r="K934" s="148"/>
      <c r="L934" s="148"/>
      <c r="M934" s="148"/>
      <c r="N934" s="148"/>
      <c r="O934" s="148"/>
      <c r="P934" s="148"/>
      <c r="Q934" s="148"/>
      <c r="R934" s="148"/>
      <c r="S934" s="148"/>
    </row>
    <row r="935" ht="15.75" customHeight="1">
      <c r="A935" s="148"/>
      <c r="B935" s="148"/>
      <c r="C935" s="148"/>
      <c r="D935" s="148"/>
      <c r="E935" s="148"/>
      <c r="F935" s="148"/>
      <c r="G935" s="148"/>
      <c r="H935" s="148"/>
      <c r="I935" s="148"/>
      <c r="J935" s="148"/>
      <c r="K935" s="148"/>
      <c r="L935" s="148"/>
      <c r="M935" s="148"/>
      <c r="N935" s="148"/>
      <c r="O935" s="148"/>
      <c r="P935" s="148"/>
      <c r="Q935" s="148"/>
      <c r="R935" s="148"/>
      <c r="S935" s="148"/>
    </row>
    <row r="936" ht="15.75" customHeight="1">
      <c r="A936" s="148"/>
      <c r="B936" s="148"/>
      <c r="C936" s="148"/>
      <c r="D936" s="148"/>
      <c r="E936" s="148"/>
      <c r="F936" s="148"/>
      <c r="G936" s="148"/>
      <c r="H936" s="148"/>
      <c r="I936" s="148"/>
      <c r="J936" s="148"/>
      <c r="K936" s="148"/>
      <c r="L936" s="148"/>
      <c r="M936" s="148"/>
      <c r="N936" s="148"/>
      <c r="O936" s="148"/>
      <c r="P936" s="148"/>
      <c r="Q936" s="148"/>
      <c r="R936" s="148"/>
      <c r="S936" s="148"/>
    </row>
    <row r="937" ht="15.75" customHeight="1">
      <c r="A937" s="148"/>
      <c r="B937" s="148"/>
      <c r="C937" s="148"/>
      <c r="D937" s="148"/>
      <c r="E937" s="148"/>
      <c r="F937" s="148"/>
      <c r="G937" s="148"/>
      <c r="H937" s="148"/>
      <c r="I937" s="148"/>
      <c r="J937" s="148"/>
      <c r="K937" s="148"/>
      <c r="L937" s="148"/>
      <c r="M937" s="148"/>
      <c r="N937" s="148"/>
      <c r="O937" s="148"/>
      <c r="P937" s="148"/>
      <c r="Q937" s="148"/>
      <c r="R937" s="148"/>
      <c r="S937" s="148"/>
    </row>
    <row r="938" ht="15.75" customHeight="1">
      <c r="A938" s="148"/>
      <c r="B938" s="148"/>
      <c r="C938" s="148"/>
      <c r="D938" s="148"/>
      <c r="E938" s="148"/>
      <c r="F938" s="148"/>
      <c r="G938" s="148"/>
      <c r="H938" s="148"/>
      <c r="I938" s="148"/>
      <c r="J938" s="148"/>
      <c r="K938" s="148"/>
      <c r="L938" s="148"/>
      <c r="M938" s="148"/>
      <c r="N938" s="148"/>
      <c r="O938" s="148"/>
      <c r="P938" s="148"/>
      <c r="Q938" s="148"/>
      <c r="R938" s="148"/>
      <c r="S938" s="148"/>
    </row>
    <row r="939" ht="15.75" customHeight="1">
      <c r="A939" s="148"/>
      <c r="B939" s="148"/>
      <c r="C939" s="148"/>
      <c r="D939" s="148"/>
      <c r="E939" s="148"/>
      <c r="F939" s="148"/>
      <c r="G939" s="148"/>
      <c r="H939" s="148"/>
      <c r="I939" s="148"/>
      <c r="J939" s="148"/>
      <c r="K939" s="148"/>
      <c r="L939" s="148"/>
      <c r="M939" s="148"/>
      <c r="N939" s="148"/>
      <c r="O939" s="148"/>
      <c r="P939" s="148"/>
      <c r="Q939" s="148"/>
      <c r="R939" s="148"/>
      <c r="S939" s="148"/>
    </row>
    <row r="940" ht="15.75" customHeight="1">
      <c r="A940" s="148"/>
      <c r="B940" s="148"/>
      <c r="C940" s="148"/>
      <c r="D940" s="148"/>
      <c r="E940" s="148"/>
      <c r="F940" s="148"/>
      <c r="G940" s="148"/>
      <c r="H940" s="148"/>
      <c r="I940" s="148"/>
      <c r="J940" s="148"/>
      <c r="K940" s="148"/>
      <c r="L940" s="148"/>
      <c r="M940" s="148"/>
      <c r="N940" s="148"/>
      <c r="O940" s="148"/>
      <c r="P940" s="148"/>
      <c r="Q940" s="148"/>
      <c r="R940" s="148"/>
      <c r="S940" s="148"/>
    </row>
    <row r="941" ht="15.75" customHeight="1">
      <c r="A941" s="148"/>
      <c r="B941" s="148"/>
      <c r="C941" s="148"/>
      <c r="D941" s="148"/>
      <c r="E941" s="148"/>
      <c r="F941" s="148"/>
      <c r="G941" s="148"/>
      <c r="H941" s="148"/>
      <c r="I941" s="148"/>
      <c r="J941" s="148"/>
      <c r="K941" s="148"/>
      <c r="L941" s="148"/>
      <c r="M941" s="148"/>
      <c r="N941" s="148"/>
      <c r="O941" s="148"/>
      <c r="P941" s="148"/>
      <c r="Q941" s="148"/>
      <c r="R941" s="148"/>
      <c r="S941" s="148"/>
    </row>
    <row r="942" ht="15.75" customHeight="1">
      <c r="A942" s="148"/>
      <c r="B942" s="148"/>
      <c r="C942" s="148"/>
      <c r="D942" s="148"/>
      <c r="E942" s="148"/>
      <c r="F942" s="148"/>
      <c r="G942" s="148"/>
      <c r="H942" s="148"/>
      <c r="I942" s="148"/>
      <c r="J942" s="148"/>
      <c r="K942" s="148"/>
      <c r="L942" s="148"/>
      <c r="M942" s="148"/>
      <c r="N942" s="148"/>
      <c r="O942" s="148"/>
      <c r="P942" s="148"/>
      <c r="Q942" s="148"/>
      <c r="R942" s="148"/>
      <c r="S942" s="148"/>
    </row>
    <row r="943" ht="15.75" customHeight="1">
      <c r="A943" s="148"/>
      <c r="B943" s="148"/>
      <c r="C943" s="148"/>
      <c r="D943" s="148"/>
      <c r="E943" s="148"/>
      <c r="F943" s="148"/>
      <c r="G943" s="148"/>
      <c r="H943" s="148"/>
      <c r="I943" s="148"/>
      <c r="J943" s="148"/>
      <c r="K943" s="148"/>
      <c r="L943" s="148"/>
      <c r="M943" s="148"/>
      <c r="N943" s="148"/>
      <c r="O943" s="148"/>
      <c r="P943" s="148"/>
      <c r="Q943" s="148"/>
      <c r="R943" s="148"/>
      <c r="S943" s="148"/>
    </row>
    <row r="944" ht="15.75" customHeight="1">
      <c r="A944" s="148"/>
      <c r="B944" s="148"/>
      <c r="C944" s="148"/>
      <c r="D944" s="148"/>
      <c r="E944" s="148"/>
      <c r="F944" s="148"/>
      <c r="G944" s="148"/>
      <c r="H944" s="148"/>
      <c r="I944" s="148"/>
      <c r="J944" s="148"/>
      <c r="K944" s="148"/>
      <c r="L944" s="148"/>
      <c r="M944" s="148"/>
      <c r="N944" s="148"/>
      <c r="O944" s="148"/>
      <c r="P944" s="148"/>
      <c r="Q944" s="148"/>
      <c r="R944" s="148"/>
      <c r="S944" s="148"/>
    </row>
    <row r="945" ht="15.75" customHeight="1">
      <c r="A945" s="148"/>
      <c r="B945" s="148"/>
      <c r="C945" s="148"/>
      <c r="D945" s="148"/>
      <c r="E945" s="148"/>
      <c r="F945" s="148"/>
      <c r="G945" s="148"/>
      <c r="H945" s="148"/>
      <c r="I945" s="148"/>
      <c r="J945" s="148"/>
      <c r="K945" s="148"/>
      <c r="L945" s="148"/>
      <c r="M945" s="148"/>
      <c r="N945" s="148"/>
      <c r="O945" s="148"/>
      <c r="P945" s="148"/>
      <c r="Q945" s="148"/>
      <c r="R945" s="148"/>
      <c r="S945" s="148"/>
    </row>
    <row r="946" ht="15.75" customHeight="1">
      <c r="A946" s="148"/>
      <c r="B946" s="148"/>
      <c r="C946" s="148"/>
      <c r="D946" s="148"/>
      <c r="E946" s="148"/>
      <c r="F946" s="148"/>
      <c r="G946" s="148"/>
      <c r="H946" s="148"/>
      <c r="I946" s="148"/>
      <c r="J946" s="148"/>
      <c r="K946" s="148"/>
      <c r="L946" s="148"/>
      <c r="M946" s="148"/>
      <c r="N946" s="148"/>
      <c r="O946" s="148"/>
      <c r="P946" s="148"/>
      <c r="Q946" s="148"/>
      <c r="R946" s="148"/>
      <c r="S946" s="148"/>
    </row>
    <row r="947" ht="15.75" customHeight="1">
      <c r="A947" s="148"/>
      <c r="B947" s="148"/>
      <c r="C947" s="148"/>
      <c r="D947" s="148"/>
      <c r="E947" s="148"/>
      <c r="F947" s="148"/>
      <c r="G947" s="148"/>
      <c r="H947" s="148"/>
      <c r="I947" s="148"/>
      <c r="J947" s="148"/>
      <c r="K947" s="148"/>
      <c r="L947" s="148"/>
      <c r="M947" s="148"/>
      <c r="N947" s="148"/>
      <c r="O947" s="148"/>
      <c r="P947" s="148"/>
      <c r="Q947" s="148"/>
      <c r="R947" s="148"/>
      <c r="S947" s="148"/>
    </row>
    <row r="948" ht="15.75" customHeight="1">
      <c r="A948" s="148"/>
      <c r="B948" s="148"/>
      <c r="C948" s="148"/>
      <c r="D948" s="148"/>
      <c r="E948" s="148"/>
      <c r="F948" s="148"/>
      <c r="G948" s="148"/>
      <c r="H948" s="148"/>
      <c r="I948" s="148"/>
      <c r="J948" s="148"/>
      <c r="K948" s="148"/>
      <c r="L948" s="148"/>
      <c r="M948" s="148"/>
      <c r="N948" s="148"/>
      <c r="O948" s="148"/>
      <c r="P948" s="148"/>
      <c r="Q948" s="148"/>
      <c r="R948" s="148"/>
      <c r="S948" s="148"/>
    </row>
    <row r="949" ht="15.75" customHeight="1">
      <c r="A949" s="148"/>
      <c r="B949" s="148"/>
      <c r="C949" s="148"/>
      <c r="D949" s="148"/>
      <c r="E949" s="148"/>
      <c r="F949" s="148"/>
      <c r="G949" s="148"/>
      <c r="H949" s="148"/>
      <c r="I949" s="148"/>
      <c r="J949" s="148"/>
      <c r="K949" s="148"/>
      <c r="L949" s="148"/>
      <c r="M949" s="148"/>
      <c r="N949" s="148"/>
      <c r="O949" s="148"/>
      <c r="P949" s="148"/>
      <c r="Q949" s="148"/>
      <c r="R949" s="148"/>
      <c r="S949" s="148"/>
    </row>
    <row r="950" ht="15.75" customHeight="1">
      <c r="A950" s="148"/>
      <c r="B950" s="148"/>
      <c r="C950" s="148"/>
      <c r="D950" s="148"/>
      <c r="E950" s="148"/>
      <c r="F950" s="148"/>
      <c r="G950" s="148"/>
      <c r="H950" s="148"/>
      <c r="I950" s="148"/>
      <c r="J950" s="148"/>
      <c r="K950" s="148"/>
      <c r="L950" s="148"/>
      <c r="M950" s="148"/>
      <c r="N950" s="148"/>
      <c r="O950" s="148"/>
      <c r="P950" s="148"/>
      <c r="Q950" s="148"/>
      <c r="R950" s="148"/>
      <c r="S950" s="148"/>
    </row>
    <row r="951" ht="15.75" customHeight="1">
      <c r="A951" s="148"/>
      <c r="B951" s="148"/>
      <c r="C951" s="148"/>
      <c r="D951" s="148"/>
      <c r="E951" s="148"/>
      <c r="F951" s="148"/>
      <c r="G951" s="148"/>
      <c r="H951" s="148"/>
      <c r="I951" s="148"/>
      <c r="J951" s="148"/>
      <c r="K951" s="148"/>
      <c r="L951" s="148"/>
      <c r="M951" s="148"/>
      <c r="N951" s="148"/>
      <c r="O951" s="148"/>
      <c r="P951" s="148"/>
      <c r="Q951" s="148"/>
      <c r="R951" s="148"/>
      <c r="S951" s="148"/>
    </row>
    <row r="952" ht="15.75" customHeight="1">
      <c r="A952" s="148"/>
      <c r="B952" s="148"/>
      <c r="C952" s="148"/>
      <c r="D952" s="148"/>
      <c r="E952" s="148"/>
      <c r="F952" s="148"/>
      <c r="G952" s="148"/>
      <c r="H952" s="148"/>
      <c r="I952" s="148"/>
      <c r="J952" s="148"/>
      <c r="K952" s="148"/>
      <c r="L952" s="148"/>
      <c r="M952" s="148"/>
      <c r="N952" s="148"/>
      <c r="O952" s="148"/>
      <c r="P952" s="148"/>
      <c r="Q952" s="148"/>
      <c r="R952" s="148"/>
      <c r="S952" s="148"/>
    </row>
    <row r="953" ht="15.75" customHeight="1">
      <c r="A953" s="148"/>
      <c r="B953" s="148"/>
      <c r="C953" s="148"/>
      <c r="D953" s="148"/>
      <c r="E953" s="148"/>
      <c r="F953" s="148"/>
      <c r="G953" s="148"/>
      <c r="H953" s="148"/>
      <c r="I953" s="148"/>
      <c r="J953" s="148"/>
      <c r="K953" s="148"/>
      <c r="L953" s="148"/>
      <c r="M953" s="148"/>
      <c r="N953" s="148"/>
      <c r="O953" s="148"/>
      <c r="P953" s="148"/>
      <c r="Q953" s="148"/>
      <c r="R953" s="148"/>
      <c r="S953" s="148"/>
    </row>
    <row r="954" ht="15.75" customHeight="1">
      <c r="A954" s="148"/>
      <c r="B954" s="148"/>
      <c r="C954" s="148"/>
      <c r="D954" s="148"/>
      <c r="E954" s="148"/>
      <c r="F954" s="148"/>
      <c r="G954" s="148"/>
      <c r="H954" s="148"/>
      <c r="I954" s="148"/>
      <c r="J954" s="148"/>
      <c r="K954" s="148"/>
      <c r="L954" s="148"/>
      <c r="M954" s="148"/>
      <c r="N954" s="148"/>
      <c r="O954" s="148"/>
      <c r="P954" s="148"/>
      <c r="Q954" s="148"/>
      <c r="R954" s="148"/>
      <c r="S954" s="148"/>
    </row>
    <row r="955" ht="15.75" customHeight="1">
      <c r="A955" s="148"/>
      <c r="B955" s="148"/>
      <c r="C955" s="148"/>
      <c r="D955" s="148"/>
      <c r="E955" s="148"/>
      <c r="F955" s="148"/>
      <c r="G955" s="148"/>
      <c r="H955" s="148"/>
      <c r="I955" s="148"/>
      <c r="J955" s="148"/>
      <c r="K955" s="148"/>
      <c r="L955" s="148"/>
      <c r="M955" s="148"/>
      <c r="N955" s="148"/>
      <c r="O955" s="148"/>
      <c r="P955" s="148"/>
      <c r="Q955" s="148"/>
      <c r="R955" s="148"/>
      <c r="S955" s="148"/>
    </row>
    <row r="956" ht="15.75" customHeight="1">
      <c r="A956" s="148"/>
      <c r="B956" s="148"/>
      <c r="C956" s="148"/>
      <c r="D956" s="148"/>
      <c r="E956" s="148"/>
      <c r="F956" s="148"/>
      <c r="G956" s="148"/>
      <c r="H956" s="148"/>
      <c r="I956" s="148"/>
      <c r="J956" s="148"/>
      <c r="K956" s="148"/>
      <c r="L956" s="148"/>
      <c r="M956" s="148"/>
      <c r="N956" s="148"/>
      <c r="O956" s="148"/>
      <c r="P956" s="148"/>
      <c r="Q956" s="148"/>
      <c r="R956" s="148"/>
      <c r="S956" s="148"/>
    </row>
    <row r="957" ht="15.75" customHeight="1">
      <c r="A957" s="148"/>
      <c r="B957" s="148"/>
      <c r="C957" s="148"/>
      <c r="D957" s="148"/>
      <c r="E957" s="148"/>
      <c r="F957" s="148"/>
      <c r="G957" s="148"/>
      <c r="H957" s="148"/>
      <c r="I957" s="148"/>
      <c r="J957" s="148"/>
      <c r="K957" s="148"/>
      <c r="L957" s="148"/>
      <c r="M957" s="148"/>
      <c r="N957" s="148"/>
      <c r="O957" s="148"/>
      <c r="P957" s="148"/>
      <c r="Q957" s="148"/>
      <c r="R957" s="148"/>
      <c r="S957" s="148"/>
    </row>
    <row r="958" ht="15.75" customHeight="1">
      <c r="A958" s="148"/>
      <c r="B958" s="148"/>
      <c r="C958" s="148"/>
      <c r="D958" s="148"/>
      <c r="E958" s="148"/>
      <c r="F958" s="148"/>
      <c r="G958" s="148"/>
      <c r="H958" s="148"/>
      <c r="I958" s="148"/>
      <c r="J958" s="148"/>
      <c r="K958" s="148"/>
      <c r="L958" s="148"/>
      <c r="M958" s="148"/>
      <c r="N958" s="148"/>
      <c r="O958" s="148"/>
      <c r="P958" s="148"/>
      <c r="Q958" s="148"/>
      <c r="R958" s="148"/>
      <c r="S958" s="148"/>
    </row>
    <row r="959" ht="15.75" customHeight="1">
      <c r="A959" s="148"/>
      <c r="B959" s="148"/>
      <c r="C959" s="148"/>
      <c r="D959" s="148"/>
      <c r="E959" s="148"/>
      <c r="F959" s="148"/>
      <c r="G959" s="148"/>
      <c r="H959" s="148"/>
      <c r="I959" s="148"/>
      <c r="J959" s="148"/>
      <c r="K959" s="148"/>
      <c r="L959" s="148"/>
      <c r="M959" s="148"/>
      <c r="N959" s="148"/>
      <c r="O959" s="148"/>
      <c r="P959" s="148"/>
      <c r="Q959" s="148"/>
      <c r="R959" s="148"/>
      <c r="S959" s="148"/>
    </row>
    <row r="960" ht="15.75" customHeight="1">
      <c r="A960" s="148"/>
      <c r="B960" s="148"/>
      <c r="C960" s="148"/>
      <c r="D960" s="148"/>
      <c r="E960" s="148"/>
      <c r="F960" s="148"/>
      <c r="G960" s="148"/>
      <c r="H960" s="148"/>
      <c r="I960" s="148"/>
      <c r="J960" s="148"/>
      <c r="K960" s="148"/>
      <c r="L960" s="148"/>
      <c r="M960" s="148"/>
      <c r="N960" s="148"/>
      <c r="O960" s="148"/>
      <c r="P960" s="148"/>
      <c r="Q960" s="148"/>
      <c r="R960" s="148"/>
      <c r="S960" s="148"/>
    </row>
    <row r="961" ht="15.75" customHeight="1">
      <c r="A961" s="148"/>
      <c r="B961" s="148"/>
      <c r="C961" s="148"/>
      <c r="D961" s="148"/>
      <c r="E961" s="148"/>
      <c r="F961" s="148"/>
      <c r="G961" s="148"/>
      <c r="H961" s="148"/>
      <c r="I961" s="148"/>
      <c r="J961" s="148"/>
      <c r="K961" s="148"/>
      <c r="L961" s="148"/>
      <c r="M961" s="148"/>
      <c r="N961" s="148"/>
      <c r="O961" s="148"/>
      <c r="P961" s="148"/>
      <c r="Q961" s="148"/>
      <c r="R961" s="148"/>
      <c r="S961" s="148"/>
    </row>
    <row r="962" ht="15.75" customHeight="1">
      <c r="A962" s="148"/>
      <c r="B962" s="148"/>
      <c r="C962" s="148"/>
      <c r="D962" s="148"/>
      <c r="E962" s="148"/>
      <c r="F962" s="148"/>
      <c r="G962" s="148"/>
      <c r="H962" s="148"/>
      <c r="I962" s="148"/>
      <c r="J962" s="148"/>
      <c r="K962" s="148"/>
      <c r="L962" s="148"/>
      <c r="M962" s="148"/>
      <c r="N962" s="148"/>
      <c r="O962" s="148"/>
      <c r="P962" s="148"/>
      <c r="Q962" s="148"/>
      <c r="R962" s="148"/>
      <c r="S962" s="148"/>
    </row>
    <row r="963" ht="15.75" customHeight="1">
      <c r="A963" s="148"/>
      <c r="B963" s="148"/>
      <c r="C963" s="148"/>
      <c r="D963" s="148"/>
      <c r="E963" s="148"/>
      <c r="F963" s="148"/>
      <c r="G963" s="148"/>
      <c r="H963" s="148"/>
      <c r="I963" s="148"/>
      <c r="J963" s="148"/>
      <c r="K963" s="148"/>
      <c r="L963" s="148"/>
      <c r="M963" s="148"/>
      <c r="N963" s="148"/>
      <c r="O963" s="148"/>
      <c r="P963" s="148"/>
      <c r="Q963" s="148"/>
      <c r="R963" s="148"/>
      <c r="S963" s="148"/>
    </row>
    <row r="964" ht="15.75" customHeight="1">
      <c r="A964" s="148"/>
      <c r="B964" s="148"/>
      <c r="C964" s="148"/>
      <c r="D964" s="148"/>
      <c r="E964" s="148"/>
      <c r="F964" s="148"/>
      <c r="G964" s="148"/>
      <c r="H964" s="148"/>
      <c r="I964" s="148"/>
      <c r="J964" s="148"/>
      <c r="K964" s="148"/>
      <c r="L964" s="148"/>
      <c r="M964" s="148"/>
      <c r="N964" s="148"/>
      <c r="O964" s="148"/>
      <c r="P964" s="148"/>
      <c r="Q964" s="148"/>
      <c r="R964" s="148"/>
      <c r="S964" s="148"/>
    </row>
    <row r="965" ht="15.75" customHeight="1">
      <c r="A965" s="148"/>
      <c r="B965" s="148"/>
      <c r="C965" s="148"/>
      <c r="D965" s="148"/>
      <c r="E965" s="148"/>
      <c r="F965" s="148"/>
      <c r="G965" s="148"/>
      <c r="H965" s="148"/>
      <c r="I965" s="148"/>
      <c r="J965" s="148"/>
      <c r="K965" s="148"/>
      <c r="L965" s="148"/>
      <c r="M965" s="148"/>
      <c r="N965" s="148"/>
      <c r="O965" s="148"/>
      <c r="P965" s="148"/>
      <c r="Q965" s="148"/>
      <c r="R965" s="148"/>
      <c r="S965" s="148"/>
    </row>
    <row r="966" ht="15.75" customHeight="1">
      <c r="A966" s="148"/>
      <c r="B966" s="148"/>
      <c r="C966" s="148"/>
      <c r="D966" s="148"/>
      <c r="E966" s="148"/>
      <c r="F966" s="148"/>
      <c r="G966" s="148"/>
      <c r="H966" s="148"/>
      <c r="I966" s="148"/>
      <c r="J966" s="148"/>
      <c r="K966" s="148"/>
      <c r="L966" s="148"/>
      <c r="M966" s="148"/>
      <c r="N966" s="148"/>
      <c r="O966" s="148"/>
      <c r="P966" s="148"/>
      <c r="Q966" s="148"/>
      <c r="R966" s="148"/>
      <c r="S966" s="148"/>
    </row>
    <row r="967" ht="15.75" customHeight="1">
      <c r="A967" s="148"/>
      <c r="B967" s="148"/>
      <c r="C967" s="148"/>
      <c r="D967" s="148"/>
      <c r="E967" s="148"/>
      <c r="F967" s="148"/>
      <c r="G967" s="148"/>
      <c r="H967" s="148"/>
      <c r="I967" s="148"/>
      <c r="J967" s="148"/>
      <c r="K967" s="148"/>
      <c r="L967" s="148"/>
      <c r="M967" s="148"/>
      <c r="N967" s="148"/>
      <c r="O967" s="148"/>
      <c r="P967" s="148"/>
      <c r="Q967" s="148"/>
      <c r="R967" s="148"/>
      <c r="S967" s="148"/>
    </row>
    <row r="968" ht="15.75" customHeight="1">
      <c r="A968" s="148"/>
      <c r="B968" s="148"/>
      <c r="C968" s="148"/>
      <c r="D968" s="148"/>
      <c r="E968" s="148"/>
      <c r="F968" s="148"/>
      <c r="G968" s="148"/>
      <c r="H968" s="148"/>
      <c r="I968" s="148"/>
      <c r="J968" s="148"/>
      <c r="K968" s="148"/>
      <c r="L968" s="148"/>
      <c r="M968" s="148"/>
      <c r="N968" s="148"/>
      <c r="O968" s="148"/>
      <c r="P968" s="148"/>
      <c r="Q968" s="148"/>
      <c r="R968" s="148"/>
      <c r="S968" s="148"/>
    </row>
    <row r="969" ht="15.75" customHeight="1">
      <c r="A969" s="148"/>
      <c r="B969" s="148"/>
      <c r="C969" s="148"/>
      <c r="D969" s="148"/>
      <c r="E969" s="148"/>
      <c r="F969" s="148"/>
      <c r="G969" s="148"/>
      <c r="H969" s="148"/>
      <c r="I969" s="148"/>
      <c r="J969" s="148"/>
      <c r="K969" s="148"/>
      <c r="L969" s="148"/>
      <c r="M969" s="148"/>
      <c r="N969" s="148"/>
      <c r="O969" s="148"/>
      <c r="P969" s="148"/>
      <c r="Q969" s="148"/>
      <c r="R969" s="148"/>
      <c r="S969" s="148"/>
    </row>
    <row r="970" ht="15.75" customHeight="1">
      <c r="A970" s="148"/>
      <c r="B970" s="148"/>
      <c r="C970" s="148"/>
      <c r="D970" s="148"/>
      <c r="E970" s="148"/>
      <c r="F970" s="148"/>
      <c r="G970" s="148"/>
      <c r="H970" s="148"/>
      <c r="I970" s="148"/>
      <c r="J970" s="148"/>
      <c r="K970" s="148"/>
      <c r="L970" s="148"/>
      <c r="M970" s="148"/>
      <c r="N970" s="148"/>
      <c r="O970" s="148"/>
      <c r="P970" s="148"/>
      <c r="Q970" s="148"/>
      <c r="R970" s="148"/>
      <c r="S970" s="148"/>
    </row>
    <row r="971" ht="15.75" customHeight="1">
      <c r="A971" s="148"/>
      <c r="B971" s="148"/>
      <c r="C971" s="148"/>
      <c r="D971" s="148"/>
      <c r="E971" s="148"/>
      <c r="F971" s="148"/>
      <c r="G971" s="148"/>
      <c r="H971" s="148"/>
      <c r="I971" s="148"/>
      <c r="J971" s="148"/>
      <c r="K971" s="148"/>
      <c r="L971" s="148"/>
      <c r="M971" s="148"/>
      <c r="N971" s="148"/>
      <c r="O971" s="148"/>
      <c r="P971" s="148"/>
      <c r="Q971" s="148"/>
      <c r="R971" s="148"/>
      <c r="S971" s="148"/>
    </row>
    <row r="972" ht="15.75" customHeight="1">
      <c r="A972" s="148"/>
      <c r="B972" s="148"/>
      <c r="C972" s="148"/>
      <c r="D972" s="148"/>
      <c r="E972" s="148"/>
      <c r="F972" s="148"/>
      <c r="G972" s="148"/>
      <c r="H972" s="148"/>
      <c r="I972" s="148"/>
      <c r="J972" s="148"/>
      <c r="K972" s="148"/>
      <c r="L972" s="148"/>
      <c r="M972" s="148"/>
      <c r="N972" s="148"/>
      <c r="O972" s="148"/>
      <c r="P972" s="148"/>
      <c r="Q972" s="148"/>
      <c r="R972" s="148"/>
      <c r="S972" s="148"/>
    </row>
    <row r="973" ht="15.75" customHeight="1">
      <c r="A973" s="148"/>
      <c r="B973" s="148"/>
      <c r="C973" s="148"/>
      <c r="D973" s="148"/>
      <c r="E973" s="148"/>
      <c r="F973" s="148"/>
      <c r="G973" s="148"/>
      <c r="H973" s="148"/>
      <c r="I973" s="148"/>
      <c r="J973" s="148"/>
      <c r="K973" s="148"/>
      <c r="L973" s="148"/>
      <c r="M973" s="148"/>
      <c r="N973" s="148"/>
      <c r="O973" s="148"/>
      <c r="P973" s="148"/>
      <c r="Q973" s="148"/>
      <c r="R973" s="148"/>
      <c r="S973" s="148"/>
    </row>
    <row r="974" ht="15.75" customHeight="1">
      <c r="A974" s="148"/>
      <c r="B974" s="148"/>
      <c r="C974" s="148"/>
      <c r="D974" s="148"/>
      <c r="E974" s="148"/>
      <c r="F974" s="148"/>
      <c r="G974" s="148"/>
      <c r="H974" s="148"/>
      <c r="I974" s="148"/>
      <c r="J974" s="148"/>
      <c r="K974" s="148"/>
      <c r="L974" s="148"/>
      <c r="M974" s="148"/>
      <c r="N974" s="148"/>
      <c r="O974" s="148"/>
      <c r="P974" s="148"/>
      <c r="Q974" s="148"/>
      <c r="R974" s="148"/>
      <c r="S974" s="148"/>
    </row>
    <row r="975" ht="15.75" customHeight="1">
      <c r="A975" s="148"/>
      <c r="B975" s="148"/>
      <c r="C975" s="148"/>
      <c r="D975" s="148"/>
      <c r="E975" s="148"/>
      <c r="F975" s="148"/>
      <c r="G975" s="148"/>
      <c r="H975" s="148"/>
      <c r="I975" s="148"/>
      <c r="J975" s="148"/>
      <c r="K975" s="148"/>
      <c r="L975" s="148"/>
      <c r="M975" s="148"/>
      <c r="N975" s="148"/>
      <c r="O975" s="148"/>
      <c r="P975" s="148"/>
      <c r="Q975" s="148"/>
      <c r="R975" s="148"/>
      <c r="S975" s="148"/>
    </row>
    <row r="976" ht="15.75" customHeight="1">
      <c r="A976" s="148"/>
      <c r="B976" s="148"/>
      <c r="C976" s="148"/>
      <c r="D976" s="148"/>
      <c r="E976" s="148"/>
      <c r="F976" s="148"/>
      <c r="G976" s="148"/>
      <c r="H976" s="148"/>
      <c r="I976" s="148"/>
      <c r="J976" s="148"/>
      <c r="K976" s="148"/>
      <c r="L976" s="148"/>
      <c r="M976" s="148"/>
      <c r="N976" s="148"/>
      <c r="O976" s="148"/>
      <c r="P976" s="148"/>
      <c r="Q976" s="148"/>
      <c r="R976" s="148"/>
      <c r="S976" s="148"/>
    </row>
    <row r="977" ht="15.75" customHeight="1">
      <c r="A977" s="148"/>
      <c r="B977" s="148"/>
      <c r="C977" s="148"/>
      <c r="D977" s="148"/>
      <c r="E977" s="148"/>
      <c r="F977" s="148"/>
      <c r="G977" s="148"/>
      <c r="H977" s="148"/>
      <c r="I977" s="148"/>
      <c r="J977" s="148"/>
      <c r="K977" s="148"/>
      <c r="L977" s="148"/>
      <c r="M977" s="148"/>
      <c r="N977" s="148"/>
      <c r="O977" s="148"/>
      <c r="P977" s="148"/>
      <c r="Q977" s="148"/>
      <c r="R977" s="148"/>
      <c r="S977" s="148"/>
    </row>
    <row r="978" ht="15.75" customHeight="1">
      <c r="A978" s="148"/>
      <c r="B978" s="148"/>
      <c r="C978" s="148"/>
      <c r="D978" s="148"/>
      <c r="E978" s="148"/>
      <c r="F978" s="148"/>
      <c r="G978" s="148"/>
      <c r="H978" s="148"/>
      <c r="I978" s="148"/>
      <c r="J978" s="148"/>
      <c r="K978" s="148"/>
      <c r="L978" s="148"/>
      <c r="M978" s="148"/>
      <c r="N978" s="148"/>
      <c r="O978" s="148"/>
      <c r="P978" s="148"/>
      <c r="Q978" s="148"/>
      <c r="R978" s="148"/>
      <c r="S978" s="148"/>
    </row>
    <row r="979" ht="15.75" customHeight="1">
      <c r="A979" s="148"/>
      <c r="B979" s="148"/>
      <c r="C979" s="148"/>
      <c r="D979" s="148"/>
      <c r="E979" s="148"/>
      <c r="F979" s="148"/>
      <c r="G979" s="148"/>
      <c r="H979" s="148"/>
      <c r="I979" s="148"/>
      <c r="J979" s="148"/>
      <c r="K979" s="148"/>
      <c r="L979" s="148"/>
      <c r="M979" s="148"/>
      <c r="N979" s="148"/>
      <c r="O979" s="148"/>
      <c r="P979" s="148"/>
      <c r="Q979" s="148"/>
      <c r="R979" s="148"/>
      <c r="S979" s="148"/>
    </row>
    <row r="980" ht="15.75" customHeight="1">
      <c r="A980" s="148"/>
      <c r="B980" s="148"/>
      <c r="C980" s="148"/>
      <c r="D980" s="148"/>
      <c r="E980" s="148"/>
      <c r="F980" s="148"/>
      <c r="G980" s="148"/>
      <c r="H980" s="148"/>
      <c r="I980" s="148"/>
      <c r="J980" s="148"/>
      <c r="K980" s="148"/>
      <c r="L980" s="148"/>
      <c r="M980" s="148"/>
      <c r="N980" s="148"/>
      <c r="O980" s="148"/>
      <c r="P980" s="148"/>
      <c r="Q980" s="148"/>
      <c r="R980" s="148"/>
      <c r="S980" s="148"/>
    </row>
    <row r="981" ht="15.75" customHeight="1">
      <c r="A981" s="148"/>
      <c r="B981" s="148"/>
      <c r="C981" s="148"/>
      <c r="D981" s="148"/>
      <c r="E981" s="148"/>
      <c r="F981" s="148"/>
      <c r="G981" s="148"/>
      <c r="H981" s="148"/>
      <c r="I981" s="148"/>
      <c r="J981" s="148"/>
      <c r="K981" s="148"/>
      <c r="L981" s="148"/>
      <c r="M981" s="148"/>
      <c r="N981" s="148"/>
      <c r="O981" s="148"/>
      <c r="P981" s="148"/>
      <c r="Q981" s="148"/>
      <c r="R981" s="148"/>
      <c r="S981" s="148"/>
    </row>
    <row r="982" ht="15.75" customHeight="1">
      <c r="A982" s="148"/>
      <c r="B982" s="148"/>
      <c r="C982" s="148"/>
      <c r="D982" s="148"/>
      <c r="E982" s="148"/>
      <c r="F982" s="148"/>
      <c r="G982" s="148"/>
      <c r="H982" s="148"/>
      <c r="I982" s="148"/>
      <c r="J982" s="148"/>
      <c r="K982" s="148"/>
      <c r="L982" s="148"/>
      <c r="M982" s="148"/>
      <c r="N982" s="148"/>
      <c r="O982" s="148"/>
      <c r="P982" s="148"/>
      <c r="Q982" s="148"/>
      <c r="R982" s="148"/>
      <c r="S982" s="148"/>
    </row>
    <row r="983" ht="15.75" customHeight="1">
      <c r="A983" s="148"/>
      <c r="B983" s="148"/>
      <c r="C983" s="148"/>
      <c r="D983" s="148"/>
      <c r="E983" s="148"/>
      <c r="F983" s="148"/>
      <c r="G983" s="148"/>
      <c r="H983" s="148"/>
      <c r="I983" s="148"/>
      <c r="J983" s="148"/>
      <c r="K983" s="148"/>
      <c r="L983" s="148"/>
      <c r="M983" s="148"/>
      <c r="N983" s="148"/>
      <c r="O983" s="148"/>
      <c r="P983" s="148"/>
      <c r="Q983" s="148"/>
      <c r="R983" s="148"/>
      <c r="S983" s="148"/>
    </row>
    <row r="984" ht="15.75" customHeight="1">
      <c r="A984" s="148"/>
      <c r="B984" s="148"/>
      <c r="C984" s="148"/>
      <c r="D984" s="148"/>
      <c r="E984" s="148"/>
      <c r="F984" s="148"/>
      <c r="G984" s="148"/>
      <c r="H984" s="148"/>
      <c r="I984" s="148"/>
      <c r="J984" s="148"/>
      <c r="K984" s="148"/>
      <c r="L984" s="148"/>
      <c r="M984" s="148"/>
      <c r="N984" s="148"/>
      <c r="O984" s="148"/>
      <c r="P984" s="148"/>
      <c r="Q984" s="148"/>
      <c r="R984" s="148"/>
      <c r="S984" s="148"/>
    </row>
    <row r="985" ht="15.75" customHeight="1">
      <c r="A985" s="148"/>
      <c r="B985" s="148"/>
      <c r="C985" s="148"/>
      <c r="D985" s="148"/>
      <c r="E985" s="148"/>
      <c r="F985" s="148"/>
      <c r="G985" s="148"/>
      <c r="H985" s="148"/>
      <c r="I985" s="148"/>
      <c r="J985" s="148"/>
      <c r="K985" s="148"/>
      <c r="L985" s="148"/>
      <c r="M985" s="148"/>
      <c r="N985" s="148"/>
      <c r="O985" s="148"/>
      <c r="P985" s="148"/>
      <c r="Q985" s="148"/>
      <c r="R985" s="148"/>
      <c r="S985" s="148"/>
    </row>
    <row r="986" ht="15.75" customHeight="1">
      <c r="A986" s="148"/>
      <c r="B986" s="148"/>
      <c r="C986" s="148"/>
      <c r="D986" s="148"/>
      <c r="E986" s="148"/>
      <c r="F986" s="148"/>
      <c r="G986" s="148"/>
      <c r="H986" s="148"/>
      <c r="I986" s="148"/>
      <c r="J986" s="148"/>
      <c r="K986" s="148"/>
      <c r="L986" s="148"/>
      <c r="M986" s="148"/>
      <c r="N986" s="148"/>
      <c r="O986" s="148"/>
      <c r="P986" s="148"/>
      <c r="Q986" s="148"/>
      <c r="R986" s="148"/>
      <c r="S986" s="148"/>
    </row>
    <row r="987" ht="15.75" customHeight="1">
      <c r="A987" s="148"/>
      <c r="B987" s="148"/>
      <c r="C987" s="148"/>
      <c r="D987" s="148"/>
      <c r="E987" s="148"/>
      <c r="F987" s="148"/>
      <c r="G987" s="148"/>
      <c r="H987" s="148"/>
      <c r="I987" s="148"/>
      <c r="J987" s="148"/>
      <c r="K987" s="148"/>
      <c r="L987" s="148"/>
      <c r="M987" s="148"/>
      <c r="N987" s="148"/>
      <c r="O987" s="148"/>
      <c r="P987" s="148"/>
      <c r="Q987" s="148"/>
      <c r="R987" s="148"/>
      <c r="S987" s="148"/>
    </row>
    <row r="988" ht="15.75" customHeight="1">
      <c r="A988" s="148"/>
      <c r="B988" s="148"/>
      <c r="C988" s="148"/>
      <c r="D988" s="148"/>
      <c r="E988" s="148"/>
      <c r="F988" s="148"/>
      <c r="G988" s="148"/>
      <c r="H988" s="148"/>
      <c r="I988" s="148"/>
      <c r="J988" s="148"/>
      <c r="K988" s="148"/>
      <c r="L988" s="148"/>
      <c r="M988" s="148"/>
      <c r="N988" s="148"/>
      <c r="O988" s="148"/>
      <c r="P988" s="148"/>
      <c r="Q988" s="148"/>
      <c r="R988" s="148"/>
      <c r="S988" s="148"/>
    </row>
    <row r="989" ht="15.75" customHeight="1">
      <c r="A989" s="148"/>
      <c r="B989" s="148"/>
      <c r="C989" s="148"/>
      <c r="D989" s="148"/>
      <c r="E989" s="148"/>
      <c r="F989" s="148"/>
      <c r="G989" s="148"/>
      <c r="H989" s="148"/>
      <c r="I989" s="148"/>
      <c r="J989" s="148"/>
      <c r="K989" s="148"/>
      <c r="L989" s="148"/>
      <c r="M989" s="148"/>
      <c r="N989" s="148"/>
      <c r="O989" s="148"/>
      <c r="P989" s="148"/>
      <c r="Q989" s="148"/>
      <c r="R989" s="148"/>
      <c r="S989" s="148"/>
    </row>
    <row r="990" ht="15.75" customHeight="1">
      <c r="A990" s="148"/>
      <c r="B990" s="148"/>
      <c r="C990" s="148"/>
      <c r="D990" s="148"/>
      <c r="E990" s="148"/>
      <c r="F990" s="148"/>
      <c r="G990" s="148"/>
      <c r="H990" s="148"/>
      <c r="I990" s="148"/>
      <c r="J990" s="148"/>
      <c r="K990" s="148"/>
      <c r="L990" s="148"/>
      <c r="M990" s="148"/>
      <c r="N990" s="148"/>
      <c r="O990" s="148"/>
      <c r="P990" s="148"/>
      <c r="Q990" s="148"/>
      <c r="R990" s="148"/>
      <c r="S990" s="148"/>
    </row>
    <row r="991" ht="15.75" customHeight="1">
      <c r="A991" s="148"/>
      <c r="B991" s="148"/>
      <c r="C991" s="148"/>
      <c r="D991" s="148"/>
      <c r="E991" s="148"/>
      <c r="F991" s="148"/>
      <c r="G991" s="148"/>
      <c r="H991" s="148"/>
      <c r="I991" s="148"/>
      <c r="J991" s="148"/>
      <c r="K991" s="148"/>
      <c r="L991" s="148"/>
      <c r="M991" s="148"/>
      <c r="N991" s="148"/>
      <c r="O991" s="148"/>
      <c r="P991" s="148"/>
      <c r="Q991" s="148"/>
      <c r="R991" s="148"/>
      <c r="S991" s="148"/>
    </row>
    <row r="992" ht="15.75" customHeight="1">
      <c r="A992" s="148"/>
      <c r="B992" s="148"/>
      <c r="C992" s="148"/>
      <c r="D992" s="148"/>
      <c r="E992" s="148"/>
      <c r="F992" s="148"/>
      <c r="G992" s="148"/>
      <c r="H992" s="148"/>
      <c r="I992" s="148"/>
      <c r="J992" s="148"/>
      <c r="K992" s="148"/>
      <c r="L992" s="148"/>
      <c r="M992" s="148"/>
      <c r="N992" s="148"/>
      <c r="O992" s="148"/>
      <c r="P992" s="148"/>
      <c r="Q992" s="148"/>
      <c r="R992" s="148"/>
      <c r="S992" s="148"/>
    </row>
    <row r="993" ht="15.75" customHeight="1">
      <c r="A993" s="148"/>
      <c r="B993" s="148"/>
      <c r="C993" s="148"/>
      <c r="D993" s="148"/>
      <c r="E993" s="148"/>
      <c r="F993" s="148"/>
      <c r="G993" s="148"/>
      <c r="H993" s="148"/>
      <c r="I993" s="148"/>
      <c r="J993" s="148"/>
      <c r="K993" s="148"/>
      <c r="L993" s="148"/>
      <c r="M993" s="148"/>
      <c r="N993" s="148"/>
      <c r="O993" s="148"/>
      <c r="P993" s="148"/>
      <c r="Q993" s="148"/>
      <c r="R993" s="148"/>
      <c r="S993" s="148"/>
    </row>
    <row r="994" ht="15.75" customHeight="1">
      <c r="A994" s="148"/>
      <c r="B994" s="148"/>
      <c r="C994" s="148"/>
      <c r="D994" s="148"/>
      <c r="E994" s="148"/>
      <c r="F994" s="148"/>
      <c r="G994" s="148"/>
      <c r="H994" s="148"/>
      <c r="I994" s="148"/>
      <c r="J994" s="148"/>
      <c r="K994" s="148"/>
      <c r="L994" s="148"/>
      <c r="M994" s="148"/>
      <c r="N994" s="148"/>
      <c r="O994" s="148"/>
      <c r="P994" s="148"/>
      <c r="Q994" s="148"/>
      <c r="R994" s="148"/>
      <c r="S994" s="148"/>
    </row>
    <row r="995" ht="15.75" customHeight="1">
      <c r="A995" s="148"/>
      <c r="B995" s="148"/>
      <c r="C995" s="148"/>
      <c r="D995" s="148"/>
      <c r="E995" s="148"/>
      <c r="F995" s="148"/>
      <c r="G995" s="148"/>
      <c r="H995" s="148"/>
      <c r="I995" s="148"/>
      <c r="J995" s="148"/>
      <c r="K995" s="148"/>
      <c r="L995" s="148"/>
      <c r="M995" s="148"/>
      <c r="N995" s="148"/>
      <c r="O995" s="148"/>
      <c r="P995" s="148"/>
      <c r="Q995" s="148"/>
      <c r="R995" s="148"/>
      <c r="S995" s="148"/>
    </row>
    <row r="996" ht="15.75" customHeight="1">
      <c r="A996" s="148"/>
      <c r="B996" s="148"/>
      <c r="C996" s="148"/>
      <c r="D996" s="148"/>
      <c r="E996" s="148"/>
      <c r="F996" s="148"/>
      <c r="G996" s="148"/>
      <c r="H996" s="148"/>
      <c r="I996" s="148"/>
      <c r="J996" s="148"/>
      <c r="K996" s="148"/>
      <c r="L996" s="148"/>
      <c r="M996" s="148"/>
      <c r="N996" s="148"/>
      <c r="O996" s="148"/>
      <c r="P996" s="148"/>
      <c r="Q996" s="148"/>
      <c r="R996" s="148"/>
      <c r="S996" s="148"/>
    </row>
    <row r="997" ht="15.75" customHeight="1">
      <c r="A997" s="148"/>
      <c r="B997" s="148"/>
      <c r="C997" s="148"/>
      <c r="D997" s="148"/>
      <c r="E997" s="148"/>
      <c r="F997" s="148"/>
      <c r="G997" s="148"/>
      <c r="H997" s="148"/>
      <c r="I997" s="148"/>
      <c r="J997" s="148"/>
      <c r="K997" s="148"/>
      <c r="L997" s="148"/>
      <c r="M997" s="148"/>
      <c r="N997" s="148"/>
      <c r="O997" s="148"/>
      <c r="P997" s="148"/>
      <c r="Q997" s="148"/>
      <c r="R997" s="148"/>
      <c r="S997" s="148"/>
    </row>
    <row r="998" ht="15.75" customHeight="1">
      <c r="A998" s="148"/>
      <c r="B998" s="148"/>
      <c r="C998" s="148"/>
      <c r="D998" s="148"/>
      <c r="E998" s="148"/>
      <c r="F998" s="148"/>
      <c r="G998" s="148"/>
      <c r="H998" s="148"/>
      <c r="I998" s="148"/>
      <c r="J998" s="148"/>
      <c r="K998" s="148"/>
      <c r="L998" s="148"/>
      <c r="M998" s="148"/>
      <c r="N998" s="148"/>
      <c r="O998" s="148"/>
      <c r="P998" s="148"/>
      <c r="Q998" s="148"/>
      <c r="R998" s="148"/>
      <c r="S998" s="148"/>
    </row>
    <row r="999" ht="15.75" customHeight="1">
      <c r="A999" s="148"/>
      <c r="B999" s="148"/>
      <c r="C999" s="148"/>
      <c r="D999" s="148"/>
      <c r="E999" s="148"/>
      <c r="F999" s="148"/>
      <c r="G999" s="148"/>
      <c r="H999" s="148"/>
      <c r="I999" s="148"/>
      <c r="J999" s="148"/>
      <c r="K999" s="148"/>
      <c r="L999" s="148"/>
      <c r="M999" s="148"/>
      <c r="N999" s="148"/>
      <c r="O999" s="148"/>
      <c r="P999" s="148"/>
      <c r="Q999" s="148"/>
      <c r="R999" s="148"/>
      <c r="S999" s="148"/>
    </row>
    <row r="1000" ht="15.75" customHeight="1">
      <c r="A1000" s="148"/>
      <c r="B1000" s="148"/>
      <c r="C1000" s="148"/>
      <c r="D1000" s="148"/>
      <c r="E1000" s="148"/>
      <c r="F1000" s="148"/>
      <c r="G1000" s="148"/>
      <c r="H1000" s="148"/>
      <c r="I1000" s="148"/>
      <c r="J1000" s="148"/>
      <c r="K1000" s="148"/>
      <c r="L1000" s="148"/>
      <c r="M1000" s="148"/>
      <c r="N1000" s="148"/>
      <c r="O1000" s="148"/>
      <c r="P1000" s="148"/>
      <c r="Q1000" s="148"/>
      <c r="R1000" s="148"/>
      <c r="S1000" s="148"/>
    </row>
  </sheetData>
  <mergeCells count="14">
    <mergeCell ref="G3:H3"/>
    <mergeCell ref="I3:J3"/>
    <mergeCell ref="A9:C9"/>
    <mergeCell ref="A14:C14"/>
    <mergeCell ref="A18:C18"/>
    <mergeCell ref="K3:L3"/>
    <mergeCell ref="M3:N3"/>
    <mergeCell ref="A1:P1"/>
    <mergeCell ref="A2:P2"/>
    <mergeCell ref="A3:A4"/>
    <mergeCell ref="B3:B4"/>
    <mergeCell ref="C3:C4"/>
    <mergeCell ref="D3:D4"/>
    <mergeCell ref="E3:F3"/>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2.0" topLeftCell="A13" activePane="bottomLeft" state="frozen"/>
      <selection activeCell="B14" sqref="B14" pane="bottomLeft"/>
    </sheetView>
  </sheetViews>
  <sheetFormatPr customHeight="1" defaultColWidth="14.43" defaultRowHeight="15.0"/>
  <cols>
    <col customWidth="1" min="1" max="1" width="24.43"/>
    <col customWidth="1" min="2" max="2" width="42.0"/>
    <col customWidth="1" min="3" max="3" width="73.43"/>
    <col customWidth="1" min="4" max="4" width="16.71"/>
    <col customWidth="1" min="5" max="5" width="42.29"/>
    <col customWidth="1" min="6" max="6" width="19.29"/>
    <col customWidth="1" min="7" max="7" width="10.0"/>
    <col customWidth="1" min="8" max="8" width="24.57"/>
    <col customWidth="1" min="9" max="9" width="33.14"/>
    <col customWidth="1" min="10" max="10" width="42.86"/>
    <col customWidth="1" min="11" max="11" width="31.29"/>
    <col customWidth="1" min="12" max="12" width="24.0"/>
    <col customWidth="1" min="13" max="13" width="26.0"/>
    <col customWidth="1" min="14" max="14" width="27.71"/>
    <col customWidth="1" min="15" max="15" width="14.71"/>
    <col customWidth="1" min="16" max="16" width="21.57"/>
    <col customWidth="1" min="17" max="17" width="45.0"/>
    <col customWidth="1" min="18" max="19" width="54.29"/>
  </cols>
  <sheetData>
    <row r="1" ht="17.25" customHeight="1">
      <c r="A1" s="2" t="s">
        <v>1</v>
      </c>
      <c r="B1" s="3"/>
      <c r="C1" s="3"/>
      <c r="D1" s="3"/>
      <c r="E1" s="3"/>
      <c r="F1" s="3"/>
      <c r="G1" s="3"/>
      <c r="H1" s="3"/>
      <c r="I1" s="3"/>
      <c r="J1" s="3"/>
      <c r="K1" s="3"/>
      <c r="L1" s="3"/>
      <c r="M1" s="3"/>
      <c r="N1" s="3"/>
      <c r="O1" s="3"/>
      <c r="P1" s="3"/>
      <c r="Q1" s="3"/>
      <c r="R1" s="3"/>
      <c r="S1" s="3"/>
      <c r="T1" s="4"/>
      <c r="U1" s="6"/>
      <c r="V1" s="6"/>
      <c r="W1" s="6"/>
      <c r="X1" s="6"/>
      <c r="Y1" s="6"/>
      <c r="Z1" s="6"/>
      <c r="AA1" s="6"/>
      <c r="AB1" s="6"/>
      <c r="AC1" s="6"/>
      <c r="AD1" s="6"/>
      <c r="AE1" s="6"/>
      <c r="AF1" s="6"/>
      <c r="AG1" s="6"/>
      <c r="AH1" s="6"/>
      <c r="AI1" s="6"/>
      <c r="AJ1" s="6"/>
      <c r="AK1" s="6"/>
      <c r="AL1" s="6"/>
      <c r="AM1" s="6"/>
      <c r="AN1" s="6"/>
      <c r="AO1" s="6"/>
      <c r="AP1" s="6"/>
    </row>
    <row r="2" ht="17.25" customHeight="1">
      <c r="A2" s="7" t="s">
        <v>3</v>
      </c>
      <c r="B2" s="7" t="s">
        <v>4</v>
      </c>
      <c r="C2" s="7" t="s">
        <v>5</v>
      </c>
      <c r="D2" s="7" t="s">
        <v>6</v>
      </c>
      <c r="E2" s="7" t="s">
        <v>7</v>
      </c>
      <c r="G2" s="9"/>
      <c r="H2" s="9"/>
      <c r="I2" s="9"/>
      <c r="J2" s="9"/>
      <c r="K2" s="9"/>
      <c r="L2" s="9"/>
      <c r="M2" s="9"/>
      <c r="N2" s="9"/>
      <c r="O2" s="11"/>
      <c r="P2" s="9"/>
      <c r="Q2" s="13"/>
      <c r="R2" s="14"/>
      <c r="S2" s="14"/>
      <c r="T2" s="15"/>
      <c r="U2" s="6"/>
      <c r="V2" s="6"/>
      <c r="W2" s="6"/>
      <c r="X2" s="6"/>
      <c r="Y2" s="6"/>
      <c r="Z2" s="6"/>
      <c r="AA2" s="6"/>
      <c r="AB2" s="6"/>
      <c r="AC2" s="6"/>
      <c r="AD2" s="6"/>
      <c r="AE2" s="6"/>
      <c r="AF2" s="6"/>
      <c r="AG2" s="6"/>
      <c r="AH2" s="6"/>
      <c r="AI2" s="6"/>
      <c r="AJ2" s="6"/>
      <c r="AK2" s="6"/>
      <c r="AL2" s="6"/>
      <c r="AM2" s="6"/>
      <c r="AN2" s="6"/>
      <c r="AO2" s="6"/>
      <c r="AP2" s="6"/>
    </row>
    <row r="3" ht="17.25" customHeight="1">
      <c r="A3" s="17" t="s">
        <v>10</v>
      </c>
      <c r="B3" s="19" t="s">
        <v>14</v>
      </c>
      <c r="C3" s="25">
        <f t="shared" ref="C3:E3" si="1">SUM(C4:C8)</f>
        <v>305</v>
      </c>
      <c r="D3" s="25">
        <f t="shared" si="1"/>
        <v>305</v>
      </c>
      <c r="E3" s="25">
        <f t="shared" si="1"/>
        <v>163</v>
      </c>
      <c r="F3" s="9"/>
      <c r="G3" s="9"/>
      <c r="H3" s="9"/>
      <c r="I3" s="9"/>
      <c r="J3" s="9"/>
      <c r="K3" s="9"/>
      <c r="L3" s="9"/>
      <c r="M3" s="9"/>
      <c r="N3" s="9"/>
      <c r="O3" s="11"/>
      <c r="P3" s="9"/>
      <c r="Q3" s="13"/>
      <c r="R3" s="14"/>
      <c r="S3" s="14"/>
      <c r="T3" s="15"/>
      <c r="U3" s="6"/>
      <c r="V3" s="6"/>
      <c r="W3" s="6"/>
      <c r="X3" s="6"/>
      <c r="Y3" s="6"/>
      <c r="Z3" s="6"/>
      <c r="AA3" s="6"/>
      <c r="AB3" s="6"/>
      <c r="AC3" s="6"/>
      <c r="AD3" s="6"/>
      <c r="AE3" s="6"/>
      <c r="AF3" s="6"/>
      <c r="AG3" s="6"/>
      <c r="AH3" s="6"/>
      <c r="AI3" s="6"/>
      <c r="AJ3" s="6"/>
      <c r="AK3" s="6"/>
      <c r="AL3" s="6"/>
      <c r="AM3" s="6"/>
      <c r="AN3" s="6"/>
      <c r="AO3" s="6"/>
      <c r="AP3" s="6"/>
    </row>
    <row r="4" ht="17.25" customHeight="1">
      <c r="A4" s="33" t="s">
        <v>12</v>
      </c>
      <c r="B4" s="35" t="s">
        <v>22</v>
      </c>
      <c r="C4" s="37">
        <f>COUNTIF('Partner Platform'!I14:I1070,"PASSED")</f>
        <v>151</v>
      </c>
      <c r="D4" s="37">
        <f>COUNTIF('Partner Platform'!J14:J1070,"PASSED")</f>
        <v>0</v>
      </c>
      <c r="E4" s="37">
        <f>COUNTIFS('Partner Platform'!L14:L1070,"PASSED",'Partner Platform'!K14:K1070,"YES")</f>
        <v>151</v>
      </c>
      <c r="F4" s="9"/>
      <c r="G4" s="9"/>
      <c r="H4" s="9"/>
      <c r="I4" s="9"/>
      <c r="J4" s="9"/>
      <c r="K4" s="9"/>
      <c r="L4" s="9"/>
      <c r="M4" s="9"/>
      <c r="N4" s="9"/>
      <c r="O4" s="11"/>
      <c r="P4" s="9"/>
      <c r="Q4" s="13"/>
      <c r="R4" s="14"/>
      <c r="S4" s="14"/>
      <c r="T4" s="15"/>
      <c r="U4" s="6"/>
      <c r="V4" s="6"/>
      <c r="W4" s="6"/>
      <c r="X4" s="6"/>
      <c r="Y4" s="6"/>
      <c r="Z4" s="6"/>
      <c r="AA4" s="6"/>
      <c r="AB4" s="6"/>
      <c r="AC4" s="6"/>
      <c r="AD4" s="6"/>
      <c r="AE4" s="6"/>
      <c r="AF4" s="6"/>
      <c r="AG4" s="6"/>
      <c r="AH4" s="6"/>
      <c r="AI4" s="6"/>
      <c r="AJ4" s="6"/>
      <c r="AK4" s="6"/>
      <c r="AL4" s="6"/>
      <c r="AM4" s="6"/>
      <c r="AN4" s="6"/>
      <c r="AO4" s="6"/>
      <c r="AP4" s="6"/>
    </row>
    <row r="5" ht="17.25" customHeight="1">
      <c r="A5" s="39" t="s">
        <v>13</v>
      </c>
      <c r="B5" s="40" t="s">
        <v>24</v>
      </c>
      <c r="C5" s="41">
        <f>COUNTIF('Partner Platform'!I14:I1070,"FAILED")</f>
        <v>12</v>
      </c>
      <c r="D5" s="41">
        <f>COUNTIF('Partner Platform'!J14:J1070,"FAILED")</f>
        <v>0</v>
      </c>
      <c r="E5" s="41">
        <f>COUNTIFS('Partner Platform'!L14:L1070,"FAILED",'Partner Platform'!K14:K1070,"YES")</f>
        <v>12</v>
      </c>
      <c r="F5" s="9"/>
      <c r="G5" s="9"/>
      <c r="H5" s="9"/>
      <c r="I5" s="9"/>
      <c r="J5" s="9"/>
      <c r="K5" s="9"/>
      <c r="L5" s="9"/>
      <c r="M5" s="9"/>
      <c r="N5" s="9"/>
      <c r="O5" s="11"/>
      <c r="P5" s="9"/>
      <c r="Q5" s="13"/>
      <c r="R5" s="14"/>
      <c r="S5" s="14"/>
      <c r="T5" s="15"/>
      <c r="U5" s="6"/>
      <c r="V5" s="6"/>
      <c r="W5" s="6"/>
      <c r="X5" s="6"/>
      <c r="Y5" s="6"/>
      <c r="Z5" s="6"/>
      <c r="AA5" s="6"/>
      <c r="AB5" s="6"/>
      <c r="AC5" s="6"/>
      <c r="AD5" s="6"/>
      <c r="AE5" s="6"/>
      <c r="AF5" s="6"/>
      <c r="AG5" s="6"/>
      <c r="AH5" s="6"/>
      <c r="AI5" s="6"/>
      <c r="AJ5" s="6"/>
      <c r="AK5" s="6"/>
      <c r="AL5" s="6"/>
      <c r="AM5" s="6"/>
      <c r="AN5" s="6"/>
      <c r="AO5" s="6"/>
      <c r="AP5" s="6"/>
    </row>
    <row r="6" ht="17.25" customHeight="1">
      <c r="A6" s="44" t="s">
        <v>27</v>
      </c>
      <c r="B6" s="46" t="s">
        <v>29</v>
      </c>
      <c r="C6" s="47">
        <f>COUNTIF('Partner Platform'!I14:I1070,"NOT_STARTED")</f>
        <v>2</v>
      </c>
      <c r="D6" s="47">
        <f>COUNTIF('Partner Platform'!J14:J1070,"NOT_STARTED")</f>
        <v>165</v>
      </c>
      <c r="E6" s="47">
        <f>COUNTIFS('Partner Platform'!L14:L1070,"NOT_STARTED",'Partner Platform'!K14:K1070,"YES")</f>
        <v>0</v>
      </c>
      <c r="F6" s="9"/>
      <c r="G6" s="9"/>
      <c r="H6" s="9"/>
      <c r="I6" s="9"/>
      <c r="J6" s="9"/>
      <c r="K6" s="9"/>
      <c r="L6" s="9"/>
      <c r="M6" s="9"/>
      <c r="N6" s="9"/>
      <c r="O6" s="11"/>
      <c r="P6" s="9"/>
      <c r="Q6" s="13"/>
      <c r="R6" s="14"/>
      <c r="S6" s="14"/>
      <c r="T6" s="15"/>
      <c r="U6" s="6"/>
      <c r="V6" s="6"/>
      <c r="W6" s="6"/>
      <c r="X6" s="6"/>
      <c r="Y6" s="6"/>
      <c r="Z6" s="6"/>
      <c r="AA6" s="6"/>
      <c r="AB6" s="6"/>
      <c r="AC6" s="6"/>
      <c r="AD6" s="6"/>
      <c r="AE6" s="6"/>
      <c r="AF6" s="6"/>
      <c r="AG6" s="6"/>
      <c r="AH6" s="6"/>
      <c r="AI6" s="6"/>
      <c r="AJ6" s="6"/>
      <c r="AK6" s="6"/>
      <c r="AL6" s="6"/>
      <c r="AM6" s="6"/>
      <c r="AN6" s="6"/>
      <c r="AO6" s="6"/>
      <c r="AP6" s="6"/>
    </row>
    <row r="7" ht="17.25" customHeight="1">
      <c r="A7" s="53" t="s">
        <v>43</v>
      </c>
      <c r="B7" s="54" t="s">
        <v>44</v>
      </c>
      <c r="C7" s="56">
        <f>COUNTIF('Partner Platform'!I14:I1070,"IN_PROGRESS")</f>
        <v>0</v>
      </c>
      <c r="D7" s="56">
        <f>COUNTIF('Partner Platform'!J14:J1070,"IN_PROGRESS")</f>
        <v>0</v>
      </c>
      <c r="E7" s="56">
        <f>COUNTIFS('Partner Platform'!L14:L1070,"IN_PROGRESS",'Partner Platform'!K14:K1070,"YES")</f>
        <v>0</v>
      </c>
      <c r="F7" s="9"/>
      <c r="G7" s="9"/>
      <c r="H7" s="9"/>
      <c r="I7" s="9"/>
      <c r="J7" s="9"/>
      <c r="K7" s="9"/>
      <c r="L7" s="9"/>
      <c r="M7" s="9"/>
      <c r="N7" s="9"/>
      <c r="O7" s="11"/>
      <c r="P7" s="9"/>
      <c r="Q7" s="13"/>
      <c r="R7" s="14"/>
      <c r="S7" s="14"/>
      <c r="T7" s="15"/>
      <c r="U7" s="6"/>
      <c r="V7" s="6"/>
      <c r="W7" s="6"/>
      <c r="X7" s="6"/>
      <c r="Y7" s="6"/>
      <c r="Z7" s="6"/>
      <c r="AA7" s="6"/>
      <c r="AB7" s="6"/>
      <c r="AC7" s="6"/>
      <c r="AD7" s="6"/>
      <c r="AE7" s="6"/>
      <c r="AF7" s="6"/>
      <c r="AG7" s="6"/>
      <c r="AH7" s="6"/>
      <c r="AI7" s="6"/>
      <c r="AJ7" s="6"/>
      <c r="AK7" s="6"/>
      <c r="AL7" s="6"/>
      <c r="AM7" s="6"/>
      <c r="AN7" s="6"/>
      <c r="AO7" s="6"/>
      <c r="AP7" s="6"/>
    </row>
    <row r="8" ht="17.25" customHeight="1">
      <c r="A8" s="58" t="s">
        <v>17</v>
      </c>
      <c r="B8" s="59" t="s">
        <v>45</v>
      </c>
      <c r="C8" s="60">
        <f>COUNTIF('Partner Platform'!I14:I1070,"BLOCKED")</f>
        <v>140</v>
      </c>
      <c r="D8" s="60">
        <f>COUNTIF('Partner Platform'!J14:J1070,"BLOCKED")</f>
        <v>140</v>
      </c>
      <c r="E8" s="60">
        <f>COUNTIFS('Partner Platform'!L14:L1070,"BLOCKED",'Partner Platform'!K14:K1070,"YES")</f>
        <v>0</v>
      </c>
      <c r="F8" s="9"/>
      <c r="G8" s="9"/>
      <c r="H8" s="9"/>
      <c r="I8" s="9"/>
      <c r="J8" s="9"/>
      <c r="K8" s="9"/>
      <c r="L8" s="9"/>
      <c r="M8" s="9"/>
      <c r="N8" s="9"/>
      <c r="O8" s="11"/>
      <c r="P8" s="9"/>
      <c r="Q8" s="13"/>
      <c r="R8" s="14"/>
      <c r="S8" s="14"/>
      <c r="T8" s="15"/>
      <c r="U8" s="6"/>
      <c r="V8" s="6"/>
      <c r="W8" s="6"/>
      <c r="X8" s="6"/>
      <c r="Y8" s="6"/>
      <c r="Z8" s="6"/>
      <c r="AA8" s="6"/>
      <c r="AB8" s="6"/>
      <c r="AC8" s="6"/>
      <c r="AD8" s="6"/>
      <c r="AE8" s="6"/>
      <c r="AF8" s="6"/>
      <c r="AG8" s="6"/>
      <c r="AH8" s="6"/>
      <c r="AI8" s="6"/>
      <c r="AJ8" s="6"/>
      <c r="AK8" s="6"/>
      <c r="AL8" s="6"/>
      <c r="AM8" s="6"/>
      <c r="AN8" s="6"/>
      <c r="AO8" s="6"/>
      <c r="AP8" s="6"/>
    </row>
    <row r="9" ht="17.25" customHeight="1">
      <c r="A9" s="11"/>
      <c r="B9" s="11"/>
      <c r="C9" s="11"/>
      <c r="D9" s="11"/>
      <c r="E9" s="11"/>
      <c r="F9" s="11"/>
      <c r="G9" s="9"/>
      <c r="H9" s="9"/>
      <c r="I9" s="9"/>
      <c r="J9" s="9"/>
      <c r="K9" s="9"/>
      <c r="L9" s="9"/>
      <c r="M9" s="9"/>
      <c r="N9" s="9"/>
      <c r="O9" s="11"/>
      <c r="P9" s="9"/>
      <c r="Q9" s="13"/>
      <c r="R9" s="14"/>
      <c r="S9" s="14"/>
      <c r="T9" s="15"/>
      <c r="U9" s="6"/>
      <c r="V9" s="6"/>
      <c r="W9" s="6"/>
      <c r="X9" s="6"/>
      <c r="Y9" s="6"/>
      <c r="Z9" s="6"/>
      <c r="AA9" s="6"/>
      <c r="AB9" s="6"/>
      <c r="AC9" s="6"/>
      <c r="AD9" s="6"/>
      <c r="AE9" s="6"/>
      <c r="AF9" s="6"/>
      <c r="AG9" s="6"/>
      <c r="AH9" s="6"/>
      <c r="AI9" s="6"/>
      <c r="AJ9" s="6"/>
      <c r="AK9" s="6"/>
      <c r="AL9" s="6"/>
      <c r="AM9" s="6"/>
      <c r="AN9" s="6"/>
      <c r="AO9" s="6"/>
      <c r="AP9" s="6"/>
    </row>
    <row r="10" ht="17.25" customHeight="1">
      <c r="A10" s="11"/>
      <c r="B10" s="11"/>
      <c r="C10" s="11"/>
      <c r="D10" s="11"/>
      <c r="E10" s="11"/>
      <c r="F10" s="11"/>
      <c r="G10" s="9"/>
      <c r="H10" s="9"/>
      <c r="I10" s="9"/>
      <c r="J10" s="9"/>
      <c r="K10" s="9"/>
      <c r="L10" s="9"/>
      <c r="M10" s="9"/>
      <c r="N10" s="9"/>
      <c r="O10" s="11"/>
      <c r="P10" s="9"/>
      <c r="Q10" s="13"/>
      <c r="R10" s="14"/>
      <c r="S10" s="14"/>
      <c r="T10" s="15"/>
      <c r="U10" s="6"/>
      <c r="V10" s="6"/>
      <c r="W10" s="6"/>
      <c r="X10" s="6"/>
      <c r="Y10" s="6"/>
      <c r="Z10" s="6"/>
      <c r="AA10" s="6"/>
      <c r="AB10" s="6"/>
      <c r="AC10" s="6"/>
      <c r="AD10" s="6"/>
      <c r="AE10" s="6"/>
      <c r="AF10" s="6"/>
      <c r="AG10" s="6"/>
      <c r="AH10" s="6"/>
      <c r="AI10" s="6"/>
      <c r="AJ10" s="6"/>
      <c r="AK10" s="6"/>
      <c r="AL10" s="6"/>
      <c r="AM10" s="6"/>
      <c r="AN10" s="6"/>
      <c r="AO10" s="6"/>
      <c r="AP10" s="6"/>
    </row>
    <row r="11" ht="17.25" customHeight="1">
      <c r="A11" s="61"/>
      <c r="B11" s="15"/>
      <c r="C11" s="15"/>
      <c r="D11" s="15"/>
      <c r="E11" s="15"/>
      <c r="F11" s="15"/>
      <c r="G11" s="62"/>
      <c r="H11" s="62"/>
      <c r="I11" s="62"/>
      <c r="J11" s="62"/>
      <c r="K11" s="62"/>
      <c r="L11" s="62"/>
      <c r="M11" s="62"/>
      <c r="N11" s="62"/>
      <c r="O11" s="15"/>
      <c r="P11" s="62"/>
      <c r="Q11" s="63"/>
      <c r="R11" s="63"/>
      <c r="S11" s="63"/>
      <c r="T11" s="15"/>
      <c r="U11" s="6"/>
      <c r="V11" s="6"/>
      <c r="W11" s="6"/>
      <c r="X11" s="6"/>
      <c r="Y11" s="6"/>
      <c r="Z11" s="6"/>
      <c r="AA11" s="6"/>
      <c r="AB11" s="6"/>
      <c r="AC11" s="6"/>
      <c r="AD11" s="6"/>
      <c r="AE11" s="6"/>
      <c r="AF11" s="6"/>
      <c r="AG11" s="6"/>
      <c r="AH11" s="6"/>
      <c r="AI11" s="6"/>
      <c r="AJ11" s="6"/>
      <c r="AK11" s="6"/>
      <c r="AL11" s="6"/>
      <c r="AM11" s="6"/>
      <c r="AN11" s="6"/>
      <c r="AO11" s="6"/>
      <c r="AP11" s="6"/>
    </row>
    <row r="12" ht="36.0" customHeight="1">
      <c r="A12" s="64" t="s">
        <v>49</v>
      </c>
      <c r="B12" s="64" t="s">
        <v>51</v>
      </c>
      <c r="C12" s="67" t="s">
        <v>52</v>
      </c>
      <c r="D12" s="67" t="s">
        <v>53</v>
      </c>
      <c r="E12" s="67" t="s">
        <v>54</v>
      </c>
      <c r="F12" s="64" t="s">
        <v>55</v>
      </c>
      <c r="G12" s="68" t="s">
        <v>56</v>
      </c>
      <c r="H12" s="68" t="s">
        <v>57</v>
      </c>
      <c r="I12" s="68" t="s">
        <v>46</v>
      </c>
      <c r="J12" s="68" t="s">
        <v>58</v>
      </c>
      <c r="K12" s="68" t="s">
        <v>59</v>
      </c>
      <c r="L12" s="68" t="s">
        <v>60</v>
      </c>
      <c r="M12" s="68" t="s">
        <v>61</v>
      </c>
      <c r="N12" s="68" t="s">
        <v>62</v>
      </c>
      <c r="O12" s="64" t="s">
        <v>63</v>
      </c>
      <c r="P12" s="68" t="s">
        <v>64</v>
      </c>
      <c r="Q12" s="64" t="s">
        <v>35</v>
      </c>
      <c r="R12" s="70" t="s">
        <v>65</v>
      </c>
      <c r="S12" s="70" t="s">
        <v>66</v>
      </c>
      <c r="T12" s="71" t="s">
        <v>67</v>
      </c>
      <c r="U12" s="6"/>
      <c r="V12" s="6"/>
      <c r="W12" s="6"/>
      <c r="X12" s="6"/>
      <c r="Y12" s="6"/>
      <c r="Z12" s="6"/>
      <c r="AA12" s="6"/>
      <c r="AB12" s="6"/>
      <c r="AC12" s="6"/>
      <c r="AD12" s="6"/>
      <c r="AE12" s="6"/>
      <c r="AF12" s="6"/>
      <c r="AG12" s="6"/>
      <c r="AH12" s="6"/>
      <c r="AI12" s="6"/>
      <c r="AJ12" s="6"/>
      <c r="AK12" s="6"/>
      <c r="AL12" s="6"/>
      <c r="AM12" s="6"/>
      <c r="AN12" s="6"/>
      <c r="AO12" s="6"/>
      <c r="AP12" s="6"/>
    </row>
    <row r="13" ht="17.25" customHeight="1">
      <c r="A13" s="74" t="s">
        <v>68</v>
      </c>
      <c r="B13" s="76"/>
      <c r="C13" s="76"/>
      <c r="D13" s="77"/>
      <c r="E13" s="76"/>
      <c r="F13" s="76"/>
      <c r="G13" s="76"/>
      <c r="H13" s="76"/>
      <c r="I13" s="76"/>
      <c r="J13" s="76"/>
      <c r="K13" s="76"/>
      <c r="L13" s="76"/>
      <c r="M13" s="76"/>
      <c r="N13" s="76"/>
      <c r="O13" s="77"/>
      <c r="P13" s="76"/>
      <c r="Q13" s="79"/>
      <c r="R13" s="79"/>
      <c r="S13" s="79"/>
      <c r="T13" s="80"/>
      <c r="U13" s="6"/>
      <c r="V13" s="6"/>
      <c r="W13" s="6"/>
      <c r="X13" s="6"/>
      <c r="Y13" s="6"/>
      <c r="Z13" s="6"/>
      <c r="AA13" s="6"/>
      <c r="AB13" s="6"/>
      <c r="AC13" s="6"/>
      <c r="AD13" s="6"/>
      <c r="AE13" s="6"/>
      <c r="AF13" s="6"/>
      <c r="AG13" s="6"/>
      <c r="AH13" s="6"/>
      <c r="AI13" s="6"/>
      <c r="AJ13" s="6"/>
      <c r="AK13" s="6"/>
      <c r="AL13" s="6"/>
      <c r="AM13" s="6"/>
      <c r="AN13" s="6"/>
      <c r="AO13" s="6"/>
      <c r="AP13" s="6"/>
    </row>
    <row r="14" ht="17.25" customHeight="1">
      <c r="A14" s="83" t="s">
        <v>69</v>
      </c>
      <c r="B14" s="84" t="s">
        <v>70</v>
      </c>
      <c r="C14" s="86" t="s">
        <v>71</v>
      </c>
      <c r="D14" s="87">
        <v>1.2060301E7</v>
      </c>
      <c r="E14" s="86" t="s">
        <v>72</v>
      </c>
      <c r="F14" s="86" t="s">
        <v>73</v>
      </c>
      <c r="G14" s="89" t="s">
        <v>74</v>
      </c>
      <c r="H14" s="89" t="s">
        <v>75</v>
      </c>
      <c r="I14" s="89" t="str">
        <f t="shared" ref="I14:I123" si="2">IF(K14="No",J14,IF(OR(J14="FAILED",L14="FAILED"),"FAILED",IF(OR(J14="PASSED",L14="PASSED"),"PASSED",IF(OR(J14="IN_PROGRESS",L14="IN_PROGRESS"),"IN_PROGRESS",IF(OR(J14="BLOCKED",L14="BLOCKED"),"BLOCKED","NOT_STARTED")))))</f>
        <v>BLOCKED</v>
      </c>
      <c r="J14" s="95" t="s">
        <v>17</v>
      </c>
      <c r="K14" s="89" t="s">
        <v>78</v>
      </c>
      <c r="L14" s="89" t="s">
        <v>27</v>
      </c>
      <c r="M14" s="97" t="s">
        <v>79</v>
      </c>
      <c r="N14" s="97" t="s">
        <v>80</v>
      </c>
      <c r="O14" s="86"/>
      <c r="P14" s="97" t="s">
        <v>37</v>
      </c>
      <c r="Q14" s="98" t="s">
        <v>81</v>
      </c>
      <c r="R14" s="100"/>
      <c r="S14" s="100"/>
      <c r="T14" s="80" t="s">
        <v>82</v>
      </c>
      <c r="U14" s="6"/>
      <c r="V14" s="6"/>
      <c r="W14" s="6"/>
      <c r="X14" s="6"/>
      <c r="Y14" s="6"/>
      <c r="Z14" s="6"/>
      <c r="AA14" s="6"/>
      <c r="AB14" s="6"/>
      <c r="AC14" s="6"/>
      <c r="AD14" s="6"/>
      <c r="AE14" s="6"/>
      <c r="AF14" s="6"/>
      <c r="AG14" s="6"/>
      <c r="AH14" s="6"/>
      <c r="AI14" s="6"/>
      <c r="AJ14" s="6"/>
      <c r="AK14" s="6"/>
      <c r="AL14" s="6"/>
      <c r="AM14" s="6"/>
      <c r="AN14" s="6"/>
      <c r="AO14" s="6"/>
      <c r="AP14" s="6"/>
    </row>
    <row r="15" ht="17.25" customHeight="1">
      <c r="A15" s="103"/>
      <c r="B15" s="103"/>
      <c r="C15" s="86" t="s">
        <v>83</v>
      </c>
      <c r="D15" s="87">
        <v>1.2060302E7</v>
      </c>
      <c r="E15" s="86" t="s">
        <v>84</v>
      </c>
      <c r="F15" s="86" t="s">
        <v>73</v>
      </c>
      <c r="G15" s="89" t="s">
        <v>74</v>
      </c>
      <c r="H15" s="89" t="s">
        <v>85</v>
      </c>
      <c r="I15" s="89" t="str">
        <f t="shared" si="2"/>
        <v>PASSED</v>
      </c>
      <c r="J15" s="89" t="s">
        <v>27</v>
      </c>
      <c r="K15" s="95" t="s">
        <v>86</v>
      </c>
      <c r="L15" s="95" t="s">
        <v>12</v>
      </c>
      <c r="M15" s="97" t="s">
        <v>87</v>
      </c>
      <c r="N15" s="97" t="s">
        <v>80</v>
      </c>
      <c r="O15" s="86"/>
      <c r="P15" s="97" t="s">
        <v>37</v>
      </c>
      <c r="Q15" s="98" t="s">
        <v>88</v>
      </c>
      <c r="R15" s="109" t="s">
        <v>89</v>
      </c>
      <c r="S15" s="109" t="s">
        <v>91</v>
      </c>
      <c r="T15" s="80" t="s">
        <v>92</v>
      </c>
      <c r="U15" s="6"/>
      <c r="V15" s="6"/>
      <c r="W15" s="6"/>
      <c r="X15" s="6"/>
      <c r="Y15" s="6"/>
      <c r="Z15" s="6"/>
      <c r="AA15" s="6"/>
      <c r="AB15" s="6"/>
      <c r="AC15" s="6"/>
      <c r="AD15" s="6"/>
      <c r="AE15" s="6"/>
      <c r="AF15" s="6"/>
      <c r="AG15" s="6"/>
      <c r="AH15" s="6"/>
      <c r="AI15" s="6"/>
      <c r="AJ15" s="6"/>
      <c r="AK15" s="6"/>
      <c r="AL15" s="6"/>
      <c r="AM15" s="6"/>
      <c r="AN15" s="6"/>
      <c r="AO15" s="6"/>
      <c r="AP15" s="6"/>
    </row>
    <row r="16" ht="17.25" customHeight="1">
      <c r="A16" s="103"/>
      <c r="B16" s="103"/>
      <c r="C16" s="86" t="s">
        <v>94</v>
      </c>
      <c r="D16" s="87">
        <v>1.2060303E7</v>
      </c>
      <c r="E16" s="86" t="s">
        <v>95</v>
      </c>
      <c r="F16" s="86" t="s">
        <v>73</v>
      </c>
      <c r="G16" s="89" t="s">
        <v>74</v>
      </c>
      <c r="H16" s="89" t="s">
        <v>85</v>
      </c>
      <c r="I16" s="89" t="str">
        <f t="shared" si="2"/>
        <v>BLOCKED</v>
      </c>
      <c r="J16" s="95" t="s">
        <v>17</v>
      </c>
      <c r="K16" s="89" t="s">
        <v>78</v>
      </c>
      <c r="L16" s="89" t="s">
        <v>27</v>
      </c>
      <c r="M16" s="97" t="s">
        <v>96</v>
      </c>
      <c r="N16" s="97" t="s">
        <v>80</v>
      </c>
      <c r="O16" s="86"/>
      <c r="P16" s="97" t="s">
        <v>37</v>
      </c>
      <c r="Q16" s="98" t="s">
        <v>97</v>
      </c>
      <c r="R16" s="100"/>
      <c r="S16" s="100"/>
      <c r="T16" s="80" t="s">
        <v>92</v>
      </c>
      <c r="U16" s="6"/>
      <c r="V16" s="6"/>
      <c r="W16" s="6"/>
      <c r="X16" s="6"/>
      <c r="Y16" s="6"/>
      <c r="Z16" s="6"/>
      <c r="AA16" s="6"/>
      <c r="AB16" s="6"/>
      <c r="AC16" s="6"/>
      <c r="AD16" s="6"/>
      <c r="AE16" s="6"/>
      <c r="AF16" s="6"/>
      <c r="AG16" s="6"/>
      <c r="AH16" s="6"/>
      <c r="AI16" s="6"/>
      <c r="AJ16" s="6"/>
      <c r="AK16" s="6"/>
      <c r="AL16" s="6"/>
      <c r="AM16" s="6"/>
      <c r="AN16" s="6"/>
      <c r="AO16" s="6"/>
      <c r="AP16" s="6"/>
    </row>
    <row r="17" ht="17.25" customHeight="1">
      <c r="A17" s="103"/>
      <c r="B17" s="103"/>
      <c r="C17" s="86" t="s">
        <v>99</v>
      </c>
      <c r="D17" s="87">
        <v>1.2060304E7</v>
      </c>
      <c r="E17" s="86" t="s">
        <v>100</v>
      </c>
      <c r="F17" s="86" t="s">
        <v>73</v>
      </c>
      <c r="G17" s="89" t="s">
        <v>74</v>
      </c>
      <c r="H17" s="89" t="s">
        <v>85</v>
      </c>
      <c r="I17" s="89" t="str">
        <f t="shared" si="2"/>
        <v>BLOCKED</v>
      </c>
      <c r="J17" s="95" t="s">
        <v>17</v>
      </c>
      <c r="K17" s="89" t="s">
        <v>78</v>
      </c>
      <c r="L17" s="89" t="s">
        <v>27</v>
      </c>
      <c r="M17" s="97" t="s">
        <v>87</v>
      </c>
      <c r="N17" s="97" t="s">
        <v>80</v>
      </c>
      <c r="O17" s="86"/>
      <c r="P17" s="97" t="s">
        <v>37</v>
      </c>
      <c r="Q17" s="98" t="s">
        <v>103</v>
      </c>
      <c r="R17" s="100"/>
      <c r="S17" s="100"/>
      <c r="T17" s="80" t="s">
        <v>92</v>
      </c>
      <c r="U17" s="6"/>
      <c r="V17" s="6"/>
      <c r="W17" s="6"/>
      <c r="X17" s="6"/>
      <c r="Y17" s="6"/>
      <c r="Z17" s="6"/>
      <c r="AA17" s="6"/>
      <c r="AB17" s="6"/>
      <c r="AC17" s="6"/>
      <c r="AD17" s="6"/>
      <c r="AE17" s="6"/>
      <c r="AF17" s="6"/>
      <c r="AG17" s="6"/>
      <c r="AH17" s="6"/>
      <c r="AI17" s="6"/>
      <c r="AJ17" s="6"/>
      <c r="AK17" s="6"/>
      <c r="AL17" s="6"/>
      <c r="AM17" s="6"/>
      <c r="AN17" s="6"/>
      <c r="AO17" s="6"/>
      <c r="AP17" s="6"/>
    </row>
    <row r="18" ht="17.25" customHeight="1">
      <c r="A18" s="103"/>
      <c r="B18" s="103"/>
      <c r="C18" s="86" t="s">
        <v>104</v>
      </c>
      <c r="D18" s="87">
        <v>1.2060305E7</v>
      </c>
      <c r="E18" s="86" t="s">
        <v>105</v>
      </c>
      <c r="F18" s="86" t="s">
        <v>73</v>
      </c>
      <c r="G18" s="89" t="s">
        <v>74</v>
      </c>
      <c r="H18" s="89" t="s">
        <v>75</v>
      </c>
      <c r="I18" s="89" t="str">
        <f t="shared" si="2"/>
        <v>BLOCKED</v>
      </c>
      <c r="J18" s="95" t="s">
        <v>17</v>
      </c>
      <c r="K18" s="89" t="s">
        <v>78</v>
      </c>
      <c r="L18" s="89" t="s">
        <v>27</v>
      </c>
      <c r="M18" s="97" t="s">
        <v>112</v>
      </c>
      <c r="N18" s="97" t="s">
        <v>80</v>
      </c>
      <c r="O18" s="86"/>
      <c r="P18" s="97" t="s">
        <v>37</v>
      </c>
      <c r="Q18" s="98" t="s">
        <v>113</v>
      </c>
      <c r="R18" s="100"/>
      <c r="S18" s="100"/>
      <c r="T18" s="80" t="s">
        <v>92</v>
      </c>
      <c r="U18" s="6"/>
      <c r="V18" s="6"/>
      <c r="W18" s="6"/>
      <c r="X18" s="6"/>
      <c r="Y18" s="6"/>
      <c r="Z18" s="6"/>
      <c r="AA18" s="6"/>
      <c r="AB18" s="6"/>
      <c r="AC18" s="6"/>
      <c r="AD18" s="6"/>
      <c r="AE18" s="6"/>
      <c r="AF18" s="6"/>
      <c r="AG18" s="6"/>
      <c r="AH18" s="6"/>
      <c r="AI18" s="6"/>
      <c r="AJ18" s="6"/>
      <c r="AK18" s="6"/>
      <c r="AL18" s="6"/>
      <c r="AM18" s="6"/>
      <c r="AN18" s="6"/>
      <c r="AO18" s="6"/>
      <c r="AP18" s="6"/>
    </row>
    <row r="19" ht="17.25" customHeight="1">
      <c r="A19" s="103"/>
      <c r="B19" s="103"/>
      <c r="C19" s="86" t="s">
        <v>117</v>
      </c>
      <c r="D19" s="87">
        <v>1.2060306E7</v>
      </c>
      <c r="E19" s="86" t="s">
        <v>119</v>
      </c>
      <c r="F19" s="86" t="s">
        <v>121</v>
      </c>
      <c r="G19" s="89" t="s">
        <v>74</v>
      </c>
      <c r="H19" s="89" t="s">
        <v>75</v>
      </c>
      <c r="I19" s="89" t="str">
        <f t="shared" si="2"/>
        <v>BLOCKED</v>
      </c>
      <c r="J19" s="95" t="s">
        <v>17</v>
      </c>
      <c r="K19" s="89" t="s">
        <v>78</v>
      </c>
      <c r="L19" s="89" t="s">
        <v>27</v>
      </c>
      <c r="M19" s="97" t="s">
        <v>126</v>
      </c>
      <c r="N19" s="97" t="s">
        <v>80</v>
      </c>
      <c r="O19" s="86"/>
      <c r="P19" s="97" t="s">
        <v>37</v>
      </c>
      <c r="Q19" s="98" t="s">
        <v>128</v>
      </c>
      <c r="R19" s="100"/>
      <c r="S19" s="100"/>
      <c r="T19" s="80" t="s">
        <v>129</v>
      </c>
      <c r="U19" s="6"/>
      <c r="V19" s="6"/>
      <c r="W19" s="6"/>
      <c r="X19" s="6"/>
      <c r="Y19" s="6"/>
      <c r="Z19" s="6"/>
      <c r="AA19" s="6"/>
      <c r="AB19" s="6"/>
      <c r="AC19" s="6"/>
      <c r="AD19" s="6"/>
      <c r="AE19" s="6"/>
      <c r="AF19" s="6"/>
      <c r="AG19" s="6"/>
      <c r="AH19" s="6"/>
      <c r="AI19" s="6"/>
      <c r="AJ19" s="6"/>
      <c r="AK19" s="6"/>
      <c r="AL19" s="6"/>
      <c r="AM19" s="6"/>
      <c r="AN19" s="6"/>
      <c r="AO19" s="6"/>
      <c r="AP19" s="6"/>
    </row>
    <row r="20" ht="17.25" customHeight="1">
      <c r="A20" s="103"/>
      <c r="B20" s="103"/>
      <c r="C20" s="86" t="s">
        <v>132</v>
      </c>
      <c r="D20" s="87">
        <v>1.2060307E7</v>
      </c>
      <c r="E20" s="86" t="s">
        <v>134</v>
      </c>
      <c r="F20" s="86" t="s">
        <v>73</v>
      </c>
      <c r="G20" s="89" t="s">
        <v>74</v>
      </c>
      <c r="H20" s="89" t="s">
        <v>85</v>
      </c>
      <c r="I20" s="89" t="str">
        <f t="shared" si="2"/>
        <v>BLOCKED</v>
      </c>
      <c r="J20" s="95" t="s">
        <v>17</v>
      </c>
      <c r="K20" s="89" t="s">
        <v>78</v>
      </c>
      <c r="L20" s="89" t="s">
        <v>27</v>
      </c>
      <c r="M20" s="97" t="s">
        <v>112</v>
      </c>
      <c r="N20" s="97" t="s">
        <v>80</v>
      </c>
      <c r="O20" s="86"/>
      <c r="P20" s="97" t="s">
        <v>37</v>
      </c>
      <c r="Q20" s="98" t="s">
        <v>139</v>
      </c>
      <c r="R20" s="100"/>
      <c r="S20" s="100"/>
      <c r="T20" s="80" t="s">
        <v>92</v>
      </c>
      <c r="U20" s="6"/>
      <c r="V20" s="6"/>
      <c r="W20" s="6"/>
      <c r="X20" s="6"/>
      <c r="Y20" s="6"/>
      <c r="Z20" s="6"/>
      <c r="AA20" s="6"/>
      <c r="AB20" s="6"/>
      <c r="AC20" s="6"/>
      <c r="AD20" s="6"/>
      <c r="AE20" s="6"/>
      <c r="AF20" s="6"/>
      <c r="AG20" s="6"/>
      <c r="AH20" s="6"/>
      <c r="AI20" s="6"/>
      <c r="AJ20" s="6"/>
      <c r="AK20" s="6"/>
      <c r="AL20" s="6"/>
      <c r="AM20" s="6"/>
      <c r="AN20" s="6"/>
      <c r="AO20" s="6"/>
      <c r="AP20" s="6"/>
    </row>
    <row r="21" ht="17.25" customHeight="1">
      <c r="A21" s="103"/>
      <c r="B21" s="103"/>
      <c r="C21" s="86" t="s">
        <v>142</v>
      </c>
      <c r="D21" s="87">
        <v>1.2060308E7</v>
      </c>
      <c r="E21" s="86" t="s">
        <v>144</v>
      </c>
      <c r="F21" s="86" t="s">
        <v>73</v>
      </c>
      <c r="G21" s="89" t="s">
        <v>146</v>
      </c>
      <c r="H21" s="89" t="s">
        <v>85</v>
      </c>
      <c r="I21" s="89" t="str">
        <f t="shared" si="2"/>
        <v>BLOCKED</v>
      </c>
      <c r="J21" s="95" t="s">
        <v>17</v>
      </c>
      <c r="K21" s="89" t="s">
        <v>78</v>
      </c>
      <c r="L21" s="89" t="s">
        <v>27</v>
      </c>
      <c r="M21" s="97" t="s">
        <v>149</v>
      </c>
      <c r="N21" s="97" t="s">
        <v>80</v>
      </c>
      <c r="O21" s="86"/>
      <c r="P21" s="97" t="s">
        <v>37</v>
      </c>
      <c r="Q21" s="98" t="s">
        <v>151</v>
      </c>
      <c r="R21" s="100"/>
      <c r="S21" s="100"/>
      <c r="T21" s="128">
        <v>46305.0</v>
      </c>
      <c r="U21" s="6"/>
      <c r="V21" s="6"/>
      <c r="W21" s="6"/>
      <c r="X21" s="6"/>
      <c r="Y21" s="6"/>
      <c r="Z21" s="6"/>
      <c r="AA21" s="6"/>
      <c r="AB21" s="6"/>
      <c r="AC21" s="6"/>
      <c r="AD21" s="6"/>
      <c r="AE21" s="6"/>
      <c r="AF21" s="6"/>
      <c r="AG21" s="6"/>
      <c r="AH21" s="6"/>
      <c r="AI21" s="6"/>
      <c r="AJ21" s="6"/>
      <c r="AK21" s="6"/>
      <c r="AL21" s="6"/>
      <c r="AM21" s="6"/>
      <c r="AN21" s="6"/>
      <c r="AO21" s="6"/>
      <c r="AP21" s="6"/>
    </row>
    <row r="22" ht="17.25" customHeight="1">
      <c r="A22" s="103"/>
      <c r="B22" s="103"/>
      <c r="C22" s="86" t="s">
        <v>156</v>
      </c>
      <c r="D22" s="87">
        <v>1.2060309E7</v>
      </c>
      <c r="E22" s="86" t="s">
        <v>159</v>
      </c>
      <c r="F22" s="86" t="s">
        <v>121</v>
      </c>
      <c r="G22" s="89" t="s">
        <v>146</v>
      </c>
      <c r="H22" s="89" t="s">
        <v>85</v>
      </c>
      <c r="I22" s="89" t="str">
        <f t="shared" si="2"/>
        <v>BLOCKED</v>
      </c>
      <c r="J22" s="95" t="s">
        <v>17</v>
      </c>
      <c r="K22" s="89" t="s">
        <v>78</v>
      </c>
      <c r="L22" s="89" t="s">
        <v>27</v>
      </c>
      <c r="M22" s="97" t="s">
        <v>87</v>
      </c>
      <c r="N22" s="97" t="s">
        <v>80</v>
      </c>
      <c r="O22" s="86"/>
      <c r="P22" s="97" t="s">
        <v>37</v>
      </c>
      <c r="Q22" s="98" t="s">
        <v>164</v>
      </c>
      <c r="R22" s="100"/>
      <c r="S22" s="100"/>
      <c r="T22" s="80" t="s">
        <v>92</v>
      </c>
      <c r="U22" s="6"/>
      <c r="V22" s="6"/>
      <c r="W22" s="6"/>
      <c r="X22" s="6"/>
      <c r="Y22" s="6"/>
      <c r="Z22" s="6"/>
      <c r="AA22" s="6"/>
      <c r="AB22" s="6"/>
      <c r="AC22" s="6"/>
      <c r="AD22" s="6"/>
      <c r="AE22" s="6"/>
      <c r="AF22" s="6"/>
      <c r="AG22" s="6"/>
      <c r="AH22" s="6"/>
      <c r="AI22" s="6"/>
      <c r="AJ22" s="6"/>
      <c r="AK22" s="6"/>
      <c r="AL22" s="6"/>
      <c r="AM22" s="6"/>
      <c r="AN22" s="6"/>
      <c r="AO22" s="6"/>
      <c r="AP22" s="6"/>
    </row>
    <row r="23" ht="17.25" customHeight="1">
      <c r="A23" s="103"/>
      <c r="B23" s="26"/>
      <c r="C23" s="87" t="s">
        <v>168</v>
      </c>
      <c r="D23" s="87"/>
      <c r="E23" s="87" t="s">
        <v>169</v>
      </c>
      <c r="F23" s="87" t="s">
        <v>73</v>
      </c>
      <c r="G23" s="95" t="s">
        <v>74</v>
      </c>
      <c r="H23" s="95" t="s">
        <v>85</v>
      </c>
      <c r="I23" s="89" t="str">
        <f t="shared" si="2"/>
        <v>BLOCKED</v>
      </c>
      <c r="J23" s="95" t="s">
        <v>17</v>
      </c>
      <c r="K23" s="89" t="s">
        <v>78</v>
      </c>
      <c r="L23" s="89" t="s">
        <v>27</v>
      </c>
      <c r="M23" s="129" t="s">
        <v>175</v>
      </c>
      <c r="N23" s="130" t="s">
        <v>80</v>
      </c>
      <c r="O23" s="86"/>
      <c r="P23" s="129" t="s">
        <v>37</v>
      </c>
      <c r="Q23" s="98" t="s">
        <v>191</v>
      </c>
      <c r="R23" s="109"/>
      <c r="S23" s="109"/>
      <c r="T23" s="128">
        <v>46178.0</v>
      </c>
      <c r="U23" s="6"/>
      <c r="V23" s="6"/>
      <c r="W23" s="6"/>
      <c r="X23" s="6"/>
      <c r="Y23" s="6"/>
      <c r="Z23" s="6"/>
      <c r="AA23" s="6"/>
      <c r="AB23" s="6"/>
      <c r="AC23" s="6"/>
      <c r="AD23" s="6"/>
      <c r="AE23" s="6"/>
      <c r="AF23" s="6"/>
      <c r="AG23" s="6"/>
      <c r="AH23" s="6"/>
      <c r="AI23" s="6"/>
      <c r="AJ23" s="6"/>
      <c r="AK23" s="6"/>
      <c r="AL23" s="6"/>
      <c r="AM23" s="6"/>
      <c r="AN23" s="6"/>
      <c r="AO23" s="6"/>
      <c r="AP23" s="6"/>
    </row>
    <row r="24" ht="17.25" customHeight="1">
      <c r="A24" s="103"/>
      <c r="B24" s="131" t="s">
        <v>194</v>
      </c>
      <c r="C24" s="87" t="s">
        <v>196</v>
      </c>
      <c r="D24" s="87"/>
      <c r="E24" s="87" t="s">
        <v>198</v>
      </c>
      <c r="F24" s="86" t="s">
        <v>73</v>
      </c>
      <c r="G24" s="95" t="s">
        <v>74</v>
      </c>
      <c r="H24" s="95" t="s">
        <v>85</v>
      </c>
      <c r="I24" s="89" t="str">
        <f t="shared" si="2"/>
        <v>BLOCKED</v>
      </c>
      <c r="J24" s="95" t="s">
        <v>17</v>
      </c>
      <c r="K24" s="89" t="s">
        <v>78</v>
      </c>
      <c r="L24" s="132" t="s">
        <v>27</v>
      </c>
      <c r="M24" s="129" t="s">
        <v>203</v>
      </c>
      <c r="N24" s="97" t="s">
        <v>80</v>
      </c>
      <c r="O24" s="86"/>
      <c r="P24" s="97" t="s">
        <v>37</v>
      </c>
      <c r="Q24" s="98" t="s">
        <v>204</v>
      </c>
      <c r="R24" s="109"/>
      <c r="S24" s="109"/>
      <c r="T24" s="128">
        <v>46207.0</v>
      </c>
      <c r="U24" s="6"/>
      <c r="V24" s="6"/>
      <c r="W24" s="6"/>
      <c r="X24" s="6"/>
      <c r="Y24" s="6"/>
      <c r="Z24" s="6"/>
      <c r="AA24" s="6"/>
      <c r="AB24" s="6"/>
      <c r="AC24" s="6"/>
      <c r="AD24" s="6"/>
      <c r="AE24" s="6"/>
      <c r="AF24" s="6"/>
      <c r="AG24" s="6"/>
      <c r="AH24" s="6"/>
      <c r="AI24" s="6"/>
      <c r="AJ24" s="6"/>
      <c r="AK24" s="6"/>
      <c r="AL24" s="6"/>
      <c r="AM24" s="6"/>
      <c r="AN24" s="6"/>
      <c r="AO24" s="6"/>
      <c r="AP24" s="6"/>
    </row>
    <row r="25" ht="17.25" customHeight="1">
      <c r="A25" s="26"/>
      <c r="B25" s="131" t="s">
        <v>208</v>
      </c>
      <c r="C25" s="87" t="s">
        <v>209</v>
      </c>
      <c r="D25" s="87"/>
      <c r="E25" s="87" t="s">
        <v>210</v>
      </c>
      <c r="F25" s="86" t="s">
        <v>73</v>
      </c>
      <c r="G25" s="95" t="s">
        <v>74</v>
      </c>
      <c r="H25" s="95" t="s">
        <v>75</v>
      </c>
      <c r="I25" s="89" t="str">
        <f t="shared" si="2"/>
        <v>BLOCKED</v>
      </c>
      <c r="J25" s="95" t="s">
        <v>17</v>
      </c>
      <c r="K25" s="89" t="s">
        <v>78</v>
      </c>
      <c r="L25" s="132" t="s">
        <v>27</v>
      </c>
      <c r="M25" s="129" t="s">
        <v>214</v>
      </c>
      <c r="N25" s="97" t="s">
        <v>80</v>
      </c>
      <c r="O25" s="86"/>
      <c r="P25" s="97" t="s">
        <v>37</v>
      </c>
      <c r="Q25" s="98" t="s">
        <v>216</v>
      </c>
      <c r="R25" s="109"/>
      <c r="S25" s="109"/>
      <c r="T25" s="133" t="s">
        <v>218</v>
      </c>
      <c r="U25" s="6"/>
      <c r="V25" s="6"/>
      <c r="W25" s="6"/>
      <c r="X25" s="6"/>
      <c r="Y25" s="6"/>
      <c r="Z25" s="6"/>
      <c r="AA25" s="6"/>
      <c r="AB25" s="6"/>
      <c r="AC25" s="6"/>
      <c r="AD25" s="6"/>
      <c r="AE25" s="6"/>
      <c r="AF25" s="6"/>
      <c r="AG25" s="6"/>
      <c r="AH25" s="6"/>
      <c r="AI25" s="6"/>
      <c r="AJ25" s="6"/>
      <c r="AK25" s="6"/>
      <c r="AL25" s="6"/>
      <c r="AM25" s="6"/>
      <c r="AN25" s="6"/>
      <c r="AO25" s="6"/>
      <c r="AP25" s="6"/>
    </row>
    <row r="26" ht="16.5" customHeight="1">
      <c r="A26" s="83" t="s">
        <v>222</v>
      </c>
      <c r="B26" s="84" t="s">
        <v>225</v>
      </c>
      <c r="C26" s="87" t="s">
        <v>109</v>
      </c>
      <c r="D26" s="87">
        <v>1.2060401E7</v>
      </c>
      <c r="E26" s="86" t="s">
        <v>110</v>
      </c>
      <c r="F26" s="134" t="s">
        <v>73</v>
      </c>
      <c r="G26" s="89" t="s">
        <v>74</v>
      </c>
      <c r="H26" s="89" t="s">
        <v>75</v>
      </c>
      <c r="I26" s="89" t="str">
        <f t="shared" si="2"/>
        <v>PASSED</v>
      </c>
      <c r="J26" s="89" t="s">
        <v>27</v>
      </c>
      <c r="K26" s="95" t="s">
        <v>86</v>
      </c>
      <c r="L26" s="95" t="s">
        <v>12</v>
      </c>
      <c r="M26" s="97" t="s">
        <v>231</v>
      </c>
      <c r="N26" s="97" t="s">
        <v>80</v>
      </c>
      <c r="O26" s="86"/>
      <c r="P26" s="97" t="s">
        <v>37</v>
      </c>
      <c r="Q26" s="98" t="s">
        <v>232</v>
      </c>
      <c r="R26" s="109" t="s">
        <v>233</v>
      </c>
      <c r="S26" s="109" t="s">
        <v>234</v>
      </c>
      <c r="T26" s="128">
        <v>46057.0</v>
      </c>
      <c r="U26" s="6"/>
      <c r="V26" s="6"/>
      <c r="W26" s="6"/>
      <c r="X26" s="6"/>
      <c r="Y26" s="6"/>
      <c r="Z26" s="6"/>
      <c r="AA26" s="6"/>
      <c r="AB26" s="6"/>
      <c r="AC26" s="6"/>
      <c r="AD26" s="6"/>
      <c r="AE26" s="6"/>
      <c r="AF26" s="6"/>
      <c r="AG26" s="6"/>
      <c r="AH26" s="6"/>
      <c r="AI26" s="6"/>
      <c r="AJ26" s="6"/>
      <c r="AK26" s="6"/>
      <c r="AL26" s="6"/>
      <c r="AM26" s="6"/>
      <c r="AN26" s="6"/>
      <c r="AO26" s="6"/>
      <c r="AP26" s="6"/>
    </row>
    <row r="27" ht="17.25" customHeight="1">
      <c r="A27" s="103"/>
      <c r="B27" s="103"/>
      <c r="C27" s="86" t="s">
        <v>114</v>
      </c>
      <c r="D27" s="87">
        <v>1.2060402E7</v>
      </c>
      <c r="E27" s="86" t="s">
        <v>115</v>
      </c>
      <c r="F27" s="86" t="s">
        <v>73</v>
      </c>
      <c r="G27" s="89" t="s">
        <v>74</v>
      </c>
      <c r="H27" s="89" t="s">
        <v>85</v>
      </c>
      <c r="I27" s="89" t="str">
        <f t="shared" si="2"/>
        <v>PASSED</v>
      </c>
      <c r="J27" s="89" t="s">
        <v>27</v>
      </c>
      <c r="K27" s="95" t="s">
        <v>86</v>
      </c>
      <c r="L27" s="95" t="s">
        <v>12</v>
      </c>
      <c r="M27" s="97" t="s">
        <v>235</v>
      </c>
      <c r="N27" s="97" t="s">
        <v>80</v>
      </c>
      <c r="O27" s="86"/>
      <c r="P27" s="97" t="s">
        <v>37</v>
      </c>
      <c r="Q27" s="98" t="s">
        <v>236</v>
      </c>
      <c r="R27" s="109" t="s">
        <v>237</v>
      </c>
      <c r="S27" s="109" t="s">
        <v>238</v>
      </c>
      <c r="T27" s="80" t="s">
        <v>239</v>
      </c>
      <c r="U27" s="6"/>
      <c r="V27" s="6"/>
      <c r="W27" s="6"/>
      <c r="X27" s="6"/>
      <c r="Y27" s="6"/>
      <c r="Z27" s="6"/>
      <c r="AA27" s="6"/>
      <c r="AB27" s="6"/>
      <c r="AC27" s="6"/>
      <c r="AD27" s="6"/>
      <c r="AE27" s="6"/>
      <c r="AF27" s="6"/>
      <c r="AG27" s="6"/>
      <c r="AH27" s="6"/>
      <c r="AI27" s="6"/>
      <c r="AJ27" s="6"/>
      <c r="AK27" s="6"/>
      <c r="AL27" s="6"/>
      <c r="AM27" s="6"/>
      <c r="AN27" s="6"/>
      <c r="AO27" s="6"/>
      <c r="AP27" s="6"/>
    </row>
    <row r="28" ht="17.25" customHeight="1">
      <c r="A28" s="103"/>
      <c r="B28" s="103"/>
      <c r="C28" s="86" t="s">
        <v>118</v>
      </c>
      <c r="D28" s="87">
        <v>1.2060403E7</v>
      </c>
      <c r="E28" s="86" t="s">
        <v>120</v>
      </c>
      <c r="F28" s="86" t="s">
        <v>73</v>
      </c>
      <c r="G28" s="89" t="s">
        <v>74</v>
      </c>
      <c r="H28" s="89" t="s">
        <v>85</v>
      </c>
      <c r="I28" s="89" t="str">
        <f t="shared" si="2"/>
        <v>FAILED</v>
      </c>
      <c r="J28" s="89" t="s">
        <v>27</v>
      </c>
      <c r="K28" s="95" t="s">
        <v>86</v>
      </c>
      <c r="L28" s="95" t="s">
        <v>13</v>
      </c>
      <c r="M28" s="97" t="s">
        <v>241</v>
      </c>
      <c r="N28" s="97" t="s">
        <v>80</v>
      </c>
      <c r="O28" s="87" t="s">
        <v>242</v>
      </c>
      <c r="P28" s="97" t="s">
        <v>37</v>
      </c>
      <c r="Q28" s="98" t="s">
        <v>243</v>
      </c>
      <c r="R28" s="109" t="s">
        <v>244</v>
      </c>
      <c r="S28" s="109" t="s">
        <v>245</v>
      </c>
      <c r="T28" s="80" t="s">
        <v>239</v>
      </c>
      <c r="U28" s="6"/>
      <c r="V28" s="6"/>
      <c r="W28" s="6"/>
      <c r="X28" s="6"/>
      <c r="Y28" s="6"/>
      <c r="Z28" s="6"/>
      <c r="AA28" s="6"/>
      <c r="AB28" s="6"/>
      <c r="AC28" s="6"/>
      <c r="AD28" s="6"/>
      <c r="AE28" s="6"/>
      <c r="AF28" s="6"/>
      <c r="AG28" s="6"/>
      <c r="AH28" s="6"/>
      <c r="AI28" s="6"/>
      <c r="AJ28" s="6"/>
      <c r="AK28" s="6"/>
      <c r="AL28" s="6"/>
      <c r="AM28" s="6"/>
      <c r="AN28" s="6"/>
      <c r="AO28" s="6"/>
      <c r="AP28" s="6"/>
    </row>
    <row r="29" ht="17.25" customHeight="1">
      <c r="A29" s="103"/>
      <c r="B29" s="103"/>
      <c r="C29" s="86" t="s">
        <v>123</v>
      </c>
      <c r="D29" s="87">
        <v>1.2060404E7</v>
      </c>
      <c r="E29" s="86" t="s">
        <v>124</v>
      </c>
      <c r="F29" s="86" t="s">
        <v>73</v>
      </c>
      <c r="G29" s="89" t="s">
        <v>74</v>
      </c>
      <c r="H29" s="89" t="s">
        <v>85</v>
      </c>
      <c r="I29" s="89" t="str">
        <f t="shared" si="2"/>
        <v>BLOCKED</v>
      </c>
      <c r="J29" s="95" t="s">
        <v>17</v>
      </c>
      <c r="K29" s="95" t="s">
        <v>78</v>
      </c>
      <c r="L29" s="95" t="s">
        <v>27</v>
      </c>
      <c r="M29" s="97" t="s">
        <v>235</v>
      </c>
      <c r="N29" s="97" t="s">
        <v>80</v>
      </c>
      <c r="O29" s="86"/>
      <c r="P29" s="97" t="s">
        <v>37</v>
      </c>
      <c r="Q29" s="98" t="s">
        <v>248</v>
      </c>
      <c r="R29" s="109"/>
      <c r="S29" s="109"/>
      <c r="T29" s="80" t="s">
        <v>239</v>
      </c>
      <c r="U29" s="6"/>
      <c r="V29" s="6"/>
      <c r="W29" s="6"/>
      <c r="X29" s="6"/>
      <c r="Y29" s="6"/>
      <c r="Z29" s="6"/>
      <c r="AA29" s="6"/>
      <c r="AB29" s="6"/>
      <c r="AC29" s="6"/>
      <c r="AD29" s="6"/>
      <c r="AE29" s="6"/>
      <c r="AF29" s="6"/>
      <c r="AG29" s="6"/>
      <c r="AH29" s="6"/>
      <c r="AI29" s="6"/>
      <c r="AJ29" s="6"/>
      <c r="AK29" s="6"/>
      <c r="AL29" s="6"/>
      <c r="AM29" s="6"/>
      <c r="AN29" s="6"/>
      <c r="AO29" s="6"/>
      <c r="AP29" s="6"/>
    </row>
    <row r="30" ht="17.25" customHeight="1">
      <c r="A30" s="103"/>
      <c r="B30" s="26"/>
      <c r="C30" s="86" t="s">
        <v>127</v>
      </c>
      <c r="D30" s="87">
        <v>1.2060405E7</v>
      </c>
      <c r="E30" s="86" t="s">
        <v>130</v>
      </c>
      <c r="F30" s="86" t="s">
        <v>73</v>
      </c>
      <c r="G30" s="89" t="s">
        <v>74</v>
      </c>
      <c r="H30" s="89" t="s">
        <v>85</v>
      </c>
      <c r="I30" s="89" t="str">
        <f t="shared" si="2"/>
        <v>FAILED</v>
      </c>
      <c r="J30" s="89" t="s">
        <v>27</v>
      </c>
      <c r="K30" s="95" t="s">
        <v>86</v>
      </c>
      <c r="L30" s="95" t="s">
        <v>13</v>
      </c>
      <c r="M30" s="97" t="s">
        <v>241</v>
      </c>
      <c r="N30" s="97" t="s">
        <v>80</v>
      </c>
      <c r="O30" s="87" t="s">
        <v>249</v>
      </c>
      <c r="P30" s="97" t="s">
        <v>37</v>
      </c>
      <c r="Q30" s="98" t="s">
        <v>250</v>
      </c>
      <c r="R30" s="109" t="s">
        <v>109</v>
      </c>
      <c r="S30" s="109" t="s">
        <v>251</v>
      </c>
      <c r="T30" s="80" t="s">
        <v>239</v>
      </c>
      <c r="U30" s="6"/>
      <c r="V30" s="6"/>
      <c r="W30" s="6"/>
      <c r="X30" s="6"/>
      <c r="Y30" s="6"/>
      <c r="Z30" s="6"/>
      <c r="AA30" s="6"/>
      <c r="AB30" s="6"/>
      <c r="AC30" s="6"/>
      <c r="AD30" s="6"/>
      <c r="AE30" s="6"/>
      <c r="AF30" s="6"/>
      <c r="AG30" s="6"/>
      <c r="AH30" s="6"/>
      <c r="AI30" s="6"/>
      <c r="AJ30" s="6"/>
      <c r="AK30" s="6"/>
      <c r="AL30" s="6"/>
      <c r="AM30" s="6"/>
      <c r="AN30" s="6"/>
      <c r="AO30" s="6"/>
      <c r="AP30" s="6"/>
    </row>
    <row r="31" ht="17.25" customHeight="1">
      <c r="A31" s="103"/>
      <c r="B31" s="135" t="s">
        <v>252</v>
      </c>
      <c r="C31" s="86" t="s">
        <v>131</v>
      </c>
      <c r="D31" s="87">
        <v>1.2060406E7</v>
      </c>
      <c r="E31" s="86" t="s">
        <v>133</v>
      </c>
      <c r="F31" s="86" t="s">
        <v>73</v>
      </c>
      <c r="G31" s="89" t="s">
        <v>74</v>
      </c>
      <c r="H31" s="89" t="s">
        <v>85</v>
      </c>
      <c r="I31" s="89" t="str">
        <f t="shared" si="2"/>
        <v>BLOCKED</v>
      </c>
      <c r="J31" s="95" t="s">
        <v>17</v>
      </c>
      <c r="K31" s="89" t="s">
        <v>78</v>
      </c>
      <c r="L31" s="89" t="s">
        <v>27</v>
      </c>
      <c r="M31" s="97" t="s">
        <v>254</v>
      </c>
      <c r="N31" s="97" t="s">
        <v>80</v>
      </c>
      <c r="O31" s="86"/>
      <c r="P31" s="97" t="s">
        <v>37</v>
      </c>
      <c r="Q31" s="98" t="s">
        <v>255</v>
      </c>
      <c r="R31" s="100"/>
      <c r="S31" s="100"/>
      <c r="T31" s="80" t="s">
        <v>257</v>
      </c>
      <c r="U31" s="6"/>
      <c r="V31" s="6"/>
      <c r="W31" s="6"/>
      <c r="X31" s="6"/>
      <c r="Y31" s="6"/>
      <c r="Z31" s="6"/>
      <c r="AA31" s="6"/>
      <c r="AB31" s="6"/>
      <c r="AC31" s="6"/>
      <c r="AD31" s="6"/>
      <c r="AE31" s="6"/>
      <c r="AF31" s="6"/>
      <c r="AG31" s="6"/>
      <c r="AH31" s="6"/>
      <c r="AI31" s="6"/>
      <c r="AJ31" s="6"/>
      <c r="AK31" s="6"/>
      <c r="AL31" s="6"/>
      <c r="AM31" s="6"/>
      <c r="AN31" s="6"/>
      <c r="AO31" s="6"/>
      <c r="AP31" s="6"/>
    </row>
    <row r="32" ht="17.25" customHeight="1">
      <c r="A32" s="103"/>
      <c r="B32" s="135" t="s">
        <v>225</v>
      </c>
      <c r="C32" s="86" t="s">
        <v>258</v>
      </c>
      <c r="D32" s="87">
        <v>1.2060407E7</v>
      </c>
      <c r="E32" s="86" t="s">
        <v>259</v>
      </c>
      <c r="F32" s="87" t="s">
        <v>260</v>
      </c>
      <c r="G32" s="89" t="s">
        <v>261</v>
      </c>
      <c r="H32" s="89" t="s">
        <v>262</v>
      </c>
      <c r="I32" s="89" t="str">
        <f t="shared" si="2"/>
        <v>PASSED</v>
      </c>
      <c r="J32" s="89" t="s">
        <v>27</v>
      </c>
      <c r="K32" s="95" t="s">
        <v>86</v>
      </c>
      <c r="L32" s="95" t="s">
        <v>12</v>
      </c>
      <c r="M32" s="97" t="s">
        <v>235</v>
      </c>
      <c r="N32" s="97" t="s">
        <v>80</v>
      </c>
      <c r="O32" s="86"/>
      <c r="P32" s="97" t="s">
        <v>37</v>
      </c>
      <c r="Q32" s="98" t="s">
        <v>264</v>
      </c>
      <c r="R32" s="109" t="s">
        <v>265</v>
      </c>
      <c r="S32" s="109" t="s">
        <v>267</v>
      </c>
      <c r="T32" s="80" t="s">
        <v>239</v>
      </c>
      <c r="U32" s="6"/>
      <c r="V32" s="6"/>
      <c r="W32" s="6"/>
      <c r="X32" s="6"/>
      <c r="Y32" s="6"/>
      <c r="Z32" s="6"/>
      <c r="AA32" s="6"/>
      <c r="AB32" s="6"/>
      <c r="AC32" s="6"/>
      <c r="AD32" s="6"/>
      <c r="AE32" s="6"/>
      <c r="AF32" s="6"/>
      <c r="AG32" s="6"/>
      <c r="AH32" s="6"/>
      <c r="AI32" s="6"/>
      <c r="AJ32" s="6"/>
      <c r="AK32" s="6"/>
      <c r="AL32" s="6"/>
      <c r="AM32" s="6"/>
      <c r="AN32" s="6"/>
      <c r="AO32" s="6"/>
      <c r="AP32" s="6"/>
    </row>
    <row r="33" ht="17.25" customHeight="1">
      <c r="A33" s="103"/>
      <c r="B33" s="136" t="s">
        <v>268</v>
      </c>
      <c r="C33" s="134" t="s">
        <v>269</v>
      </c>
      <c r="D33" s="87">
        <v>1.2060408E7</v>
      </c>
      <c r="E33" s="134" t="s">
        <v>270</v>
      </c>
      <c r="F33" s="134" t="s">
        <v>73</v>
      </c>
      <c r="G33" s="89" t="s">
        <v>146</v>
      </c>
      <c r="H33" s="89" t="s">
        <v>85</v>
      </c>
      <c r="I33" s="89" t="str">
        <f t="shared" si="2"/>
        <v>BLOCKED</v>
      </c>
      <c r="J33" s="95" t="s">
        <v>17</v>
      </c>
      <c r="K33" s="89" t="s">
        <v>78</v>
      </c>
      <c r="L33" s="89" t="s">
        <v>27</v>
      </c>
      <c r="M33" s="137" t="s">
        <v>271</v>
      </c>
      <c r="N33" s="137" t="s">
        <v>80</v>
      </c>
      <c r="O33" s="138"/>
      <c r="P33" s="137" t="s">
        <v>37</v>
      </c>
      <c r="Q33" s="139" t="s">
        <v>272</v>
      </c>
      <c r="R33" s="134"/>
      <c r="S33" s="134"/>
      <c r="T33" s="80" t="s">
        <v>239</v>
      </c>
      <c r="U33" s="5"/>
      <c r="V33" s="5"/>
      <c r="W33" s="5"/>
      <c r="X33" s="5"/>
      <c r="Y33" s="5"/>
      <c r="Z33" s="5"/>
      <c r="AA33" s="5"/>
      <c r="AB33" s="5"/>
      <c r="AC33" s="5"/>
      <c r="AD33" s="5"/>
      <c r="AE33" s="5"/>
      <c r="AF33" s="5"/>
      <c r="AG33" s="5"/>
      <c r="AH33" s="5"/>
      <c r="AI33" s="5"/>
      <c r="AJ33" s="5"/>
      <c r="AK33" s="5"/>
      <c r="AL33" s="5"/>
      <c r="AM33" s="5"/>
      <c r="AN33" s="5"/>
      <c r="AO33" s="5"/>
      <c r="AP33" s="5"/>
    </row>
    <row r="34" ht="17.25" customHeight="1">
      <c r="A34" s="26"/>
      <c r="B34" s="26"/>
      <c r="C34" s="134" t="s">
        <v>273</v>
      </c>
      <c r="D34" s="87">
        <v>1.2060409E7</v>
      </c>
      <c r="E34" s="134" t="s">
        <v>274</v>
      </c>
      <c r="F34" s="134" t="s">
        <v>73</v>
      </c>
      <c r="G34" s="89" t="s">
        <v>146</v>
      </c>
      <c r="H34" s="140" t="s">
        <v>85</v>
      </c>
      <c r="I34" s="89" t="str">
        <f t="shared" si="2"/>
        <v>BLOCKED</v>
      </c>
      <c r="J34" s="95" t="s">
        <v>17</v>
      </c>
      <c r="K34" s="89" t="s">
        <v>78</v>
      </c>
      <c r="L34" s="89" t="s">
        <v>27</v>
      </c>
      <c r="M34" s="137" t="s">
        <v>271</v>
      </c>
      <c r="N34" s="137" t="s">
        <v>80</v>
      </c>
      <c r="O34" s="138"/>
      <c r="P34" s="137" t="s">
        <v>37</v>
      </c>
      <c r="Q34" s="139" t="s">
        <v>276</v>
      </c>
      <c r="R34" s="134"/>
      <c r="S34" s="134"/>
      <c r="T34" s="80" t="s">
        <v>239</v>
      </c>
      <c r="U34" s="5"/>
      <c r="V34" s="5"/>
      <c r="W34" s="5"/>
      <c r="X34" s="5"/>
      <c r="Y34" s="5"/>
      <c r="Z34" s="5"/>
      <c r="AA34" s="5"/>
      <c r="AB34" s="5"/>
      <c r="AC34" s="5"/>
      <c r="AD34" s="5"/>
      <c r="AE34" s="5"/>
      <c r="AF34" s="5"/>
      <c r="AG34" s="5"/>
      <c r="AH34" s="5"/>
      <c r="AI34" s="5"/>
      <c r="AJ34" s="5"/>
      <c r="AK34" s="5"/>
      <c r="AL34" s="5"/>
      <c r="AM34" s="5"/>
      <c r="AN34" s="5"/>
      <c r="AO34" s="5"/>
      <c r="AP34" s="5"/>
    </row>
    <row r="35" ht="17.25" customHeight="1">
      <c r="A35" s="83" t="s">
        <v>277</v>
      </c>
      <c r="B35" s="84" t="s">
        <v>278</v>
      </c>
      <c r="C35" s="86" t="s">
        <v>205</v>
      </c>
      <c r="D35" s="86"/>
      <c r="E35" s="86" t="s">
        <v>206</v>
      </c>
      <c r="F35" s="86" t="s">
        <v>73</v>
      </c>
      <c r="G35" s="89" t="s">
        <v>74</v>
      </c>
      <c r="H35" s="89" t="s">
        <v>85</v>
      </c>
      <c r="I35" s="89" t="str">
        <f t="shared" si="2"/>
        <v>BLOCKED</v>
      </c>
      <c r="J35" s="95" t="s">
        <v>17</v>
      </c>
      <c r="K35" s="89" t="s">
        <v>78</v>
      </c>
      <c r="L35" s="89" t="s">
        <v>27</v>
      </c>
      <c r="M35" s="97" t="s">
        <v>279</v>
      </c>
      <c r="N35" s="97" t="s">
        <v>80</v>
      </c>
      <c r="O35" s="86"/>
      <c r="P35" s="97" t="s">
        <v>37</v>
      </c>
      <c r="Q35" s="98" t="s">
        <v>280</v>
      </c>
      <c r="R35" s="100"/>
      <c r="S35" s="100"/>
      <c r="T35" s="80" t="s">
        <v>281</v>
      </c>
      <c r="U35" s="6"/>
      <c r="V35" s="6"/>
      <c r="W35" s="6"/>
      <c r="X35" s="6"/>
      <c r="Y35" s="6"/>
      <c r="Z35" s="6"/>
      <c r="AA35" s="6"/>
      <c r="AB35" s="6"/>
      <c r="AC35" s="6"/>
      <c r="AD35" s="6"/>
      <c r="AE35" s="6"/>
      <c r="AF35" s="6"/>
      <c r="AG35" s="6"/>
      <c r="AH35" s="6"/>
      <c r="AI35" s="6"/>
      <c r="AJ35" s="6"/>
      <c r="AK35" s="6"/>
      <c r="AL35" s="6"/>
      <c r="AM35" s="6"/>
      <c r="AN35" s="6"/>
      <c r="AO35" s="6"/>
      <c r="AP35" s="6"/>
    </row>
    <row r="36" ht="17.25" customHeight="1">
      <c r="A36" s="103"/>
      <c r="B36" s="103"/>
      <c r="C36" s="86" t="s">
        <v>211</v>
      </c>
      <c r="D36" s="86"/>
      <c r="E36" s="86" t="s">
        <v>212</v>
      </c>
      <c r="F36" s="86" t="s">
        <v>73</v>
      </c>
      <c r="G36" s="89" t="s">
        <v>74</v>
      </c>
      <c r="H36" s="89" t="s">
        <v>85</v>
      </c>
      <c r="I36" s="89" t="str">
        <f t="shared" si="2"/>
        <v>BLOCKED</v>
      </c>
      <c r="J36" s="95" t="s">
        <v>17</v>
      </c>
      <c r="K36" s="89" t="s">
        <v>78</v>
      </c>
      <c r="L36" s="89" t="s">
        <v>27</v>
      </c>
      <c r="M36" s="97" t="s">
        <v>282</v>
      </c>
      <c r="N36" s="97" t="s">
        <v>80</v>
      </c>
      <c r="O36" s="86"/>
      <c r="P36" s="97" t="s">
        <v>37</v>
      </c>
      <c r="Q36" s="98" t="s">
        <v>280</v>
      </c>
      <c r="R36" s="100"/>
      <c r="S36" s="100"/>
      <c r="T36" s="80" t="s">
        <v>281</v>
      </c>
      <c r="U36" s="6"/>
      <c r="V36" s="6"/>
      <c r="W36" s="6"/>
      <c r="X36" s="6"/>
      <c r="Y36" s="6"/>
      <c r="Z36" s="6"/>
      <c r="AA36" s="6"/>
      <c r="AB36" s="6"/>
      <c r="AC36" s="6"/>
      <c r="AD36" s="6"/>
      <c r="AE36" s="6"/>
      <c r="AF36" s="6"/>
      <c r="AG36" s="6"/>
      <c r="AH36" s="6"/>
      <c r="AI36" s="6"/>
      <c r="AJ36" s="6"/>
      <c r="AK36" s="6"/>
      <c r="AL36" s="6"/>
      <c r="AM36" s="6"/>
      <c r="AN36" s="6"/>
      <c r="AO36" s="6"/>
      <c r="AP36" s="6"/>
    </row>
    <row r="37" ht="17.25" customHeight="1">
      <c r="A37" s="103"/>
      <c r="B37" s="103"/>
      <c r="C37" s="86" t="s">
        <v>215</v>
      </c>
      <c r="D37" s="86"/>
      <c r="E37" s="86" t="s">
        <v>217</v>
      </c>
      <c r="F37" s="86" t="s">
        <v>73</v>
      </c>
      <c r="G37" s="89" t="s">
        <v>74</v>
      </c>
      <c r="H37" s="89" t="s">
        <v>75</v>
      </c>
      <c r="I37" s="89" t="str">
        <f t="shared" si="2"/>
        <v>BLOCKED</v>
      </c>
      <c r="J37" s="95" t="s">
        <v>17</v>
      </c>
      <c r="K37" s="89" t="s">
        <v>78</v>
      </c>
      <c r="L37" s="89" t="s">
        <v>27</v>
      </c>
      <c r="M37" s="97" t="s">
        <v>283</v>
      </c>
      <c r="N37" s="97" t="s">
        <v>80</v>
      </c>
      <c r="O37" s="86"/>
      <c r="P37" s="97" t="s">
        <v>37</v>
      </c>
      <c r="Q37" s="98" t="s">
        <v>280</v>
      </c>
      <c r="R37" s="100"/>
      <c r="S37" s="100"/>
      <c r="T37" s="80" t="s">
        <v>281</v>
      </c>
      <c r="U37" s="6"/>
      <c r="V37" s="6"/>
      <c r="W37" s="6"/>
      <c r="X37" s="6"/>
      <c r="Y37" s="6"/>
      <c r="Z37" s="6"/>
      <c r="AA37" s="6"/>
      <c r="AB37" s="6"/>
      <c r="AC37" s="6"/>
      <c r="AD37" s="6"/>
      <c r="AE37" s="6"/>
      <c r="AF37" s="6"/>
      <c r="AG37" s="6"/>
      <c r="AH37" s="6"/>
      <c r="AI37" s="6"/>
      <c r="AJ37" s="6"/>
      <c r="AK37" s="6"/>
      <c r="AL37" s="6"/>
      <c r="AM37" s="6"/>
      <c r="AN37" s="6"/>
      <c r="AO37" s="6"/>
      <c r="AP37" s="6"/>
    </row>
    <row r="38" ht="17.25" customHeight="1">
      <c r="A38" s="103"/>
      <c r="B38" s="103"/>
      <c r="C38" s="86" t="s">
        <v>220</v>
      </c>
      <c r="D38" s="86"/>
      <c r="E38" s="86" t="s">
        <v>221</v>
      </c>
      <c r="F38" s="86" t="s">
        <v>73</v>
      </c>
      <c r="G38" s="89" t="s">
        <v>74</v>
      </c>
      <c r="H38" s="89" t="s">
        <v>85</v>
      </c>
      <c r="I38" s="89" t="str">
        <f t="shared" si="2"/>
        <v>BLOCKED</v>
      </c>
      <c r="J38" s="95" t="s">
        <v>17</v>
      </c>
      <c r="K38" s="89" t="s">
        <v>78</v>
      </c>
      <c r="L38" s="89" t="s">
        <v>27</v>
      </c>
      <c r="M38" s="97" t="s">
        <v>284</v>
      </c>
      <c r="N38" s="97" t="s">
        <v>80</v>
      </c>
      <c r="O38" s="86"/>
      <c r="P38" s="97" t="s">
        <v>37</v>
      </c>
      <c r="Q38" s="98" t="s">
        <v>280</v>
      </c>
      <c r="R38" s="100"/>
      <c r="S38" s="100"/>
      <c r="T38" s="80" t="s">
        <v>281</v>
      </c>
      <c r="U38" s="6"/>
      <c r="V38" s="6"/>
      <c r="W38" s="6"/>
      <c r="X38" s="6"/>
      <c r="Y38" s="6"/>
      <c r="Z38" s="6"/>
      <c r="AA38" s="6"/>
      <c r="AB38" s="6"/>
      <c r="AC38" s="6"/>
      <c r="AD38" s="6"/>
      <c r="AE38" s="6"/>
      <c r="AF38" s="6"/>
      <c r="AG38" s="6"/>
      <c r="AH38" s="6"/>
      <c r="AI38" s="6"/>
      <c r="AJ38" s="6"/>
      <c r="AK38" s="6"/>
      <c r="AL38" s="6"/>
      <c r="AM38" s="6"/>
      <c r="AN38" s="6"/>
      <c r="AO38" s="6"/>
      <c r="AP38" s="6"/>
    </row>
    <row r="39" ht="17.25" customHeight="1">
      <c r="A39" s="103"/>
      <c r="B39" s="103"/>
      <c r="C39" s="86" t="s">
        <v>224</v>
      </c>
      <c r="D39" s="86"/>
      <c r="E39" s="86" t="s">
        <v>226</v>
      </c>
      <c r="F39" s="86" t="s">
        <v>73</v>
      </c>
      <c r="G39" s="89" t="s">
        <v>74</v>
      </c>
      <c r="H39" s="89" t="s">
        <v>75</v>
      </c>
      <c r="I39" s="89" t="str">
        <f t="shared" si="2"/>
        <v>BLOCKED</v>
      </c>
      <c r="J39" s="95" t="s">
        <v>17</v>
      </c>
      <c r="K39" s="89" t="s">
        <v>78</v>
      </c>
      <c r="L39" s="89" t="s">
        <v>27</v>
      </c>
      <c r="M39" s="97" t="s">
        <v>285</v>
      </c>
      <c r="N39" s="97" t="s">
        <v>80</v>
      </c>
      <c r="O39" s="86"/>
      <c r="P39" s="97" t="s">
        <v>37</v>
      </c>
      <c r="Q39" s="98" t="s">
        <v>280</v>
      </c>
      <c r="R39" s="100"/>
      <c r="S39" s="100"/>
      <c r="T39" s="80" t="s">
        <v>286</v>
      </c>
      <c r="U39" s="6"/>
      <c r="V39" s="6"/>
      <c r="W39" s="6"/>
      <c r="X39" s="6"/>
      <c r="Y39" s="6"/>
      <c r="Z39" s="6"/>
      <c r="AA39" s="6"/>
      <c r="AB39" s="6"/>
      <c r="AC39" s="6"/>
      <c r="AD39" s="6"/>
      <c r="AE39" s="6"/>
      <c r="AF39" s="6"/>
      <c r="AG39" s="6"/>
      <c r="AH39" s="6"/>
      <c r="AI39" s="6"/>
      <c r="AJ39" s="6"/>
      <c r="AK39" s="6"/>
      <c r="AL39" s="6"/>
      <c r="AM39" s="6"/>
      <c r="AN39" s="6"/>
      <c r="AO39" s="6"/>
      <c r="AP39" s="6"/>
    </row>
    <row r="40" ht="17.25" customHeight="1">
      <c r="A40" s="103"/>
      <c r="B40" s="103"/>
      <c r="C40" s="86" t="s">
        <v>228</v>
      </c>
      <c r="D40" s="86"/>
      <c r="E40" s="86" t="s">
        <v>229</v>
      </c>
      <c r="F40" s="86" t="s">
        <v>121</v>
      </c>
      <c r="G40" s="89" t="s">
        <v>74</v>
      </c>
      <c r="H40" s="89" t="s">
        <v>85</v>
      </c>
      <c r="I40" s="89" t="str">
        <f t="shared" si="2"/>
        <v>BLOCKED</v>
      </c>
      <c r="J40" s="95" t="s">
        <v>17</v>
      </c>
      <c r="K40" s="89" t="s">
        <v>78</v>
      </c>
      <c r="L40" s="89" t="s">
        <v>27</v>
      </c>
      <c r="M40" s="97" t="s">
        <v>287</v>
      </c>
      <c r="N40" s="97" t="s">
        <v>80</v>
      </c>
      <c r="O40" s="86"/>
      <c r="P40" s="97" t="s">
        <v>37</v>
      </c>
      <c r="Q40" s="98" t="s">
        <v>280</v>
      </c>
      <c r="R40" s="100"/>
      <c r="S40" s="100"/>
      <c r="T40" s="80" t="s">
        <v>286</v>
      </c>
      <c r="U40" s="6"/>
      <c r="V40" s="6"/>
      <c r="W40" s="6"/>
      <c r="X40" s="6"/>
      <c r="Y40" s="6"/>
      <c r="Z40" s="6"/>
      <c r="AA40" s="6"/>
      <c r="AB40" s="6"/>
      <c r="AC40" s="6"/>
      <c r="AD40" s="6"/>
      <c r="AE40" s="6"/>
      <c r="AF40" s="6"/>
      <c r="AG40" s="6"/>
      <c r="AH40" s="6"/>
      <c r="AI40" s="6"/>
      <c r="AJ40" s="6"/>
      <c r="AK40" s="6"/>
      <c r="AL40" s="6"/>
      <c r="AM40" s="6"/>
      <c r="AN40" s="6"/>
      <c r="AO40" s="6"/>
      <c r="AP40" s="6"/>
    </row>
    <row r="41" ht="17.25" customHeight="1">
      <c r="A41" s="103"/>
      <c r="B41" s="103"/>
      <c r="C41" s="86" t="s">
        <v>288</v>
      </c>
      <c r="D41" s="86"/>
      <c r="E41" s="86" t="s">
        <v>289</v>
      </c>
      <c r="F41" s="86" t="s">
        <v>73</v>
      </c>
      <c r="G41" s="89" t="s">
        <v>146</v>
      </c>
      <c r="H41" s="89" t="s">
        <v>85</v>
      </c>
      <c r="I41" s="89" t="str">
        <f t="shared" si="2"/>
        <v>BLOCKED</v>
      </c>
      <c r="J41" s="95" t="s">
        <v>17</v>
      </c>
      <c r="K41" s="89" t="s">
        <v>78</v>
      </c>
      <c r="L41" s="89" t="s">
        <v>27</v>
      </c>
      <c r="M41" s="97" t="s">
        <v>282</v>
      </c>
      <c r="N41" s="97" t="s">
        <v>80</v>
      </c>
      <c r="O41" s="86"/>
      <c r="P41" s="97" t="s">
        <v>37</v>
      </c>
      <c r="Q41" s="98" t="s">
        <v>280</v>
      </c>
      <c r="R41" s="100"/>
      <c r="S41" s="100"/>
      <c r="T41" s="80" t="s">
        <v>281</v>
      </c>
      <c r="U41" s="6"/>
      <c r="V41" s="6"/>
      <c r="W41" s="6"/>
      <c r="X41" s="6"/>
      <c r="Y41" s="6"/>
      <c r="Z41" s="6"/>
      <c r="AA41" s="6"/>
      <c r="AB41" s="6"/>
      <c r="AC41" s="6"/>
      <c r="AD41" s="6"/>
      <c r="AE41" s="6"/>
      <c r="AF41" s="6"/>
      <c r="AG41" s="6"/>
      <c r="AH41" s="6"/>
      <c r="AI41" s="6"/>
      <c r="AJ41" s="6"/>
      <c r="AK41" s="6"/>
      <c r="AL41" s="6"/>
      <c r="AM41" s="6"/>
      <c r="AN41" s="6"/>
      <c r="AO41" s="6"/>
      <c r="AP41" s="6"/>
    </row>
    <row r="42" ht="17.25" customHeight="1">
      <c r="A42" s="103"/>
      <c r="B42" s="103"/>
      <c r="C42" s="86" t="s">
        <v>290</v>
      </c>
      <c r="D42" s="86"/>
      <c r="E42" s="86" t="s">
        <v>291</v>
      </c>
      <c r="F42" s="86" t="s">
        <v>73</v>
      </c>
      <c r="G42" s="89" t="s">
        <v>146</v>
      </c>
      <c r="H42" s="89" t="s">
        <v>85</v>
      </c>
      <c r="I42" s="89" t="str">
        <f t="shared" si="2"/>
        <v>BLOCKED</v>
      </c>
      <c r="J42" s="95" t="s">
        <v>17</v>
      </c>
      <c r="K42" s="89" t="s">
        <v>78</v>
      </c>
      <c r="L42" s="89" t="s">
        <v>27</v>
      </c>
      <c r="M42" s="97" t="s">
        <v>283</v>
      </c>
      <c r="N42" s="97" t="s">
        <v>80</v>
      </c>
      <c r="O42" s="86"/>
      <c r="P42" s="97" t="s">
        <v>37</v>
      </c>
      <c r="Q42" s="98" t="s">
        <v>280</v>
      </c>
      <c r="R42" s="100"/>
      <c r="S42" s="100"/>
      <c r="T42" s="80" t="s">
        <v>281</v>
      </c>
      <c r="U42" s="6"/>
      <c r="V42" s="6"/>
      <c r="W42" s="6"/>
      <c r="X42" s="6"/>
      <c r="Y42" s="6"/>
      <c r="Z42" s="6"/>
      <c r="AA42" s="6"/>
      <c r="AB42" s="6"/>
      <c r="AC42" s="6"/>
      <c r="AD42" s="6"/>
      <c r="AE42" s="6"/>
      <c r="AF42" s="6"/>
      <c r="AG42" s="6"/>
      <c r="AH42" s="6"/>
      <c r="AI42" s="6"/>
      <c r="AJ42" s="6"/>
      <c r="AK42" s="6"/>
      <c r="AL42" s="6"/>
      <c r="AM42" s="6"/>
      <c r="AN42" s="6"/>
      <c r="AO42" s="6"/>
      <c r="AP42" s="6"/>
    </row>
    <row r="43" ht="17.25" customHeight="1">
      <c r="A43" s="103"/>
      <c r="B43" s="103"/>
      <c r="C43" s="86" t="s">
        <v>292</v>
      </c>
      <c r="D43" s="86"/>
      <c r="E43" s="86" t="s">
        <v>293</v>
      </c>
      <c r="F43" s="86" t="s">
        <v>73</v>
      </c>
      <c r="G43" s="89" t="s">
        <v>146</v>
      </c>
      <c r="H43" s="89" t="s">
        <v>85</v>
      </c>
      <c r="I43" s="89" t="str">
        <f t="shared" si="2"/>
        <v>BLOCKED</v>
      </c>
      <c r="J43" s="95" t="s">
        <v>17</v>
      </c>
      <c r="K43" s="89" t="s">
        <v>78</v>
      </c>
      <c r="L43" s="89" t="s">
        <v>27</v>
      </c>
      <c r="M43" s="97" t="s">
        <v>282</v>
      </c>
      <c r="N43" s="97" t="s">
        <v>80</v>
      </c>
      <c r="O43" s="86"/>
      <c r="P43" s="97" t="s">
        <v>37</v>
      </c>
      <c r="Q43" s="98" t="s">
        <v>280</v>
      </c>
      <c r="R43" s="100"/>
      <c r="S43" s="100"/>
      <c r="T43" s="80" t="s">
        <v>281</v>
      </c>
      <c r="U43" s="6"/>
      <c r="V43" s="6"/>
      <c r="W43" s="6"/>
      <c r="X43" s="6"/>
      <c r="Y43" s="6"/>
      <c r="Z43" s="6"/>
      <c r="AA43" s="6"/>
      <c r="AB43" s="6"/>
      <c r="AC43" s="6"/>
      <c r="AD43" s="6"/>
      <c r="AE43" s="6"/>
      <c r="AF43" s="6"/>
      <c r="AG43" s="6"/>
      <c r="AH43" s="6"/>
      <c r="AI43" s="6"/>
      <c r="AJ43" s="6"/>
      <c r="AK43" s="6"/>
      <c r="AL43" s="6"/>
      <c r="AM43" s="6"/>
      <c r="AN43" s="6"/>
      <c r="AO43" s="6"/>
      <c r="AP43" s="6"/>
    </row>
    <row r="44" ht="17.25" customHeight="1">
      <c r="A44" s="103"/>
      <c r="B44" s="26"/>
      <c r="C44" s="86" t="s">
        <v>294</v>
      </c>
      <c r="D44" s="86"/>
      <c r="E44" s="86" t="s">
        <v>295</v>
      </c>
      <c r="F44" s="86" t="s">
        <v>73</v>
      </c>
      <c r="G44" s="89" t="s">
        <v>146</v>
      </c>
      <c r="H44" s="89" t="s">
        <v>85</v>
      </c>
      <c r="I44" s="89" t="str">
        <f t="shared" si="2"/>
        <v>BLOCKED</v>
      </c>
      <c r="J44" s="95" t="s">
        <v>17</v>
      </c>
      <c r="K44" s="89" t="s">
        <v>78</v>
      </c>
      <c r="L44" s="89" t="s">
        <v>27</v>
      </c>
      <c r="M44" s="97" t="s">
        <v>283</v>
      </c>
      <c r="N44" s="97" t="s">
        <v>80</v>
      </c>
      <c r="O44" s="86"/>
      <c r="P44" s="97" t="s">
        <v>37</v>
      </c>
      <c r="Q44" s="98" t="s">
        <v>280</v>
      </c>
      <c r="R44" s="100"/>
      <c r="S44" s="100"/>
      <c r="T44" s="80" t="s">
        <v>281</v>
      </c>
      <c r="U44" s="6"/>
      <c r="V44" s="6"/>
      <c r="W44" s="6"/>
      <c r="X44" s="6"/>
      <c r="Y44" s="6"/>
      <c r="Z44" s="6"/>
      <c r="AA44" s="6"/>
      <c r="AB44" s="6"/>
      <c r="AC44" s="6"/>
      <c r="AD44" s="6"/>
      <c r="AE44" s="6"/>
      <c r="AF44" s="6"/>
      <c r="AG44" s="6"/>
      <c r="AH44" s="6"/>
      <c r="AI44" s="6"/>
      <c r="AJ44" s="6"/>
      <c r="AK44" s="6"/>
      <c r="AL44" s="6"/>
      <c r="AM44" s="6"/>
      <c r="AN44" s="6"/>
      <c r="AO44" s="6"/>
      <c r="AP44" s="6"/>
    </row>
    <row r="45" ht="17.25" customHeight="1">
      <c r="A45" s="103"/>
      <c r="B45" s="141" t="s">
        <v>296</v>
      </c>
      <c r="C45" s="87" t="s">
        <v>297</v>
      </c>
      <c r="D45" s="87"/>
      <c r="E45" s="87" t="s">
        <v>298</v>
      </c>
      <c r="F45" s="86" t="s">
        <v>73</v>
      </c>
      <c r="G45" s="95" t="s">
        <v>74</v>
      </c>
      <c r="H45" s="95" t="s">
        <v>75</v>
      </c>
      <c r="I45" s="89" t="str">
        <f t="shared" si="2"/>
        <v>BLOCKED</v>
      </c>
      <c r="J45" s="95" t="s">
        <v>17</v>
      </c>
      <c r="K45" s="89" t="s">
        <v>78</v>
      </c>
      <c r="L45" s="89" t="s">
        <v>27</v>
      </c>
      <c r="M45" s="129" t="s">
        <v>299</v>
      </c>
      <c r="N45" s="97" t="s">
        <v>80</v>
      </c>
      <c r="O45" s="86"/>
      <c r="P45" s="97" t="s">
        <v>37</v>
      </c>
      <c r="Q45" s="142" t="s">
        <v>300</v>
      </c>
      <c r="R45" s="109" t="s">
        <v>301</v>
      </c>
      <c r="S45" s="109" t="s">
        <v>302</v>
      </c>
      <c r="T45" s="133" t="s">
        <v>303</v>
      </c>
      <c r="U45" s="6"/>
      <c r="V45" s="6"/>
      <c r="W45" s="6"/>
      <c r="X45" s="6"/>
      <c r="Y45" s="6"/>
      <c r="Z45" s="6"/>
      <c r="AA45" s="6"/>
      <c r="AB45" s="6"/>
      <c r="AC45" s="6"/>
      <c r="AD45" s="6"/>
      <c r="AE45" s="6"/>
      <c r="AF45" s="6"/>
      <c r="AG45" s="6"/>
      <c r="AH45" s="6"/>
      <c r="AI45" s="6"/>
      <c r="AJ45" s="6"/>
      <c r="AK45" s="6"/>
      <c r="AL45" s="6"/>
      <c r="AM45" s="6"/>
      <c r="AN45" s="6"/>
      <c r="AO45" s="6"/>
      <c r="AP45" s="6"/>
    </row>
    <row r="46" ht="17.25" customHeight="1">
      <c r="A46" s="103"/>
      <c r="B46" s="103"/>
      <c r="C46" s="87" t="s">
        <v>304</v>
      </c>
      <c r="D46" s="86"/>
      <c r="E46" s="86" t="s">
        <v>295</v>
      </c>
      <c r="F46" s="86" t="s">
        <v>73</v>
      </c>
      <c r="G46" s="95" t="s">
        <v>74</v>
      </c>
      <c r="H46" s="95" t="s">
        <v>75</v>
      </c>
      <c r="I46" s="89" t="str">
        <f t="shared" si="2"/>
        <v>BLOCKED</v>
      </c>
      <c r="J46" s="95" t="s">
        <v>17</v>
      </c>
      <c r="K46" s="89" t="s">
        <v>78</v>
      </c>
      <c r="L46" s="89" t="s">
        <v>27</v>
      </c>
      <c r="M46" s="129" t="s">
        <v>305</v>
      </c>
      <c r="N46" s="97" t="s">
        <v>80</v>
      </c>
      <c r="O46" s="86"/>
      <c r="P46" s="97" t="s">
        <v>37</v>
      </c>
      <c r="Q46" s="98" t="s">
        <v>306</v>
      </c>
      <c r="R46" s="109" t="s">
        <v>307</v>
      </c>
      <c r="S46" s="109" t="s">
        <v>308</v>
      </c>
      <c r="T46" s="133" t="s">
        <v>303</v>
      </c>
      <c r="U46" s="6"/>
      <c r="V46" s="6"/>
      <c r="W46" s="6"/>
      <c r="X46" s="6"/>
      <c r="Y46" s="6"/>
      <c r="Z46" s="6"/>
      <c r="AA46" s="6"/>
      <c r="AB46" s="6"/>
      <c r="AC46" s="6"/>
      <c r="AD46" s="6"/>
      <c r="AE46" s="6"/>
      <c r="AF46" s="6"/>
      <c r="AG46" s="6"/>
      <c r="AH46" s="6"/>
      <c r="AI46" s="6"/>
      <c r="AJ46" s="6"/>
      <c r="AK46" s="6"/>
      <c r="AL46" s="6"/>
      <c r="AM46" s="6"/>
      <c r="AN46" s="6"/>
      <c r="AO46" s="6"/>
      <c r="AP46" s="6"/>
    </row>
    <row r="47" ht="17.25" customHeight="1">
      <c r="A47" s="26"/>
      <c r="B47" s="26"/>
      <c r="C47" s="87" t="s">
        <v>309</v>
      </c>
      <c r="D47" s="86"/>
      <c r="E47" s="86" t="s">
        <v>295</v>
      </c>
      <c r="F47" s="86" t="s">
        <v>73</v>
      </c>
      <c r="G47" s="95" t="s">
        <v>74</v>
      </c>
      <c r="H47" s="89" t="s">
        <v>85</v>
      </c>
      <c r="I47" s="89" t="str">
        <f t="shared" si="2"/>
        <v>BLOCKED</v>
      </c>
      <c r="J47" s="95" t="s">
        <v>17</v>
      </c>
      <c r="K47" s="89" t="s">
        <v>78</v>
      </c>
      <c r="L47" s="89" t="s">
        <v>27</v>
      </c>
      <c r="M47" s="129" t="s">
        <v>310</v>
      </c>
      <c r="N47" s="97" t="s">
        <v>80</v>
      </c>
      <c r="O47" s="86"/>
      <c r="P47" s="97" t="s">
        <v>37</v>
      </c>
      <c r="Q47" s="98" t="s">
        <v>311</v>
      </c>
      <c r="R47" s="109" t="s">
        <v>312</v>
      </c>
      <c r="S47" s="109" t="s">
        <v>313</v>
      </c>
      <c r="T47" s="133" t="s">
        <v>303</v>
      </c>
      <c r="U47" s="6"/>
      <c r="V47" s="6"/>
      <c r="W47" s="6"/>
      <c r="X47" s="6"/>
      <c r="Y47" s="6"/>
      <c r="Z47" s="6"/>
      <c r="AA47" s="6"/>
      <c r="AB47" s="6"/>
      <c r="AC47" s="6"/>
      <c r="AD47" s="6"/>
      <c r="AE47" s="6"/>
      <c r="AF47" s="6"/>
      <c r="AG47" s="6"/>
      <c r="AH47" s="6"/>
      <c r="AI47" s="6"/>
      <c r="AJ47" s="6"/>
      <c r="AK47" s="6"/>
      <c r="AL47" s="6"/>
      <c r="AM47" s="6"/>
      <c r="AN47" s="6"/>
      <c r="AO47" s="6"/>
      <c r="AP47" s="6"/>
    </row>
    <row r="48" ht="17.25" customHeight="1">
      <c r="A48" s="83" t="s">
        <v>314</v>
      </c>
      <c r="B48" s="84" t="s">
        <v>315</v>
      </c>
      <c r="C48" s="86" t="s">
        <v>135</v>
      </c>
      <c r="D48" s="87">
        <v>1.2060201E7</v>
      </c>
      <c r="E48" s="86" t="s">
        <v>136</v>
      </c>
      <c r="F48" s="86" t="s">
        <v>73</v>
      </c>
      <c r="G48" s="89" t="s">
        <v>74</v>
      </c>
      <c r="H48" s="89" t="s">
        <v>75</v>
      </c>
      <c r="I48" s="89" t="str">
        <f t="shared" si="2"/>
        <v>PASSED</v>
      </c>
      <c r="J48" s="89" t="s">
        <v>27</v>
      </c>
      <c r="K48" s="95" t="s">
        <v>86</v>
      </c>
      <c r="L48" s="95" t="s">
        <v>12</v>
      </c>
      <c r="M48" s="97" t="s">
        <v>316</v>
      </c>
      <c r="N48" s="97" t="s">
        <v>80</v>
      </c>
      <c r="O48" s="86"/>
      <c r="P48" s="97" t="s">
        <v>37</v>
      </c>
      <c r="Q48" s="98" t="s">
        <v>317</v>
      </c>
      <c r="R48" s="109" t="s">
        <v>319</v>
      </c>
      <c r="S48" s="109" t="s">
        <v>320</v>
      </c>
      <c r="T48" s="80" t="s">
        <v>82</v>
      </c>
      <c r="U48" s="6"/>
      <c r="V48" s="6"/>
      <c r="W48" s="6"/>
      <c r="X48" s="6"/>
      <c r="Y48" s="6"/>
      <c r="Z48" s="6"/>
      <c r="AA48" s="6"/>
      <c r="AB48" s="6"/>
      <c r="AC48" s="6"/>
      <c r="AD48" s="6"/>
      <c r="AE48" s="6"/>
      <c r="AF48" s="6"/>
      <c r="AG48" s="6"/>
      <c r="AH48" s="6"/>
      <c r="AI48" s="6"/>
      <c r="AJ48" s="6"/>
      <c r="AK48" s="6"/>
      <c r="AL48" s="6"/>
      <c r="AM48" s="6"/>
      <c r="AN48" s="6"/>
      <c r="AO48" s="6"/>
      <c r="AP48" s="6"/>
    </row>
    <row r="49" ht="17.25" customHeight="1">
      <c r="A49" s="103"/>
      <c r="B49" s="103"/>
      <c r="C49" s="86" t="s">
        <v>138</v>
      </c>
      <c r="D49" s="87">
        <v>1.2060202E7</v>
      </c>
      <c r="E49" s="86" t="s">
        <v>140</v>
      </c>
      <c r="F49" s="87" t="s">
        <v>260</v>
      </c>
      <c r="G49" s="89" t="s">
        <v>74</v>
      </c>
      <c r="H49" s="89" t="s">
        <v>85</v>
      </c>
      <c r="I49" s="89" t="str">
        <f t="shared" si="2"/>
        <v>PASSED</v>
      </c>
      <c r="J49" s="89" t="s">
        <v>27</v>
      </c>
      <c r="K49" s="95" t="s">
        <v>86</v>
      </c>
      <c r="L49" s="95" t="s">
        <v>12</v>
      </c>
      <c r="M49" s="97" t="s">
        <v>316</v>
      </c>
      <c r="N49" s="97" t="s">
        <v>80</v>
      </c>
      <c r="O49" s="86"/>
      <c r="P49" s="97" t="s">
        <v>37</v>
      </c>
      <c r="Q49" s="98" t="s">
        <v>322</v>
      </c>
      <c r="R49" s="109" t="s">
        <v>323</v>
      </c>
      <c r="S49" s="109" t="s">
        <v>324</v>
      </c>
      <c r="T49" s="80" t="s">
        <v>82</v>
      </c>
      <c r="U49" s="6"/>
      <c r="V49" s="6"/>
      <c r="W49" s="6"/>
      <c r="X49" s="6"/>
      <c r="Y49" s="6"/>
      <c r="Z49" s="6"/>
      <c r="AA49" s="6"/>
      <c r="AB49" s="6"/>
      <c r="AC49" s="6"/>
      <c r="AD49" s="6"/>
      <c r="AE49" s="6"/>
      <c r="AF49" s="6"/>
      <c r="AG49" s="6"/>
      <c r="AH49" s="6"/>
      <c r="AI49" s="6"/>
      <c r="AJ49" s="6"/>
      <c r="AK49" s="6"/>
      <c r="AL49" s="6"/>
      <c r="AM49" s="6"/>
      <c r="AN49" s="6"/>
      <c r="AO49" s="6"/>
      <c r="AP49" s="6"/>
    </row>
    <row r="50" ht="17.25" customHeight="1">
      <c r="A50" s="103"/>
      <c r="B50" s="103"/>
      <c r="C50" s="86" t="s">
        <v>143</v>
      </c>
      <c r="D50" s="87">
        <v>1.2060203E7</v>
      </c>
      <c r="E50" s="86" t="s">
        <v>145</v>
      </c>
      <c r="F50" s="87" t="s">
        <v>260</v>
      </c>
      <c r="G50" s="89" t="s">
        <v>74</v>
      </c>
      <c r="H50" s="89" t="s">
        <v>85</v>
      </c>
      <c r="I50" s="89" t="str">
        <f t="shared" si="2"/>
        <v>PASSED</v>
      </c>
      <c r="J50" s="89" t="s">
        <v>27</v>
      </c>
      <c r="K50" s="95" t="s">
        <v>86</v>
      </c>
      <c r="L50" s="95" t="s">
        <v>12</v>
      </c>
      <c r="M50" s="97" t="s">
        <v>316</v>
      </c>
      <c r="N50" s="97" t="s">
        <v>80</v>
      </c>
      <c r="O50" s="86"/>
      <c r="P50" s="97" t="s">
        <v>37</v>
      </c>
      <c r="Q50" s="98"/>
      <c r="R50" s="109" t="s">
        <v>327</v>
      </c>
      <c r="S50" s="109" t="s">
        <v>329</v>
      </c>
      <c r="T50" s="80" t="s">
        <v>82</v>
      </c>
      <c r="U50" s="6"/>
      <c r="V50" s="6"/>
      <c r="W50" s="6"/>
      <c r="X50" s="6"/>
      <c r="Y50" s="6"/>
      <c r="Z50" s="6"/>
      <c r="AA50" s="6"/>
      <c r="AB50" s="6"/>
      <c r="AC50" s="6"/>
      <c r="AD50" s="6"/>
      <c r="AE50" s="6"/>
      <c r="AF50" s="6"/>
      <c r="AG50" s="6"/>
      <c r="AH50" s="6"/>
      <c r="AI50" s="6"/>
      <c r="AJ50" s="6"/>
      <c r="AK50" s="6"/>
      <c r="AL50" s="6"/>
      <c r="AM50" s="6"/>
      <c r="AN50" s="6"/>
      <c r="AO50" s="6"/>
      <c r="AP50" s="6"/>
    </row>
    <row r="51" ht="17.25" customHeight="1">
      <c r="A51" s="103"/>
      <c r="B51" s="103"/>
      <c r="C51" s="86" t="s">
        <v>148</v>
      </c>
      <c r="D51" s="87">
        <v>1.2060204E7</v>
      </c>
      <c r="E51" s="86" t="s">
        <v>150</v>
      </c>
      <c r="F51" s="86" t="s">
        <v>73</v>
      </c>
      <c r="G51" s="89" t="s">
        <v>74</v>
      </c>
      <c r="H51" s="89" t="s">
        <v>75</v>
      </c>
      <c r="I51" s="89" t="str">
        <f t="shared" si="2"/>
        <v>PASSED</v>
      </c>
      <c r="J51" s="89" t="s">
        <v>27</v>
      </c>
      <c r="K51" s="95" t="s">
        <v>86</v>
      </c>
      <c r="L51" s="95" t="s">
        <v>12</v>
      </c>
      <c r="M51" s="97" t="s">
        <v>331</v>
      </c>
      <c r="N51" s="97" t="s">
        <v>80</v>
      </c>
      <c r="O51" s="86"/>
      <c r="P51" s="97" t="s">
        <v>37</v>
      </c>
      <c r="Q51" s="98" t="s">
        <v>332</v>
      </c>
      <c r="R51" s="109" t="s">
        <v>334</v>
      </c>
      <c r="S51" s="109" t="s">
        <v>337</v>
      </c>
      <c r="T51" s="80" t="s">
        <v>82</v>
      </c>
      <c r="U51" s="6"/>
      <c r="V51" s="6"/>
      <c r="W51" s="6"/>
      <c r="X51" s="6"/>
      <c r="Y51" s="6"/>
      <c r="Z51" s="6"/>
      <c r="AA51" s="6"/>
      <c r="AB51" s="6"/>
      <c r="AC51" s="6"/>
      <c r="AD51" s="6"/>
      <c r="AE51" s="6"/>
      <c r="AF51" s="6"/>
      <c r="AG51" s="6"/>
      <c r="AH51" s="6"/>
      <c r="AI51" s="6"/>
      <c r="AJ51" s="6"/>
      <c r="AK51" s="6"/>
      <c r="AL51" s="6"/>
      <c r="AM51" s="6"/>
      <c r="AN51" s="6"/>
      <c r="AO51" s="6"/>
      <c r="AP51" s="6"/>
    </row>
    <row r="52" ht="17.25" customHeight="1">
      <c r="A52" s="103"/>
      <c r="B52" s="103"/>
      <c r="C52" s="86" t="s">
        <v>153</v>
      </c>
      <c r="D52" s="87">
        <v>1.2060205E7</v>
      </c>
      <c r="E52" s="86" t="s">
        <v>154</v>
      </c>
      <c r="F52" s="86" t="s">
        <v>73</v>
      </c>
      <c r="G52" s="89" t="s">
        <v>74</v>
      </c>
      <c r="H52" s="89" t="s">
        <v>75</v>
      </c>
      <c r="I52" s="89" t="str">
        <f t="shared" si="2"/>
        <v>PASSED</v>
      </c>
      <c r="J52" s="89" t="s">
        <v>27</v>
      </c>
      <c r="K52" s="95" t="s">
        <v>86</v>
      </c>
      <c r="L52" s="95" t="s">
        <v>12</v>
      </c>
      <c r="M52" s="97" t="s">
        <v>343</v>
      </c>
      <c r="N52" s="97" t="s">
        <v>80</v>
      </c>
      <c r="O52" s="86"/>
      <c r="P52" s="97" t="s">
        <v>37</v>
      </c>
      <c r="Q52" s="98" t="s">
        <v>345</v>
      </c>
      <c r="R52" s="109" t="s">
        <v>347</v>
      </c>
      <c r="S52" s="109" t="s">
        <v>349</v>
      </c>
      <c r="T52" s="80" t="s">
        <v>350</v>
      </c>
      <c r="U52" s="6"/>
      <c r="V52" s="6"/>
      <c r="W52" s="6"/>
      <c r="X52" s="6"/>
      <c r="Y52" s="6"/>
      <c r="Z52" s="6"/>
      <c r="AA52" s="6"/>
      <c r="AB52" s="6"/>
      <c r="AC52" s="6"/>
      <c r="AD52" s="6"/>
      <c r="AE52" s="6"/>
      <c r="AF52" s="6"/>
      <c r="AG52" s="6"/>
      <c r="AH52" s="6"/>
      <c r="AI52" s="6"/>
      <c r="AJ52" s="6"/>
      <c r="AK52" s="6"/>
      <c r="AL52" s="6"/>
      <c r="AM52" s="6"/>
      <c r="AN52" s="6"/>
      <c r="AO52" s="6"/>
      <c r="AP52" s="6"/>
    </row>
    <row r="53" ht="17.25" customHeight="1">
      <c r="A53" s="103"/>
      <c r="B53" s="103"/>
      <c r="C53" s="86" t="s">
        <v>157</v>
      </c>
      <c r="D53" s="87">
        <v>1.2060206E7</v>
      </c>
      <c r="E53" s="86" t="s">
        <v>158</v>
      </c>
      <c r="F53" s="87" t="s">
        <v>260</v>
      </c>
      <c r="G53" s="89" t="s">
        <v>74</v>
      </c>
      <c r="H53" s="89" t="s">
        <v>85</v>
      </c>
      <c r="I53" s="89" t="str">
        <f t="shared" si="2"/>
        <v>PASSED</v>
      </c>
      <c r="J53" s="89" t="s">
        <v>27</v>
      </c>
      <c r="K53" s="95" t="s">
        <v>86</v>
      </c>
      <c r="L53" s="95" t="s">
        <v>12</v>
      </c>
      <c r="M53" s="97" t="s">
        <v>316</v>
      </c>
      <c r="N53" s="97" t="s">
        <v>80</v>
      </c>
      <c r="O53" s="86"/>
      <c r="P53" s="97" t="s">
        <v>37</v>
      </c>
      <c r="Q53" s="98" t="s">
        <v>357</v>
      </c>
      <c r="R53" s="109" t="s">
        <v>358</v>
      </c>
      <c r="S53" s="109" t="s">
        <v>359</v>
      </c>
      <c r="T53" s="80" t="s">
        <v>82</v>
      </c>
      <c r="U53" s="6"/>
      <c r="V53" s="6"/>
      <c r="W53" s="6"/>
      <c r="X53" s="6"/>
      <c r="Y53" s="6"/>
      <c r="Z53" s="6"/>
      <c r="AA53" s="6"/>
      <c r="AB53" s="6"/>
      <c r="AC53" s="6"/>
      <c r="AD53" s="6"/>
      <c r="AE53" s="6"/>
      <c r="AF53" s="6"/>
      <c r="AG53" s="6"/>
      <c r="AH53" s="6"/>
      <c r="AI53" s="6"/>
      <c r="AJ53" s="6"/>
      <c r="AK53" s="6"/>
      <c r="AL53" s="6"/>
      <c r="AM53" s="6"/>
      <c r="AN53" s="6"/>
      <c r="AO53" s="6"/>
      <c r="AP53" s="6"/>
    </row>
    <row r="54" ht="17.25" customHeight="1">
      <c r="A54" s="103"/>
      <c r="B54" s="103"/>
      <c r="C54" s="86" t="s">
        <v>161</v>
      </c>
      <c r="D54" s="87">
        <v>1.2060207E7</v>
      </c>
      <c r="E54" s="86" t="s">
        <v>162</v>
      </c>
      <c r="F54" s="87" t="s">
        <v>260</v>
      </c>
      <c r="G54" s="89" t="s">
        <v>74</v>
      </c>
      <c r="H54" s="89" t="s">
        <v>85</v>
      </c>
      <c r="I54" s="89" t="str">
        <f t="shared" si="2"/>
        <v>PASSED</v>
      </c>
      <c r="J54" s="89" t="s">
        <v>27</v>
      </c>
      <c r="K54" s="95" t="s">
        <v>86</v>
      </c>
      <c r="L54" s="95" t="s">
        <v>12</v>
      </c>
      <c r="M54" s="97" t="s">
        <v>316</v>
      </c>
      <c r="N54" s="97" t="s">
        <v>80</v>
      </c>
      <c r="O54" s="86"/>
      <c r="P54" s="97" t="s">
        <v>37</v>
      </c>
      <c r="Q54" s="98"/>
      <c r="R54" s="109" t="s">
        <v>367</v>
      </c>
      <c r="S54" s="109" t="s">
        <v>369</v>
      </c>
      <c r="T54" s="80" t="s">
        <v>82</v>
      </c>
      <c r="U54" s="6"/>
      <c r="V54" s="6"/>
      <c r="W54" s="6"/>
      <c r="X54" s="6"/>
      <c r="Y54" s="6"/>
      <c r="Z54" s="6"/>
      <c r="AA54" s="6"/>
      <c r="AB54" s="6"/>
      <c r="AC54" s="6"/>
      <c r="AD54" s="6"/>
      <c r="AE54" s="6"/>
      <c r="AF54" s="6"/>
      <c r="AG54" s="6"/>
      <c r="AH54" s="6"/>
      <c r="AI54" s="6"/>
      <c r="AJ54" s="6"/>
      <c r="AK54" s="6"/>
      <c r="AL54" s="6"/>
      <c r="AM54" s="6"/>
      <c r="AN54" s="6"/>
      <c r="AO54" s="6"/>
      <c r="AP54" s="6"/>
    </row>
    <row r="55" ht="17.25" customHeight="1">
      <c r="A55" s="103"/>
      <c r="B55" s="103"/>
      <c r="C55" s="86" t="s">
        <v>165</v>
      </c>
      <c r="D55" s="87">
        <v>1.2060208E7</v>
      </c>
      <c r="E55" s="86" t="s">
        <v>166</v>
      </c>
      <c r="F55" s="86" t="s">
        <v>73</v>
      </c>
      <c r="G55" s="89" t="s">
        <v>74</v>
      </c>
      <c r="H55" s="89" t="s">
        <v>85</v>
      </c>
      <c r="I55" s="89" t="str">
        <f t="shared" si="2"/>
        <v>PASSED</v>
      </c>
      <c r="J55" s="89" t="s">
        <v>27</v>
      </c>
      <c r="K55" s="95" t="s">
        <v>86</v>
      </c>
      <c r="L55" s="95" t="s">
        <v>12</v>
      </c>
      <c r="M55" s="97" t="s">
        <v>375</v>
      </c>
      <c r="N55" s="97" t="s">
        <v>80</v>
      </c>
      <c r="O55" s="86"/>
      <c r="P55" s="97" t="s">
        <v>37</v>
      </c>
      <c r="Q55" s="98" t="s">
        <v>377</v>
      </c>
      <c r="R55" s="109" t="s">
        <v>379</v>
      </c>
      <c r="S55" s="109" t="s">
        <v>380</v>
      </c>
      <c r="T55" s="80" t="s">
        <v>82</v>
      </c>
      <c r="U55" s="6"/>
      <c r="V55" s="6"/>
      <c r="W55" s="6"/>
      <c r="X55" s="6"/>
      <c r="Y55" s="6"/>
      <c r="Z55" s="6"/>
      <c r="AA55" s="6"/>
      <c r="AB55" s="6"/>
      <c r="AC55" s="6"/>
      <c r="AD55" s="6"/>
      <c r="AE55" s="6"/>
      <c r="AF55" s="6"/>
      <c r="AG55" s="6"/>
      <c r="AH55" s="6"/>
      <c r="AI55" s="6"/>
      <c r="AJ55" s="6"/>
      <c r="AK55" s="6"/>
      <c r="AL55" s="6"/>
      <c r="AM55" s="6"/>
      <c r="AN55" s="6"/>
      <c r="AO55" s="6"/>
      <c r="AP55" s="6"/>
    </row>
    <row r="56" ht="17.25" customHeight="1">
      <c r="A56" s="103"/>
      <c r="B56" s="103"/>
      <c r="C56" s="86" t="s">
        <v>170</v>
      </c>
      <c r="D56" s="87">
        <v>1.2060209E7</v>
      </c>
      <c r="E56" s="86" t="s">
        <v>171</v>
      </c>
      <c r="F56" s="86" t="s">
        <v>73</v>
      </c>
      <c r="G56" s="89" t="s">
        <v>74</v>
      </c>
      <c r="H56" s="89" t="s">
        <v>85</v>
      </c>
      <c r="I56" s="89" t="str">
        <f t="shared" si="2"/>
        <v>BLOCKED</v>
      </c>
      <c r="J56" s="95" t="s">
        <v>17</v>
      </c>
      <c r="K56" s="89" t="s">
        <v>78</v>
      </c>
      <c r="L56" s="89" t="s">
        <v>27</v>
      </c>
      <c r="M56" s="97" t="s">
        <v>385</v>
      </c>
      <c r="N56" s="97" t="s">
        <v>80</v>
      </c>
      <c r="O56" s="86"/>
      <c r="P56" s="97" t="s">
        <v>37</v>
      </c>
      <c r="Q56" s="98" t="s">
        <v>387</v>
      </c>
      <c r="R56" s="100"/>
      <c r="S56" s="100"/>
      <c r="T56" s="80" t="s">
        <v>82</v>
      </c>
      <c r="U56" s="6"/>
      <c r="V56" s="6"/>
      <c r="W56" s="6"/>
      <c r="X56" s="6"/>
      <c r="Y56" s="6"/>
      <c r="Z56" s="6"/>
      <c r="AA56" s="6"/>
      <c r="AB56" s="6"/>
      <c r="AC56" s="6"/>
      <c r="AD56" s="6"/>
      <c r="AE56" s="6"/>
      <c r="AF56" s="6"/>
      <c r="AG56" s="6"/>
      <c r="AH56" s="6"/>
      <c r="AI56" s="6"/>
      <c r="AJ56" s="6"/>
      <c r="AK56" s="6"/>
      <c r="AL56" s="6"/>
      <c r="AM56" s="6"/>
      <c r="AN56" s="6"/>
      <c r="AO56" s="6"/>
      <c r="AP56" s="6"/>
    </row>
    <row r="57" ht="17.25" customHeight="1">
      <c r="A57" s="103"/>
      <c r="B57" s="103"/>
      <c r="C57" s="86" t="s">
        <v>173</v>
      </c>
      <c r="D57" s="87">
        <v>1.206021E7</v>
      </c>
      <c r="E57" s="86" t="s">
        <v>174</v>
      </c>
      <c r="F57" s="86" t="s">
        <v>73</v>
      </c>
      <c r="G57" s="89" t="s">
        <v>74</v>
      </c>
      <c r="H57" s="89" t="s">
        <v>85</v>
      </c>
      <c r="I57" s="89" t="str">
        <f t="shared" si="2"/>
        <v>BLOCKED</v>
      </c>
      <c r="J57" s="95" t="s">
        <v>17</v>
      </c>
      <c r="K57" s="89" t="s">
        <v>78</v>
      </c>
      <c r="L57" s="89" t="s">
        <v>27</v>
      </c>
      <c r="M57" s="97" t="s">
        <v>395</v>
      </c>
      <c r="N57" s="97" t="s">
        <v>80</v>
      </c>
      <c r="O57" s="86"/>
      <c r="P57" s="97" t="s">
        <v>37</v>
      </c>
      <c r="Q57" s="98" t="s">
        <v>397</v>
      </c>
      <c r="R57" s="100"/>
      <c r="S57" s="100"/>
      <c r="T57" s="80" t="s">
        <v>82</v>
      </c>
      <c r="U57" s="6"/>
      <c r="V57" s="6"/>
      <c r="W57" s="6"/>
      <c r="X57" s="6"/>
      <c r="Y57" s="6"/>
      <c r="Z57" s="6"/>
      <c r="AA57" s="6"/>
      <c r="AB57" s="6"/>
      <c r="AC57" s="6"/>
      <c r="AD57" s="6"/>
      <c r="AE57" s="6"/>
      <c r="AF57" s="6"/>
      <c r="AG57" s="6"/>
      <c r="AH57" s="6"/>
      <c r="AI57" s="6"/>
      <c r="AJ57" s="6"/>
      <c r="AK57" s="6"/>
      <c r="AL57" s="6"/>
      <c r="AM57" s="6"/>
      <c r="AN57" s="6"/>
      <c r="AO57" s="6"/>
      <c r="AP57" s="6"/>
    </row>
    <row r="58" ht="17.25" customHeight="1">
      <c r="A58" s="103"/>
      <c r="B58" s="103"/>
      <c r="C58" s="86" t="s">
        <v>177</v>
      </c>
      <c r="D58" s="87">
        <v>1.2060211E7</v>
      </c>
      <c r="E58" s="86" t="s">
        <v>178</v>
      </c>
      <c r="F58" s="86" t="s">
        <v>73</v>
      </c>
      <c r="G58" s="89" t="s">
        <v>74</v>
      </c>
      <c r="H58" s="89" t="s">
        <v>85</v>
      </c>
      <c r="I58" s="89" t="str">
        <f t="shared" si="2"/>
        <v>PASSED</v>
      </c>
      <c r="J58" s="89" t="s">
        <v>27</v>
      </c>
      <c r="K58" s="95" t="s">
        <v>86</v>
      </c>
      <c r="L58" s="95" t="s">
        <v>12</v>
      </c>
      <c r="M58" s="97" t="s">
        <v>316</v>
      </c>
      <c r="N58" s="97" t="s">
        <v>80</v>
      </c>
      <c r="O58" s="86"/>
      <c r="P58" s="97" t="s">
        <v>37</v>
      </c>
      <c r="Q58" s="98" t="s">
        <v>406</v>
      </c>
      <c r="R58" s="109" t="s">
        <v>408</v>
      </c>
      <c r="S58" s="109" t="s">
        <v>410</v>
      </c>
      <c r="T58" s="80" t="s">
        <v>82</v>
      </c>
      <c r="U58" s="6"/>
      <c r="V58" s="6"/>
      <c r="W58" s="6"/>
      <c r="X58" s="6"/>
      <c r="Y58" s="6"/>
      <c r="Z58" s="6"/>
      <c r="AA58" s="6"/>
      <c r="AB58" s="6"/>
      <c r="AC58" s="6"/>
      <c r="AD58" s="6"/>
      <c r="AE58" s="6"/>
      <c r="AF58" s="6"/>
      <c r="AG58" s="6"/>
      <c r="AH58" s="6"/>
      <c r="AI58" s="6"/>
      <c r="AJ58" s="6"/>
      <c r="AK58" s="6"/>
      <c r="AL58" s="6"/>
      <c r="AM58" s="6"/>
      <c r="AN58" s="6"/>
      <c r="AO58" s="6"/>
      <c r="AP58" s="6"/>
    </row>
    <row r="59" ht="17.25" customHeight="1">
      <c r="A59" s="103"/>
      <c r="B59" s="103"/>
      <c r="C59" s="86" t="s">
        <v>180</v>
      </c>
      <c r="D59" s="87">
        <v>1.2060212E7</v>
      </c>
      <c r="E59" s="86" t="s">
        <v>181</v>
      </c>
      <c r="F59" s="86" t="s">
        <v>414</v>
      </c>
      <c r="G59" s="89" t="s">
        <v>74</v>
      </c>
      <c r="H59" s="89" t="s">
        <v>75</v>
      </c>
      <c r="I59" s="89" t="str">
        <f t="shared" si="2"/>
        <v>PASSED</v>
      </c>
      <c r="J59" s="89" t="s">
        <v>27</v>
      </c>
      <c r="K59" s="95" t="s">
        <v>86</v>
      </c>
      <c r="L59" s="95" t="s">
        <v>12</v>
      </c>
      <c r="M59" s="97" t="s">
        <v>316</v>
      </c>
      <c r="N59" s="97" t="s">
        <v>80</v>
      </c>
      <c r="O59" s="86"/>
      <c r="P59" s="97" t="s">
        <v>37</v>
      </c>
      <c r="Q59" s="98" t="s">
        <v>420</v>
      </c>
      <c r="R59" s="109" t="s">
        <v>421</v>
      </c>
      <c r="S59" s="109" t="s">
        <v>423</v>
      </c>
      <c r="T59" s="80" t="s">
        <v>82</v>
      </c>
      <c r="U59" s="6"/>
      <c r="V59" s="6"/>
      <c r="W59" s="6"/>
      <c r="X59" s="6"/>
      <c r="Y59" s="6"/>
      <c r="Z59" s="6"/>
      <c r="AA59" s="6"/>
      <c r="AB59" s="6"/>
      <c r="AC59" s="6"/>
      <c r="AD59" s="6"/>
      <c r="AE59" s="6"/>
      <c r="AF59" s="6"/>
      <c r="AG59" s="6"/>
      <c r="AH59" s="6"/>
      <c r="AI59" s="6"/>
      <c r="AJ59" s="6"/>
      <c r="AK59" s="6"/>
      <c r="AL59" s="6"/>
      <c r="AM59" s="6"/>
      <c r="AN59" s="6"/>
      <c r="AO59" s="6"/>
      <c r="AP59" s="6"/>
    </row>
    <row r="60" ht="17.25" customHeight="1">
      <c r="A60" s="103"/>
      <c r="B60" s="26"/>
      <c r="C60" s="86" t="s">
        <v>183</v>
      </c>
      <c r="D60" s="87">
        <v>1.2060213E7</v>
      </c>
      <c r="E60" s="86" t="s">
        <v>184</v>
      </c>
      <c r="F60" s="86" t="s">
        <v>414</v>
      </c>
      <c r="G60" s="89" t="s">
        <v>74</v>
      </c>
      <c r="H60" s="89" t="s">
        <v>75</v>
      </c>
      <c r="I60" s="89" t="str">
        <f t="shared" si="2"/>
        <v>PASSED</v>
      </c>
      <c r="J60" s="89" t="s">
        <v>27</v>
      </c>
      <c r="K60" s="95" t="s">
        <v>86</v>
      </c>
      <c r="L60" s="95" t="s">
        <v>12</v>
      </c>
      <c r="M60" s="97" t="s">
        <v>316</v>
      </c>
      <c r="N60" s="97" t="s">
        <v>80</v>
      </c>
      <c r="O60" s="86"/>
      <c r="P60" s="97" t="s">
        <v>37</v>
      </c>
      <c r="Q60" s="98" t="s">
        <v>436</v>
      </c>
      <c r="R60" s="109" t="s">
        <v>438</v>
      </c>
      <c r="S60" s="109" t="s">
        <v>440</v>
      </c>
      <c r="T60" s="80" t="s">
        <v>82</v>
      </c>
      <c r="U60" s="6"/>
      <c r="V60" s="6"/>
      <c r="W60" s="6"/>
      <c r="X60" s="6"/>
      <c r="Y60" s="6"/>
      <c r="Z60" s="6"/>
      <c r="AA60" s="6"/>
      <c r="AB60" s="6"/>
      <c r="AC60" s="6"/>
      <c r="AD60" s="6"/>
      <c r="AE60" s="6"/>
      <c r="AF60" s="6"/>
      <c r="AG60" s="6"/>
      <c r="AH60" s="6"/>
      <c r="AI60" s="6"/>
      <c r="AJ60" s="6"/>
      <c r="AK60" s="6"/>
      <c r="AL60" s="6"/>
      <c r="AM60" s="6"/>
      <c r="AN60" s="6"/>
      <c r="AO60" s="6"/>
      <c r="AP60" s="6"/>
    </row>
    <row r="61" ht="17.25" customHeight="1">
      <c r="A61" s="103"/>
      <c r="B61" s="84" t="s">
        <v>443</v>
      </c>
      <c r="C61" s="86" t="s">
        <v>186</v>
      </c>
      <c r="D61" s="87">
        <v>1.2060214E7</v>
      </c>
      <c r="E61" s="86" t="s">
        <v>187</v>
      </c>
      <c r="F61" s="86" t="s">
        <v>73</v>
      </c>
      <c r="G61" s="89" t="s">
        <v>74</v>
      </c>
      <c r="H61" s="89" t="s">
        <v>85</v>
      </c>
      <c r="I61" s="89" t="str">
        <f t="shared" si="2"/>
        <v>PASSED</v>
      </c>
      <c r="J61" s="89" t="s">
        <v>27</v>
      </c>
      <c r="K61" s="95" t="s">
        <v>86</v>
      </c>
      <c r="L61" s="95" t="s">
        <v>12</v>
      </c>
      <c r="M61" s="97" t="s">
        <v>452</v>
      </c>
      <c r="N61" s="97" t="s">
        <v>80</v>
      </c>
      <c r="O61" s="86"/>
      <c r="P61" s="97" t="s">
        <v>37</v>
      </c>
      <c r="Q61" s="98" t="s">
        <v>453</v>
      </c>
      <c r="R61" s="109" t="s">
        <v>456</v>
      </c>
      <c r="S61" s="109" t="s">
        <v>457</v>
      </c>
      <c r="T61" s="80" t="s">
        <v>458</v>
      </c>
      <c r="U61" s="6"/>
      <c r="V61" s="6"/>
      <c r="W61" s="6"/>
      <c r="X61" s="6"/>
      <c r="Y61" s="6"/>
      <c r="Z61" s="6"/>
      <c r="AA61" s="6"/>
      <c r="AB61" s="6"/>
      <c r="AC61" s="6"/>
      <c r="AD61" s="6"/>
      <c r="AE61" s="6"/>
      <c r="AF61" s="6"/>
      <c r="AG61" s="6"/>
      <c r="AH61" s="6"/>
      <c r="AI61" s="6"/>
      <c r="AJ61" s="6"/>
      <c r="AK61" s="6"/>
      <c r="AL61" s="6"/>
      <c r="AM61" s="6"/>
      <c r="AN61" s="6"/>
      <c r="AO61" s="6"/>
      <c r="AP61" s="6"/>
    </row>
    <row r="62" ht="17.25" customHeight="1">
      <c r="A62" s="103"/>
      <c r="B62" s="103"/>
      <c r="C62" s="86" t="s">
        <v>189</v>
      </c>
      <c r="D62" s="86"/>
      <c r="E62" s="86" t="s">
        <v>190</v>
      </c>
      <c r="F62" s="86" t="s">
        <v>73</v>
      </c>
      <c r="G62" s="89" t="s">
        <v>74</v>
      </c>
      <c r="H62" s="89" t="s">
        <v>85</v>
      </c>
      <c r="I62" s="89" t="str">
        <f t="shared" si="2"/>
        <v>BLOCKED</v>
      </c>
      <c r="J62" s="95" t="s">
        <v>17</v>
      </c>
      <c r="K62" s="89" t="s">
        <v>78</v>
      </c>
      <c r="L62" s="95" t="s">
        <v>27</v>
      </c>
      <c r="M62" s="97" t="s">
        <v>463</v>
      </c>
      <c r="N62" s="97" t="s">
        <v>80</v>
      </c>
      <c r="O62" s="86"/>
      <c r="P62" s="97" t="s">
        <v>37</v>
      </c>
      <c r="Q62" s="98" t="s">
        <v>464</v>
      </c>
      <c r="R62" s="100"/>
      <c r="S62" s="100"/>
      <c r="T62" s="80" t="s">
        <v>458</v>
      </c>
      <c r="U62" s="6"/>
      <c r="V62" s="6"/>
      <c r="W62" s="6"/>
      <c r="X62" s="6"/>
      <c r="Y62" s="6"/>
      <c r="Z62" s="6"/>
      <c r="AA62" s="6"/>
      <c r="AB62" s="6"/>
      <c r="AC62" s="6"/>
      <c r="AD62" s="6"/>
      <c r="AE62" s="6"/>
      <c r="AF62" s="6"/>
      <c r="AG62" s="6"/>
      <c r="AH62" s="6"/>
      <c r="AI62" s="6"/>
      <c r="AJ62" s="6"/>
      <c r="AK62" s="6"/>
      <c r="AL62" s="6"/>
      <c r="AM62" s="6"/>
      <c r="AN62" s="6"/>
      <c r="AO62" s="6"/>
      <c r="AP62" s="6"/>
    </row>
    <row r="63" ht="17.25" customHeight="1">
      <c r="A63" s="103"/>
      <c r="B63" s="103"/>
      <c r="C63" s="86" t="s">
        <v>193</v>
      </c>
      <c r="D63" s="86"/>
      <c r="E63" s="86" t="s">
        <v>195</v>
      </c>
      <c r="F63" s="86" t="s">
        <v>73</v>
      </c>
      <c r="G63" s="89" t="s">
        <v>74</v>
      </c>
      <c r="H63" s="89" t="s">
        <v>75</v>
      </c>
      <c r="I63" s="89" t="str">
        <f t="shared" si="2"/>
        <v>BLOCKED</v>
      </c>
      <c r="J63" s="95" t="s">
        <v>17</v>
      </c>
      <c r="K63" s="89" t="s">
        <v>78</v>
      </c>
      <c r="L63" s="89" t="s">
        <v>27</v>
      </c>
      <c r="M63" s="97" t="s">
        <v>469</v>
      </c>
      <c r="N63" s="97" t="s">
        <v>80</v>
      </c>
      <c r="O63" s="86"/>
      <c r="P63" s="97" t="s">
        <v>37</v>
      </c>
      <c r="Q63" s="98" t="s">
        <v>470</v>
      </c>
      <c r="R63" s="100"/>
      <c r="S63" s="100"/>
      <c r="T63" s="80" t="s">
        <v>472</v>
      </c>
      <c r="U63" s="6"/>
      <c r="V63" s="6"/>
      <c r="W63" s="6"/>
      <c r="X63" s="6"/>
      <c r="Y63" s="6"/>
      <c r="Z63" s="6"/>
      <c r="AA63" s="6"/>
      <c r="AB63" s="6"/>
      <c r="AC63" s="6"/>
      <c r="AD63" s="6"/>
      <c r="AE63" s="6"/>
      <c r="AF63" s="6"/>
      <c r="AG63" s="6"/>
      <c r="AH63" s="6"/>
      <c r="AI63" s="6"/>
      <c r="AJ63" s="6"/>
      <c r="AK63" s="6"/>
      <c r="AL63" s="6"/>
      <c r="AM63" s="6"/>
      <c r="AN63" s="6"/>
      <c r="AO63" s="6"/>
      <c r="AP63" s="6"/>
    </row>
    <row r="64" ht="17.25" customHeight="1">
      <c r="A64" s="103"/>
      <c r="B64" s="103"/>
      <c r="C64" s="86" t="s">
        <v>199</v>
      </c>
      <c r="D64" s="86"/>
      <c r="E64" s="86" t="s">
        <v>200</v>
      </c>
      <c r="F64" s="87" t="s">
        <v>260</v>
      </c>
      <c r="G64" s="89" t="s">
        <v>74</v>
      </c>
      <c r="H64" s="89" t="s">
        <v>85</v>
      </c>
      <c r="I64" s="89" t="str">
        <f t="shared" si="2"/>
        <v>BLOCKED</v>
      </c>
      <c r="J64" s="95" t="s">
        <v>17</v>
      </c>
      <c r="K64" s="89" t="s">
        <v>78</v>
      </c>
      <c r="L64" s="89" t="s">
        <v>27</v>
      </c>
      <c r="M64" s="97" t="s">
        <v>478</v>
      </c>
      <c r="N64" s="97" t="s">
        <v>80</v>
      </c>
      <c r="O64" s="86"/>
      <c r="P64" s="97" t="s">
        <v>37</v>
      </c>
      <c r="Q64" s="98" t="s">
        <v>480</v>
      </c>
      <c r="R64" s="100"/>
      <c r="S64" s="100"/>
      <c r="T64" s="80" t="s">
        <v>472</v>
      </c>
      <c r="U64" s="6"/>
      <c r="V64" s="6"/>
      <c r="W64" s="6"/>
      <c r="X64" s="6"/>
      <c r="Y64" s="6"/>
      <c r="Z64" s="6"/>
      <c r="AA64" s="6"/>
      <c r="AB64" s="6"/>
      <c r="AC64" s="6"/>
      <c r="AD64" s="6"/>
      <c r="AE64" s="6"/>
      <c r="AF64" s="6"/>
      <c r="AG64" s="6"/>
      <c r="AH64" s="6"/>
      <c r="AI64" s="6"/>
      <c r="AJ64" s="6"/>
      <c r="AK64" s="6"/>
      <c r="AL64" s="6"/>
      <c r="AM64" s="6"/>
      <c r="AN64" s="6"/>
      <c r="AO64" s="6"/>
      <c r="AP64" s="6"/>
    </row>
    <row r="65" ht="17.25" customHeight="1">
      <c r="A65" s="103"/>
      <c r="B65" s="26"/>
      <c r="C65" s="86" t="s">
        <v>201</v>
      </c>
      <c r="D65" s="86"/>
      <c r="E65" s="86" t="s">
        <v>202</v>
      </c>
      <c r="F65" s="86" t="s">
        <v>73</v>
      </c>
      <c r="G65" s="89" t="s">
        <v>74</v>
      </c>
      <c r="H65" s="89" t="s">
        <v>75</v>
      </c>
      <c r="I65" s="89" t="str">
        <f t="shared" si="2"/>
        <v>BLOCKED</v>
      </c>
      <c r="J65" s="95" t="s">
        <v>17</v>
      </c>
      <c r="K65" s="89" t="s">
        <v>78</v>
      </c>
      <c r="L65" s="89" t="s">
        <v>27</v>
      </c>
      <c r="M65" s="97" t="s">
        <v>478</v>
      </c>
      <c r="N65" s="97" t="s">
        <v>80</v>
      </c>
      <c r="O65" s="86"/>
      <c r="P65" s="97" t="s">
        <v>37</v>
      </c>
      <c r="Q65" s="98" t="s">
        <v>488</v>
      </c>
      <c r="R65" s="100"/>
      <c r="S65" s="100"/>
      <c r="T65" s="80" t="s">
        <v>472</v>
      </c>
      <c r="U65" s="6"/>
      <c r="V65" s="6"/>
      <c r="W65" s="6"/>
      <c r="X65" s="6"/>
      <c r="Y65" s="6"/>
      <c r="Z65" s="6"/>
      <c r="AA65" s="6"/>
      <c r="AB65" s="6"/>
      <c r="AC65" s="6"/>
      <c r="AD65" s="6"/>
      <c r="AE65" s="6"/>
      <c r="AF65" s="6"/>
      <c r="AG65" s="6"/>
      <c r="AH65" s="6"/>
      <c r="AI65" s="6"/>
      <c r="AJ65" s="6"/>
      <c r="AK65" s="6"/>
      <c r="AL65" s="6"/>
      <c r="AM65" s="6"/>
      <c r="AN65" s="6"/>
      <c r="AO65" s="6"/>
      <c r="AP65" s="6"/>
    </row>
    <row r="66" ht="17.25" customHeight="1">
      <c r="A66" s="103"/>
      <c r="B66" s="84" t="s">
        <v>315</v>
      </c>
      <c r="C66" s="86" t="s">
        <v>493</v>
      </c>
      <c r="D66" s="86"/>
      <c r="E66" s="86" t="s">
        <v>494</v>
      </c>
      <c r="F66" s="86" t="s">
        <v>73</v>
      </c>
      <c r="G66" s="89" t="s">
        <v>146</v>
      </c>
      <c r="H66" s="89" t="s">
        <v>85</v>
      </c>
      <c r="I66" s="89" t="str">
        <f t="shared" si="2"/>
        <v>BLOCKED</v>
      </c>
      <c r="J66" s="95" t="s">
        <v>17</v>
      </c>
      <c r="K66" s="89" t="s">
        <v>78</v>
      </c>
      <c r="L66" s="89" t="s">
        <v>27</v>
      </c>
      <c r="M66" s="97" t="s">
        <v>498</v>
      </c>
      <c r="N66" s="97" t="s">
        <v>80</v>
      </c>
      <c r="O66" s="86"/>
      <c r="P66" s="97" t="s">
        <v>37</v>
      </c>
      <c r="Q66" s="98" t="s">
        <v>501</v>
      </c>
      <c r="R66" s="100"/>
      <c r="S66" s="100"/>
      <c r="T66" s="80" t="s">
        <v>82</v>
      </c>
      <c r="U66" s="6"/>
      <c r="V66" s="6"/>
      <c r="W66" s="6"/>
      <c r="X66" s="6"/>
      <c r="Y66" s="6"/>
      <c r="Z66" s="6"/>
      <c r="AA66" s="6"/>
      <c r="AB66" s="6"/>
      <c r="AC66" s="6"/>
      <c r="AD66" s="6"/>
      <c r="AE66" s="6"/>
      <c r="AF66" s="6"/>
      <c r="AG66" s="6"/>
      <c r="AH66" s="6"/>
      <c r="AI66" s="6"/>
      <c r="AJ66" s="6"/>
      <c r="AK66" s="6"/>
      <c r="AL66" s="6"/>
      <c r="AM66" s="6"/>
      <c r="AN66" s="6"/>
      <c r="AO66" s="6"/>
      <c r="AP66" s="6"/>
    </row>
    <row r="67" ht="17.25" customHeight="1">
      <c r="A67" s="103"/>
      <c r="B67" s="103"/>
      <c r="C67" s="86" t="s">
        <v>504</v>
      </c>
      <c r="D67" s="86"/>
      <c r="E67" s="86" t="s">
        <v>506</v>
      </c>
      <c r="F67" s="86" t="s">
        <v>73</v>
      </c>
      <c r="G67" s="89" t="s">
        <v>146</v>
      </c>
      <c r="H67" s="89" t="s">
        <v>85</v>
      </c>
      <c r="I67" s="89" t="str">
        <f t="shared" si="2"/>
        <v>BLOCKED</v>
      </c>
      <c r="J67" s="95" t="s">
        <v>17</v>
      </c>
      <c r="K67" s="89" t="s">
        <v>78</v>
      </c>
      <c r="L67" s="89" t="s">
        <v>27</v>
      </c>
      <c r="M67" s="97" t="s">
        <v>316</v>
      </c>
      <c r="N67" s="97" t="s">
        <v>80</v>
      </c>
      <c r="O67" s="86"/>
      <c r="P67" s="97" t="s">
        <v>37</v>
      </c>
      <c r="Q67" s="98" t="s">
        <v>510</v>
      </c>
      <c r="R67" s="100"/>
      <c r="S67" s="100"/>
      <c r="T67" s="80" t="s">
        <v>82</v>
      </c>
      <c r="U67" s="6"/>
      <c r="V67" s="6"/>
      <c r="W67" s="6"/>
      <c r="X67" s="6"/>
      <c r="Y67" s="6"/>
      <c r="Z67" s="6"/>
      <c r="AA67" s="6"/>
      <c r="AB67" s="6"/>
      <c r="AC67" s="6"/>
      <c r="AD67" s="6"/>
      <c r="AE67" s="6"/>
      <c r="AF67" s="6"/>
      <c r="AG67" s="6"/>
      <c r="AH67" s="6"/>
      <c r="AI67" s="6"/>
      <c r="AJ67" s="6"/>
      <c r="AK67" s="6"/>
      <c r="AL67" s="6"/>
      <c r="AM67" s="6"/>
      <c r="AN67" s="6"/>
      <c r="AO67" s="6"/>
      <c r="AP67" s="6"/>
    </row>
    <row r="68" ht="17.25" customHeight="1">
      <c r="A68" s="103"/>
      <c r="B68" s="103"/>
      <c r="C68" s="86" t="s">
        <v>514</v>
      </c>
      <c r="D68" s="86"/>
      <c r="E68" s="86" t="s">
        <v>515</v>
      </c>
      <c r="F68" s="86" t="s">
        <v>73</v>
      </c>
      <c r="G68" s="89" t="s">
        <v>146</v>
      </c>
      <c r="H68" s="89" t="s">
        <v>85</v>
      </c>
      <c r="I68" s="89" t="str">
        <f t="shared" si="2"/>
        <v>BLOCKED</v>
      </c>
      <c r="J68" s="95" t="s">
        <v>17</v>
      </c>
      <c r="K68" s="89" t="s">
        <v>78</v>
      </c>
      <c r="L68" s="89" t="s">
        <v>27</v>
      </c>
      <c r="M68" s="97" t="s">
        <v>331</v>
      </c>
      <c r="N68" s="97" t="s">
        <v>80</v>
      </c>
      <c r="O68" s="86"/>
      <c r="P68" s="97" t="s">
        <v>37</v>
      </c>
      <c r="Q68" s="98" t="s">
        <v>519</v>
      </c>
      <c r="R68" s="100"/>
      <c r="S68" s="100"/>
      <c r="T68" s="80" t="s">
        <v>82</v>
      </c>
      <c r="U68" s="6"/>
      <c r="V68" s="6"/>
      <c r="W68" s="6"/>
      <c r="X68" s="6"/>
      <c r="Y68" s="6"/>
      <c r="Z68" s="6"/>
      <c r="AA68" s="6"/>
      <c r="AB68" s="6"/>
      <c r="AC68" s="6"/>
      <c r="AD68" s="6"/>
      <c r="AE68" s="6"/>
      <c r="AF68" s="6"/>
      <c r="AG68" s="6"/>
      <c r="AH68" s="6"/>
      <c r="AI68" s="6"/>
      <c r="AJ68" s="6"/>
      <c r="AK68" s="6"/>
      <c r="AL68" s="6"/>
      <c r="AM68" s="6"/>
      <c r="AN68" s="6"/>
      <c r="AO68" s="6"/>
      <c r="AP68" s="6"/>
    </row>
    <row r="69" ht="17.25" customHeight="1">
      <c r="A69" s="103"/>
      <c r="B69" s="103"/>
      <c r="C69" s="86" t="s">
        <v>522</v>
      </c>
      <c r="D69" s="86"/>
      <c r="E69" s="86" t="s">
        <v>524</v>
      </c>
      <c r="F69" s="87" t="s">
        <v>260</v>
      </c>
      <c r="G69" s="89" t="s">
        <v>146</v>
      </c>
      <c r="H69" s="89" t="s">
        <v>85</v>
      </c>
      <c r="I69" s="89" t="str">
        <f t="shared" si="2"/>
        <v>BLOCKED</v>
      </c>
      <c r="J69" s="95" t="s">
        <v>17</v>
      </c>
      <c r="K69" s="89" t="s">
        <v>78</v>
      </c>
      <c r="L69" s="89" t="s">
        <v>27</v>
      </c>
      <c r="M69" s="97" t="s">
        <v>528</v>
      </c>
      <c r="N69" s="97" t="s">
        <v>80</v>
      </c>
      <c r="O69" s="86"/>
      <c r="P69" s="97" t="s">
        <v>37</v>
      </c>
      <c r="Q69" s="98" t="s">
        <v>529</v>
      </c>
      <c r="R69" s="100"/>
      <c r="S69" s="100"/>
      <c r="T69" s="80" t="s">
        <v>530</v>
      </c>
      <c r="U69" s="6"/>
      <c r="V69" s="6"/>
      <c r="W69" s="6"/>
      <c r="X69" s="6"/>
      <c r="Y69" s="6"/>
      <c r="Z69" s="6"/>
      <c r="AA69" s="6"/>
      <c r="AB69" s="6"/>
      <c r="AC69" s="6"/>
      <c r="AD69" s="6"/>
      <c r="AE69" s="6"/>
      <c r="AF69" s="6"/>
      <c r="AG69" s="6"/>
      <c r="AH69" s="6"/>
      <c r="AI69" s="6"/>
      <c r="AJ69" s="6"/>
      <c r="AK69" s="6"/>
      <c r="AL69" s="6"/>
      <c r="AM69" s="6"/>
      <c r="AN69" s="6"/>
      <c r="AO69" s="6"/>
      <c r="AP69" s="6"/>
    </row>
    <row r="70" ht="17.25" customHeight="1">
      <c r="A70" s="103"/>
      <c r="B70" s="26"/>
      <c r="C70" s="87" t="s">
        <v>534</v>
      </c>
      <c r="D70" s="87"/>
      <c r="E70" s="87" t="s">
        <v>535</v>
      </c>
      <c r="F70" s="86" t="s">
        <v>73</v>
      </c>
      <c r="G70" s="95" t="s">
        <v>74</v>
      </c>
      <c r="H70" s="95" t="s">
        <v>75</v>
      </c>
      <c r="I70" s="89" t="str">
        <f t="shared" si="2"/>
        <v>BLOCKED</v>
      </c>
      <c r="J70" s="95" t="s">
        <v>17</v>
      </c>
      <c r="K70" s="89" t="s">
        <v>78</v>
      </c>
      <c r="L70" s="132" t="s">
        <v>27</v>
      </c>
      <c r="M70" s="129" t="s">
        <v>539</v>
      </c>
      <c r="N70" s="97" t="s">
        <v>80</v>
      </c>
      <c r="O70" s="86"/>
      <c r="P70" s="97" t="s">
        <v>37</v>
      </c>
      <c r="Q70" s="98" t="s">
        <v>541</v>
      </c>
      <c r="R70" s="109"/>
      <c r="S70" s="109"/>
      <c r="T70" s="133" t="s">
        <v>218</v>
      </c>
      <c r="U70" s="6"/>
      <c r="V70" s="6"/>
      <c r="W70" s="6"/>
      <c r="X70" s="6"/>
      <c r="Y70" s="6"/>
      <c r="Z70" s="6"/>
      <c r="AA70" s="6"/>
      <c r="AB70" s="6"/>
      <c r="AC70" s="6"/>
      <c r="AD70" s="6"/>
      <c r="AE70" s="6"/>
      <c r="AF70" s="6"/>
      <c r="AG70" s="6"/>
      <c r="AH70" s="6"/>
      <c r="AI70" s="6"/>
      <c r="AJ70" s="6"/>
      <c r="AK70" s="6"/>
      <c r="AL70" s="6"/>
      <c r="AM70" s="6"/>
      <c r="AN70" s="6"/>
      <c r="AO70" s="6"/>
      <c r="AP70" s="6"/>
    </row>
    <row r="71" ht="17.25" customHeight="1">
      <c r="A71" s="103"/>
      <c r="B71" s="84" t="s">
        <v>443</v>
      </c>
      <c r="C71" s="87" t="s">
        <v>547</v>
      </c>
      <c r="D71" s="87">
        <v>1.2060224E7</v>
      </c>
      <c r="E71" s="87" t="s">
        <v>548</v>
      </c>
      <c r="F71" s="87" t="s">
        <v>73</v>
      </c>
      <c r="G71" s="95" t="s">
        <v>146</v>
      </c>
      <c r="H71" s="95" t="s">
        <v>85</v>
      </c>
      <c r="I71" s="89" t="str">
        <f t="shared" si="2"/>
        <v>PASSED</v>
      </c>
      <c r="J71" s="89" t="s">
        <v>27</v>
      </c>
      <c r="K71" s="95" t="s">
        <v>86</v>
      </c>
      <c r="L71" s="95" t="s">
        <v>12</v>
      </c>
      <c r="M71" s="129" t="s">
        <v>552</v>
      </c>
      <c r="N71" s="130" t="s">
        <v>80</v>
      </c>
      <c r="O71" s="86"/>
      <c r="P71" s="129" t="s">
        <v>37</v>
      </c>
      <c r="Q71" s="98" t="s">
        <v>555</v>
      </c>
      <c r="R71" s="109" t="s">
        <v>556</v>
      </c>
      <c r="S71" s="109" t="s">
        <v>559</v>
      </c>
      <c r="T71" s="128">
        <v>46085.0</v>
      </c>
      <c r="U71" s="6"/>
      <c r="V71" s="6"/>
      <c r="W71" s="6"/>
      <c r="X71" s="6"/>
      <c r="Y71" s="6"/>
      <c r="Z71" s="6"/>
      <c r="AA71" s="6"/>
      <c r="AB71" s="6"/>
      <c r="AC71" s="6"/>
      <c r="AD71" s="6"/>
      <c r="AE71" s="6"/>
      <c r="AF71" s="6"/>
      <c r="AG71" s="6"/>
      <c r="AH71" s="6"/>
      <c r="AI71" s="6"/>
      <c r="AJ71" s="6"/>
      <c r="AK71" s="6"/>
      <c r="AL71" s="6"/>
      <c r="AM71" s="6"/>
      <c r="AN71" s="6"/>
      <c r="AO71" s="6"/>
      <c r="AP71" s="6"/>
    </row>
    <row r="72" ht="17.25" customHeight="1">
      <c r="A72" s="103"/>
      <c r="B72" s="103"/>
      <c r="C72" s="87" t="s">
        <v>562</v>
      </c>
      <c r="D72" s="87">
        <v>1.2060225E7</v>
      </c>
      <c r="E72" s="87" t="s">
        <v>564</v>
      </c>
      <c r="F72" s="87" t="s">
        <v>73</v>
      </c>
      <c r="G72" s="95" t="s">
        <v>146</v>
      </c>
      <c r="H72" s="95" t="s">
        <v>85</v>
      </c>
      <c r="I72" s="89" t="str">
        <f t="shared" si="2"/>
        <v>PASSED</v>
      </c>
      <c r="J72" s="89" t="s">
        <v>27</v>
      </c>
      <c r="K72" s="95" t="s">
        <v>86</v>
      </c>
      <c r="L72" s="95" t="s">
        <v>12</v>
      </c>
      <c r="M72" s="129" t="s">
        <v>452</v>
      </c>
      <c r="N72" s="130" t="s">
        <v>80</v>
      </c>
      <c r="O72" s="86"/>
      <c r="P72" s="129" t="s">
        <v>37</v>
      </c>
      <c r="Q72" s="98" t="s">
        <v>569</v>
      </c>
      <c r="R72" s="109" t="s">
        <v>570</v>
      </c>
      <c r="S72" s="109" t="s">
        <v>571</v>
      </c>
      <c r="T72" s="128">
        <v>46146.0</v>
      </c>
      <c r="U72" s="6"/>
      <c r="V72" s="6"/>
      <c r="W72" s="6"/>
      <c r="X72" s="6"/>
      <c r="Y72" s="6"/>
      <c r="Z72" s="6"/>
      <c r="AA72" s="6"/>
      <c r="AB72" s="6"/>
      <c r="AC72" s="6"/>
      <c r="AD72" s="6"/>
      <c r="AE72" s="6"/>
      <c r="AF72" s="6"/>
      <c r="AG72" s="6"/>
      <c r="AH72" s="6"/>
      <c r="AI72" s="6"/>
      <c r="AJ72" s="6"/>
      <c r="AK72" s="6"/>
      <c r="AL72" s="6"/>
      <c r="AM72" s="6"/>
      <c r="AN72" s="6"/>
      <c r="AO72" s="6"/>
      <c r="AP72" s="6"/>
    </row>
    <row r="73" ht="17.25" customHeight="1">
      <c r="A73" s="103"/>
      <c r="B73" s="103"/>
      <c r="C73" s="87" t="s">
        <v>572</v>
      </c>
      <c r="D73" s="87">
        <v>1.2060226E7</v>
      </c>
      <c r="E73" s="86" t="s">
        <v>573</v>
      </c>
      <c r="F73" s="86" t="s">
        <v>73</v>
      </c>
      <c r="G73" s="89" t="s">
        <v>146</v>
      </c>
      <c r="H73" s="89" t="s">
        <v>85</v>
      </c>
      <c r="I73" s="89" t="str">
        <f t="shared" si="2"/>
        <v>BLOCKED</v>
      </c>
      <c r="J73" s="95" t="s">
        <v>17</v>
      </c>
      <c r="K73" s="89" t="s">
        <v>78</v>
      </c>
      <c r="L73" s="89" t="s">
        <v>27</v>
      </c>
      <c r="M73" s="97" t="s">
        <v>452</v>
      </c>
      <c r="N73" s="97" t="s">
        <v>80</v>
      </c>
      <c r="O73" s="86"/>
      <c r="P73" s="97" t="s">
        <v>37</v>
      </c>
      <c r="Q73" s="98" t="s">
        <v>574</v>
      </c>
      <c r="R73" s="100"/>
      <c r="S73" s="100"/>
      <c r="T73" s="80" t="s">
        <v>458</v>
      </c>
      <c r="U73" s="6"/>
      <c r="V73" s="6"/>
      <c r="W73" s="6"/>
      <c r="X73" s="6"/>
      <c r="Y73" s="6"/>
      <c r="Z73" s="6"/>
      <c r="AA73" s="6"/>
      <c r="AB73" s="6"/>
      <c r="AC73" s="6"/>
      <c r="AD73" s="6"/>
      <c r="AE73" s="6"/>
      <c r="AF73" s="6"/>
      <c r="AG73" s="6"/>
      <c r="AH73" s="6"/>
      <c r="AI73" s="6"/>
      <c r="AJ73" s="6"/>
      <c r="AK73" s="6"/>
      <c r="AL73" s="6"/>
      <c r="AM73" s="6"/>
      <c r="AN73" s="6"/>
      <c r="AO73" s="6"/>
      <c r="AP73" s="6"/>
    </row>
    <row r="74" ht="17.25" customHeight="1">
      <c r="A74" s="103"/>
      <c r="B74" s="103"/>
      <c r="C74" s="87" t="s">
        <v>575</v>
      </c>
      <c r="D74" s="87">
        <v>1.2060227E7</v>
      </c>
      <c r="E74" s="86" t="s">
        <v>576</v>
      </c>
      <c r="F74" s="86" t="s">
        <v>73</v>
      </c>
      <c r="G74" s="89" t="s">
        <v>146</v>
      </c>
      <c r="H74" s="89" t="s">
        <v>85</v>
      </c>
      <c r="I74" s="89" t="str">
        <f t="shared" si="2"/>
        <v>BLOCKED</v>
      </c>
      <c r="J74" s="95" t="s">
        <v>17</v>
      </c>
      <c r="K74" s="89" t="s">
        <v>78</v>
      </c>
      <c r="L74" s="89" t="s">
        <v>27</v>
      </c>
      <c r="M74" s="97" t="s">
        <v>452</v>
      </c>
      <c r="N74" s="97" t="s">
        <v>80</v>
      </c>
      <c r="O74" s="86"/>
      <c r="P74" s="97" t="s">
        <v>37</v>
      </c>
      <c r="Q74" s="98" t="s">
        <v>577</v>
      </c>
      <c r="R74" s="100"/>
      <c r="S74" s="100"/>
      <c r="T74" s="80" t="s">
        <v>458</v>
      </c>
      <c r="U74" s="6"/>
      <c r="V74" s="6"/>
      <c r="W74" s="6"/>
      <c r="X74" s="6"/>
      <c r="Y74" s="6"/>
      <c r="Z74" s="6"/>
      <c r="AA74" s="6"/>
      <c r="AB74" s="6"/>
      <c r="AC74" s="6"/>
      <c r="AD74" s="6"/>
      <c r="AE74" s="6"/>
      <c r="AF74" s="6"/>
      <c r="AG74" s="6"/>
      <c r="AH74" s="6"/>
      <c r="AI74" s="6"/>
      <c r="AJ74" s="6"/>
      <c r="AK74" s="6"/>
      <c r="AL74" s="6"/>
      <c r="AM74" s="6"/>
      <c r="AN74" s="6"/>
      <c r="AO74" s="6"/>
      <c r="AP74" s="6"/>
    </row>
    <row r="75" ht="17.25" customHeight="1">
      <c r="A75" s="103"/>
      <c r="B75" s="103"/>
      <c r="C75" s="87" t="s">
        <v>578</v>
      </c>
      <c r="D75" s="87">
        <v>1.2060228E7</v>
      </c>
      <c r="E75" s="86" t="s">
        <v>579</v>
      </c>
      <c r="F75" s="86" t="s">
        <v>73</v>
      </c>
      <c r="G75" s="89" t="s">
        <v>146</v>
      </c>
      <c r="H75" s="89" t="s">
        <v>85</v>
      </c>
      <c r="I75" s="89" t="str">
        <f t="shared" si="2"/>
        <v>BLOCKED</v>
      </c>
      <c r="J75" s="95" t="s">
        <v>17</v>
      </c>
      <c r="K75" s="89" t="s">
        <v>78</v>
      </c>
      <c r="L75" s="89" t="s">
        <v>27</v>
      </c>
      <c r="M75" s="97" t="s">
        <v>580</v>
      </c>
      <c r="N75" s="97" t="s">
        <v>80</v>
      </c>
      <c r="O75" s="86"/>
      <c r="P75" s="97" t="s">
        <v>37</v>
      </c>
      <c r="Q75" s="98" t="s">
        <v>581</v>
      </c>
      <c r="R75" s="100"/>
      <c r="S75" s="100"/>
      <c r="T75" s="80" t="s">
        <v>472</v>
      </c>
      <c r="U75" s="6"/>
      <c r="V75" s="6"/>
      <c r="W75" s="6"/>
      <c r="X75" s="6"/>
      <c r="Y75" s="6"/>
      <c r="Z75" s="6"/>
      <c r="AA75" s="6"/>
      <c r="AB75" s="6"/>
      <c r="AC75" s="6"/>
      <c r="AD75" s="6"/>
      <c r="AE75" s="6"/>
      <c r="AF75" s="6"/>
      <c r="AG75" s="6"/>
      <c r="AH75" s="6"/>
      <c r="AI75" s="6"/>
      <c r="AJ75" s="6"/>
      <c r="AK75" s="6"/>
      <c r="AL75" s="6"/>
      <c r="AM75" s="6"/>
      <c r="AN75" s="6"/>
      <c r="AO75" s="6"/>
      <c r="AP75" s="6"/>
    </row>
    <row r="76" ht="17.25" customHeight="1">
      <c r="A76" s="103"/>
      <c r="B76" s="103"/>
      <c r="C76" s="87" t="s">
        <v>582</v>
      </c>
      <c r="D76" s="87">
        <v>1.2060229E7</v>
      </c>
      <c r="E76" s="86" t="s">
        <v>583</v>
      </c>
      <c r="F76" s="86" t="s">
        <v>73</v>
      </c>
      <c r="G76" s="89" t="s">
        <v>146</v>
      </c>
      <c r="H76" s="89" t="s">
        <v>85</v>
      </c>
      <c r="I76" s="89" t="str">
        <f t="shared" si="2"/>
        <v>BLOCKED</v>
      </c>
      <c r="J76" s="95" t="s">
        <v>17</v>
      </c>
      <c r="K76" s="89" t="s">
        <v>78</v>
      </c>
      <c r="L76" s="89" t="s">
        <v>27</v>
      </c>
      <c r="M76" s="97" t="s">
        <v>452</v>
      </c>
      <c r="N76" s="97" t="s">
        <v>80</v>
      </c>
      <c r="O76" s="86"/>
      <c r="P76" s="97" t="s">
        <v>37</v>
      </c>
      <c r="Q76" s="98" t="s">
        <v>584</v>
      </c>
      <c r="R76" s="100"/>
      <c r="S76" s="100"/>
      <c r="T76" s="80" t="s">
        <v>458</v>
      </c>
      <c r="U76" s="6"/>
      <c r="V76" s="6"/>
      <c r="W76" s="6"/>
      <c r="X76" s="6"/>
      <c r="Y76" s="6"/>
      <c r="Z76" s="6"/>
      <c r="AA76" s="6"/>
      <c r="AB76" s="6"/>
      <c r="AC76" s="6"/>
      <c r="AD76" s="6"/>
      <c r="AE76" s="6"/>
      <c r="AF76" s="6"/>
      <c r="AG76" s="6"/>
      <c r="AH76" s="6"/>
      <c r="AI76" s="6"/>
      <c r="AJ76" s="6"/>
      <c r="AK76" s="6"/>
      <c r="AL76" s="6"/>
      <c r="AM76" s="6"/>
      <c r="AN76" s="6"/>
      <c r="AO76" s="6"/>
      <c r="AP76" s="6"/>
    </row>
    <row r="77" ht="17.25" customHeight="1">
      <c r="A77" s="103"/>
      <c r="B77" s="103"/>
      <c r="C77" s="87" t="s">
        <v>585</v>
      </c>
      <c r="D77" s="87">
        <v>1.206023E7</v>
      </c>
      <c r="E77" s="86" t="s">
        <v>586</v>
      </c>
      <c r="F77" s="86" t="s">
        <v>73</v>
      </c>
      <c r="G77" s="89" t="s">
        <v>146</v>
      </c>
      <c r="H77" s="89" t="s">
        <v>85</v>
      </c>
      <c r="I77" s="89" t="str">
        <f t="shared" si="2"/>
        <v>BLOCKED</v>
      </c>
      <c r="J77" s="95" t="s">
        <v>17</v>
      </c>
      <c r="K77" s="89" t="s">
        <v>78</v>
      </c>
      <c r="L77" s="89" t="s">
        <v>27</v>
      </c>
      <c r="M77" s="97" t="s">
        <v>587</v>
      </c>
      <c r="N77" s="97" t="s">
        <v>80</v>
      </c>
      <c r="O77" s="86"/>
      <c r="P77" s="97" t="s">
        <v>37</v>
      </c>
      <c r="Q77" s="98" t="s">
        <v>588</v>
      </c>
      <c r="R77" s="100"/>
      <c r="S77" s="100"/>
      <c r="T77" s="80" t="s">
        <v>589</v>
      </c>
      <c r="U77" s="6"/>
      <c r="V77" s="6"/>
      <c r="W77" s="6"/>
      <c r="X77" s="6"/>
      <c r="Y77" s="6"/>
      <c r="Z77" s="6"/>
      <c r="AA77" s="6"/>
      <c r="AB77" s="6"/>
      <c r="AC77" s="6"/>
      <c r="AD77" s="6"/>
      <c r="AE77" s="6"/>
      <c r="AF77" s="6"/>
      <c r="AG77" s="6"/>
      <c r="AH77" s="6"/>
      <c r="AI77" s="6"/>
      <c r="AJ77" s="6"/>
      <c r="AK77" s="6"/>
      <c r="AL77" s="6"/>
      <c r="AM77" s="6"/>
      <c r="AN77" s="6"/>
      <c r="AO77" s="6"/>
      <c r="AP77" s="6"/>
    </row>
    <row r="78" ht="17.25" customHeight="1">
      <c r="A78" s="103"/>
      <c r="B78" s="103"/>
      <c r="C78" s="87" t="s">
        <v>590</v>
      </c>
      <c r="D78" s="87">
        <v>1.2060231E7</v>
      </c>
      <c r="E78" s="86" t="s">
        <v>591</v>
      </c>
      <c r="F78" s="86" t="s">
        <v>73</v>
      </c>
      <c r="G78" s="89" t="s">
        <v>146</v>
      </c>
      <c r="H78" s="89" t="s">
        <v>85</v>
      </c>
      <c r="I78" s="89" t="str">
        <f t="shared" si="2"/>
        <v>BLOCKED</v>
      </c>
      <c r="J78" s="95" t="s">
        <v>17</v>
      </c>
      <c r="K78" s="89" t="s">
        <v>78</v>
      </c>
      <c r="L78" s="132" t="s">
        <v>27</v>
      </c>
      <c r="M78" s="97" t="s">
        <v>592</v>
      </c>
      <c r="N78" s="97" t="s">
        <v>80</v>
      </c>
      <c r="O78" s="86"/>
      <c r="P78" s="97" t="s">
        <v>37</v>
      </c>
      <c r="Q78" s="98" t="s">
        <v>593</v>
      </c>
      <c r="R78" s="100"/>
      <c r="S78" s="100"/>
      <c r="T78" s="80" t="s">
        <v>594</v>
      </c>
      <c r="U78" s="6"/>
      <c r="V78" s="6"/>
      <c r="W78" s="6"/>
      <c r="X78" s="6"/>
      <c r="Y78" s="6"/>
      <c r="Z78" s="6"/>
      <c r="AA78" s="6"/>
      <c r="AB78" s="6"/>
      <c r="AC78" s="6"/>
      <c r="AD78" s="6"/>
      <c r="AE78" s="6"/>
      <c r="AF78" s="6"/>
      <c r="AG78" s="6"/>
      <c r="AH78" s="6"/>
      <c r="AI78" s="6"/>
      <c r="AJ78" s="6"/>
      <c r="AK78" s="6"/>
      <c r="AL78" s="6"/>
      <c r="AM78" s="6"/>
      <c r="AN78" s="6"/>
      <c r="AO78" s="6"/>
      <c r="AP78" s="6"/>
    </row>
    <row r="79" ht="17.25" customHeight="1">
      <c r="A79" s="103"/>
      <c r="B79" s="103"/>
      <c r="C79" s="87" t="s">
        <v>595</v>
      </c>
      <c r="D79" s="87">
        <v>1.2060232E7</v>
      </c>
      <c r="E79" s="87" t="s">
        <v>596</v>
      </c>
      <c r="F79" s="87" t="s">
        <v>73</v>
      </c>
      <c r="G79" s="95" t="s">
        <v>74</v>
      </c>
      <c r="H79" s="95" t="s">
        <v>85</v>
      </c>
      <c r="I79" s="89" t="str">
        <f t="shared" si="2"/>
        <v>PASSED</v>
      </c>
      <c r="J79" s="89" t="s">
        <v>27</v>
      </c>
      <c r="K79" s="95" t="s">
        <v>86</v>
      </c>
      <c r="L79" s="95" t="s">
        <v>12</v>
      </c>
      <c r="M79" s="129" t="s">
        <v>452</v>
      </c>
      <c r="N79" s="130" t="s">
        <v>80</v>
      </c>
      <c r="O79" s="86"/>
      <c r="P79" s="129" t="s">
        <v>37</v>
      </c>
      <c r="Q79" s="98" t="s">
        <v>597</v>
      </c>
      <c r="R79" s="109" t="s">
        <v>598</v>
      </c>
      <c r="S79" s="109" t="s">
        <v>599</v>
      </c>
      <c r="T79" s="128">
        <v>46146.0</v>
      </c>
      <c r="U79" s="6"/>
      <c r="V79" s="6"/>
      <c r="W79" s="6"/>
      <c r="X79" s="6"/>
      <c r="Y79" s="6"/>
      <c r="Z79" s="6"/>
      <c r="AA79" s="6"/>
      <c r="AB79" s="6"/>
      <c r="AC79" s="6"/>
      <c r="AD79" s="6"/>
      <c r="AE79" s="6"/>
      <c r="AF79" s="6"/>
      <c r="AG79" s="6"/>
      <c r="AH79" s="6"/>
      <c r="AI79" s="6"/>
      <c r="AJ79" s="6"/>
      <c r="AK79" s="6"/>
      <c r="AL79" s="6"/>
      <c r="AM79" s="6"/>
      <c r="AN79" s="6"/>
      <c r="AO79" s="6"/>
      <c r="AP79" s="6"/>
    </row>
    <row r="80" ht="17.25" customHeight="1">
      <c r="A80" s="103"/>
      <c r="B80" s="103"/>
      <c r="C80" s="87" t="s">
        <v>600</v>
      </c>
      <c r="D80" s="87">
        <v>1.2060233E7</v>
      </c>
      <c r="E80" s="87" t="s">
        <v>601</v>
      </c>
      <c r="F80" s="87" t="s">
        <v>73</v>
      </c>
      <c r="G80" s="95" t="s">
        <v>146</v>
      </c>
      <c r="H80" s="95" t="s">
        <v>85</v>
      </c>
      <c r="I80" s="89" t="str">
        <f t="shared" si="2"/>
        <v>PASSED</v>
      </c>
      <c r="J80" s="89" t="s">
        <v>27</v>
      </c>
      <c r="K80" s="95" t="s">
        <v>86</v>
      </c>
      <c r="L80" s="95" t="s">
        <v>12</v>
      </c>
      <c r="M80" s="129" t="s">
        <v>452</v>
      </c>
      <c r="N80" s="130" t="s">
        <v>80</v>
      </c>
      <c r="O80" s="86"/>
      <c r="P80" s="129" t="s">
        <v>37</v>
      </c>
      <c r="Q80" s="98" t="s">
        <v>602</v>
      </c>
      <c r="R80" s="109" t="s">
        <v>603</v>
      </c>
      <c r="S80" s="109" t="s">
        <v>604</v>
      </c>
      <c r="T80" s="128">
        <v>46146.0</v>
      </c>
      <c r="U80" s="6"/>
      <c r="V80" s="6"/>
      <c r="W80" s="6"/>
      <c r="X80" s="6"/>
      <c r="Y80" s="6"/>
      <c r="Z80" s="6"/>
      <c r="AA80" s="6"/>
      <c r="AB80" s="6"/>
      <c r="AC80" s="6"/>
      <c r="AD80" s="6"/>
      <c r="AE80" s="6"/>
      <c r="AF80" s="6"/>
      <c r="AG80" s="6"/>
      <c r="AH80" s="6"/>
      <c r="AI80" s="6"/>
      <c r="AJ80" s="6"/>
      <c r="AK80" s="6"/>
      <c r="AL80" s="6"/>
      <c r="AM80" s="6"/>
      <c r="AN80" s="6"/>
      <c r="AO80" s="6"/>
      <c r="AP80" s="6"/>
    </row>
    <row r="81" ht="17.25" customHeight="1">
      <c r="A81" s="103"/>
      <c r="B81" s="103"/>
      <c r="C81" s="87" t="s">
        <v>605</v>
      </c>
      <c r="D81" s="87">
        <v>1.2060234E7</v>
      </c>
      <c r="E81" s="87" t="s">
        <v>606</v>
      </c>
      <c r="F81" s="87" t="s">
        <v>73</v>
      </c>
      <c r="G81" s="95" t="s">
        <v>146</v>
      </c>
      <c r="H81" s="95" t="s">
        <v>85</v>
      </c>
      <c r="I81" s="89" t="str">
        <f t="shared" si="2"/>
        <v>PASSED</v>
      </c>
      <c r="J81" s="89" t="s">
        <v>27</v>
      </c>
      <c r="K81" s="95" t="s">
        <v>86</v>
      </c>
      <c r="L81" s="95" t="s">
        <v>12</v>
      </c>
      <c r="M81" s="129" t="s">
        <v>452</v>
      </c>
      <c r="N81" s="130" t="s">
        <v>80</v>
      </c>
      <c r="O81" s="86"/>
      <c r="P81" s="129" t="s">
        <v>37</v>
      </c>
      <c r="Q81" s="98" t="s">
        <v>607</v>
      </c>
      <c r="R81" s="109" t="s">
        <v>608</v>
      </c>
      <c r="S81" s="109" t="s">
        <v>609</v>
      </c>
      <c r="T81" s="128">
        <v>46146.0</v>
      </c>
      <c r="U81" s="6"/>
      <c r="V81" s="6"/>
      <c r="W81" s="6"/>
      <c r="X81" s="6"/>
      <c r="Y81" s="6"/>
      <c r="Z81" s="6"/>
      <c r="AA81" s="6"/>
      <c r="AB81" s="6"/>
      <c r="AC81" s="6"/>
      <c r="AD81" s="6"/>
      <c r="AE81" s="6"/>
      <c r="AF81" s="6"/>
      <c r="AG81" s="6"/>
      <c r="AH81" s="6"/>
      <c r="AI81" s="6"/>
      <c r="AJ81" s="6"/>
      <c r="AK81" s="6"/>
      <c r="AL81" s="6"/>
      <c r="AM81" s="6"/>
      <c r="AN81" s="6"/>
      <c r="AO81" s="6"/>
      <c r="AP81" s="6"/>
    </row>
    <row r="82" ht="17.25" customHeight="1">
      <c r="A82" s="103"/>
      <c r="B82" s="103"/>
      <c r="C82" s="87" t="s">
        <v>610</v>
      </c>
      <c r="D82" s="87">
        <v>1.2060235E7</v>
      </c>
      <c r="E82" s="87" t="s">
        <v>611</v>
      </c>
      <c r="F82" s="87" t="s">
        <v>73</v>
      </c>
      <c r="G82" s="95" t="s">
        <v>146</v>
      </c>
      <c r="H82" s="95" t="s">
        <v>85</v>
      </c>
      <c r="I82" s="89" t="str">
        <f t="shared" si="2"/>
        <v>PASSED</v>
      </c>
      <c r="J82" s="89" t="s">
        <v>27</v>
      </c>
      <c r="K82" s="95" t="s">
        <v>86</v>
      </c>
      <c r="L82" s="95" t="s">
        <v>12</v>
      </c>
      <c r="M82" s="129" t="s">
        <v>452</v>
      </c>
      <c r="N82" s="130" t="s">
        <v>80</v>
      </c>
      <c r="O82" s="86"/>
      <c r="P82" s="129" t="s">
        <v>37</v>
      </c>
      <c r="Q82" s="98" t="s">
        <v>612</v>
      </c>
      <c r="R82" s="109" t="s">
        <v>613</v>
      </c>
      <c r="S82" s="109" t="s">
        <v>614</v>
      </c>
      <c r="T82" s="128">
        <v>46146.0</v>
      </c>
      <c r="U82" s="6"/>
      <c r="V82" s="6"/>
      <c r="W82" s="6"/>
      <c r="X82" s="6"/>
      <c r="Y82" s="6"/>
      <c r="Z82" s="6"/>
      <c r="AA82" s="6"/>
      <c r="AB82" s="6"/>
      <c r="AC82" s="6"/>
      <c r="AD82" s="6"/>
      <c r="AE82" s="6"/>
      <c r="AF82" s="6"/>
      <c r="AG82" s="6"/>
      <c r="AH82" s="6"/>
      <c r="AI82" s="6"/>
      <c r="AJ82" s="6"/>
      <c r="AK82" s="6"/>
      <c r="AL82" s="6"/>
      <c r="AM82" s="6"/>
      <c r="AN82" s="6"/>
      <c r="AO82" s="6"/>
      <c r="AP82" s="6"/>
    </row>
    <row r="83" ht="17.25" customHeight="1">
      <c r="A83" s="103"/>
      <c r="B83" s="103"/>
      <c r="C83" s="87" t="s">
        <v>615</v>
      </c>
      <c r="D83" s="87">
        <v>1.2060236E7</v>
      </c>
      <c r="E83" s="87" t="s">
        <v>616</v>
      </c>
      <c r="F83" s="87" t="s">
        <v>73</v>
      </c>
      <c r="G83" s="95" t="s">
        <v>146</v>
      </c>
      <c r="H83" s="95" t="s">
        <v>85</v>
      </c>
      <c r="I83" s="89" t="str">
        <f t="shared" si="2"/>
        <v>PASSED</v>
      </c>
      <c r="J83" s="89" t="s">
        <v>27</v>
      </c>
      <c r="K83" s="95" t="s">
        <v>86</v>
      </c>
      <c r="L83" s="95" t="s">
        <v>12</v>
      </c>
      <c r="M83" s="129" t="s">
        <v>452</v>
      </c>
      <c r="N83" s="130" t="s">
        <v>80</v>
      </c>
      <c r="O83" s="86"/>
      <c r="P83" s="129" t="s">
        <v>37</v>
      </c>
      <c r="Q83" s="98" t="s">
        <v>617</v>
      </c>
      <c r="R83" s="109" t="s">
        <v>618</v>
      </c>
      <c r="S83" s="109" t="s">
        <v>619</v>
      </c>
      <c r="T83" s="128">
        <v>46146.0</v>
      </c>
      <c r="U83" s="6"/>
      <c r="V83" s="6"/>
      <c r="W83" s="6"/>
      <c r="X83" s="6"/>
      <c r="Y83" s="6"/>
      <c r="Z83" s="6"/>
      <c r="AA83" s="6"/>
      <c r="AB83" s="6"/>
      <c r="AC83" s="6"/>
      <c r="AD83" s="6"/>
      <c r="AE83" s="6"/>
      <c r="AF83" s="6"/>
      <c r="AG83" s="6"/>
      <c r="AH83" s="6"/>
      <c r="AI83" s="6"/>
      <c r="AJ83" s="6"/>
      <c r="AK83" s="6"/>
      <c r="AL83" s="6"/>
      <c r="AM83" s="6"/>
      <c r="AN83" s="6"/>
      <c r="AO83" s="6"/>
      <c r="AP83" s="6"/>
    </row>
    <row r="84" ht="17.25" customHeight="1">
      <c r="A84" s="103"/>
      <c r="B84" s="26"/>
      <c r="C84" s="87" t="s">
        <v>620</v>
      </c>
      <c r="D84" s="87">
        <v>1.2060237E7</v>
      </c>
      <c r="E84" s="87" t="s">
        <v>621</v>
      </c>
      <c r="F84" s="87" t="s">
        <v>73</v>
      </c>
      <c r="G84" s="95" t="s">
        <v>146</v>
      </c>
      <c r="H84" s="95" t="s">
        <v>85</v>
      </c>
      <c r="I84" s="89" t="str">
        <f t="shared" si="2"/>
        <v>FAILED</v>
      </c>
      <c r="J84" s="89" t="s">
        <v>27</v>
      </c>
      <c r="K84" s="95" t="s">
        <v>86</v>
      </c>
      <c r="L84" s="95" t="s">
        <v>13</v>
      </c>
      <c r="M84" s="129" t="s">
        <v>452</v>
      </c>
      <c r="N84" s="130" t="s">
        <v>80</v>
      </c>
      <c r="O84" s="87" t="s">
        <v>622</v>
      </c>
      <c r="P84" s="129" t="s">
        <v>37</v>
      </c>
      <c r="Q84" s="98" t="s">
        <v>623</v>
      </c>
      <c r="R84" s="109" t="s">
        <v>624</v>
      </c>
      <c r="S84" s="109" t="s">
        <v>625</v>
      </c>
      <c r="T84" s="128">
        <v>46146.0</v>
      </c>
      <c r="U84" s="6"/>
      <c r="V84" s="6"/>
      <c r="W84" s="6"/>
      <c r="X84" s="6"/>
      <c r="Y84" s="6"/>
      <c r="Z84" s="6"/>
      <c r="AA84" s="6"/>
      <c r="AB84" s="6"/>
      <c r="AC84" s="6"/>
      <c r="AD84" s="6"/>
      <c r="AE84" s="6"/>
      <c r="AF84" s="6"/>
      <c r="AG84" s="6"/>
      <c r="AH84" s="6"/>
      <c r="AI84" s="6"/>
      <c r="AJ84" s="6"/>
      <c r="AK84" s="6"/>
      <c r="AL84" s="6"/>
      <c r="AM84" s="6"/>
      <c r="AN84" s="6"/>
      <c r="AO84" s="6"/>
      <c r="AP84" s="6"/>
    </row>
    <row r="85" ht="17.25" customHeight="1">
      <c r="A85" s="103"/>
      <c r="B85" s="131" t="s">
        <v>626</v>
      </c>
      <c r="C85" s="87" t="s">
        <v>627</v>
      </c>
      <c r="D85" s="143"/>
      <c r="E85" s="144" t="s">
        <v>628</v>
      </c>
      <c r="F85" s="86" t="s">
        <v>73</v>
      </c>
      <c r="G85" s="95" t="s">
        <v>74</v>
      </c>
      <c r="H85" s="95" t="s">
        <v>75</v>
      </c>
      <c r="I85" s="89" t="str">
        <f t="shared" si="2"/>
        <v>BLOCKED</v>
      </c>
      <c r="J85" s="95" t="s">
        <v>17</v>
      </c>
      <c r="K85" s="89" t="s">
        <v>78</v>
      </c>
      <c r="L85" s="132" t="s">
        <v>27</v>
      </c>
      <c r="M85" s="129" t="s">
        <v>629</v>
      </c>
      <c r="N85" s="97" t="s">
        <v>80</v>
      </c>
      <c r="O85" s="86"/>
      <c r="P85" s="97" t="s">
        <v>37</v>
      </c>
      <c r="Q85" s="98" t="s">
        <v>630</v>
      </c>
      <c r="R85" s="109"/>
      <c r="S85" s="109"/>
      <c r="T85" s="133" t="s">
        <v>218</v>
      </c>
      <c r="U85" s="6"/>
      <c r="V85" s="6"/>
      <c r="W85" s="6"/>
      <c r="X85" s="6"/>
      <c r="Y85" s="6"/>
      <c r="Z85" s="6"/>
      <c r="AA85" s="6"/>
      <c r="AB85" s="6"/>
      <c r="AC85" s="6"/>
      <c r="AD85" s="6"/>
      <c r="AE85" s="6"/>
      <c r="AF85" s="6"/>
      <c r="AG85" s="6"/>
      <c r="AH85" s="6"/>
      <c r="AI85" s="6"/>
      <c r="AJ85" s="6"/>
      <c r="AK85" s="6"/>
      <c r="AL85" s="6"/>
      <c r="AM85" s="6"/>
      <c r="AN85" s="6"/>
      <c r="AO85" s="6"/>
      <c r="AP85" s="6"/>
    </row>
    <row r="86" ht="17.25" customHeight="1">
      <c r="A86" s="26"/>
      <c r="B86" s="131" t="s">
        <v>631</v>
      </c>
      <c r="C86" s="87" t="s">
        <v>632</v>
      </c>
      <c r="D86" s="87"/>
      <c r="E86" s="87" t="s">
        <v>633</v>
      </c>
      <c r="F86" s="86" t="s">
        <v>73</v>
      </c>
      <c r="G86" s="95" t="s">
        <v>74</v>
      </c>
      <c r="H86" s="95" t="s">
        <v>85</v>
      </c>
      <c r="I86" s="89" t="str">
        <f t="shared" si="2"/>
        <v>BLOCKED</v>
      </c>
      <c r="J86" s="95" t="s">
        <v>17</v>
      </c>
      <c r="K86" s="89" t="s">
        <v>78</v>
      </c>
      <c r="L86" s="132" t="s">
        <v>27</v>
      </c>
      <c r="M86" s="129" t="s">
        <v>634</v>
      </c>
      <c r="N86" s="97" t="s">
        <v>80</v>
      </c>
      <c r="O86" s="86"/>
      <c r="P86" s="97" t="s">
        <v>37</v>
      </c>
      <c r="Q86" s="98" t="s">
        <v>635</v>
      </c>
      <c r="R86" s="109"/>
      <c r="S86" s="109"/>
      <c r="T86" s="133" t="s">
        <v>218</v>
      </c>
      <c r="U86" s="6"/>
      <c r="V86" s="6"/>
      <c r="W86" s="6"/>
      <c r="X86" s="6"/>
      <c r="Y86" s="6"/>
      <c r="Z86" s="6"/>
      <c r="AA86" s="6"/>
      <c r="AB86" s="6"/>
      <c r="AC86" s="6"/>
      <c r="AD86" s="6"/>
      <c r="AE86" s="6"/>
      <c r="AF86" s="6"/>
      <c r="AG86" s="6"/>
      <c r="AH86" s="6"/>
      <c r="AI86" s="6"/>
      <c r="AJ86" s="6"/>
      <c r="AK86" s="6"/>
      <c r="AL86" s="6"/>
      <c r="AM86" s="6"/>
      <c r="AN86" s="6"/>
      <c r="AO86" s="6"/>
      <c r="AP86" s="6"/>
    </row>
    <row r="87" ht="16.5" customHeight="1">
      <c r="A87" s="83" t="s">
        <v>636</v>
      </c>
      <c r="B87" s="135" t="s">
        <v>637</v>
      </c>
      <c r="C87" s="86" t="s">
        <v>106</v>
      </c>
      <c r="D87" s="87">
        <v>1.2060101E7</v>
      </c>
      <c r="E87" s="86" t="s">
        <v>107</v>
      </c>
      <c r="F87" s="86" t="s">
        <v>73</v>
      </c>
      <c r="G87" s="89" t="s">
        <v>74</v>
      </c>
      <c r="H87" s="89" t="s">
        <v>85</v>
      </c>
      <c r="I87" s="89" t="str">
        <f t="shared" si="2"/>
        <v>PASSED</v>
      </c>
      <c r="J87" s="89" t="s">
        <v>27</v>
      </c>
      <c r="K87" s="95" t="s">
        <v>86</v>
      </c>
      <c r="L87" s="95" t="s">
        <v>12</v>
      </c>
      <c r="M87" s="97" t="s">
        <v>638</v>
      </c>
      <c r="N87" s="97" t="s">
        <v>80</v>
      </c>
      <c r="O87" s="86"/>
      <c r="P87" s="97" t="s">
        <v>37</v>
      </c>
      <c r="Q87" s="98"/>
      <c r="R87" s="109" t="s">
        <v>639</v>
      </c>
      <c r="S87" s="109" t="s">
        <v>640</v>
      </c>
      <c r="T87" s="80" t="s">
        <v>641</v>
      </c>
      <c r="U87" s="6"/>
      <c r="V87" s="6"/>
      <c r="W87" s="6"/>
      <c r="X87" s="6"/>
      <c r="Y87" s="6"/>
      <c r="Z87" s="6"/>
      <c r="AA87" s="6"/>
      <c r="AB87" s="6"/>
      <c r="AC87" s="6"/>
      <c r="AD87" s="6"/>
      <c r="AE87" s="6"/>
      <c r="AF87" s="6"/>
      <c r="AG87" s="6"/>
      <c r="AH87" s="6"/>
      <c r="AI87" s="6"/>
      <c r="AJ87" s="6"/>
      <c r="AK87" s="6"/>
      <c r="AL87" s="6"/>
      <c r="AM87" s="6"/>
      <c r="AN87" s="6"/>
      <c r="AO87" s="6"/>
      <c r="AP87" s="6"/>
    </row>
    <row r="88" ht="16.5" customHeight="1">
      <c r="A88" s="103"/>
      <c r="B88" s="135" t="s">
        <v>642</v>
      </c>
      <c r="C88" s="86" t="s">
        <v>643</v>
      </c>
      <c r="D88" s="87">
        <v>1.2060102E7</v>
      </c>
      <c r="E88" s="86" t="s">
        <v>644</v>
      </c>
      <c r="F88" s="134" t="s">
        <v>73</v>
      </c>
      <c r="G88" s="89" t="s">
        <v>146</v>
      </c>
      <c r="H88" s="89" t="s">
        <v>85</v>
      </c>
      <c r="I88" s="89" t="str">
        <f t="shared" si="2"/>
        <v>PASSED</v>
      </c>
      <c r="J88" s="89" t="s">
        <v>27</v>
      </c>
      <c r="K88" s="95" t="s">
        <v>86</v>
      </c>
      <c r="L88" s="95" t="s">
        <v>12</v>
      </c>
      <c r="M88" s="97" t="s">
        <v>645</v>
      </c>
      <c r="N88" s="97" t="s">
        <v>80</v>
      </c>
      <c r="O88" s="87" t="s">
        <v>646</v>
      </c>
      <c r="P88" s="97" t="s">
        <v>37</v>
      </c>
      <c r="Q88" s="98" t="s">
        <v>647</v>
      </c>
      <c r="R88" s="109" t="s">
        <v>648</v>
      </c>
      <c r="S88" s="109" t="s">
        <v>649</v>
      </c>
      <c r="T88" s="80" t="s">
        <v>650</v>
      </c>
      <c r="U88" s="6"/>
      <c r="V88" s="6"/>
      <c r="W88" s="6"/>
      <c r="X88" s="6"/>
      <c r="Y88" s="6"/>
      <c r="Z88" s="6"/>
      <c r="AA88" s="6"/>
      <c r="AB88" s="6"/>
      <c r="AC88" s="6"/>
      <c r="AD88" s="6"/>
      <c r="AE88" s="6"/>
      <c r="AF88" s="6"/>
      <c r="AG88" s="6"/>
      <c r="AH88" s="6"/>
      <c r="AI88" s="6"/>
      <c r="AJ88" s="6"/>
      <c r="AK88" s="6"/>
      <c r="AL88" s="6"/>
      <c r="AM88" s="6"/>
      <c r="AN88" s="6"/>
      <c r="AO88" s="6"/>
      <c r="AP88" s="6"/>
    </row>
    <row r="89" ht="16.5" customHeight="1">
      <c r="A89" s="26"/>
      <c r="B89" s="145" t="s">
        <v>651</v>
      </c>
      <c r="C89" s="134" t="s">
        <v>652</v>
      </c>
      <c r="D89" s="87">
        <v>1.2060103E7</v>
      </c>
      <c r="E89" s="134" t="s">
        <v>653</v>
      </c>
      <c r="F89" s="134" t="s">
        <v>73</v>
      </c>
      <c r="G89" s="89" t="s">
        <v>146</v>
      </c>
      <c r="H89" s="89" t="s">
        <v>85</v>
      </c>
      <c r="I89" s="89" t="str">
        <f t="shared" si="2"/>
        <v>BLOCKED</v>
      </c>
      <c r="J89" s="95" t="s">
        <v>17</v>
      </c>
      <c r="K89" s="95" t="s">
        <v>78</v>
      </c>
      <c r="L89" s="146" t="s">
        <v>27</v>
      </c>
      <c r="M89" s="137" t="s">
        <v>654</v>
      </c>
      <c r="N89" s="137" t="s">
        <v>80</v>
      </c>
      <c r="O89" s="138"/>
      <c r="P89" s="137" t="s">
        <v>37</v>
      </c>
      <c r="Q89" s="139" t="s">
        <v>655</v>
      </c>
      <c r="R89" s="139"/>
      <c r="S89" s="139"/>
      <c r="T89" s="80" t="s">
        <v>656</v>
      </c>
      <c r="U89" s="5"/>
      <c r="V89" s="5"/>
      <c r="W89" s="5"/>
      <c r="X89" s="5"/>
      <c r="Y89" s="5"/>
      <c r="Z89" s="5"/>
      <c r="AA89" s="5"/>
      <c r="AB89" s="5"/>
      <c r="AC89" s="5"/>
      <c r="AD89" s="5"/>
      <c r="AE89" s="5"/>
      <c r="AF89" s="5"/>
      <c r="AG89" s="5"/>
      <c r="AH89" s="5"/>
      <c r="AI89" s="5"/>
      <c r="AJ89" s="5"/>
      <c r="AK89" s="5"/>
      <c r="AL89" s="5"/>
      <c r="AM89" s="5"/>
      <c r="AN89" s="5"/>
      <c r="AO89" s="5"/>
      <c r="AP89" s="5"/>
    </row>
    <row r="90" ht="17.25" customHeight="1">
      <c r="A90" s="83" t="s">
        <v>657</v>
      </c>
      <c r="B90" s="84" t="s">
        <v>658</v>
      </c>
      <c r="C90" s="86" t="s">
        <v>659</v>
      </c>
      <c r="D90" s="87">
        <v>1.2060601E7</v>
      </c>
      <c r="E90" s="86" t="s">
        <v>660</v>
      </c>
      <c r="F90" s="86" t="s">
        <v>73</v>
      </c>
      <c r="G90" s="89" t="s">
        <v>146</v>
      </c>
      <c r="H90" s="89" t="s">
        <v>85</v>
      </c>
      <c r="I90" s="89" t="str">
        <f t="shared" si="2"/>
        <v>PASSED</v>
      </c>
      <c r="J90" s="89" t="s">
        <v>27</v>
      </c>
      <c r="K90" s="95" t="s">
        <v>86</v>
      </c>
      <c r="L90" s="95" t="s">
        <v>12</v>
      </c>
      <c r="M90" s="97" t="s">
        <v>661</v>
      </c>
      <c r="N90" s="97" t="s">
        <v>80</v>
      </c>
      <c r="O90" s="86"/>
      <c r="P90" s="97" t="s">
        <v>37</v>
      </c>
      <c r="Q90" s="98" t="s">
        <v>662</v>
      </c>
      <c r="R90" s="109" t="s">
        <v>663</v>
      </c>
      <c r="S90" s="109" t="s">
        <v>664</v>
      </c>
      <c r="T90" s="80" t="s">
        <v>665</v>
      </c>
      <c r="U90" s="6"/>
      <c r="V90" s="6"/>
      <c r="W90" s="6"/>
      <c r="X90" s="6"/>
      <c r="Y90" s="6"/>
      <c r="Z90" s="6"/>
      <c r="AA90" s="6"/>
      <c r="AB90" s="6"/>
      <c r="AC90" s="6"/>
      <c r="AD90" s="6"/>
      <c r="AE90" s="6"/>
      <c r="AF90" s="6"/>
      <c r="AG90" s="6"/>
      <c r="AH90" s="6"/>
      <c r="AI90" s="6"/>
      <c r="AJ90" s="6"/>
      <c r="AK90" s="6"/>
      <c r="AL90" s="6"/>
      <c r="AM90" s="6"/>
      <c r="AN90" s="6"/>
      <c r="AO90" s="6"/>
      <c r="AP90" s="6"/>
    </row>
    <row r="91" ht="17.25" customHeight="1">
      <c r="A91" s="103"/>
      <c r="B91" s="103"/>
      <c r="C91" s="86" t="s">
        <v>666</v>
      </c>
      <c r="D91" s="86"/>
      <c r="E91" s="86" t="s">
        <v>667</v>
      </c>
      <c r="F91" s="86" t="s">
        <v>73</v>
      </c>
      <c r="G91" s="89" t="s">
        <v>146</v>
      </c>
      <c r="H91" s="89" t="s">
        <v>85</v>
      </c>
      <c r="I91" s="89" t="str">
        <f t="shared" si="2"/>
        <v>BLOCKED</v>
      </c>
      <c r="J91" s="95" t="s">
        <v>17</v>
      </c>
      <c r="K91" s="89" t="s">
        <v>78</v>
      </c>
      <c r="L91" s="89" t="s">
        <v>27</v>
      </c>
      <c r="M91" s="97" t="s">
        <v>668</v>
      </c>
      <c r="N91" s="97" t="s">
        <v>80</v>
      </c>
      <c r="O91" s="86"/>
      <c r="P91" s="97" t="s">
        <v>37</v>
      </c>
      <c r="Q91" s="98" t="s">
        <v>669</v>
      </c>
      <c r="R91" s="100"/>
      <c r="S91" s="100"/>
      <c r="T91" s="80" t="s">
        <v>665</v>
      </c>
      <c r="U91" s="6"/>
      <c r="V91" s="6"/>
      <c r="W91" s="6"/>
      <c r="X91" s="6"/>
      <c r="Y91" s="6"/>
      <c r="Z91" s="6"/>
      <c r="AA91" s="6"/>
      <c r="AB91" s="6"/>
      <c r="AC91" s="6"/>
      <c r="AD91" s="6"/>
      <c r="AE91" s="6"/>
      <c r="AF91" s="6"/>
      <c r="AG91" s="6"/>
      <c r="AH91" s="6"/>
      <c r="AI91" s="6"/>
      <c r="AJ91" s="6"/>
      <c r="AK91" s="6"/>
      <c r="AL91" s="6"/>
      <c r="AM91" s="6"/>
      <c r="AN91" s="6"/>
      <c r="AO91" s="6"/>
      <c r="AP91" s="6"/>
    </row>
    <row r="92" ht="17.25" customHeight="1">
      <c r="A92" s="26"/>
      <c r="B92" s="26"/>
      <c r="C92" s="86" t="s">
        <v>670</v>
      </c>
      <c r="D92" s="86"/>
      <c r="E92" s="86" t="s">
        <v>671</v>
      </c>
      <c r="F92" s="86" t="s">
        <v>73</v>
      </c>
      <c r="G92" s="89" t="s">
        <v>261</v>
      </c>
      <c r="H92" s="89" t="s">
        <v>262</v>
      </c>
      <c r="I92" s="89" t="str">
        <f t="shared" si="2"/>
        <v>BLOCKED</v>
      </c>
      <c r="J92" s="95" t="s">
        <v>17</v>
      </c>
      <c r="K92" s="89" t="s">
        <v>78</v>
      </c>
      <c r="L92" s="89" t="s">
        <v>27</v>
      </c>
      <c r="M92" s="97" t="s">
        <v>661</v>
      </c>
      <c r="N92" s="97" t="s">
        <v>80</v>
      </c>
      <c r="O92" s="86"/>
      <c r="P92" s="97" t="s">
        <v>37</v>
      </c>
      <c r="Q92" s="98" t="s">
        <v>672</v>
      </c>
      <c r="R92" s="100"/>
      <c r="S92" s="100"/>
      <c r="T92" s="80" t="s">
        <v>665</v>
      </c>
      <c r="U92" s="6"/>
      <c r="V92" s="6"/>
      <c r="W92" s="6"/>
      <c r="X92" s="6"/>
      <c r="Y92" s="6"/>
      <c r="Z92" s="6"/>
      <c r="AA92" s="6"/>
      <c r="AB92" s="6"/>
      <c r="AC92" s="6"/>
      <c r="AD92" s="6"/>
      <c r="AE92" s="6"/>
      <c r="AF92" s="6"/>
      <c r="AG92" s="6"/>
      <c r="AH92" s="6"/>
      <c r="AI92" s="6"/>
      <c r="AJ92" s="6"/>
      <c r="AK92" s="6"/>
      <c r="AL92" s="6"/>
      <c r="AM92" s="6"/>
      <c r="AN92" s="6"/>
      <c r="AO92" s="6"/>
      <c r="AP92" s="6"/>
    </row>
    <row r="93" ht="17.25" customHeight="1">
      <c r="A93" s="83" t="s">
        <v>673</v>
      </c>
      <c r="B93" s="84" t="s">
        <v>674</v>
      </c>
      <c r="C93" s="86" t="s">
        <v>675</v>
      </c>
      <c r="D93" s="86"/>
      <c r="E93" s="86" t="s">
        <v>676</v>
      </c>
      <c r="F93" s="86" t="s">
        <v>73</v>
      </c>
      <c r="G93" s="89" t="s">
        <v>146</v>
      </c>
      <c r="H93" s="89" t="s">
        <v>85</v>
      </c>
      <c r="I93" s="89" t="str">
        <f t="shared" si="2"/>
        <v>BLOCKED</v>
      </c>
      <c r="J93" s="95" t="s">
        <v>17</v>
      </c>
      <c r="K93" s="89" t="s">
        <v>78</v>
      </c>
      <c r="L93" s="89" t="s">
        <v>27</v>
      </c>
      <c r="M93" s="97" t="s">
        <v>677</v>
      </c>
      <c r="N93" s="97" t="s">
        <v>80</v>
      </c>
      <c r="O93" s="86"/>
      <c r="P93" s="97" t="s">
        <v>37</v>
      </c>
      <c r="Q93" s="98" t="s">
        <v>678</v>
      </c>
      <c r="R93" s="100"/>
      <c r="S93" s="100"/>
      <c r="T93" s="80" t="s">
        <v>679</v>
      </c>
      <c r="U93" s="6"/>
      <c r="V93" s="6"/>
      <c r="W93" s="6"/>
      <c r="X93" s="6"/>
      <c r="Y93" s="6"/>
      <c r="Z93" s="6"/>
      <c r="AA93" s="6"/>
      <c r="AB93" s="6"/>
      <c r="AC93" s="6"/>
      <c r="AD93" s="6"/>
      <c r="AE93" s="6"/>
      <c r="AF93" s="6"/>
      <c r="AG93" s="6"/>
      <c r="AH93" s="6"/>
      <c r="AI93" s="6"/>
      <c r="AJ93" s="6"/>
      <c r="AK93" s="6"/>
      <c r="AL93" s="6"/>
      <c r="AM93" s="6"/>
      <c r="AN93" s="6"/>
      <c r="AO93" s="6"/>
      <c r="AP93" s="6"/>
    </row>
    <row r="94" ht="17.25" customHeight="1">
      <c r="A94" s="103"/>
      <c r="B94" s="103"/>
      <c r="C94" s="86" t="s">
        <v>680</v>
      </c>
      <c r="D94" s="86"/>
      <c r="E94" s="86" t="s">
        <v>681</v>
      </c>
      <c r="F94" s="86" t="s">
        <v>73</v>
      </c>
      <c r="G94" s="89" t="s">
        <v>146</v>
      </c>
      <c r="H94" s="89" t="s">
        <v>85</v>
      </c>
      <c r="I94" s="89" t="str">
        <f t="shared" si="2"/>
        <v>BLOCKED</v>
      </c>
      <c r="J94" s="95" t="s">
        <v>17</v>
      </c>
      <c r="K94" s="89" t="s">
        <v>78</v>
      </c>
      <c r="L94" s="89" t="s">
        <v>27</v>
      </c>
      <c r="M94" s="97" t="s">
        <v>677</v>
      </c>
      <c r="N94" s="97" t="s">
        <v>80</v>
      </c>
      <c r="O94" s="86"/>
      <c r="P94" s="97" t="s">
        <v>37</v>
      </c>
      <c r="Q94" s="98" t="s">
        <v>682</v>
      </c>
      <c r="R94" s="100"/>
      <c r="S94" s="100"/>
      <c r="T94" s="80" t="s">
        <v>679</v>
      </c>
      <c r="U94" s="6"/>
      <c r="V94" s="6"/>
      <c r="W94" s="6"/>
      <c r="X94" s="6"/>
      <c r="Y94" s="6"/>
      <c r="Z94" s="6"/>
      <c r="AA94" s="6"/>
      <c r="AB94" s="6"/>
      <c r="AC94" s="6"/>
      <c r="AD94" s="6"/>
      <c r="AE94" s="6"/>
      <c r="AF94" s="6"/>
      <c r="AG94" s="6"/>
      <c r="AH94" s="6"/>
      <c r="AI94" s="6"/>
      <c r="AJ94" s="6"/>
      <c r="AK94" s="6"/>
      <c r="AL94" s="6"/>
      <c r="AM94" s="6"/>
      <c r="AN94" s="6"/>
      <c r="AO94" s="6"/>
      <c r="AP94" s="6"/>
    </row>
    <row r="95" ht="17.25" customHeight="1">
      <c r="A95" s="103"/>
      <c r="B95" s="103"/>
      <c r="C95" s="86" t="s">
        <v>683</v>
      </c>
      <c r="D95" s="86"/>
      <c r="E95" s="86" t="s">
        <v>684</v>
      </c>
      <c r="F95" s="86" t="s">
        <v>73</v>
      </c>
      <c r="G95" s="89" t="s">
        <v>261</v>
      </c>
      <c r="H95" s="89" t="s">
        <v>262</v>
      </c>
      <c r="I95" s="89" t="str">
        <f t="shared" si="2"/>
        <v>BLOCKED</v>
      </c>
      <c r="J95" s="95" t="s">
        <v>17</v>
      </c>
      <c r="K95" s="89" t="s">
        <v>78</v>
      </c>
      <c r="L95" s="89" t="s">
        <v>27</v>
      </c>
      <c r="M95" s="97" t="s">
        <v>685</v>
      </c>
      <c r="N95" s="97" t="s">
        <v>80</v>
      </c>
      <c r="O95" s="86"/>
      <c r="P95" s="97" t="s">
        <v>37</v>
      </c>
      <c r="Q95" s="98" t="s">
        <v>686</v>
      </c>
      <c r="R95" s="100"/>
      <c r="S95" s="100"/>
      <c r="T95" s="80" t="s">
        <v>679</v>
      </c>
      <c r="U95" s="6"/>
      <c r="V95" s="6"/>
      <c r="W95" s="6"/>
      <c r="X95" s="6"/>
      <c r="Y95" s="6"/>
      <c r="Z95" s="6"/>
      <c r="AA95" s="6"/>
      <c r="AB95" s="6"/>
      <c r="AC95" s="6"/>
      <c r="AD95" s="6"/>
      <c r="AE95" s="6"/>
      <c r="AF95" s="6"/>
      <c r="AG95" s="6"/>
      <c r="AH95" s="6"/>
      <c r="AI95" s="6"/>
      <c r="AJ95" s="6"/>
      <c r="AK95" s="6"/>
      <c r="AL95" s="6"/>
      <c r="AM95" s="6"/>
      <c r="AN95" s="6"/>
      <c r="AO95" s="6"/>
      <c r="AP95" s="6"/>
    </row>
    <row r="96" ht="17.25" customHeight="1">
      <c r="A96" s="103"/>
      <c r="B96" s="103"/>
      <c r="C96" s="86" t="s">
        <v>687</v>
      </c>
      <c r="D96" s="86"/>
      <c r="E96" s="86" t="s">
        <v>688</v>
      </c>
      <c r="F96" s="86" t="s">
        <v>73</v>
      </c>
      <c r="G96" s="89" t="s">
        <v>261</v>
      </c>
      <c r="H96" s="89" t="s">
        <v>262</v>
      </c>
      <c r="I96" s="89" t="str">
        <f t="shared" si="2"/>
        <v>BLOCKED</v>
      </c>
      <c r="J96" s="95" t="s">
        <v>17</v>
      </c>
      <c r="K96" s="89" t="s">
        <v>78</v>
      </c>
      <c r="L96" s="89" t="s">
        <v>27</v>
      </c>
      <c r="M96" s="97" t="s">
        <v>685</v>
      </c>
      <c r="N96" s="97" t="s">
        <v>80</v>
      </c>
      <c r="O96" s="86"/>
      <c r="P96" s="97" t="s">
        <v>37</v>
      </c>
      <c r="Q96" s="98" t="s">
        <v>689</v>
      </c>
      <c r="R96" s="100"/>
      <c r="S96" s="100"/>
      <c r="T96" s="80" t="s">
        <v>679</v>
      </c>
      <c r="U96" s="6"/>
      <c r="V96" s="6"/>
      <c r="W96" s="6"/>
      <c r="X96" s="6"/>
      <c r="Y96" s="6"/>
      <c r="Z96" s="6"/>
      <c r="AA96" s="6"/>
      <c r="AB96" s="6"/>
      <c r="AC96" s="6"/>
      <c r="AD96" s="6"/>
      <c r="AE96" s="6"/>
      <c r="AF96" s="6"/>
      <c r="AG96" s="6"/>
      <c r="AH96" s="6"/>
      <c r="AI96" s="6"/>
      <c r="AJ96" s="6"/>
      <c r="AK96" s="6"/>
      <c r="AL96" s="6"/>
      <c r="AM96" s="6"/>
      <c r="AN96" s="6"/>
      <c r="AO96" s="6"/>
      <c r="AP96" s="6"/>
    </row>
    <row r="97" ht="17.25" customHeight="1">
      <c r="A97" s="26"/>
      <c r="B97" s="26"/>
      <c r="C97" s="86" t="s">
        <v>690</v>
      </c>
      <c r="D97" s="86"/>
      <c r="E97" s="86" t="s">
        <v>691</v>
      </c>
      <c r="F97" s="86" t="s">
        <v>73</v>
      </c>
      <c r="G97" s="89" t="s">
        <v>261</v>
      </c>
      <c r="H97" s="89" t="s">
        <v>262</v>
      </c>
      <c r="I97" s="89" t="str">
        <f t="shared" si="2"/>
        <v>BLOCKED</v>
      </c>
      <c r="J97" s="95" t="s">
        <v>17</v>
      </c>
      <c r="K97" s="89" t="s">
        <v>78</v>
      </c>
      <c r="L97" s="89" t="s">
        <v>27</v>
      </c>
      <c r="M97" s="97" t="s">
        <v>685</v>
      </c>
      <c r="N97" s="97" t="s">
        <v>80</v>
      </c>
      <c r="O97" s="86"/>
      <c r="P97" s="97" t="s">
        <v>37</v>
      </c>
      <c r="Q97" s="98" t="s">
        <v>692</v>
      </c>
      <c r="R97" s="100"/>
      <c r="S97" s="100"/>
      <c r="T97" s="80" t="s">
        <v>679</v>
      </c>
      <c r="U97" s="6"/>
      <c r="V97" s="6"/>
      <c r="W97" s="6"/>
      <c r="X97" s="6"/>
      <c r="Y97" s="6"/>
      <c r="Z97" s="6"/>
      <c r="AA97" s="6"/>
      <c r="AB97" s="6"/>
      <c r="AC97" s="6"/>
      <c r="AD97" s="6"/>
      <c r="AE97" s="6"/>
      <c r="AF97" s="6"/>
      <c r="AG97" s="6"/>
      <c r="AH97" s="6"/>
      <c r="AI97" s="6"/>
      <c r="AJ97" s="6"/>
      <c r="AK97" s="6"/>
      <c r="AL97" s="6"/>
      <c r="AM97" s="6"/>
      <c r="AN97" s="6"/>
      <c r="AO97" s="6"/>
      <c r="AP97" s="6"/>
    </row>
    <row r="98" ht="17.25" customHeight="1">
      <c r="A98" s="147" t="s">
        <v>693</v>
      </c>
      <c r="B98" s="84" t="s">
        <v>694</v>
      </c>
      <c r="C98" s="86" t="s">
        <v>333</v>
      </c>
      <c r="D98" s="86"/>
      <c r="E98" s="86" t="s">
        <v>335</v>
      </c>
      <c r="F98" s="86" t="s">
        <v>73</v>
      </c>
      <c r="G98" s="89" t="s">
        <v>74</v>
      </c>
      <c r="H98" s="89" t="s">
        <v>75</v>
      </c>
      <c r="I98" s="89" t="str">
        <f t="shared" si="2"/>
        <v>BLOCKED</v>
      </c>
      <c r="J98" s="95" t="s">
        <v>17</v>
      </c>
      <c r="K98" s="89" t="s">
        <v>78</v>
      </c>
      <c r="L98" s="89" t="s">
        <v>27</v>
      </c>
      <c r="M98" s="97" t="s">
        <v>695</v>
      </c>
      <c r="N98" s="97" t="s">
        <v>80</v>
      </c>
      <c r="O98" s="86"/>
      <c r="P98" s="97" t="s">
        <v>37</v>
      </c>
      <c r="Q98" s="98" t="s">
        <v>696</v>
      </c>
      <c r="R98" s="100"/>
      <c r="S98" s="100"/>
      <c r="T98" s="80" t="s">
        <v>594</v>
      </c>
      <c r="U98" s="6"/>
      <c r="V98" s="6"/>
      <c r="W98" s="6"/>
      <c r="X98" s="6"/>
      <c r="Y98" s="6"/>
      <c r="Z98" s="6"/>
      <c r="AA98" s="6"/>
      <c r="AB98" s="6"/>
      <c r="AC98" s="6"/>
      <c r="AD98" s="6"/>
      <c r="AE98" s="6"/>
      <c r="AF98" s="6"/>
      <c r="AG98" s="6"/>
      <c r="AH98" s="6"/>
      <c r="AI98" s="6"/>
      <c r="AJ98" s="6"/>
      <c r="AK98" s="6"/>
      <c r="AL98" s="6"/>
      <c r="AM98" s="6"/>
      <c r="AN98" s="6"/>
      <c r="AO98" s="6"/>
      <c r="AP98" s="6"/>
    </row>
    <row r="99" ht="17.25" customHeight="1">
      <c r="A99" s="103"/>
      <c r="B99" s="26"/>
      <c r="C99" s="86" t="s">
        <v>338</v>
      </c>
      <c r="D99" s="86"/>
      <c r="E99" s="86" t="s">
        <v>339</v>
      </c>
      <c r="F99" s="86" t="s">
        <v>73</v>
      </c>
      <c r="G99" s="89" t="s">
        <v>74</v>
      </c>
      <c r="H99" s="89" t="s">
        <v>75</v>
      </c>
      <c r="I99" s="89" t="str">
        <f t="shared" si="2"/>
        <v>BLOCKED</v>
      </c>
      <c r="J99" s="95" t="s">
        <v>17</v>
      </c>
      <c r="K99" s="89" t="s">
        <v>78</v>
      </c>
      <c r="L99" s="89" t="s">
        <v>27</v>
      </c>
      <c r="M99" s="97" t="s">
        <v>695</v>
      </c>
      <c r="N99" s="97" t="s">
        <v>80</v>
      </c>
      <c r="O99" s="86"/>
      <c r="P99" s="97" t="s">
        <v>37</v>
      </c>
      <c r="Q99" s="98" t="s">
        <v>697</v>
      </c>
      <c r="R99" s="100"/>
      <c r="S99" s="100"/>
      <c r="T99" s="80" t="s">
        <v>594</v>
      </c>
      <c r="U99" s="6"/>
      <c r="V99" s="6"/>
      <c r="W99" s="6"/>
      <c r="X99" s="6"/>
      <c r="Y99" s="6"/>
      <c r="Z99" s="6"/>
      <c r="AA99" s="6"/>
      <c r="AB99" s="6"/>
      <c r="AC99" s="6"/>
      <c r="AD99" s="6"/>
      <c r="AE99" s="6"/>
      <c r="AF99" s="6"/>
      <c r="AG99" s="6"/>
      <c r="AH99" s="6"/>
      <c r="AI99" s="6"/>
      <c r="AJ99" s="6"/>
      <c r="AK99" s="6"/>
      <c r="AL99" s="6"/>
      <c r="AM99" s="6"/>
      <c r="AN99" s="6"/>
      <c r="AO99" s="6"/>
      <c r="AP99" s="6"/>
    </row>
    <row r="100" ht="17.25" customHeight="1">
      <c r="A100" s="103"/>
      <c r="B100" s="84" t="s">
        <v>698</v>
      </c>
      <c r="C100" s="86" t="s">
        <v>340</v>
      </c>
      <c r="D100" s="87">
        <v>1.2060503E7</v>
      </c>
      <c r="E100" s="86" t="s">
        <v>341</v>
      </c>
      <c r="F100" s="86" t="s">
        <v>73</v>
      </c>
      <c r="G100" s="89" t="s">
        <v>74</v>
      </c>
      <c r="H100" s="89" t="s">
        <v>75</v>
      </c>
      <c r="I100" s="89" t="str">
        <f t="shared" si="2"/>
        <v>PASSED</v>
      </c>
      <c r="J100" s="89" t="s">
        <v>27</v>
      </c>
      <c r="K100" s="95" t="s">
        <v>86</v>
      </c>
      <c r="L100" s="95" t="s">
        <v>12</v>
      </c>
      <c r="M100" s="97" t="s">
        <v>699</v>
      </c>
      <c r="N100" s="97" t="s">
        <v>80</v>
      </c>
      <c r="O100" s="86"/>
      <c r="P100" s="97" t="s">
        <v>37</v>
      </c>
      <c r="Q100" s="98" t="s">
        <v>700</v>
      </c>
      <c r="R100" s="109"/>
      <c r="S100" s="109"/>
      <c r="T100" s="80" t="s">
        <v>701</v>
      </c>
      <c r="U100" s="6"/>
      <c r="V100" s="6"/>
      <c r="W100" s="6"/>
      <c r="X100" s="6"/>
      <c r="Y100" s="6"/>
      <c r="Z100" s="6"/>
      <c r="AA100" s="6"/>
      <c r="AB100" s="6"/>
      <c r="AC100" s="6"/>
      <c r="AD100" s="6"/>
      <c r="AE100" s="6"/>
      <c r="AF100" s="6"/>
      <c r="AG100" s="6"/>
      <c r="AH100" s="6"/>
      <c r="AI100" s="6"/>
      <c r="AJ100" s="6"/>
      <c r="AK100" s="6"/>
      <c r="AL100" s="6"/>
      <c r="AM100" s="6"/>
      <c r="AN100" s="6"/>
      <c r="AO100" s="6"/>
      <c r="AP100" s="6"/>
    </row>
    <row r="101" ht="17.25" customHeight="1">
      <c r="A101" s="103"/>
      <c r="B101" s="103"/>
      <c r="C101" s="87" t="s">
        <v>702</v>
      </c>
      <c r="D101" s="87">
        <v>1.2060513E7</v>
      </c>
      <c r="E101" s="87" t="s">
        <v>703</v>
      </c>
      <c r="F101" s="87" t="s">
        <v>73</v>
      </c>
      <c r="G101" s="95" t="s">
        <v>74</v>
      </c>
      <c r="H101" s="95" t="s">
        <v>85</v>
      </c>
      <c r="I101" s="89" t="str">
        <f t="shared" si="2"/>
        <v>PASSED</v>
      </c>
      <c r="J101" s="95" t="s">
        <v>27</v>
      </c>
      <c r="K101" s="95" t="s">
        <v>86</v>
      </c>
      <c r="L101" s="95" t="s">
        <v>12</v>
      </c>
      <c r="M101" s="129" t="s">
        <v>699</v>
      </c>
      <c r="N101" s="130" t="s">
        <v>80</v>
      </c>
      <c r="O101" s="86"/>
      <c r="P101" s="129" t="s">
        <v>37</v>
      </c>
      <c r="Q101" s="98" t="s">
        <v>704</v>
      </c>
      <c r="R101" s="109" t="s">
        <v>705</v>
      </c>
      <c r="S101" s="109" t="s">
        <v>706</v>
      </c>
      <c r="T101" s="128">
        <v>46027.0</v>
      </c>
      <c r="U101" s="6"/>
      <c r="V101" s="6"/>
      <c r="W101" s="6"/>
      <c r="X101" s="6"/>
      <c r="Y101" s="6"/>
      <c r="Z101" s="6"/>
      <c r="AA101" s="6"/>
      <c r="AB101" s="6"/>
      <c r="AC101" s="6"/>
      <c r="AD101" s="6"/>
      <c r="AE101" s="6"/>
      <c r="AF101" s="6"/>
      <c r="AG101" s="6"/>
      <c r="AH101" s="6"/>
      <c r="AI101" s="6"/>
      <c r="AJ101" s="6"/>
      <c r="AK101" s="6"/>
      <c r="AL101" s="6"/>
      <c r="AM101" s="6"/>
      <c r="AN101" s="6"/>
      <c r="AO101" s="6"/>
      <c r="AP101" s="6"/>
    </row>
    <row r="102" ht="17.25" customHeight="1">
      <c r="A102" s="103"/>
      <c r="B102" s="103"/>
      <c r="C102" s="87" t="s">
        <v>707</v>
      </c>
      <c r="D102" s="87">
        <v>1.2060514E7</v>
      </c>
      <c r="E102" s="87" t="s">
        <v>708</v>
      </c>
      <c r="F102" s="87" t="s">
        <v>73</v>
      </c>
      <c r="G102" s="95" t="s">
        <v>74</v>
      </c>
      <c r="H102" s="95" t="s">
        <v>85</v>
      </c>
      <c r="I102" s="89" t="str">
        <f t="shared" si="2"/>
        <v>PASSED</v>
      </c>
      <c r="J102" s="95" t="s">
        <v>27</v>
      </c>
      <c r="K102" s="95" t="s">
        <v>86</v>
      </c>
      <c r="L102" s="95" t="s">
        <v>12</v>
      </c>
      <c r="M102" s="129" t="s">
        <v>699</v>
      </c>
      <c r="N102" s="130" t="s">
        <v>80</v>
      </c>
      <c r="O102" s="86"/>
      <c r="P102" s="129" t="s">
        <v>37</v>
      </c>
      <c r="Q102" s="98" t="s">
        <v>709</v>
      </c>
      <c r="R102" s="109" t="s">
        <v>710</v>
      </c>
      <c r="S102" s="109" t="s">
        <v>711</v>
      </c>
      <c r="T102" s="133"/>
      <c r="U102" s="6"/>
      <c r="V102" s="6"/>
      <c r="W102" s="6"/>
      <c r="X102" s="6"/>
      <c r="Y102" s="6"/>
      <c r="Z102" s="6"/>
      <c r="AA102" s="6"/>
      <c r="AB102" s="6"/>
      <c r="AC102" s="6"/>
      <c r="AD102" s="6"/>
      <c r="AE102" s="6"/>
      <c r="AF102" s="6"/>
      <c r="AG102" s="6"/>
      <c r="AH102" s="6"/>
      <c r="AI102" s="6"/>
      <c r="AJ102" s="6"/>
      <c r="AK102" s="6"/>
      <c r="AL102" s="6"/>
      <c r="AM102" s="6"/>
      <c r="AN102" s="6"/>
      <c r="AO102" s="6"/>
      <c r="AP102" s="6"/>
    </row>
    <row r="103" ht="17.25" customHeight="1">
      <c r="A103" s="103"/>
      <c r="B103" s="103"/>
      <c r="C103" s="87" t="s">
        <v>712</v>
      </c>
      <c r="D103" s="87">
        <v>1.2060515E7</v>
      </c>
      <c r="E103" s="87" t="s">
        <v>713</v>
      </c>
      <c r="F103" s="87" t="s">
        <v>121</v>
      </c>
      <c r="G103" s="95" t="s">
        <v>74</v>
      </c>
      <c r="H103" s="95" t="s">
        <v>85</v>
      </c>
      <c r="I103" s="89" t="str">
        <f t="shared" si="2"/>
        <v>PASSED</v>
      </c>
      <c r="J103" s="95" t="s">
        <v>27</v>
      </c>
      <c r="K103" s="95" t="s">
        <v>86</v>
      </c>
      <c r="L103" s="95" t="s">
        <v>12</v>
      </c>
      <c r="M103" s="129" t="s">
        <v>699</v>
      </c>
      <c r="N103" s="130" t="s">
        <v>80</v>
      </c>
      <c r="O103" s="86"/>
      <c r="P103" s="129" t="s">
        <v>37</v>
      </c>
      <c r="Q103" s="98" t="s">
        <v>714</v>
      </c>
      <c r="R103" s="109" t="s">
        <v>715</v>
      </c>
      <c r="S103" s="109" t="s">
        <v>716</v>
      </c>
      <c r="T103" s="133"/>
      <c r="U103" s="6"/>
      <c r="V103" s="6"/>
      <c r="W103" s="6"/>
      <c r="X103" s="6"/>
      <c r="Y103" s="6"/>
      <c r="Z103" s="6"/>
      <c r="AA103" s="6"/>
      <c r="AB103" s="6"/>
      <c r="AC103" s="6"/>
      <c r="AD103" s="6"/>
      <c r="AE103" s="6"/>
      <c r="AF103" s="6"/>
      <c r="AG103" s="6"/>
      <c r="AH103" s="6"/>
      <c r="AI103" s="6"/>
      <c r="AJ103" s="6"/>
      <c r="AK103" s="6"/>
      <c r="AL103" s="6"/>
      <c r="AM103" s="6"/>
      <c r="AN103" s="6"/>
      <c r="AO103" s="6"/>
      <c r="AP103" s="6"/>
    </row>
    <row r="104" ht="17.25" customHeight="1">
      <c r="A104" s="103"/>
      <c r="B104" s="26"/>
      <c r="C104" s="87" t="s">
        <v>717</v>
      </c>
      <c r="D104" s="86"/>
      <c r="E104" s="87" t="s">
        <v>718</v>
      </c>
      <c r="F104" s="87" t="s">
        <v>73</v>
      </c>
      <c r="G104" s="95" t="s">
        <v>74</v>
      </c>
      <c r="H104" s="95" t="s">
        <v>85</v>
      </c>
      <c r="I104" s="89" t="str">
        <f t="shared" si="2"/>
        <v>BLOCKED</v>
      </c>
      <c r="J104" s="95" t="s">
        <v>17</v>
      </c>
      <c r="K104" s="89" t="s">
        <v>78</v>
      </c>
      <c r="L104" s="89" t="s">
        <v>27</v>
      </c>
      <c r="M104" s="129" t="s">
        <v>699</v>
      </c>
      <c r="N104" s="130" t="s">
        <v>80</v>
      </c>
      <c r="O104" s="86"/>
      <c r="P104" s="129" t="s">
        <v>37</v>
      </c>
      <c r="Q104" s="98" t="s">
        <v>719</v>
      </c>
      <c r="R104" s="109" t="s">
        <v>720</v>
      </c>
      <c r="S104" s="109"/>
      <c r="T104" s="133"/>
      <c r="U104" s="6"/>
      <c r="V104" s="6"/>
      <c r="W104" s="6"/>
      <c r="X104" s="6"/>
      <c r="Y104" s="6"/>
      <c r="Z104" s="6"/>
      <c r="AA104" s="6"/>
      <c r="AB104" s="6"/>
      <c r="AC104" s="6"/>
      <c r="AD104" s="6"/>
      <c r="AE104" s="6"/>
      <c r="AF104" s="6"/>
      <c r="AG104" s="6"/>
      <c r="AH104" s="6"/>
      <c r="AI104" s="6"/>
      <c r="AJ104" s="6"/>
      <c r="AK104" s="6"/>
      <c r="AL104" s="6"/>
      <c r="AM104" s="6"/>
      <c r="AN104" s="6"/>
      <c r="AO104" s="6"/>
      <c r="AP104" s="6"/>
    </row>
    <row r="105" ht="17.25" customHeight="1">
      <c r="A105" s="103"/>
      <c r="B105" s="84" t="s">
        <v>721</v>
      </c>
      <c r="C105" s="86" t="s">
        <v>344</v>
      </c>
      <c r="D105" s="86"/>
      <c r="E105" s="86" t="s">
        <v>346</v>
      </c>
      <c r="F105" s="86" t="s">
        <v>73</v>
      </c>
      <c r="G105" s="89" t="s">
        <v>74</v>
      </c>
      <c r="H105" s="89" t="s">
        <v>75</v>
      </c>
      <c r="I105" s="89" t="str">
        <f t="shared" si="2"/>
        <v>BLOCKED</v>
      </c>
      <c r="J105" s="95" t="s">
        <v>17</v>
      </c>
      <c r="K105" s="89" t="s">
        <v>78</v>
      </c>
      <c r="L105" s="89" t="s">
        <v>27</v>
      </c>
      <c r="M105" s="97" t="s">
        <v>722</v>
      </c>
      <c r="N105" s="97" t="s">
        <v>80</v>
      </c>
      <c r="O105" s="86"/>
      <c r="P105" s="97" t="s">
        <v>37</v>
      </c>
      <c r="Q105" s="98" t="s">
        <v>723</v>
      </c>
      <c r="R105" s="100"/>
      <c r="S105" s="100"/>
      <c r="T105" s="133" t="s">
        <v>724</v>
      </c>
      <c r="U105" s="6"/>
      <c r="V105" s="6"/>
      <c r="W105" s="6"/>
      <c r="X105" s="6"/>
      <c r="Y105" s="6"/>
      <c r="Z105" s="6"/>
      <c r="AA105" s="6"/>
      <c r="AB105" s="6"/>
      <c r="AC105" s="6"/>
      <c r="AD105" s="6"/>
      <c r="AE105" s="6"/>
      <c r="AF105" s="6"/>
      <c r="AG105" s="6"/>
      <c r="AH105" s="6"/>
      <c r="AI105" s="6"/>
      <c r="AJ105" s="6"/>
      <c r="AK105" s="6"/>
      <c r="AL105" s="6"/>
      <c r="AM105" s="6"/>
      <c r="AN105" s="6"/>
      <c r="AO105" s="6"/>
      <c r="AP105" s="6"/>
    </row>
    <row r="106" ht="17.25" customHeight="1">
      <c r="A106" s="103"/>
      <c r="B106" s="103"/>
      <c r="C106" s="86" t="s">
        <v>351</v>
      </c>
      <c r="D106" s="86"/>
      <c r="E106" s="86" t="s">
        <v>352</v>
      </c>
      <c r="F106" s="87" t="s">
        <v>260</v>
      </c>
      <c r="G106" s="89" t="s">
        <v>74</v>
      </c>
      <c r="H106" s="89" t="s">
        <v>75</v>
      </c>
      <c r="I106" s="89" t="str">
        <f t="shared" si="2"/>
        <v>BLOCKED</v>
      </c>
      <c r="J106" s="95" t="s">
        <v>17</v>
      </c>
      <c r="K106" s="89" t="s">
        <v>78</v>
      </c>
      <c r="L106" s="89" t="s">
        <v>27</v>
      </c>
      <c r="M106" s="97" t="s">
        <v>722</v>
      </c>
      <c r="N106" s="97" t="s">
        <v>80</v>
      </c>
      <c r="O106" s="86"/>
      <c r="P106" s="97" t="s">
        <v>37</v>
      </c>
      <c r="Q106" s="98" t="s">
        <v>725</v>
      </c>
      <c r="R106" s="100"/>
      <c r="S106" s="100"/>
      <c r="T106" s="80" t="s">
        <v>701</v>
      </c>
      <c r="U106" s="6"/>
      <c r="V106" s="6"/>
      <c r="W106" s="6"/>
      <c r="X106" s="6"/>
      <c r="Y106" s="6"/>
      <c r="Z106" s="6"/>
      <c r="AA106" s="6"/>
      <c r="AB106" s="6"/>
      <c r="AC106" s="6"/>
      <c r="AD106" s="6"/>
      <c r="AE106" s="6"/>
      <c r="AF106" s="6"/>
      <c r="AG106" s="6"/>
      <c r="AH106" s="6"/>
      <c r="AI106" s="6"/>
      <c r="AJ106" s="6"/>
      <c r="AK106" s="6"/>
      <c r="AL106" s="6"/>
      <c r="AM106" s="6"/>
      <c r="AN106" s="6"/>
      <c r="AO106" s="6"/>
      <c r="AP106" s="6"/>
    </row>
    <row r="107" ht="17.25" customHeight="1">
      <c r="A107" s="103"/>
      <c r="B107" s="103"/>
      <c r="C107" s="86" t="s">
        <v>354</v>
      </c>
      <c r="D107" s="86"/>
      <c r="E107" s="86" t="s">
        <v>727</v>
      </c>
      <c r="F107" s="86" t="s">
        <v>73</v>
      </c>
      <c r="G107" s="89" t="s">
        <v>74</v>
      </c>
      <c r="H107" s="89" t="s">
        <v>75</v>
      </c>
      <c r="I107" s="89" t="str">
        <f t="shared" si="2"/>
        <v>BLOCKED</v>
      </c>
      <c r="J107" s="95" t="s">
        <v>17</v>
      </c>
      <c r="K107" s="89" t="s">
        <v>78</v>
      </c>
      <c r="L107" s="89" t="s">
        <v>27</v>
      </c>
      <c r="M107" s="97" t="s">
        <v>729</v>
      </c>
      <c r="N107" s="97" t="s">
        <v>80</v>
      </c>
      <c r="O107" s="86"/>
      <c r="P107" s="97" t="s">
        <v>37</v>
      </c>
      <c r="Q107" s="98" t="s">
        <v>730</v>
      </c>
      <c r="R107" s="100"/>
      <c r="S107" s="100"/>
      <c r="T107" s="80" t="s">
        <v>701</v>
      </c>
      <c r="U107" s="6"/>
      <c r="V107" s="6"/>
      <c r="W107" s="6"/>
      <c r="X107" s="6"/>
      <c r="Y107" s="6"/>
      <c r="Z107" s="6"/>
      <c r="AA107" s="6"/>
      <c r="AB107" s="6"/>
      <c r="AC107" s="6"/>
      <c r="AD107" s="6"/>
      <c r="AE107" s="6"/>
      <c r="AF107" s="6"/>
      <c r="AG107" s="6"/>
      <c r="AH107" s="6"/>
      <c r="AI107" s="6"/>
      <c r="AJ107" s="6"/>
      <c r="AK107" s="6"/>
      <c r="AL107" s="6"/>
      <c r="AM107" s="6"/>
      <c r="AN107" s="6"/>
      <c r="AO107" s="6"/>
      <c r="AP107" s="6"/>
    </row>
    <row r="108" ht="17.25" customHeight="1">
      <c r="A108" s="103"/>
      <c r="B108" s="103"/>
      <c r="C108" s="86" t="s">
        <v>360</v>
      </c>
      <c r="D108" s="87">
        <v>1.2060507E7</v>
      </c>
      <c r="E108" s="86" t="s">
        <v>361</v>
      </c>
      <c r="F108" s="86" t="s">
        <v>73</v>
      </c>
      <c r="G108" s="89" t="s">
        <v>74</v>
      </c>
      <c r="H108" s="89" t="s">
        <v>75</v>
      </c>
      <c r="I108" s="89" t="str">
        <f t="shared" si="2"/>
        <v>PASSED</v>
      </c>
      <c r="J108" s="89" t="s">
        <v>27</v>
      </c>
      <c r="K108" s="95" t="s">
        <v>86</v>
      </c>
      <c r="L108" s="95" t="s">
        <v>12</v>
      </c>
      <c r="M108" s="97" t="s">
        <v>735</v>
      </c>
      <c r="N108" s="97" t="s">
        <v>80</v>
      </c>
      <c r="O108" s="86"/>
      <c r="P108" s="97" t="s">
        <v>37</v>
      </c>
      <c r="Q108" s="98"/>
      <c r="R108" s="109" t="s">
        <v>736</v>
      </c>
      <c r="S108" s="109" t="s">
        <v>737</v>
      </c>
      <c r="T108" s="80" t="s">
        <v>594</v>
      </c>
      <c r="U108" s="6"/>
      <c r="V108" s="6"/>
      <c r="W108" s="6"/>
      <c r="X108" s="6"/>
      <c r="Y108" s="6"/>
      <c r="Z108" s="6"/>
      <c r="AA108" s="6"/>
      <c r="AB108" s="6"/>
      <c r="AC108" s="6"/>
      <c r="AD108" s="6"/>
      <c r="AE108" s="6"/>
      <c r="AF108" s="6"/>
      <c r="AG108" s="6"/>
      <c r="AH108" s="6"/>
      <c r="AI108" s="6"/>
      <c r="AJ108" s="6"/>
      <c r="AK108" s="6"/>
      <c r="AL108" s="6"/>
      <c r="AM108" s="6"/>
      <c r="AN108" s="6"/>
      <c r="AO108" s="6"/>
      <c r="AP108" s="6"/>
    </row>
    <row r="109" ht="17.25" customHeight="1">
      <c r="A109" s="103"/>
      <c r="B109" s="103"/>
      <c r="C109" s="86" t="s">
        <v>363</v>
      </c>
      <c r="D109" s="86"/>
      <c r="E109" s="86" t="s">
        <v>364</v>
      </c>
      <c r="F109" s="86" t="s">
        <v>73</v>
      </c>
      <c r="G109" s="89" t="s">
        <v>74</v>
      </c>
      <c r="H109" s="89" t="s">
        <v>75</v>
      </c>
      <c r="I109" s="89" t="str">
        <f t="shared" si="2"/>
        <v>BLOCKED</v>
      </c>
      <c r="J109" s="95" t="s">
        <v>17</v>
      </c>
      <c r="K109" s="89" t="s">
        <v>78</v>
      </c>
      <c r="L109" s="89" t="s">
        <v>27</v>
      </c>
      <c r="M109" s="97" t="s">
        <v>741</v>
      </c>
      <c r="N109" s="97" t="s">
        <v>80</v>
      </c>
      <c r="O109" s="86"/>
      <c r="P109" s="97" t="s">
        <v>37</v>
      </c>
      <c r="Q109" s="98"/>
      <c r="R109" s="100"/>
      <c r="S109" s="100"/>
      <c r="T109" s="80" t="s">
        <v>594</v>
      </c>
      <c r="U109" s="6"/>
      <c r="V109" s="6"/>
      <c r="W109" s="6"/>
      <c r="X109" s="6"/>
      <c r="Y109" s="6"/>
      <c r="Z109" s="6"/>
      <c r="AA109" s="6"/>
      <c r="AB109" s="6"/>
      <c r="AC109" s="6"/>
      <c r="AD109" s="6"/>
      <c r="AE109" s="6"/>
      <c r="AF109" s="6"/>
      <c r="AG109" s="6"/>
      <c r="AH109" s="6"/>
      <c r="AI109" s="6"/>
      <c r="AJ109" s="6"/>
      <c r="AK109" s="6"/>
      <c r="AL109" s="6"/>
      <c r="AM109" s="6"/>
      <c r="AN109" s="6"/>
      <c r="AO109" s="6"/>
      <c r="AP109" s="6"/>
    </row>
    <row r="110" ht="17.25" customHeight="1">
      <c r="A110" s="103"/>
      <c r="B110" s="103"/>
      <c r="C110" s="86" t="s">
        <v>366</v>
      </c>
      <c r="D110" s="86"/>
      <c r="E110" s="86" t="s">
        <v>368</v>
      </c>
      <c r="F110" s="86" t="s">
        <v>73</v>
      </c>
      <c r="G110" s="89" t="s">
        <v>74</v>
      </c>
      <c r="H110" s="89" t="s">
        <v>75</v>
      </c>
      <c r="I110" s="89" t="str">
        <f t="shared" si="2"/>
        <v>BLOCKED</v>
      </c>
      <c r="J110" s="95" t="s">
        <v>17</v>
      </c>
      <c r="K110" s="89" t="s">
        <v>78</v>
      </c>
      <c r="L110" s="89" t="s">
        <v>27</v>
      </c>
      <c r="M110" s="97" t="s">
        <v>749</v>
      </c>
      <c r="N110" s="97" t="s">
        <v>80</v>
      </c>
      <c r="O110" s="86"/>
      <c r="P110" s="97" t="s">
        <v>37</v>
      </c>
      <c r="Q110" s="98" t="s">
        <v>750</v>
      </c>
      <c r="R110" s="100"/>
      <c r="S110" s="100"/>
      <c r="T110" s="80" t="s">
        <v>752</v>
      </c>
      <c r="U110" s="6"/>
      <c r="V110" s="6"/>
      <c r="W110" s="6"/>
      <c r="X110" s="6"/>
      <c r="Y110" s="6"/>
      <c r="Z110" s="6"/>
      <c r="AA110" s="6"/>
      <c r="AB110" s="6"/>
      <c r="AC110" s="6"/>
      <c r="AD110" s="6"/>
      <c r="AE110" s="6"/>
      <c r="AF110" s="6"/>
      <c r="AG110" s="6"/>
      <c r="AH110" s="6"/>
      <c r="AI110" s="6"/>
      <c r="AJ110" s="6"/>
      <c r="AK110" s="6"/>
      <c r="AL110" s="6"/>
      <c r="AM110" s="6"/>
      <c r="AN110" s="6"/>
      <c r="AO110" s="6"/>
      <c r="AP110" s="6"/>
    </row>
    <row r="111" ht="17.25" customHeight="1">
      <c r="A111" s="103"/>
      <c r="B111" s="103"/>
      <c r="C111" s="86" t="s">
        <v>755</v>
      </c>
      <c r="D111" s="86"/>
      <c r="E111" s="86" t="s">
        <v>757</v>
      </c>
      <c r="F111" s="86" t="s">
        <v>73</v>
      </c>
      <c r="G111" s="89" t="s">
        <v>146</v>
      </c>
      <c r="H111" s="89" t="s">
        <v>85</v>
      </c>
      <c r="I111" s="89" t="str">
        <f t="shared" si="2"/>
        <v>BLOCKED</v>
      </c>
      <c r="J111" s="95" t="s">
        <v>17</v>
      </c>
      <c r="K111" s="89" t="s">
        <v>78</v>
      </c>
      <c r="L111" s="89" t="s">
        <v>27</v>
      </c>
      <c r="M111" s="97" t="s">
        <v>760</v>
      </c>
      <c r="N111" s="97" t="s">
        <v>80</v>
      </c>
      <c r="O111" s="86"/>
      <c r="P111" s="97" t="s">
        <v>37</v>
      </c>
      <c r="Q111" s="98" t="s">
        <v>761</v>
      </c>
      <c r="R111" s="109"/>
      <c r="S111" s="100"/>
      <c r="T111" s="80" t="s">
        <v>752</v>
      </c>
      <c r="U111" s="6"/>
      <c r="V111" s="6"/>
      <c r="W111" s="6"/>
      <c r="X111" s="6"/>
      <c r="Y111" s="6"/>
      <c r="Z111" s="6"/>
      <c r="AA111" s="6"/>
      <c r="AB111" s="6"/>
      <c r="AC111" s="6"/>
      <c r="AD111" s="6"/>
      <c r="AE111" s="6"/>
      <c r="AF111" s="6"/>
      <c r="AG111" s="6"/>
      <c r="AH111" s="6"/>
      <c r="AI111" s="6"/>
      <c r="AJ111" s="6"/>
      <c r="AK111" s="6"/>
      <c r="AL111" s="6"/>
      <c r="AM111" s="6"/>
      <c r="AN111" s="6"/>
      <c r="AO111" s="6"/>
      <c r="AP111" s="6"/>
    </row>
    <row r="112" ht="17.25" customHeight="1">
      <c r="A112" s="103"/>
      <c r="B112" s="103"/>
      <c r="C112" s="86" t="s">
        <v>765</v>
      </c>
      <c r="D112" s="87">
        <v>1.2060511E7</v>
      </c>
      <c r="E112" s="86" t="s">
        <v>766</v>
      </c>
      <c r="F112" s="86" t="s">
        <v>73</v>
      </c>
      <c r="G112" s="89" t="s">
        <v>146</v>
      </c>
      <c r="H112" s="89" t="s">
        <v>85</v>
      </c>
      <c r="I112" s="89" t="str">
        <f t="shared" si="2"/>
        <v>PASSED</v>
      </c>
      <c r="J112" s="89" t="s">
        <v>27</v>
      </c>
      <c r="K112" s="95" t="s">
        <v>86</v>
      </c>
      <c r="L112" s="95" t="s">
        <v>12</v>
      </c>
      <c r="M112" s="97" t="s">
        <v>769</v>
      </c>
      <c r="N112" s="97" t="s">
        <v>80</v>
      </c>
      <c r="O112" s="86"/>
      <c r="P112" s="97" t="s">
        <v>37</v>
      </c>
      <c r="Q112" s="98"/>
      <c r="R112" s="109" t="s">
        <v>770</v>
      </c>
      <c r="S112" s="109" t="s">
        <v>771</v>
      </c>
      <c r="T112" s="80" t="s">
        <v>257</v>
      </c>
      <c r="U112" s="6"/>
      <c r="V112" s="6"/>
      <c r="W112" s="6"/>
      <c r="X112" s="6"/>
      <c r="Y112" s="6"/>
      <c r="Z112" s="6"/>
      <c r="AA112" s="6"/>
      <c r="AB112" s="6"/>
      <c r="AC112" s="6"/>
      <c r="AD112" s="6"/>
      <c r="AE112" s="6"/>
      <c r="AF112" s="6"/>
      <c r="AG112" s="6"/>
      <c r="AH112" s="6"/>
      <c r="AI112" s="6"/>
      <c r="AJ112" s="6"/>
      <c r="AK112" s="6"/>
      <c r="AL112" s="6"/>
      <c r="AM112" s="6"/>
      <c r="AN112" s="6"/>
      <c r="AO112" s="6"/>
      <c r="AP112" s="6"/>
    </row>
    <row r="113" ht="17.25" customHeight="1">
      <c r="A113" s="103"/>
      <c r="B113" s="26"/>
      <c r="C113" s="86" t="s">
        <v>775</v>
      </c>
      <c r="D113" s="86"/>
      <c r="E113" s="86" t="s">
        <v>777</v>
      </c>
      <c r="F113" s="86" t="s">
        <v>73</v>
      </c>
      <c r="G113" s="89" t="s">
        <v>146</v>
      </c>
      <c r="H113" s="89" t="s">
        <v>85</v>
      </c>
      <c r="I113" s="89" t="str">
        <f t="shared" si="2"/>
        <v>BLOCKED</v>
      </c>
      <c r="J113" s="95" t="s">
        <v>17</v>
      </c>
      <c r="K113" s="89" t="s">
        <v>78</v>
      </c>
      <c r="L113" s="89" t="s">
        <v>27</v>
      </c>
      <c r="M113" s="97" t="s">
        <v>781</v>
      </c>
      <c r="N113" s="97" t="s">
        <v>80</v>
      </c>
      <c r="O113" s="86"/>
      <c r="P113" s="97" t="s">
        <v>37</v>
      </c>
      <c r="Q113" s="98" t="s">
        <v>783</v>
      </c>
      <c r="R113" s="100"/>
      <c r="S113" s="100"/>
      <c r="T113" s="80" t="s">
        <v>785</v>
      </c>
      <c r="U113" s="6"/>
      <c r="V113" s="6"/>
      <c r="W113" s="6"/>
      <c r="X113" s="6"/>
      <c r="Y113" s="6"/>
      <c r="Z113" s="6"/>
      <c r="AA113" s="6"/>
      <c r="AB113" s="6"/>
      <c r="AC113" s="6"/>
      <c r="AD113" s="6"/>
      <c r="AE113" s="6"/>
      <c r="AF113" s="6"/>
      <c r="AG113" s="6"/>
      <c r="AH113" s="6"/>
      <c r="AI113" s="6"/>
      <c r="AJ113" s="6"/>
      <c r="AK113" s="6"/>
      <c r="AL113" s="6"/>
      <c r="AM113" s="6"/>
      <c r="AN113" s="6"/>
      <c r="AO113" s="6"/>
      <c r="AP113" s="6"/>
    </row>
    <row r="114" ht="17.25" customHeight="1">
      <c r="A114" s="103"/>
      <c r="B114" s="141" t="s">
        <v>787</v>
      </c>
      <c r="C114" s="87" t="s">
        <v>791</v>
      </c>
      <c r="D114" s="86"/>
      <c r="E114" s="87" t="s">
        <v>792</v>
      </c>
      <c r="F114" s="87" t="s">
        <v>73</v>
      </c>
      <c r="G114" s="95" t="s">
        <v>74</v>
      </c>
      <c r="H114" s="95" t="s">
        <v>85</v>
      </c>
      <c r="I114" s="89" t="str">
        <f t="shared" si="2"/>
        <v>BLOCKED</v>
      </c>
      <c r="J114" s="95" t="s">
        <v>17</v>
      </c>
      <c r="K114" s="89" t="s">
        <v>78</v>
      </c>
      <c r="L114" s="89" t="s">
        <v>27</v>
      </c>
      <c r="M114" s="129" t="s">
        <v>699</v>
      </c>
      <c r="N114" s="130" t="s">
        <v>80</v>
      </c>
      <c r="O114" s="86"/>
      <c r="P114" s="129" t="s">
        <v>37</v>
      </c>
      <c r="Q114" s="98" t="s">
        <v>798</v>
      </c>
      <c r="R114" s="109"/>
      <c r="S114" s="109"/>
      <c r="T114" s="128">
        <v>46027.0</v>
      </c>
      <c r="U114" s="6"/>
      <c r="V114" s="6"/>
      <c r="W114" s="6"/>
      <c r="X114" s="6"/>
      <c r="Y114" s="6"/>
      <c r="Z114" s="6"/>
      <c r="AA114" s="6"/>
      <c r="AB114" s="6"/>
      <c r="AC114" s="6"/>
      <c r="AD114" s="6"/>
      <c r="AE114" s="6"/>
      <c r="AF114" s="6"/>
      <c r="AG114" s="6"/>
      <c r="AH114" s="6"/>
      <c r="AI114" s="6"/>
      <c r="AJ114" s="6"/>
      <c r="AK114" s="6"/>
      <c r="AL114" s="6"/>
      <c r="AM114" s="6"/>
      <c r="AN114" s="6"/>
      <c r="AO114" s="6"/>
      <c r="AP114" s="6"/>
    </row>
    <row r="115" ht="17.25" customHeight="1">
      <c r="A115" s="103"/>
      <c r="B115" s="103"/>
      <c r="C115" s="87" t="s">
        <v>802</v>
      </c>
      <c r="D115" s="86"/>
      <c r="E115" s="87" t="s">
        <v>803</v>
      </c>
      <c r="F115" s="87" t="s">
        <v>73</v>
      </c>
      <c r="G115" s="95" t="s">
        <v>146</v>
      </c>
      <c r="H115" s="95" t="s">
        <v>262</v>
      </c>
      <c r="I115" s="89" t="str">
        <f t="shared" si="2"/>
        <v>BLOCKED</v>
      </c>
      <c r="J115" s="95" t="s">
        <v>17</v>
      </c>
      <c r="K115" s="89" t="s">
        <v>78</v>
      </c>
      <c r="L115" s="89" t="s">
        <v>27</v>
      </c>
      <c r="M115" s="129" t="s">
        <v>699</v>
      </c>
      <c r="N115" s="130" t="s">
        <v>80</v>
      </c>
      <c r="O115" s="86"/>
      <c r="P115" s="129" t="s">
        <v>37</v>
      </c>
      <c r="Q115" s="98" t="s">
        <v>809</v>
      </c>
      <c r="R115" s="109"/>
      <c r="S115" s="109"/>
      <c r="T115" s="128">
        <v>46027.0</v>
      </c>
      <c r="U115" s="6"/>
      <c r="V115" s="6"/>
      <c r="W115" s="6"/>
      <c r="X115" s="6"/>
      <c r="Y115" s="6"/>
      <c r="Z115" s="6"/>
      <c r="AA115" s="6"/>
      <c r="AB115" s="6"/>
      <c r="AC115" s="6"/>
      <c r="AD115" s="6"/>
      <c r="AE115" s="6"/>
      <c r="AF115" s="6"/>
      <c r="AG115" s="6"/>
      <c r="AH115" s="6"/>
      <c r="AI115" s="6"/>
      <c r="AJ115" s="6"/>
      <c r="AK115" s="6"/>
      <c r="AL115" s="6"/>
      <c r="AM115" s="6"/>
      <c r="AN115" s="6"/>
      <c r="AO115" s="6"/>
      <c r="AP115" s="6"/>
    </row>
    <row r="116" ht="17.25" customHeight="1">
      <c r="A116" s="150"/>
      <c r="B116" s="26"/>
      <c r="C116" s="87" t="s">
        <v>815</v>
      </c>
      <c r="D116" s="86"/>
      <c r="E116" s="87" t="s">
        <v>817</v>
      </c>
      <c r="F116" s="87" t="s">
        <v>73</v>
      </c>
      <c r="G116" s="95" t="s">
        <v>146</v>
      </c>
      <c r="H116" s="95" t="s">
        <v>262</v>
      </c>
      <c r="I116" s="89" t="str">
        <f t="shared" si="2"/>
        <v>BLOCKED</v>
      </c>
      <c r="J116" s="95" t="s">
        <v>17</v>
      </c>
      <c r="K116" s="89" t="s">
        <v>78</v>
      </c>
      <c r="L116" s="89" t="s">
        <v>27</v>
      </c>
      <c r="M116" s="129" t="s">
        <v>699</v>
      </c>
      <c r="N116" s="130" t="s">
        <v>80</v>
      </c>
      <c r="O116" s="86"/>
      <c r="P116" s="129" t="s">
        <v>37</v>
      </c>
      <c r="Q116" s="98" t="s">
        <v>820</v>
      </c>
      <c r="R116" s="109"/>
      <c r="S116" s="109"/>
      <c r="T116" s="128">
        <v>46027.0</v>
      </c>
      <c r="U116" s="6"/>
      <c r="V116" s="6"/>
      <c r="W116" s="6"/>
      <c r="X116" s="6"/>
      <c r="Y116" s="6"/>
      <c r="Z116" s="6"/>
      <c r="AA116" s="6"/>
      <c r="AB116" s="6"/>
      <c r="AC116" s="6"/>
      <c r="AD116" s="6"/>
      <c r="AE116" s="6"/>
      <c r="AF116" s="6"/>
      <c r="AG116" s="6"/>
      <c r="AH116" s="6"/>
      <c r="AI116" s="6"/>
      <c r="AJ116" s="6"/>
      <c r="AK116" s="6"/>
      <c r="AL116" s="6"/>
      <c r="AM116" s="6"/>
      <c r="AN116" s="6"/>
      <c r="AO116" s="6"/>
      <c r="AP116" s="6"/>
    </row>
    <row r="117" ht="17.25" customHeight="1">
      <c r="A117" s="83" t="s">
        <v>821</v>
      </c>
      <c r="B117" s="84" t="s">
        <v>822</v>
      </c>
      <c r="C117" s="86" t="s">
        <v>371</v>
      </c>
      <c r="D117" s="86"/>
      <c r="E117" s="86" t="s">
        <v>372</v>
      </c>
      <c r="F117" s="86" t="s">
        <v>121</v>
      </c>
      <c r="G117" s="89" t="s">
        <v>74</v>
      </c>
      <c r="H117" s="89" t="s">
        <v>75</v>
      </c>
      <c r="I117" s="89" t="str">
        <f t="shared" si="2"/>
        <v>BLOCKED</v>
      </c>
      <c r="J117" s="95" t="s">
        <v>17</v>
      </c>
      <c r="K117" s="89" t="s">
        <v>78</v>
      </c>
      <c r="L117" s="89" t="s">
        <v>27</v>
      </c>
      <c r="M117" s="97" t="s">
        <v>823</v>
      </c>
      <c r="N117" s="97" t="s">
        <v>80</v>
      </c>
      <c r="O117" s="86"/>
      <c r="P117" s="97" t="s">
        <v>37</v>
      </c>
      <c r="Q117" s="98" t="s">
        <v>824</v>
      </c>
      <c r="R117" s="100"/>
      <c r="S117" s="100"/>
      <c r="T117" s="80" t="s">
        <v>825</v>
      </c>
      <c r="U117" s="6"/>
      <c r="V117" s="6"/>
      <c r="W117" s="6"/>
      <c r="X117" s="6"/>
      <c r="Y117" s="6"/>
      <c r="Z117" s="6"/>
      <c r="AA117" s="6"/>
      <c r="AB117" s="6"/>
      <c r="AC117" s="6"/>
      <c r="AD117" s="6"/>
      <c r="AE117" s="6"/>
      <c r="AF117" s="6"/>
      <c r="AG117" s="6"/>
      <c r="AH117" s="6"/>
      <c r="AI117" s="6"/>
      <c r="AJ117" s="6"/>
      <c r="AK117" s="6"/>
      <c r="AL117" s="6"/>
      <c r="AM117" s="6"/>
      <c r="AN117" s="6"/>
      <c r="AO117" s="6"/>
      <c r="AP117" s="6"/>
    </row>
    <row r="118" ht="17.25" customHeight="1">
      <c r="A118" s="103"/>
      <c r="B118" s="103"/>
      <c r="C118" s="86" t="s">
        <v>374</v>
      </c>
      <c r="D118" s="86"/>
      <c r="E118" s="86" t="s">
        <v>376</v>
      </c>
      <c r="F118" s="86" t="s">
        <v>121</v>
      </c>
      <c r="G118" s="89" t="s">
        <v>74</v>
      </c>
      <c r="H118" s="89" t="s">
        <v>75</v>
      </c>
      <c r="I118" s="89" t="str">
        <f t="shared" si="2"/>
        <v>BLOCKED</v>
      </c>
      <c r="J118" s="95" t="s">
        <v>17</v>
      </c>
      <c r="K118" s="89" t="s">
        <v>78</v>
      </c>
      <c r="L118" s="89" t="s">
        <v>27</v>
      </c>
      <c r="M118" s="97" t="s">
        <v>826</v>
      </c>
      <c r="N118" s="97" t="s">
        <v>80</v>
      </c>
      <c r="O118" s="86"/>
      <c r="P118" s="97" t="s">
        <v>37</v>
      </c>
      <c r="Q118" s="98" t="s">
        <v>827</v>
      </c>
      <c r="R118" s="100"/>
      <c r="S118" s="100"/>
      <c r="T118" s="80" t="s">
        <v>828</v>
      </c>
      <c r="U118" s="6"/>
      <c r="V118" s="6"/>
      <c r="W118" s="6"/>
      <c r="X118" s="6"/>
      <c r="Y118" s="6"/>
      <c r="Z118" s="6"/>
      <c r="AA118" s="6"/>
      <c r="AB118" s="6"/>
      <c r="AC118" s="6"/>
      <c r="AD118" s="6"/>
      <c r="AE118" s="6"/>
      <c r="AF118" s="6"/>
      <c r="AG118" s="6"/>
      <c r="AH118" s="6"/>
      <c r="AI118" s="6"/>
      <c r="AJ118" s="6"/>
      <c r="AK118" s="6"/>
      <c r="AL118" s="6"/>
      <c r="AM118" s="6"/>
      <c r="AN118" s="6"/>
      <c r="AO118" s="6"/>
      <c r="AP118" s="6"/>
    </row>
    <row r="119" ht="17.25" customHeight="1">
      <c r="A119" s="103"/>
      <c r="B119" s="103"/>
      <c r="C119" s="86" t="s">
        <v>381</v>
      </c>
      <c r="D119" s="86"/>
      <c r="E119" s="86" t="s">
        <v>382</v>
      </c>
      <c r="F119" s="86" t="s">
        <v>121</v>
      </c>
      <c r="G119" s="89" t="s">
        <v>74</v>
      </c>
      <c r="H119" s="89" t="s">
        <v>85</v>
      </c>
      <c r="I119" s="89" t="str">
        <f t="shared" si="2"/>
        <v>BLOCKED</v>
      </c>
      <c r="J119" s="95" t="s">
        <v>17</v>
      </c>
      <c r="K119" s="89" t="s">
        <v>78</v>
      </c>
      <c r="L119" s="89" t="s">
        <v>27</v>
      </c>
      <c r="M119" s="97" t="s">
        <v>829</v>
      </c>
      <c r="N119" s="97" t="s">
        <v>80</v>
      </c>
      <c r="O119" s="86"/>
      <c r="P119" s="97" t="s">
        <v>37</v>
      </c>
      <c r="Q119" s="98" t="s">
        <v>830</v>
      </c>
      <c r="R119" s="100"/>
      <c r="S119" s="100"/>
      <c r="T119" s="80" t="s">
        <v>831</v>
      </c>
      <c r="U119" s="6"/>
      <c r="V119" s="6"/>
      <c r="W119" s="6"/>
      <c r="X119" s="6"/>
      <c r="Y119" s="6"/>
      <c r="Z119" s="6"/>
      <c r="AA119" s="6"/>
      <c r="AB119" s="6"/>
      <c r="AC119" s="6"/>
      <c r="AD119" s="6"/>
      <c r="AE119" s="6"/>
      <c r="AF119" s="6"/>
      <c r="AG119" s="6"/>
      <c r="AH119" s="6"/>
      <c r="AI119" s="6"/>
      <c r="AJ119" s="6"/>
      <c r="AK119" s="6"/>
      <c r="AL119" s="6"/>
      <c r="AM119" s="6"/>
      <c r="AN119" s="6"/>
      <c r="AO119" s="6"/>
      <c r="AP119" s="6"/>
    </row>
    <row r="120" ht="17.25" customHeight="1">
      <c r="A120" s="26"/>
      <c r="B120" s="26"/>
      <c r="C120" s="86" t="s">
        <v>832</v>
      </c>
      <c r="D120" s="86"/>
      <c r="E120" s="86" t="s">
        <v>833</v>
      </c>
      <c r="F120" s="86" t="s">
        <v>834</v>
      </c>
      <c r="G120" s="89" t="s">
        <v>261</v>
      </c>
      <c r="H120" s="89" t="s">
        <v>262</v>
      </c>
      <c r="I120" s="89" t="str">
        <f t="shared" si="2"/>
        <v>BLOCKED</v>
      </c>
      <c r="J120" s="95" t="s">
        <v>17</v>
      </c>
      <c r="K120" s="89" t="s">
        <v>78</v>
      </c>
      <c r="L120" s="89" t="s">
        <v>27</v>
      </c>
      <c r="M120" s="97" t="s">
        <v>835</v>
      </c>
      <c r="N120" s="97" t="s">
        <v>80</v>
      </c>
      <c r="O120" s="86"/>
      <c r="P120" s="97" t="s">
        <v>37</v>
      </c>
      <c r="Q120" s="98" t="s">
        <v>836</v>
      </c>
      <c r="R120" s="100"/>
      <c r="S120" s="100"/>
      <c r="T120" s="80" t="s">
        <v>828</v>
      </c>
      <c r="U120" s="6"/>
      <c r="V120" s="6"/>
      <c r="W120" s="6"/>
      <c r="X120" s="6"/>
      <c r="Y120" s="6"/>
      <c r="Z120" s="6"/>
      <c r="AA120" s="6"/>
      <c r="AB120" s="6"/>
      <c r="AC120" s="6"/>
      <c r="AD120" s="6"/>
      <c r="AE120" s="6"/>
      <c r="AF120" s="6"/>
      <c r="AG120" s="6"/>
      <c r="AH120" s="6"/>
      <c r="AI120" s="6"/>
      <c r="AJ120" s="6"/>
      <c r="AK120" s="6"/>
      <c r="AL120" s="6"/>
      <c r="AM120" s="6"/>
      <c r="AN120" s="6"/>
      <c r="AO120" s="6"/>
      <c r="AP120" s="6"/>
    </row>
    <row r="121" ht="17.25" customHeight="1">
      <c r="A121" s="83" t="s">
        <v>837</v>
      </c>
      <c r="B121" s="84" t="s">
        <v>838</v>
      </c>
      <c r="C121" s="86" t="s">
        <v>839</v>
      </c>
      <c r="D121" s="86"/>
      <c r="E121" s="86" t="s">
        <v>840</v>
      </c>
      <c r="F121" s="86" t="s">
        <v>73</v>
      </c>
      <c r="G121" s="89" t="s">
        <v>146</v>
      </c>
      <c r="H121" s="89" t="s">
        <v>85</v>
      </c>
      <c r="I121" s="89" t="str">
        <f t="shared" si="2"/>
        <v>BLOCKED</v>
      </c>
      <c r="J121" s="95" t="s">
        <v>17</v>
      </c>
      <c r="K121" s="89" t="s">
        <v>78</v>
      </c>
      <c r="L121" s="89" t="s">
        <v>27</v>
      </c>
      <c r="M121" s="97" t="s">
        <v>841</v>
      </c>
      <c r="N121" s="97" t="s">
        <v>80</v>
      </c>
      <c r="O121" s="86"/>
      <c r="P121" s="97" t="s">
        <v>37</v>
      </c>
      <c r="Q121" s="98" t="s">
        <v>842</v>
      </c>
      <c r="R121" s="100"/>
      <c r="S121" s="100"/>
      <c r="T121" s="80" t="s">
        <v>843</v>
      </c>
      <c r="U121" s="6"/>
      <c r="V121" s="6"/>
      <c r="W121" s="6"/>
      <c r="X121" s="6"/>
      <c r="Y121" s="6"/>
      <c r="Z121" s="6"/>
      <c r="AA121" s="6"/>
      <c r="AB121" s="6"/>
      <c r="AC121" s="6"/>
      <c r="AD121" s="6"/>
      <c r="AE121" s="6"/>
      <c r="AF121" s="6"/>
      <c r="AG121" s="6"/>
      <c r="AH121" s="6"/>
      <c r="AI121" s="6"/>
      <c r="AJ121" s="6"/>
      <c r="AK121" s="6"/>
      <c r="AL121" s="6"/>
      <c r="AM121" s="6"/>
      <c r="AN121" s="6"/>
      <c r="AO121" s="6"/>
      <c r="AP121" s="6"/>
    </row>
    <row r="122" ht="17.25" customHeight="1">
      <c r="A122" s="103"/>
      <c r="B122" s="103"/>
      <c r="C122" s="86" t="s">
        <v>844</v>
      </c>
      <c r="D122" s="86"/>
      <c r="E122" s="86" t="s">
        <v>845</v>
      </c>
      <c r="F122" s="86" t="s">
        <v>73</v>
      </c>
      <c r="G122" s="89" t="s">
        <v>146</v>
      </c>
      <c r="H122" s="89" t="s">
        <v>85</v>
      </c>
      <c r="I122" s="89" t="str">
        <f t="shared" si="2"/>
        <v>BLOCKED</v>
      </c>
      <c r="J122" s="95" t="s">
        <v>17</v>
      </c>
      <c r="K122" s="89" t="s">
        <v>78</v>
      </c>
      <c r="L122" s="89" t="s">
        <v>27</v>
      </c>
      <c r="M122" s="97" t="s">
        <v>846</v>
      </c>
      <c r="N122" s="97" t="s">
        <v>80</v>
      </c>
      <c r="O122" s="86"/>
      <c r="P122" s="97" t="s">
        <v>37</v>
      </c>
      <c r="Q122" s="98" t="s">
        <v>847</v>
      </c>
      <c r="R122" s="100"/>
      <c r="S122" s="100"/>
      <c r="T122" s="80" t="s">
        <v>843</v>
      </c>
      <c r="U122" s="6"/>
      <c r="V122" s="6"/>
      <c r="W122" s="6"/>
      <c r="X122" s="6"/>
      <c r="Y122" s="6"/>
      <c r="Z122" s="6"/>
      <c r="AA122" s="6"/>
      <c r="AB122" s="6"/>
      <c r="AC122" s="6"/>
      <c r="AD122" s="6"/>
      <c r="AE122" s="6"/>
      <c r="AF122" s="6"/>
      <c r="AG122" s="6"/>
      <c r="AH122" s="6"/>
      <c r="AI122" s="6"/>
      <c r="AJ122" s="6"/>
      <c r="AK122" s="6"/>
      <c r="AL122" s="6"/>
      <c r="AM122" s="6"/>
      <c r="AN122" s="6"/>
      <c r="AO122" s="6"/>
      <c r="AP122" s="6"/>
    </row>
    <row r="123" ht="17.25" customHeight="1">
      <c r="A123" s="26"/>
      <c r="B123" s="26"/>
      <c r="C123" s="86" t="s">
        <v>848</v>
      </c>
      <c r="D123" s="86"/>
      <c r="E123" s="86" t="s">
        <v>849</v>
      </c>
      <c r="F123" s="86" t="s">
        <v>73</v>
      </c>
      <c r="G123" s="89" t="s">
        <v>261</v>
      </c>
      <c r="H123" s="89" t="s">
        <v>262</v>
      </c>
      <c r="I123" s="89" t="str">
        <f t="shared" si="2"/>
        <v>BLOCKED</v>
      </c>
      <c r="J123" s="95" t="s">
        <v>17</v>
      </c>
      <c r="K123" s="89" t="s">
        <v>78</v>
      </c>
      <c r="L123" s="89" t="s">
        <v>27</v>
      </c>
      <c r="M123" s="97" t="s">
        <v>850</v>
      </c>
      <c r="N123" s="97" t="s">
        <v>80</v>
      </c>
      <c r="O123" s="86"/>
      <c r="P123" s="97" t="s">
        <v>37</v>
      </c>
      <c r="Q123" s="98" t="s">
        <v>851</v>
      </c>
      <c r="R123" s="100"/>
      <c r="S123" s="100"/>
      <c r="T123" s="80" t="s">
        <v>843</v>
      </c>
      <c r="U123" s="6"/>
      <c r="V123" s="6"/>
      <c r="W123" s="6"/>
      <c r="X123" s="6"/>
      <c r="Y123" s="6"/>
      <c r="Z123" s="6"/>
      <c r="AA123" s="6"/>
      <c r="AB123" s="6"/>
      <c r="AC123" s="6"/>
      <c r="AD123" s="6"/>
      <c r="AE123" s="6"/>
      <c r="AF123" s="6"/>
      <c r="AG123" s="6"/>
      <c r="AH123" s="6"/>
      <c r="AI123" s="6"/>
      <c r="AJ123" s="6"/>
      <c r="AK123" s="6"/>
      <c r="AL123" s="6"/>
      <c r="AM123" s="6"/>
      <c r="AN123" s="6"/>
      <c r="AO123" s="6"/>
      <c r="AP123" s="6"/>
    </row>
    <row r="124" ht="17.25" customHeight="1">
      <c r="A124" s="152" t="s">
        <v>852</v>
      </c>
      <c r="B124" s="76"/>
      <c r="C124" s="76"/>
      <c r="D124" s="77"/>
      <c r="E124" s="76"/>
      <c r="F124" s="76"/>
      <c r="G124" s="76"/>
      <c r="H124" s="76"/>
      <c r="I124" s="76"/>
      <c r="J124" s="76"/>
      <c r="K124" s="76"/>
      <c r="L124" s="76"/>
      <c r="M124" s="76"/>
      <c r="N124" s="76"/>
      <c r="O124" s="77"/>
      <c r="P124" s="76"/>
      <c r="Q124" s="79"/>
      <c r="R124" s="79"/>
      <c r="S124" s="79"/>
      <c r="T124" s="80"/>
      <c r="U124" s="6"/>
      <c r="V124" s="6"/>
      <c r="W124" s="6"/>
      <c r="X124" s="6"/>
      <c r="Y124" s="6"/>
      <c r="Z124" s="6"/>
      <c r="AA124" s="6"/>
      <c r="AB124" s="6"/>
      <c r="AC124" s="6"/>
      <c r="AD124" s="6"/>
      <c r="AE124" s="6"/>
      <c r="AF124" s="6"/>
      <c r="AG124" s="6"/>
      <c r="AH124" s="6"/>
      <c r="AI124" s="6"/>
      <c r="AJ124" s="6"/>
      <c r="AK124" s="6"/>
      <c r="AL124" s="6"/>
      <c r="AM124" s="6"/>
      <c r="AN124" s="6"/>
      <c r="AO124" s="6"/>
      <c r="AP124" s="6"/>
    </row>
    <row r="125" ht="18.0" customHeight="1">
      <c r="A125" s="153" t="s">
        <v>853</v>
      </c>
      <c r="B125" s="84" t="s">
        <v>854</v>
      </c>
      <c r="C125" s="86" t="s">
        <v>383</v>
      </c>
      <c r="D125" s="87">
        <v>2061001.0</v>
      </c>
      <c r="E125" s="86" t="s">
        <v>384</v>
      </c>
      <c r="F125" s="86" t="s">
        <v>121</v>
      </c>
      <c r="G125" s="89" t="s">
        <v>74</v>
      </c>
      <c r="H125" s="89" t="s">
        <v>75</v>
      </c>
      <c r="I125" s="89" t="str">
        <f t="shared" ref="I125:I319" si="3">IF(K125="No",J125,IF(OR(J125="FAILED",L125="FAILED"),"FAILED",IF(OR(J125="PASSED",L125="PASSED"),"PASSED",IF(OR(J125="IN_PROGRESS",L125="IN_PROGRESS"),"IN_PROGRESS",IF(OR(J125="BLOCKED",L125="BLOCKED"),"BLOCKED","NOT_STARTED")))))</f>
        <v>PASSED</v>
      </c>
      <c r="J125" s="89" t="s">
        <v>27</v>
      </c>
      <c r="K125" s="95" t="s">
        <v>86</v>
      </c>
      <c r="L125" s="95" t="s">
        <v>12</v>
      </c>
      <c r="M125" s="97" t="s">
        <v>855</v>
      </c>
      <c r="N125" s="137" t="s">
        <v>856</v>
      </c>
      <c r="O125" s="86"/>
      <c r="P125" s="97" t="s">
        <v>37</v>
      </c>
      <c r="Q125" s="139" t="s">
        <v>857</v>
      </c>
      <c r="R125" s="109" t="s">
        <v>858</v>
      </c>
      <c r="S125" s="139" t="s">
        <v>859</v>
      </c>
      <c r="T125" s="80" t="s">
        <v>825</v>
      </c>
      <c r="U125" s="6"/>
      <c r="V125" s="6"/>
      <c r="W125" s="6"/>
      <c r="X125" s="6"/>
      <c r="Y125" s="6"/>
      <c r="Z125" s="6"/>
      <c r="AA125" s="6"/>
      <c r="AB125" s="6"/>
      <c r="AC125" s="6"/>
      <c r="AD125" s="6"/>
      <c r="AE125" s="6"/>
      <c r="AF125" s="6"/>
      <c r="AG125" s="6"/>
      <c r="AH125" s="6"/>
      <c r="AI125" s="6"/>
      <c r="AJ125" s="6"/>
      <c r="AK125" s="6"/>
      <c r="AL125" s="6"/>
      <c r="AM125" s="6"/>
      <c r="AN125" s="6"/>
      <c r="AO125" s="6"/>
      <c r="AP125" s="6"/>
    </row>
    <row r="126" ht="17.25" customHeight="1">
      <c r="A126" s="103"/>
      <c r="B126" s="103"/>
      <c r="C126" s="86" t="s">
        <v>388</v>
      </c>
      <c r="D126" s="87">
        <v>2061002.0</v>
      </c>
      <c r="E126" s="87" t="s">
        <v>860</v>
      </c>
      <c r="F126" s="86" t="s">
        <v>121</v>
      </c>
      <c r="G126" s="89" t="s">
        <v>74</v>
      </c>
      <c r="H126" s="89" t="s">
        <v>75</v>
      </c>
      <c r="I126" s="89" t="str">
        <f t="shared" si="3"/>
        <v>PASSED</v>
      </c>
      <c r="J126" s="89" t="s">
        <v>27</v>
      </c>
      <c r="K126" s="95" t="s">
        <v>86</v>
      </c>
      <c r="L126" s="95" t="s">
        <v>12</v>
      </c>
      <c r="M126" s="97" t="s">
        <v>855</v>
      </c>
      <c r="N126" s="137" t="s">
        <v>856</v>
      </c>
      <c r="O126" s="86"/>
      <c r="P126" s="97" t="s">
        <v>37</v>
      </c>
      <c r="Q126" s="139" t="s">
        <v>861</v>
      </c>
      <c r="R126" s="109" t="s">
        <v>862</v>
      </c>
      <c r="S126" s="139" t="s">
        <v>863</v>
      </c>
      <c r="T126" s="80" t="s">
        <v>825</v>
      </c>
      <c r="U126" s="6"/>
      <c r="V126" s="6"/>
      <c r="W126" s="6"/>
      <c r="X126" s="6"/>
      <c r="Y126" s="6"/>
      <c r="Z126" s="6"/>
      <c r="AA126" s="6"/>
      <c r="AB126" s="6"/>
      <c r="AC126" s="6"/>
      <c r="AD126" s="6"/>
      <c r="AE126" s="6"/>
      <c r="AF126" s="6"/>
      <c r="AG126" s="6"/>
      <c r="AH126" s="6"/>
      <c r="AI126" s="6"/>
      <c r="AJ126" s="6"/>
      <c r="AK126" s="6"/>
      <c r="AL126" s="6"/>
      <c r="AM126" s="6"/>
      <c r="AN126" s="6"/>
      <c r="AO126" s="6"/>
      <c r="AP126" s="6"/>
    </row>
    <row r="127" ht="17.25" customHeight="1">
      <c r="A127" s="103"/>
      <c r="B127" s="103"/>
      <c r="C127" s="86" t="s">
        <v>391</v>
      </c>
      <c r="D127" s="87">
        <v>2061003.0</v>
      </c>
      <c r="E127" s="86" t="s">
        <v>392</v>
      </c>
      <c r="F127" s="86" t="s">
        <v>121</v>
      </c>
      <c r="G127" s="89" t="s">
        <v>74</v>
      </c>
      <c r="H127" s="89" t="s">
        <v>75</v>
      </c>
      <c r="I127" s="89" t="str">
        <f t="shared" si="3"/>
        <v>PASSED</v>
      </c>
      <c r="J127" s="89" t="s">
        <v>27</v>
      </c>
      <c r="K127" s="95" t="s">
        <v>86</v>
      </c>
      <c r="L127" s="95" t="s">
        <v>12</v>
      </c>
      <c r="M127" s="97" t="s">
        <v>823</v>
      </c>
      <c r="N127" s="137" t="s">
        <v>856</v>
      </c>
      <c r="O127" s="86"/>
      <c r="P127" s="97" t="s">
        <v>37</v>
      </c>
      <c r="Q127" s="139" t="s">
        <v>864</v>
      </c>
      <c r="R127" s="109" t="s">
        <v>865</v>
      </c>
      <c r="S127" s="139" t="s">
        <v>866</v>
      </c>
      <c r="T127" s="80" t="s">
        <v>825</v>
      </c>
      <c r="U127" s="6"/>
      <c r="V127" s="6"/>
      <c r="W127" s="6"/>
      <c r="X127" s="6"/>
      <c r="Y127" s="6"/>
      <c r="Z127" s="6"/>
      <c r="AA127" s="6"/>
      <c r="AB127" s="6"/>
      <c r="AC127" s="6"/>
      <c r="AD127" s="6"/>
      <c r="AE127" s="6"/>
      <c r="AF127" s="6"/>
      <c r="AG127" s="6"/>
      <c r="AH127" s="6"/>
      <c r="AI127" s="6"/>
      <c r="AJ127" s="6"/>
      <c r="AK127" s="6"/>
      <c r="AL127" s="6"/>
      <c r="AM127" s="6"/>
      <c r="AN127" s="6"/>
      <c r="AO127" s="6"/>
      <c r="AP127" s="6"/>
    </row>
    <row r="128" ht="17.25" customHeight="1">
      <c r="A128" s="103"/>
      <c r="B128" s="103"/>
      <c r="C128" s="86" t="s">
        <v>394</v>
      </c>
      <c r="D128" s="87">
        <v>2061004.0</v>
      </c>
      <c r="E128" s="86" t="s">
        <v>396</v>
      </c>
      <c r="F128" s="86" t="s">
        <v>121</v>
      </c>
      <c r="G128" s="89" t="s">
        <v>74</v>
      </c>
      <c r="H128" s="89" t="s">
        <v>75</v>
      </c>
      <c r="I128" s="89" t="str">
        <f t="shared" si="3"/>
        <v>BLOCKED</v>
      </c>
      <c r="J128" s="95" t="s">
        <v>17</v>
      </c>
      <c r="K128" s="95" t="s">
        <v>78</v>
      </c>
      <c r="L128" s="89" t="s">
        <v>27</v>
      </c>
      <c r="M128" s="97" t="s">
        <v>867</v>
      </c>
      <c r="N128" s="137" t="s">
        <v>856</v>
      </c>
      <c r="O128" s="86"/>
      <c r="P128" s="97" t="s">
        <v>37</v>
      </c>
      <c r="Q128" s="134" t="s">
        <v>868</v>
      </c>
      <c r="R128" s="100"/>
      <c r="S128" s="134"/>
      <c r="T128" s="80" t="s">
        <v>825</v>
      </c>
      <c r="U128" s="6"/>
      <c r="V128" s="6"/>
      <c r="W128" s="6"/>
      <c r="X128" s="6"/>
      <c r="Y128" s="6"/>
      <c r="Z128" s="6"/>
      <c r="AA128" s="6"/>
      <c r="AB128" s="6"/>
      <c r="AC128" s="6"/>
      <c r="AD128" s="6"/>
      <c r="AE128" s="6"/>
      <c r="AF128" s="6"/>
      <c r="AG128" s="6"/>
      <c r="AH128" s="6"/>
      <c r="AI128" s="6"/>
      <c r="AJ128" s="6"/>
      <c r="AK128" s="6"/>
      <c r="AL128" s="6"/>
      <c r="AM128" s="6"/>
      <c r="AN128" s="6"/>
      <c r="AO128" s="6"/>
      <c r="AP128" s="6"/>
    </row>
    <row r="129" ht="17.25" customHeight="1">
      <c r="A129" s="103"/>
      <c r="B129" s="103"/>
      <c r="C129" s="86" t="s">
        <v>399</v>
      </c>
      <c r="D129" s="87">
        <v>2061005.0</v>
      </c>
      <c r="E129" s="86" t="s">
        <v>400</v>
      </c>
      <c r="F129" s="86" t="s">
        <v>121</v>
      </c>
      <c r="G129" s="89" t="s">
        <v>74</v>
      </c>
      <c r="H129" s="89" t="s">
        <v>75</v>
      </c>
      <c r="I129" s="89" t="str">
        <f t="shared" si="3"/>
        <v>BLOCKED</v>
      </c>
      <c r="J129" s="95" t="s">
        <v>17</v>
      </c>
      <c r="K129" s="95" t="s">
        <v>78</v>
      </c>
      <c r="L129" s="89" t="s">
        <v>27</v>
      </c>
      <c r="M129" s="97" t="s">
        <v>869</v>
      </c>
      <c r="N129" s="137" t="s">
        <v>856</v>
      </c>
      <c r="O129" s="86"/>
      <c r="P129" s="97" t="s">
        <v>37</v>
      </c>
      <c r="Q129" s="139" t="s">
        <v>870</v>
      </c>
      <c r="R129" s="100"/>
      <c r="S129" s="134"/>
      <c r="T129" s="80" t="s">
        <v>871</v>
      </c>
      <c r="U129" s="6"/>
      <c r="V129" s="6"/>
      <c r="W129" s="6"/>
      <c r="X129" s="6"/>
      <c r="Y129" s="6"/>
      <c r="Z129" s="6"/>
      <c r="AA129" s="6"/>
      <c r="AB129" s="6"/>
      <c r="AC129" s="6"/>
      <c r="AD129" s="6"/>
      <c r="AE129" s="6"/>
      <c r="AF129" s="6"/>
      <c r="AG129" s="6"/>
      <c r="AH129" s="6"/>
      <c r="AI129" s="6"/>
      <c r="AJ129" s="6"/>
      <c r="AK129" s="6"/>
      <c r="AL129" s="6"/>
      <c r="AM129" s="6"/>
      <c r="AN129" s="6"/>
      <c r="AO129" s="6"/>
      <c r="AP129" s="6"/>
    </row>
    <row r="130" ht="17.25" customHeight="1">
      <c r="A130" s="103"/>
      <c r="B130" s="103"/>
      <c r="C130" s="86" t="s">
        <v>402</v>
      </c>
      <c r="D130" s="87">
        <v>2061006.0</v>
      </c>
      <c r="E130" s="86" t="s">
        <v>403</v>
      </c>
      <c r="F130" s="86" t="s">
        <v>121</v>
      </c>
      <c r="G130" s="89" t="s">
        <v>74</v>
      </c>
      <c r="H130" s="89" t="s">
        <v>75</v>
      </c>
      <c r="I130" s="89" t="str">
        <f t="shared" si="3"/>
        <v>BLOCKED</v>
      </c>
      <c r="J130" s="95" t="s">
        <v>17</v>
      </c>
      <c r="K130" s="95" t="s">
        <v>78</v>
      </c>
      <c r="L130" s="89" t="s">
        <v>27</v>
      </c>
      <c r="M130" s="97" t="s">
        <v>872</v>
      </c>
      <c r="N130" s="137" t="s">
        <v>856</v>
      </c>
      <c r="O130" s="86"/>
      <c r="P130" s="97" t="s">
        <v>37</v>
      </c>
      <c r="Q130" s="139" t="s">
        <v>870</v>
      </c>
      <c r="R130" s="100"/>
      <c r="S130" s="134"/>
      <c r="T130" s="80" t="s">
        <v>871</v>
      </c>
      <c r="U130" s="6"/>
      <c r="V130" s="6"/>
      <c r="W130" s="6"/>
      <c r="X130" s="6"/>
      <c r="Y130" s="6"/>
      <c r="Z130" s="6"/>
      <c r="AA130" s="6"/>
      <c r="AB130" s="6"/>
      <c r="AC130" s="6"/>
      <c r="AD130" s="6"/>
      <c r="AE130" s="6"/>
      <c r="AF130" s="6"/>
      <c r="AG130" s="6"/>
      <c r="AH130" s="6"/>
      <c r="AI130" s="6"/>
      <c r="AJ130" s="6"/>
      <c r="AK130" s="6"/>
      <c r="AL130" s="6"/>
      <c r="AM130" s="6"/>
      <c r="AN130" s="6"/>
      <c r="AO130" s="6"/>
      <c r="AP130" s="6"/>
    </row>
    <row r="131" ht="17.25" customHeight="1">
      <c r="A131" s="103"/>
      <c r="B131" s="103"/>
      <c r="C131" s="134" t="s">
        <v>873</v>
      </c>
      <c r="D131" s="87">
        <v>2061007.0</v>
      </c>
      <c r="E131" s="139" t="s">
        <v>874</v>
      </c>
      <c r="F131" s="134" t="s">
        <v>73</v>
      </c>
      <c r="G131" s="140" t="s">
        <v>74</v>
      </c>
      <c r="H131" s="89" t="s">
        <v>75</v>
      </c>
      <c r="I131" s="89" t="str">
        <f t="shared" si="3"/>
        <v>PASSED</v>
      </c>
      <c r="J131" s="89" t="s">
        <v>27</v>
      </c>
      <c r="K131" s="95" t="s">
        <v>86</v>
      </c>
      <c r="L131" s="95" t="s">
        <v>12</v>
      </c>
      <c r="M131" s="137" t="s">
        <v>823</v>
      </c>
      <c r="N131" s="137" t="s">
        <v>856</v>
      </c>
      <c r="O131" s="138"/>
      <c r="P131" s="137" t="s">
        <v>37</v>
      </c>
      <c r="Q131" s="139" t="s">
        <v>875</v>
      </c>
      <c r="R131" s="139" t="s">
        <v>876</v>
      </c>
      <c r="S131" s="139" t="s">
        <v>877</v>
      </c>
      <c r="T131" s="80" t="s">
        <v>825</v>
      </c>
      <c r="U131" s="5"/>
      <c r="V131" s="5"/>
      <c r="W131" s="5"/>
      <c r="X131" s="5"/>
      <c r="Y131" s="5"/>
      <c r="Z131" s="5"/>
      <c r="AA131" s="5"/>
      <c r="AB131" s="5"/>
      <c r="AC131" s="5"/>
      <c r="AD131" s="5"/>
      <c r="AE131" s="5"/>
      <c r="AF131" s="5"/>
      <c r="AG131" s="5"/>
      <c r="AH131" s="5"/>
      <c r="AI131" s="5"/>
      <c r="AJ131" s="5"/>
      <c r="AK131" s="5"/>
      <c r="AL131" s="5"/>
      <c r="AM131" s="5"/>
      <c r="AN131" s="5"/>
      <c r="AO131" s="5"/>
      <c r="AP131" s="5"/>
    </row>
    <row r="132" ht="17.25" customHeight="1">
      <c r="A132" s="103"/>
      <c r="B132" s="103"/>
      <c r="C132" s="134" t="s">
        <v>878</v>
      </c>
      <c r="D132" s="87">
        <v>2061008.0</v>
      </c>
      <c r="E132" s="139" t="s">
        <v>879</v>
      </c>
      <c r="F132" s="134" t="s">
        <v>73</v>
      </c>
      <c r="G132" s="89" t="s">
        <v>74</v>
      </c>
      <c r="H132" s="89" t="s">
        <v>75</v>
      </c>
      <c r="I132" s="89" t="str">
        <f t="shared" si="3"/>
        <v>PASSED</v>
      </c>
      <c r="J132" s="89" t="s">
        <v>27</v>
      </c>
      <c r="K132" s="95" t="s">
        <v>86</v>
      </c>
      <c r="L132" s="95" t="s">
        <v>12</v>
      </c>
      <c r="M132" s="137" t="s">
        <v>823</v>
      </c>
      <c r="N132" s="137" t="s">
        <v>856</v>
      </c>
      <c r="O132" s="138"/>
      <c r="P132" s="137" t="s">
        <v>37</v>
      </c>
      <c r="Q132" s="139" t="s">
        <v>880</v>
      </c>
      <c r="R132" s="139" t="s">
        <v>881</v>
      </c>
      <c r="S132" s="139" t="s">
        <v>882</v>
      </c>
      <c r="T132" s="80" t="s">
        <v>825</v>
      </c>
      <c r="U132" s="5"/>
      <c r="V132" s="5"/>
      <c r="W132" s="5"/>
      <c r="X132" s="5"/>
      <c r="Y132" s="5"/>
      <c r="Z132" s="5"/>
      <c r="AA132" s="5"/>
      <c r="AB132" s="5"/>
      <c r="AC132" s="5"/>
      <c r="AD132" s="5"/>
      <c r="AE132" s="5"/>
      <c r="AF132" s="5"/>
      <c r="AG132" s="5"/>
      <c r="AH132" s="5"/>
      <c r="AI132" s="5"/>
      <c r="AJ132" s="5"/>
      <c r="AK132" s="5"/>
      <c r="AL132" s="5"/>
      <c r="AM132" s="5"/>
      <c r="AN132" s="5"/>
      <c r="AO132" s="5"/>
      <c r="AP132" s="5"/>
    </row>
    <row r="133" ht="17.25" customHeight="1">
      <c r="A133" s="103"/>
      <c r="B133" s="103"/>
      <c r="C133" s="134" t="s">
        <v>883</v>
      </c>
      <c r="D133" s="87">
        <v>2061009.0</v>
      </c>
      <c r="E133" s="139" t="s">
        <v>884</v>
      </c>
      <c r="F133" s="134" t="s">
        <v>73</v>
      </c>
      <c r="G133" s="140" t="s">
        <v>146</v>
      </c>
      <c r="H133" s="95" t="s">
        <v>85</v>
      </c>
      <c r="I133" s="89" t="str">
        <f t="shared" si="3"/>
        <v>FAILED</v>
      </c>
      <c r="J133" s="89" t="s">
        <v>27</v>
      </c>
      <c r="K133" s="95" t="s">
        <v>86</v>
      </c>
      <c r="L133" s="95" t="s">
        <v>13</v>
      </c>
      <c r="M133" s="137" t="s">
        <v>823</v>
      </c>
      <c r="N133" s="137" t="s">
        <v>856</v>
      </c>
      <c r="O133" s="154" t="s">
        <v>885</v>
      </c>
      <c r="P133" s="137" t="s">
        <v>37</v>
      </c>
      <c r="Q133" s="139" t="s">
        <v>886</v>
      </c>
      <c r="R133" s="139" t="s">
        <v>887</v>
      </c>
      <c r="S133" s="139" t="s">
        <v>888</v>
      </c>
      <c r="T133" s="80" t="s">
        <v>825</v>
      </c>
      <c r="U133" s="5"/>
      <c r="V133" s="5"/>
      <c r="W133" s="5"/>
      <c r="X133" s="5"/>
      <c r="Y133" s="5"/>
      <c r="Z133" s="5"/>
      <c r="AA133" s="5"/>
      <c r="AB133" s="5"/>
      <c r="AC133" s="5"/>
      <c r="AD133" s="5"/>
      <c r="AE133" s="5"/>
      <c r="AF133" s="5"/>
      <c r="AG133" s="5"/>
      <c r="AH133" s="5"/>
      <c r="AI133" s="5"/>
      <c r="AJ133" s="5"/>
      <c r="AK133" s="5"/>
      <c r="AL133" s="5"/>
      <c r="AM133" s="5"/>
      <c r="AN133" s="5"/>
      <c r="AO133" s="5"/>
      <c r="AP133" s="5"/>
    </row>
    <row r="134" ht="17.25" customHeight="1">
      <c r="A134" s="103"/>
      <c r="B134" s="103"/>
      <c r="C134" s="139" t="s">
        <v>889</v>
      </c>
      <c r="D134" s="87">
        <v>2061010.0</v>
      </c>
      <c r="E134" s="139" t="s">
        <v>890</v>
      </c>
      <c r="F134" s="139" t="s">
        <v>73</v>
      </c>
      <c r="G134" s="146" t="s">
        <v>74</v>
      </c>
      <c r="H134" s="95" t="s">
        <v>75</v>
      </c>
      <c r="I134" s="89" t="str">
        <f t="shared" si="3"/>
        <v>PASSED</v>
      </c>
      <c r="J134" s="89" t="s">
        <v>27</v>
      </c>
      <c r="K134" s="95" t="s">
        <v>86</v>
      </c>
      <c r="L134" s="95" t="s">
        <v>12</v>
      </c>
      <c r="M134" s="155" t="s">
        <v>823</v>
      </c>
      <c r="N134" s="155" t="s">
        <v>856</v>
      </c>
      <c r="O134" s="138"/>
      <c r="P134" s="155" t="s">
        <v>37</v>
      </c>
      <c r="Q134" s="139" t="s">
        <v>891</v>
      </c>
      <c r="R134" s="139" t="s">
        <v>892</v>
      </c>
      <c r="S134" s="139" t="s">
        <v>893</v>
      </c>
      <c r="T134" s="128">
        <v>46031.0</v>
      </c>
      <c r="U134" s="5"/>
      <c r="V134" s="5"/>
      <c r="W134" s="5"/>
      <c r="X134" s="5"/>
      <c r="Y134" s="5"/>
      <c r="Z134" s="5"/>
      <c r="AA134" s="5"/>
      <c r="AB134" s="5"/>
      <c r="AC134" s="5"/>
      <c r="AD134" s="5"/>
      <c r="AE134" s="5"/>
      <c r="AF134" s="5"/>
      <c r="AG134" s="5"/>
      <c r="AH134" s="5"/>
      <c r="AI134" s="5"/>
      <c r="AJ134" s="5"/>
      <c r="AK134" s="5"/>
      <c r="AL134" s="5"/>
      <c r="AM134" s="5"/>
      <c r="AN134" s="5"/>
      <c r="AO134" s="5"/>
      <c r="AP134" s="5"/>
    </row>
    <row r="135" ht="17.25" customHeight="1">
      <c r="A135" s="26"/>
      <c r="B135" s="26"/>
      <c r="C135" s="139" t="s">
        <v>894</v>
      </c>
      <c r="D135" s="87">
        <v>2061011.0</v>
      </c>
      <c r="E135" s="139" t="s">
        <v>895</v>
      </c>
      <c r="F135" s="139" t="s">
        <v>121</v>
      </c>
      <c r="G135" s="146" t="s">
        <v>74</v>
      </c>
      <c r="H135" s="95" t="s">
        <v>75</v>
      </c>
      <c r="I135" s="89" t="str">
        <f t="shared" si="3"/>
        <v>PASSED</v>
      </c>
      <c r="J135" s="89" t="s">
        <v>27</v>
      </c>
      <c r="K135" s="95" t="s">
        <v>86</v>
      </c>
      <c r="L135" s="95" t="s">
        <v>12</v>
      </c>
      <c r="M135" s="155" t="s">
        <v>823</v>
      </c>
      <c r="N135" s="155" t="s">
        <v>856</v>
      </c>
      <c r="O135" s="138"/>
      <c r="P135" s="155" t="s">
        <v>37</v>
      </c>
      <c r="Q135" s="139" t="s">
        <v>896</v>
      </c>
      <c r="R135" s="139" t="s">
        <v>897</v>
      </c>
      <c r="S135" s="139" t="s">
        <v>893</v>
      </c>
      <c r="T135" s="128">
        <v>46031.0</v>
      </c>
      <c r="U135" s="5"/>
      <c r="V135" s="5"/>
      <c r="W135" s="5"/>
      <c r="X135" s="5"/>
      <c r="Y135" s="5"/>
      <c r="Z135" s="5"/>
      <c r="AA135" s="5"/>
      <c r="AB135" s="5"/>
      <c r="AC135" s="5"/>
      <c r="AD135" s="5"/>
      <c r="AE135" s="5"/>
      <c r="AF135" s="5"/>
      <c r="AG135" s="5"/>
      <c r="AH135" s="5"/>
      <c r="AI135" s="5"/>
      <c r="AJ135" s="5"/>
      <c r="AK135" s="5"/>
      <c r="AL135" s="5"/>
      <c r="AM135" s="5"/>
      <c r="AN135" s="5"/>
      <c r="AO135" s="5"/>
      <c r="AP135" s="5"/>
    </row>
    <row r="136" ht="17.25" customHeight="1">
      <c r="A136" s="156" t="s">
        <v>898</v>
      </c>
      <c r="B136" s="84" t="s">
        <v>899</v>
      </c>
      <c r="C136" s="86" t="s">
        <v>415</v>
      </c>
      <c r="D136" s="87">
        <v>2060201.0</v>
      </c>
      <c r="E136" s="87" t="s">
        <v>900</v>
      </c>
      <c r="F136" s="86" t="s">
        <v>73</v>
      </c>
      <c r="G136" s="89" t="s">
        <v>74</v>
      </c>
      <c r="H136" s="89" t="s">
        <v>75</v>
      </c>
      <c r="I136" s="89" t="str">
        <f t="shared" si="3"/>
        <v>PASSED</v>
      </c>
      <c r="J136" s="89" t="s">
        <v>27</v>
      </c>
      <c r="K136" s="95" t="s">
        <v>86</v>
      </c>
      <c r="L136" s="95" t="s">
        <v>12</v>
      </c>
      <c r="M136" s="97" t="s">
        <v>901</v>
      </c>
      <c r="N136" s="137" t="s">
        <v>856</v>
      </c>
      <c r="O136" s="86"/>
      <c r="P136" s="97" t="s">
        <v>37</v>
      </c>
      <c r="Q136" s="139" t="s">
        <v>902</v>
      </c>
      <c r="R136" s="109" t="s">
        <v>903</v>
      </c>
      <c r="S136" s="139" t="s">
        <v>904</v>
      </c>
      <c r="T136" s="80" t="s">
        <v>589</v>
      </c>
      <c r="U136" s="6"/>
      <c r="V136" s="6"/>
      <c r="W136" s="6"/>
      <c r="X136" s="6"/>
      <c r="Y136" s="6"/>
      <c r="Z136" s="6"/>
      <c r="AA136" s="6"/>
      <c r="AB136" s="6"/>
      <c r="AC136" s="6"/>
      <c r="AD136" s="6"/>
      <c r="AE136" s="6"/>
      <c r="AF136" s="6"/>
      <c r="AG136" s="6"/>
      <c r="AH136" s="6"/>
      <c r="AI136" s="6"/>
      <c r="AJ136" s="6"/>
      <c r="AK136" s="6"/>
      <c r="AL136" s="6"/>
      <c r="AM136" s="6"/>
      <c r="AN136" s="6"/>
      <c r="AO136" s="6"/>
      <c r="AP136" s="6"/>
    </row>
    <row r="137" ht="17.25" customHeight="1">
      <c r="A137" s="103"/>
      <c r="B137" s="103"/>
      <c r="C137" s="86" t="s">
        <v>418</v>
      </c>
      <c r="D137" s="87">
        <v>2060202.0</v>
      </c>
      <c r="E137" s="86" t="s">
        <v>419</v>
      </c>
      <c r="F137" s="86" t="s">
        <v>73</v>
      </c>
      <c r="G137" s="89" t="s">
        <v>74</v>
      </c>
      <c r="H137" s="89" t="s">
        <v>75</v>
      </c>
      <c r="I137" s="89" t="str">
        <f t="shared" si="3"/>
        <v>PASSED</v>
      </c>
      <c r="J137" s="89" t="s">
        <v>27</v>
      </c>
      <c r="K137" s="95" t="s">
        <v>86</v>
      </c>
      <c r="L137" s="95" t="s">
        <v>12</v>
      </c>
      <c r="M137" s="97" t="s">
        <v>905</v>
      </c>
      <c r="N137" s="137" t="s">
        <v>856</v>
      </c>
      <c r="O137" s="86"/>
      <c r="P137" s="97" t="s">
        <v>37</v>
      </c>
      <c r="Q137" s="139" t="s">
        <v>906</v>
      </c>
      <c r="R137" s="109" t="s">
        <v>907</v>
      </c>
      <c r="S137" s="139" t="s">
        <v>908</v>
      </c>
      <c r="T137" s="80" t="s">
        <v>218</v>
      </c>
      <c r="U137" s="6"/>
      <c r="V137" s="6"/>
      <c r="W137" s="6"/>
      <c r="X137" s="6"/>
      <c r="Y137" s="6"/>
      <c r="Z137" s="6"/>
      <c r="AA137" s="6"/>
      <c r="AB137" s="6"/>
      <c r="AC137" s="6"/>
      <c r="AD137" s="6"/>
      <c r="AE137" s="6"/>
      <c r="AF137" s="6"/>
      <c r="AG137" s="6"/>
      <c r="AH137" s="6"/>
      <c r="AI137" s="6"/>
      <c r="AJ137" s="6"/>
      <c r="AK137" s="6"/>
      <c r="AL137" s="6"/>
      <c r="AM137" s="6"/>
      <c r="AN137" s="6"/>
      <c r="AO137" s="6"/>
      <c r="AP137" s="6"/>
    </row>
    <row r="138" ht="17.25" customHeight="1">
      <c r="A138" s="103"/>
      <c r="B138" s="103"/>
      <c r="C138" s="86" t="s">
        <v>424</v>
      </c>
      <c r="D138" s="87">
        <v>2060203.0</v>
      </c>
      <c r="E138" s="86" t="s">
        <v>425</v>
      </c>
      <c r="F138" s="86" t="s">
        <v>73</v>
      </c>
      <c r="G138" s="89" t="s">
        <v>74</v>
      </c>
      <c r="H138" s="89" t="s">
        <v>75</v>
      </c>
      <c r="I138" s="89" t="str">
        <f t="shared" si="3"/>
        <v>PASSED</v>
      </c>
      <c r="J138" s="89" t="s">
        <v>27</v>
      </c>
      <c r="K138" s="95" t="s">
        <v>86</v>
      </c>
      <c r="L138" s="95" t="s">
        <v>12</v>
      </c>
      <c r="M138" s="97" t="s">
        <v>909</v>
      </c>
      <c r="N138" s="137" t="s">
        <v>856</v>
      </c>
      <c r="O138" s="86"/>
      <c r="P138" s="97" t="s">
        <v>37</v>
      </c>
      <c r="Q138" s="139" t="s">
        <v>910</v>
      </c>
      <c r="R138" s="109" t="s">
        <v>911</v>
      </c>
      <c r="S138" s="139" t="s">
        <v>912</v>
      </c>
      <c r="T138" s="80" t="s">
        <v>472</v>
      </c>
      <c r="U138" s="6"/>
      <c r="V138" s="6"/>
      <c r="W138" s="6"/>
      <c r="X138" s="6"/>
      <c r="Y138" s="6"/>
      <c r="Z138" s="6"/>
      <c r="AA138" s="6"/>
      <c r="AB138" s="6"/>
      <c r="AC138" s="6"/>
      <c r="AD138" s="6"/>
      <c r="AE138" s="6"/>
      <c r="AF138" s="6"/>
      <c r="AG138" s="6"/>
      <c r="AH138" s="6"/>
      <c r="AI138" s="6"/>
      <c r="AJ138" s="6"/>
      <c r="AK138" s="6"/>
      <c r="AL138" s="6"/>
      <c r="AM138" s="6"/>
      <c r="AN138" s="6"/>
      <c r="AO138" s="6"/>
      <c r="AP138" s="6"/>
    </row>
    <row r="139" ht="17.25" customHeight="1">
      <c r="A139" s="103"/>
      <c r="B139" s="103"/>
      <c r="C139" s="86" t="s">
        <v>427</v>
      </c>
      <c r="D139" s="87">
        <v>2060204.0</v>
      </c>
      <c r="E139" s="87" t="s">
        <v>913</v>
      </c>
      <c r="F139" s="86" t="s">
        <v>73</v>
      </c>
      <c r="G139" s="89" t="s">
        <v>74</v>
      </c>
      <c r="H139" s="89" t="s">
        <v>75</v>
      </c>
      <c r="I139" s="89" t="str">
        <f t="shared" si="3"/>
        <v>PASSED</v>
      </c>
      <c r="J139" s="89" t="s">
        <v>27</v>
      </c>
      <c r="K139" s="95" t="s">
        <v>86</v>
      </c>
      <c r="L139" s="95" t="s">
        <v>12</v>
      </c>
      <c r="M139" s="97" t="s">
        <v>343</v>
      </c>
      <c r="N139" s="137" t="s">
        <v>856</v>
      </c>
      <c r="O139" s="86"/>
      <c r="P139" s="97" t="s">
        <v>37</v>
      </c>
      <c r="Q139" s="139" t="s">
        <v>914</v>
      </c>
      <c r="R139" s="109" t="s">
        <v>915</v>
      </c>
      <c r="S139" s="139" t="s">
        <v>916</v>
      </c>
      <c r="T139" s="80" t="s">
        <v>350</v>
      </c>
      <c r="U139" s="6"/>
      <c r="V139" s="6"/>
      <c r="W139" s="6"/>
      <c r="X139" s="6"/>
      <c r="Y139" s="6"/>
      <c r="Z139" s="6"/>
      <c r="AA139" s="6"/>
      <c r="AB139" s="6"/>
      <c r="AC139" s="6"/>
      <c r="AD139" s="6"/>
      <c r="AE139" s="6"/>
      <c r="AF139" s="6"/>
      <c r="AG139" s="6"/>
      <c r="AH139" s="6"/>
      <c r="AI139" s="6"/>
      <c r="AJ139" s="6"/>
      <c r="AK139" s="6"/>
      <c r="AL139" s="6"/>
      <c r="AM139" s="6"/>
      <c r="AN139" s="6"/>
      <c r="AO139" s="6"/>
      <c r="AP139" s="6"/>
    </row>
    <row r="140" ht="17.25" customHeight="1">
      <c r="A140" s="103"/>
      <c r="B140" s="103"/>
      <c r="C140" s="86" t="s">
        <v>430</v>
      </c>
      <c r="D140" s="87">
        <v>2060205.0</v>
      </c>
      <c r="E140" s="86" t="s">
        <v>431</v>
      </c>
      <c r="F140" s="86" t="s">
        <v>73</v>
      </c>
      <c r="G140" s="89" t="s">
        <v>74</v>
      </c>
      <c r="H140" s="89" t="s">
        <v>75</v>
      </c>
      <c r="I140" s="89" t="str">
        <f t="shared" si="3"/>
        <v>BLOCKED</v>
      </c>
      <c r="J140" s="95" t="s">
        <v>17</v>
      </c>
      <c r="K140" s="89" t="s">
        <v>78</v>
      </c>
      <c r="L140" s="95" t="s">
        <v>27</v>
      </c>
      <c r="M140" s="97" t="s">
        <v>917</v>
      </c>
      <c r="N140" s="137" t="s">
        <v>856</v>
      </c>
      <c r="O140" s="86"/>
      <c r="P140" s="97" t="s">
        <v>37</v>
      </c>
      <c r="Q140" s="139" t="s">
        <v>918</v>
      </c>
      <c r="R140" s="100"/>
      <c r="S140" s="134"/>
      <c r="T140" s="80" t="s">
        <v>594</v>
      </c>
      <c r="U140" s="6"/>
      <c r="V140" s="6"/>
      <c r="W140" s="6"/>
      <c r="X140" s="6"/>
      <c r="Y140" s="6"/>
      <c r="Z140" s="6"/>
      <c r="AA140" s="6"/>
      <c r="AB140" s="6"/>
      <c r="AC140" s="6"/>
      <c r="AD140" s="6"/>
      <c r="AE140" s="6"/>
      <c r="AF140" s="6"/>
      <c r="AG140" s="6"/>
      <c r="AH140" s="6"/>
      <c r="AI140" s="6"/>
      <c r="AJ140" s="6"/>
      <c r="AK140" s="6"/>
      <c r="AL140" s="6"/>
      <c r="AM140" s="6"/>
      <c r="AN140" s="6"/>
      <c r="AO140" s="6"/>
      <c r="AP140" s="6"/>
    </row>
    <row r="141" ht="17.25" customHeight="1">
      <c r="A141" s="103"/>
      <c r="B141" s="103"/>
      <c r="C141" s="86" t="s">
        <v>433</v>
      </c>
      <c r="D141" s="87">
        <v>2060206.0</v>
      </c>
      <c r="E141" s="86" t="s">
        <v>434</v>
      </c>
      <c r="F141" s="86" t="s">
        <v>73</v>
      </c>
      <c r="G141" s="89" t="s">
        <v>74</v>
      </c>
      <c r="H141" s="89" t="s">
        <v>75</v>
      </c>
      <c r="I141" s="89" t="str">
        <f t="shared" si="3"/>
        <v>BLOCKED</v>
      </c>
      <c r="J141" s="95" t="s">
        <v>17</v>
      </c>
      <c r="K141" s="89" t="s">
        <v>78</v>
      </c>
      <c r="L141" s="89" t="s">
        <v>27</v>
      </c>
      <c r="M141" s="97" t="s">
        <v>919</v>
      </c>
      <c r="N141" s="137" t="s">
        <v>856</v>
      </c>
      <c r="O141" s="86"/>
      <c r="P141" s="97" t="s">
        <v>37</v>
      </c>
      <c r="Q141" s="139" t="s">
        <v>920</v>
      </c>
      <c r="R141" s="100"/>
      <c r="S141" s="134"/>
      <c r="T141" s="80" t="s">
        <v>594</v>
      </c>
      <c r="U141" s="6"/>
      <c r="V141" s="6"/>
      <c r="W141" s="6"/>
      <c r="X141" s="6"/>
      <c r="Y141" s="6"/>
      <c r="Z141" s="6"/>
      <c r="AA141" s="6"/>
      <c r="AB141" s="6"/>
      <c r="AC141" s="6"/>
      <c r="AD141" s="6"/>
      <c r="AE141" s="6"/>
      <c r="AF141" s="6"/>
      <c r="AG141" s="6"/>
      <c r="AH141" s="6"/>
      <c r="AI141" s="6"/>
      <c r="AJ141" s="6"/>
      <c r="AK141" s="6"/>
      <c r="AL141" s="6"/>
      <c r="AM141" s="6"/>
      <c r="AN141" s="6"/>
      <c r="AO141" s="6"/>
      <c r="AP141" s="6"/>
    </row>
    <row r="142" ht="17.25" customHeight="1">
      <c r="A142" s="103"/>
      <c r="B142" s="103"/>
      <c r="C142" s="86" t="s">
        <v>437</v>
      </c>
      <c r="D142" s="87">
        <v>2060207.0</v>
      </c>
      <c r="E142" s="86" t="s">
        <v>439</v>
      </c>
      <c r="F142" s="86" t="s">
        <v>73</v>
      </c>
      <c r="G142" s="89" t="s">
        <v>74</v>
      </c>
      <c r="H142" s="89" t="s">
        <v>75</v>
      </c>
      <c r="I142" s="89" t="str">
        <f t="shared" si="3"/>
        <v>BLOCKED</v>
      </c>
      <c r="J142" s="95" t="s">
        <v>17</v>
      </c>
      <c r="K142" s="89" t="s">
        <v>78</v>
      </c>
      <c r="L142" s="89" t="s">
        <v>27</v>
      </c>
      <c r="M142" s="97" t="s">
        <v>921</v>
      </c>
      <c r="N142" s="137" t="s">
        <v>856</v>
      </c>
      <c r="O142" s="86"/>
      <c r="P142" s="97" t="s">
        <v>37</v>
      </c>
      <c r="Q142" s="139" t="s">
        <v>922</v>
      </c>
      <c r="R142" s="100"/>
      <c r="S142" s="134"/>
      <c r="T142" s="80" t="s">
        <v>594</v>
      </c>
      <c r="U142" s="6"/>
      <c r="V142" s="6"/>
      <c r="W142" s="6"/>
      <c r="X142" s="6"/>
      <c r="Y142" s="6"/>
      <c r="Z142" s="6"/>
      <c r="AA142" s="6"/>
      <c r="AB142" s="6"/>
      <c r="AC142" s="6"/>
      <c r="AD142" s="6"/>
      <c r="AE142" s="6"/>
      <c r="AF142" s="6"/>
      <c r="AG142" s="6"/>
      <c r="AH142" s="6"/>
      <c r="AI142" s="6"/>
      <c r="AJ142" s="6"/>
      <c r="AK142" s="6"/>
      <c r="AL142" s="6"/>
      <c r="AM142" s="6"/>
      <c r="AN142" s="6"/>
      <c r="AO142" s="6"/>
      <c r="AP142" s="6"/>
    </row>
    <row r="143" ht="17.25" customHeight="1">
      <c r="A143" s="103"/>
      <c r="B143" s="103"/>
      <c r="C143" s="86" t="s">
        <v>442</v>
      </c>
      <c r="D143" s="87">
        <v>2060208.0</v>
      </c>
      <c r="E143" s="86" t="s">
        <v>444</v>
      </c>
      <c r="F143" s="86" t="s">
        <v>73</v>
      </c>
      <c r="G143" s="89" t="s">
        <v>74</v>
      </c>
      <c r="H143" s="89" t="s">
        <v>75</v>
      </c>
      <c r="I143" s="89" t="str">
        <f t="shared" si="3"/>
        <v>PASSED</v>
      </c>
      <c r="J143" s="89" t="s">
        <v>27</v>
      </c>
      <c r="K143" s="95" t="s">
        <v>86</v>
      </c>
      <c r="L143" s="95" t="s">
        <v>12</v>
      </c>
      <c r="M143" s="97" t="s">
        <v>923</v>
      </c>
      <c r="N143" s="137" t="s">
        <v>856</v>
      </c>
      <c r="O143" s="86"/>
      <c r="P143" s="97" t="s">
        <v>37</v>
      </c>
      <c r="Q143" s="139"/>
      <c r="R143" s="109" t="s">
        <v>924</v>
      </c>
      <c r="S143" s="139" t="s">
        <v>925</v>
      </c>
      <c r="T143" s="80" t="s">
        <v>594</v>
      </c>
      <c r="U143" s="6"/>
      <c r="V143" s="6"/>
      <c r="W143" s="6"/>
      <c r="X143" s="6"/>
      <c r="Y143" s="6"/>
      <c r="Z143" s="6"/>
      <c r="AA143" s="6"/>
      <c r="AB143" s="6"/>
      <c r="AC143" s="6"/>
      <c r="AD143" s="6"/>
      <c r="AE143" s="6"/>
      <c r="AF143" s="6"/>
      <c r="AG143" s="6"/>
      <c r="AH143" s="6"/>
      <c r="AI143" s="6"/>
      <c r="AJ143" s="6"/>
      <c r="AK143" s="6"/>
      <c r="AL143" s="6"/>
      <c r="AM143" s="6"/>
      <c r="AN143" s="6"/>
      <c r="AO143" s="6"/>
      <c r="AP143" s="6"/>
    </row>
    <row r="144" ht="17.25" customHeight="1">
      <c r="A144" s="103"/>
      <c r="B144" s="103"/>
      <c r="C144" s="86" t="s">
        <v>446</v>
      </c>
      <c r="D144" s="87">
        <v>2060209.0</v>
      </c>
      <c r="E144" s="86" t="s">
        <v>447</v>
      </c>
      <c r="F144" s="86" t="s">
        <v>73</v>
      </c>
      <c r="G144" s="89" t="s">
        <v>74</v>
      </c>
      <c r="H144" s="89" t="s">
        <v>75</v>
      </c>
      <c r="I144" s="89" t="str">
        <f t="shared" si="3"/>
        <v>PASSED</v>
      </c>
      <c r="J144" s="89" t="s">
        <v>27</v>
      </c>
      <c r="K144" s="95" t="s">
        <v>86</v>
      </c>
      <c r="L144" s="95" t="s">
        <v>12</v>
      </c>
      <c r="M144" s="97" t="s">
        <v>695</v>
      </c>
      <c r="N144" s="137" t="s">
        <v>856</v>
      </c>
      <c r="O144" s="86"/>
      <c r="P144" s="97" t="s">
        <v>37</v>
      </c>
      <c r="Q144" s="139" t="s">
        <v>926</v>
      </c>
      <c r="R144" s="142" t="s">
        <v>927</v>
      </c>
      <c r="S144" s="139" t="s">
        <v>928</v>
      </c>
      <c r="T144" s="80" t="s">
        <v>350</v>
      </c>
      <c r="U144" s="6"/>
      <c r="V144" s="6"/>
      <c r="W144" s="6"/>
      <c r="X144" s="6"/>
      <c r="Y144" s="6"/>
      <c r="Z144" s="6"/>
      <c r="AA144" s="6"/>
      <c r="AB144" s="6"/>
      <c r="AC144" s="6"/>
      <c r="AD144" s="6"/>
      <c r="AE144" s="6"/>
      <c r="AF144" s="6"/>
      <c r="AG144" s="6"/>
      <c r="AH144" s="6"/>
      <c r="AI144" s="6"/>
      <c r="AJ144" s="6"/>
      <c r="AK144" s="6"/>
      <c r="AL144" s="6"/>
      <c r="AM144" s="6"/>
      <c r="AN144" s="6"/>
      <c r="AO144" s="6"/>
      <c r="AP144" s="6"/>
    </row>
    <row r="145" ht="17.25" customHeight="1">
      <c r="A145" s="103"/>
      <c r="B145" s="103"/>
      <c r="C145" s="86" t="s">
        <v>449</v>
      </c>
      <c r="D145" s="87">
        <v>2060210.0</v>
      </c>
      <c r="E145" s="86" t="s">
        <v>450</v>
      </c>
      <c r="F145" s="86" t="s">
        <v>73</v>
      </c>
      <c r="G145" s="89" t="s">
        <v>74</v>
      </c>
      <c r="H145" s="89" t="s">
        <v>75</v>
      </c>
      <c r="I145" s="89" t="str">
        <f t="shared" si="3"/>
        <v>PASSED</v>
      </c>
      <c r="J145" s="89" t="s">
        <v>27</v>
      </c>
      <c r="K145" s="95" t="s">
        <v>86</v>
      </c>
      <c r="L145" s="95" t="s">
        <v>12</v>
      </c>
      <c r="M145" s="97" t="s">
        <v>929</v>
      </c>
      <c r="N145" s="137" t="s">
        <v>856</v>
      </c>
      <c r="O145" s="86"/>
      <c r="P145" s="97" t="s">
        <v>37</v>
      </c>
      <c r="Q145" s="139" t="s">
        <v>930</v>
      </c>
      <c r="R145" s="109" t="s">
        <v>931</v>
      </c>
      <c r="S145" s="139" t="s">
        <v>932</v>
      </c>
      <c r="T145" s="80" t="s">
        <v>933</v>
      </c>
      <c r="U145" s="6"/>
      <c r="V145" s="6"/>
      <c r="W145" s="6"/>
      <c r="X145" s="6"/>
      <c r="Y145" s="6"/>
      <c r="Z145" s="6"/>
      <c r="AA145" s="6"/>
      <c r="AB145" s="6"/>
      <c r="AC145" s="6"/>
      <c r="AD145" s="6"/>
      <c r="AE145" s="6"/>
      <c r="AF145" s="6"/>
      <c r="AG145" s="6"/>
      <c r="AH145" s="6"/>
      <c r="AI145" s="6"/>
      <c r="AJ145" s="6"/>
      <c r="AK145" s="6"/>
      <c r="AL145" s="6"/>
      <c r="AM145" s="6"/>
      <c r="AN145" s="6"/>
      <c r="AO145" s="6"/>
      <c r="AP145" s="6"/>
    </row>
    <row r="146" ht="17.25" customHeight="1">
      <c r="A146" s="103"/>
      <c r="B146" s="103"/>
      <c r="C146" s="86" t="s">
        <v>454</v>
      </c>
      <c r="D146" s="87">
        <v>2060211.0</v>
      </c>
      <c r="E146" s="86" t="s">
        <v>455</v>
      </c>
      <c r="F146" s="86" t="s">
        <v>73</v>
      </c>
      <c r="G146" s="89" t="s">
        <v>74</v>
      </c>
      <c r="H146" s="89" t="s">
        <v>85</v>
      </c>
      <c r="I146" s="89" t="str">
        <f t="shared" si="3"/>
        <v>BLOCKED</v>
      </c>
      <c r="J146" s="95" t="s">
        <v>17</v>
      </c>
      <c r="K146" s="95" t="s">
        <v>78</v>
      </c>
      <c r="L146" s="95" t="s">
        <v>27</v>
      </c>
      <c r="M146" s="97" t="s">
        <v>934</v>
      </c>
      <c r="N146" s="137" t="s">
        <v>856</v>
      </c>
      <c r="O146" s="86"/>
      <c r="P146" s="97" t="s">
        <v>37</v>
      </c>
      <c r="Q146" s="139" t="s">
        <v>935</v>
      </c>
      <c r="R146" s="100"/>
      <c r="S146" s="134"/>
      <c r="T146" s="80" t="s">
        <v>472</v>
      </c>
      <c r="U146" s="6"/>
      <c r="V146" s="6"/>
      <c r="W146" s="6"/>
      <c r="X146" s="6"/>
      <c r="Y146" s="6"/>
      <c r="Z146" s="6"/>
      <c r="AA146" s="6"/>
      <c r="AB146" s="6"/>
      <c r="AC146" s="6"/>
      <c r="AD146" s="6"/>
      <c r="AE146" s="6"/>
      <c r="AF146" s="6"/>
      <c r="AG146" s="6"/>
      <c r="AH146" s="6"/>
      <c r="AI146" s="6"/>
      <c r="AJ146" s="6"/>
      <c r="AK146" s="6"/>
      <c r="AL146" s="6"/>
      <c r="AM146" s="6"/>
      <c r="AN146" s="6"/>
      <c r="AO146" s="6"/>
      <c r="AP146" s="6"/>
    </row>
    <row r="147" ht="17.25" customHeight="1">
      <c r="A147" s="103"/>
      <c r="B147" s="103"/>
      <c r="C147" s="86" t="s">
        <v>459</v>
      </c>
      <c r="D147" s="87">
        <v>2060212.0</v>
      </c>
      <c r="E147" s="86" t="s">
        <v>460</v>
      </c>
      <c r="F147" s="87" t="s">
        <v>260</v>
      </c>
      <c r="G147" s="89" t="s">
        <v>74</v>
      </c>
      <c r="H147" s="89" t="s">
        <v>85</v>
      </c>
      <c r="I147" s="89" t="str">
        <f t="shared" si="3"/>
        <v>BLOCKED</v>
      </c>
      <c r="J147" s="95" t="s">
        <v>17</v>
      </c>
      <c r="K147" s="89" t="s">
        <v>78</v>
      </c>
      <c r="L147" s="89" t="s">
        <v>27</v>
      </c>
      <c r="M147" s="97" t="s">
        <v>478</v>
      </c>
      <c r="N147" s="137" t="s">
        <v>856</v>
      </c>
      <c r="O147" s="86"/>
      <c r="P147" s="97" t="s">
        <v>37</v>
      </c>
      <c r="Q147" s="139" t="s">
        <v>936</v>
      </c>
      <c r="R147" s="100"/>
      <c r="S147" s="134"/>
      <c r="T147" s="80" t="s">
        <v>472</v>
      </c>
      <c r="U147" s="6"/>
      <c r="V147" s="6"/>
      <c r="W147" s="6"/>
      <c r="X147" s="6"/>
      <c r="Y147" s="6"/>
      <c r="Z147" s="6"/>
      <c r="AA147" s="6"/>
      <c r="AB147" s="6"/>
      <c r="AC147" s="6"/>
      <c r="AD147" s="6"/>
      <c r="AE147" s="6"/>
      <c r="AF147" s="6"/>
      <c r="AG147" s="6"/>
      <c r="AH147" s="6"/>
      <c r="AI147" s="6"/>
      <c r="AJ147" s="6"/>
      <c r="AK147" s="6"/>
      <c r="AL147" s="6"/>
      <c r="AM147" s="6"/>
      <c r="AN147" s="6"/>
      <c r="AO147" s="6"/>
      <c r="AP147" s="6"/>
    </row>
    <row r="148" ht="17.25" customHeight="1">
      <c r="A148" s="103"/>
      <c r="B148" s="103"/>
      <c r="C148" s="86" t="s">
        <v>461</v>
      </c>
      <c r="D148" s="87">
        <v>2060213.0</v>
      </c>
      <c r="E148" s="86" t="s">
        <v>462</v>
      </c>
      <c r="F148" s="86" t="s">
        <v>73</v>
      </c>
      <c r="G148" s="89" t="s">
        <v>74</v>
      </c>
      <c r="H148" s="89" t="s">
        <v>75</v>
      </c>
      <c r="I148" s="89" t="str">
        <f t="shared" si="3"/>
        <v>PASSED</v>
      </c>
      <c r="J148" s="89" t="s">
        <v>27</v>
      </c>
      <c r="K148" s="95" t="s">
        <v>86</v>
      </c>
      <c r="L148" s="95" t="s">
        <v>12</v>
      </c>
      <c r="M148" s="97" t="s">
        <v>343</v>
      </c>
      <c r="N148" s="137" t="s">
        <v>856</v>
      </c>
      <c r="O148" s="86"/>
      <c r="P148" s="97" t="s">
        <v>37</v>
      </c>
      <c r="Q148" s="139" t="s">
        <v>937</v>
      </c>
      <c r="R148" s="109" t="s">
        <v>938</v>
      </c>
      <c r="S148" s="139" t="s">
        <v>939</v>
      </c>
      <c r="T148" s="80" t="s">
        <v>350</v>
      </c>
      <c r="U148" s="6"/>
      <c r="V148" s="6"/>
      <c r="W148" s="6"/>
      <c r="X148" s="6"/>
      <c r="Y148" s="6"/>
      <c r="Z148" s="6"/>
      <c r="AA148" s="6"/>
      <c r="AB148" s="6"/>
      <c r="AC148" s="6"/>
      <c r="AD148" s="6"/>
      <c r="AE148" s="6"/>
      <c r="AF148" s="6"/>
      <c r="AG148" s="6"/>
      <c r="AH148" s="6"/>
      <c r="AI148" s="6"/>
      <c r="AJ148" s="6"/>
      <c r="AK148" s="6"/>
      <c r="AL148" s="6"/>
      <c r="AM148" s="6"/>
      <c r="AN148" s="6"/>
      <c r="AO148" s="6"/>
      <c r="AP148" s="6"/>
    </row>
    <row r="149" ht="17.25" customHeight="1">
      <c r="A149" s="103"/>
      <c r="B149" s="103"/>
      <c r="C149" s="86" t="s">
        <v>465</v>
      </c>
      <c r="D149" s="87">
        <v>2060214.0</v>
      </c>
      <c r="E149" s="86" t="s">
        <v>466</v>
      </c>
      <c r="F149" s="86" t="s">
        <v>73</v>
      </c>
      <c r="G149" s="89" t="s">
        <v>74</v>
      </c>
      <c r="H149" s="89" t="s">
        <v>75</v>
      </c>
      <c r="I149" s="89" t="str">
        <f t="shared" si="3"/>
        <v>BLOCKED</v>
      </c>
      <c r="J149" s="95" t="s">
        <v>17</v>
      </c>
      <c r="K149" s="89" t="s">
        <v>78</v>
      </c>
      <c r="L149" s="89" t="s">
        <v>27</v>
      </c>
      <c r="M149" s="97" t="s">
        <v>343</v>
      </c>
      <c r="N149" s="137" t="s">
        <v>856</v>
      </c>
      <c r="O149" s="86"/>
      <c r="P149" s="97" t="s">
        <v>37</v>
      </c>
      <c r="Q149" s="139" t="s">
        <v>940</v>
      </c>
      <c r="R149" s="100"/>
      <c r="S149" s="134"/>
      <c r="T149" s="80" t="s">
        <v>350</v>
      </c>
      <c r="U149" s="6"/>
      <c r="V149" s="6"/>
      <c r="W149" s="6"/>
      <c r="X149" s="6"/>
      <c r="Y149" s="6"/>
      <c r="Z149" s="6"/>
      <c r="AA149" s="6"/>
      <c r="AB149" s="6"/>
      <c r="AC149" s="6"/>
      <c r="AD149" s="6"/>
      <c r="AE149" s="6"/>
      <c r="AF149" s="6"/>
      <c r="AG149" s="6"/>
      <c r="AH149" s="6"/>
      <c r="AI149" s="6"/>
      <c r="AJ149" s="6"/>
      <c r="AK149" s="6"/>
      <c r="AL149" s="6"/>
      <c r="AM149" s="6"/>
      <c r="AN149" s="6"/>
      <c r="AO149" s="6"/>
      <c r="AP149" s="6"/>
    </row>
    <row r="150" ht="17.25" customHeight="1">
      <c r="A150" s="103"/>
      <c r="B150" s="103"/>
      <c r="C150" s="86" t="s">
        <v>467</v>
      </c>
      <c r="D150" s="87">
        <v>2060215.0</v>
      </c>
      <c r="E150" s="86" t="s">
        <v>468</v>
      </c>
      <c r="F150" s="86" t="s">
        <v>73</v>
      </c>
      <c r="G150" s="89" t="s">
        <v>74</v>
      </c>
      <c r="H150" s="89" t="s">
        <v>75</v>
      </c>
      <c r="I150" s="89" t="str">
        <f t="shared" si="3"/>
        <v>BLOCKED</v>
      </c>
      <c r="J150" s="95" t="s">
        <v>17</v>
      </c>
      <c r="K150" s="89" t="s">
        <v>78</v>
      </c>
      <c r="L150" s="89" t="s">
        <v>27</v>
      </c>
      <c r="M150" s="97" t="s">
        <v>941</v>
      </c>
      <c r="N150" s="137" t="s">
        <v>856</v>
      </c>
      <c r="O150" s="86"/>
      <c r="P150" s="97" t="s">
        <v>37</v>
      </c>
      <c r="Q150" s="139" t="s">
        <v>942</v>
      </c>
      <c r="R150" s="100"/>
      <c r="S150" s="134"/>
      <c r="T150" s="80" t="s">
        <v>530</v>
      </c>
      <c r="U150" s="6"/>
      <c r="V150" s="6"/>
      <c r="W150" s="6"/>
      <c r="X150" s="6"/>
      <c r="Y150" s="6"/>
      <c r="Z150" s="6"/>
      <c r="AA150" s="6"/>
      <c r="AB150" s="6"/>
      <c r="AC150" s="6"/>
      <c r="AD150" s="6"/>
      <c r="AE150" s="6"/>
      <c r="AF150" s="6"/>
      <c r="AG150" s="6"/>
      <c r="AH150" s="6"/>
      <c r="AI150" s="6"/>
      <c r="AJ150" s="6"/>
      <c r="AK150" s="6"/>
      <c r="AL150" s="6"/>
      <c r="AM150" s="6"/>
      <c r="AN150" s="6"/>
      <c r="AO150" s="6"/>
      <c r="AP150" s="6"/>
    </row>
    <row r="151" ht="17.25" customHeight="1">
      <c r="A151" s="103"/>
      <c r="B151" s="103"/>
      <c r="C151" s="86" t="s">
        <v>943</v>
      </c>
      <c r="D151" s="87">
        <v>2060216.0</v>
      </c>
      <c r="E151" s="86" t="s">
        <v>944</v>
      </c>
      <c r="F151" s="86" t="s">
        <v>73</v>
      </c>
      <c r="G151" s="89" t="s">
        <v>146</v>
      </c>
      <c r="H151" s="89" t="s">
        <v>85</v>
      </c>
      <c r="I151" s="89" t="str">
        <f t="shared" si="3"/>
        <v>PASSED</v>
      </c>
      <c r="J151" s="89" t="s">
        <v>27</v>
      </c>
      <c r="K151" s="95" t="s">
        <v>86</v>
      </c>
      <c r="L151" s="95" t="s">
        <v>12</v>
      </c>
      <c r="M151" s="97" t="s">
        <v>592</v>
      </c>
      <c r="N151" s="137" t="s">
        <v>856</v>
      </c>
      <c r="O151" s="86"/>
      <c r="P151" s="97" t="s">
        <v>37</v>
      </c>
      <c r="Q151" s="139" t="s">
        <v>945</v>
      </c>
      <c r="R151" s="109" t="s">
        <v>946</v>
      </c>
      <c r="S151" s="139" t="s">
        <v>947</v>
      </c>
      <c r="T151" s="80" t="s">
        <v>594</v>
      </c>
      <c r="U151" s="6"/>
      <c r="V151" s="6"/>
      <c r="W151" s="6"/>
      <c r="X151" s="6"/>
      <c r="Y151" s="6"/>
      <c r="Z151" s="6"/>
      <c r="AA151" s="6"/>
      <c r="AB151" s="6"/>
      <c r="AC151" s="6"/>
      <c r="AD151" s="6"/>
      <c r="AE151" s="6"/>
      <c r="AF151" s="6"/>
      <c r="AG151" s="6"/>
      <c r="AH151" s="6"/>
      <c r="AI151" s="6"/>
      <c r="AJ151" s="6"/>
      <c r="AK151" s="6"/>
      <c r="AL151" s="6"/>
      <c r="AM151" s="6"/>
      <c r="AN151" s="6"/>
      <c r="AO151" s="6"/>
      <c r="AP151" s="6"/>
    </row>
    <row r="152" ht="17.25" customHeight="1">
      <c r="A152" s="103"/>
      <c r="B152" s="103"/>
      <c r="C152" s="86" t="s">
        <v>948</v>
      </c>
      <c r="D152" s="87">
        <v>2060217.0</v>
      </c>
      <c r="E152" s="86" t="s">
        <v>949</v>
      </c>
      <c r="F152" s="86" t="s">
        <v>73</v>
      </c>
      <c r="G152" s="89" t="s">
        <v>146</v>
      </c>
      <c r="H152" s="89" t="s">
        <v>85</v>
      </c>
      <c r="I152" s="89" t="str">
        <f t="shared" si="3"/>
        <v>BLOCKED</v>
      </c>
      <c r="J152" s="95" t="s">
        <v>17</v>
      </c>
      <c r="K152" s="89" t="s">
        <v>78</v>
      </c>
      <c r="L152" s="89" t="s">
        <v>27</v>
      </c>
      <c r="M152" s="97" t="s">
        <v>950</v>
      </c>
      <c r="N152" s="137" t="s">
        <v>856</v>
      </c>
      <c r="O152" s="86"/>
      <c r="P152" s="97" t="s">
        <v>37</v>
      </c>
      <c r="Q152" s="139"/>
      <c r="R152" s="100"/>
      <c r="S152" s="134"/>
      <c r="T152" s="80" t="s">
        <v>350</v>
      </c>
      <c r="U152" s="6"/>
      <c r="V152" s="6"/>
      <c r="W152" s="6"/>
      <c r="X152" s="6"/>
      <c r="Y152" s="6"/>
      <c r="Z152" s="6"/>
      <c r="AA152" s="6"/>
      <c r="AB152" s="6"/>
      <c r="AC152" s="6"/>
      <c r="AD152" s="6"/>
      <c r="AE152" s="6"/>
      <c r="AF152" s="6"/>
      <c r="AG152" s="6"/>
      <c r="AH152" s="6"/>
      <c r="AI152" s="6"/>
      <c r="AJ152" s="6"/>
      <c r="AK152" s="6"/>
      <c r="AL152" s="6"/>
      <c r="AM152" s="6"/>
      <c r="AN152" s="6"/>
      <c r="AO152" s="6"/>
      <c r="AP152" s="6"/>
    </row>
    <row r="153" ht="17.25" customHeight="1">
      <c r="A153" s="103"/>
      <c r="B153" s="103"/>
      <c r="C153" s="134" t="s">
        <v>951</v>
      </c>
      <c r="D153" s="87">
        <v>2060218.0</v>
      </c>
      <c r="E153" s="134" t="s">
        <v>952</v>
      </c>
      <c r="F153" s="134" t="s">
        <v>73</v>
      </c>
      <c r="G153" s="140" t="s">
        <v>74</v>
      </c>
      <c r="H153" s="140" t="s">
        <v>75</v>
      </c>
      <c r="I153" s="89" t="str">
        <f t="shared" si="3"/>
        <v>FAILED</v>
      </c>
      <c r="J153" s="140" t="s">
        <v>27</v>
      </c>
      <c r="K153" s="146" t="s">
        <v>86</v>
      </c>
      <c r="L153" s="146" t="s">
        <v>13</v>
      </c>
      <c r="M153" s="137" t="s">
        <v>953</v>
      </c>
      <c r="N153" s="137" t="s">
        <v>856</v>
      </c>
      <c r="O153" s="87" t="s">
        <v>622</v>
      </c>
      <c r="P153" s="137" t="s">
        <v>37</v>
      </c>
      <c r="Q153" s="139"/>
      <c r="R153" s="139" t="s">
        <v>954</v>
      </c>
      <c r="S153" s="139" t="s">
        <v>955</v>
      </c>
      <c r="T153" s="80" t="s">
        <v>956</v>
      </c>
      <c r="U153" s="157"/>
      <c r="V153" s="157"/>
      <c r="W153" s="157"/>
      <c r="X153" s="157"/>
      <c r="Y153" s="157"/>
      <c r="Z153" s="157"/>
      <c r="AA153" s="157"/>
      <c r="AB153" s="157"/>
      <c r="AC153" s="157"/>
      <c r="AD153" s="157"/>
      <c r="AE153" s="157"/>
      <c r="AF153" s="157"/>
      <c r="AG153" s="157"/>
      <c r="AH153" s="157"/>
      <c r="AI153" s="157"/>
      <c r="AJ153" s="157"/>
      <c r="AK153" s="157"/>
      <c r="AL153" s="157"/>
      <c r="AM153" s="157"/>
      <c r="AN153" s="157"/>
      <c r="AO153" s="157"/>
      <c r="AP153" s="157"/>
    </row>
    <row r="154" ht="17.25" customHeight="1">
      <c r="A154" s="103"/>
      <c r="B154" s="103"/>
      <c r="C154" s="134" t="s">
        <v>957</v>
      </c>
      <c r="D154" s="87">
        <v>2060219.0</v>
      </c>
      <c r="E154" s="134" t="s">
        <v>958</v>
      </c>
      <c r="F154" s="134" t="s">
        <v>73</v>
      </c>
      <c r="G154" s="140" t="s">
        <v>74</v>
      </c>
      <c r="H154" s="140" t="s">
        <v>85</v>
      </c>
      <c r="I154" s="89" t="str">
        <f t="shared" si="3"/>
        <v>PASSED</v>
      </c>
      <c r="J154" s="140" t="s">
        <v>27</v>
      </c>
      <c r="K154" s="146" t="s">
        <v>86</v>
      </c>
      <c r="L154" s="146" t="s">
        <v>12</v>
      </c>
      <c r="M154" s="155" t="s">
        <v>959</v>
      </c>
      <c r="N154" s="137" t="s">
        <v>856</v>
      </c>
      <c r="O154" s="138"/>
      <c r="P154" s="137" t="s">
        <v>37</v>
      </c>
      <c r="Q154" s="139" t="s">
        <v>960</v>
      </c>
      <c r="R154" s="139" t="s">
        <v>961</v>
      </c>
      <c r="S154" s="139" t="s">
        <v>962</v>
      </c>
      <c r="T154" s="80" t="s">
        <v>594</v>
      </c>
      <c r="U154" s="157"/>
      <c r="V154" s="157"/>
      <c r="W154" s="157"/>
      <c r="X154" s="157"/>
      <c r="Y154" s="157"/>
      <c r="Z154" s="157"/>
      <c r="AA154" s="157"/>
      <c r="AB154" s="157"/>
      <c r="AC154" s="157"/>
      <c r="AD154" s="157"/>
      <c r="AE154" s="157"/>
      <c r="AF154" s="157"/>
      <c r="AG154" s="157"/>
      <c r="AH154" s="157"/>
      <c r="AI154" s="157"/>
      <c r="AJ154" s="157"/>
      <c r="AK154" s="157"/>
      <c r="AL154" s="157"/>
      <c r="AM154" s="157"/>
      <c r="AN154" s="157"/>
      <c r="AO154" s="157"/>
      <c r="AP154" s="157"/>
    </row>
    <row r="155" ht="17.25" customHeight="1">
      <c r="A155" s="103"/>
      <c r="B155" s="103"/>
      <c r="C155" s="134" t="s">
        <v>963</v>
      </c>
      <c r="D155" s="87">
        <v>2060220.0</v>
      </c>
      <c r="E155" s="134" t="s">
        <v>964</v>
      </c>
      <c r="F155" s="134" t="s">
        <v>73</v>
      </c>
      <c r="G155" s="140" t="s">
        <v>146</v>
      </c>
      <c r="H155" s="140" t="s">
        <v>85</v>
      </c>
      <c r="I155" s="89" t="str">
        <f t="shared" si="3"/>
        <v>PASSED</v>
      </c>
      <c r="J155" s="140" t="s">
        <v>27</v>
      </c>
      <c r="K155" s="146" t="s">
        <v>86</v>
      </c>
      <c r="L155" s="146" t="s">
        <v>12</v>
      </c>
      <c r="M155" s="137"/>
      <c r="N155" s="137" t="s">
        <v>856</v>
      </c>
      <c r="O155" s="138"/>
      <c r="P155" s="137" t="s">
        <v>37</v>
      </c>
      <c r="Q155" s="139" t="s">
        <v>965</v>
      </c>
      <c r="R155" s="139" t="s">
        <v>966</v>
      </c>
      <c r="S155" s="139" t="s">
        <v>967</v>
      </c>
      <c r="T155" s="80" t="s">
        <v>594</v>
      </c>
      <c r="U155" s="157"/>
      <c r="V155" s="157"/>
      <c r="W155" s="157"/>
      <c r="X155" s="157"/>
      <c r="Y155" s="157"/>
      <c r="Z155" s="157"/>
      <c r="AA155" s="157"/>
      <c r="AB155" s="157"/>
      <c r="AC155" s="157"/>
      <c r="AD155" s="157"/>
      <c r="AE155" s="157"/>
      <c r="AF155" s="157"/>
      <c r="AG155" s="157"/>
      <c r="AH155" s="157"/>
      <c r="AI155" s="157"/>
      <c r="AJ155" s="157"/>
      <c r="AK155" s="157"/>
      <c r="AL155" s="157"/>
      <c r="AM155" s="157"/>
      <c r="AN155" s="157"/>
      <c r="AO155" s="157"/>
      <c r="AP155" s="157"/>
    </row>
    <row r="156" ht="17.25" customHeight="1">
      <c r="A156" s="103"/>
      <c r="B156" s="103"/>
      <c r="C156" s="139" t="s">
        <v>968</v>
      </c>
      <c r="D156" s="87">
        <v>2060221.0</v>
      </c>
      <c r="E156" s="139" t="s">
        <v>969</v>
      </c>
      <c r="F156" s="87" t="s">
        <v>260</v>
      </c>
      <c r="G156" s="146" t="s">
        <v>146</v>
      </c>
      <c r="H156" s="146" t="s">
        <v>85</v>
      </c>
      <c r="I156" s="89" t="str">
        <f t="shared" si="3"/>
        <v>PASSED</v>
      </c>
      <c r="J156" s="140" t="s">
        <v>27</v>
      </c>
      <c r="K156" s="146" t="s">
        <v>86</v>
      </c>
      <c r="L156" s="146" t="s">
        <v>12</v>
      </c>
      <c r="M156" s="97" t="s">
        <v>901</v>
      </c>
      <c r="N156" s="137" t="s">
        <v>856</v>
      </c>
      <c r="O156" s="138"/>
      <c r="P156" s="137" t="s">
        <v>37</v>
      </c>
      <c r="Q156" s="139" t="s">
        <v>970</v>
      </c>
      <c r="R156" s="139" t="s">
        <v>971</v>
      </c>
      <c r="S156" s="139" t="s">
        <v>972</v>
      </c>
      <c r="T156" s="80" t="s">
        <v>589</v>
      </c>
      <c r="U156" s="157"/>
      <c r="V156" s="157"/>
      <c r="W156" s="157"/>
      <c r="X156" s="157"/>
      <c r="Y156" s="157"/>
      <c r="Z156" s="157"/>
      <c r="AA156" s="157"/>
      <c r="AB156" s="157"/>
      <c r="AC156" s="157"/>
      <c r="AD156" s="157"/>
      <c r="AE156" s="157"/>
      <c r="AF156" s="157"/>
      <c r="AG156" s="157"/>
      <c r="AH156" s="157"/>
      <c r="AI156" s="157"/>
      <c r="AJ156" s="157"/>
      <c r="AK156" s="157"/>
      <c r="AL156" s="157"/>
      <c r="AM156" s="157"/>
      <c r="AN156" s="157"/>
      <c r="AO156" s="157"/>
      <c r="AP156" s="157"/>
    </row>
    <row r="157" ht="17.25" customHeight="1">
      <c r="A157" s="103"/>
      <c r="B157" s="103"/>
      <c r="C157" s="139" t="s">
        <v>973</v>
      </c>
      <c r="D157" s="87">
        <v>2060222.0</v>
      </c>
      <c r="E157" s="139" t="s">
        <v>974</v>
      </c>
      <c r="F157" s="87" t="s">
        <v>260</v>
      </c>
      <c r="G157" s="146" t="s">
        <v>146</v>
      </c>
      <c r="H157" s="146" t="s">
        <v>85</v>
      </c>
      <c r="I157" s="89" t="str">
        <f t="shared" si="3"/>
        <v>PASSED</v>
      </c>
      <c r="J157" s="140" t="s">
        <v>27</v>
      </c>
      <c r="K157" s="146" t="s">
        <v>86</v>
      </c>
      <c r="L157" s="146" t="s">
        <v>12</v>
      </c>
      <c r="M157" s="129" t="s">
        <v>901</v>
      </c>
      <c r="N157" s="137" t="s">
        <v>856</v>
      </c>
      <c r="O157" s="138"/>
      <c r="P157" s="137" t="s">
        <v>37</v>
      </c>
      <c r="Q157" s="139" t="s">
        <v>12</v>
      </c>
      <c r="R157" s="139" t="s">
        <v>975</v>
      </c>
      <c r="S157" s="139" t="s">
        <v>976</v>
      </c>
      <c r="T157" s="133" t="s">
        <v>589</v>
      </c>
      <c r="U157" s="157"/>
      <c r="V157" s="157"/>
      <c r="W157" s="157"/>
      <c r="X157" s="157"/>
      <c r="Y157" s="157"/>
      <c r="Z157" s="157"/>
      <c r="AA157" s="157"/>
      <c r="AB157" s="157"/>
      <c r="AC157" s="157"/>
      <c r="AD157" s="157"/>
      <c r="AE157" s="157"/>
      <c r="AF157" s="157"/>
      <c r="AG157" s="157"/>
      <c r="AH157" s="157"/>
      <c r="AI157" s="157"/>
      <c r="AJ157" s="157"/>
      <c r="AK157" s="157"/>
      <c r="AL157" s="157"/>
      <c r="AM157" s="157"/>
      <c r="AN157" s="157"/>
      <c r="AO157" s="157"/>
      <c r="AP157" s="157"/>
    </row>
    <row r="158" ht="15.75" customHeight="1">
      <c r="A158" s="103"/>
      <c r="B158" s="103"/>
      <c r="C158" s="139" t="s">
        <v>977</v>
      </c>
      <c r="D158" s="87">
        <v>2060228.0</v>
      </c>
      <c r="E158" s="139" t="s">
        <v>978</v>
      </c>
      <c r="F158" s="87" t="s">
        <v>260</v>
      </c>
      <c r="G158" s="146" t="s">
        <v>146</v>
      </c>
      <c r="H158" s="146" t="s">
        <v>85</v>
      </c>
      <c r="I158" s="89" t="str">
        <f t="shared" si="3"/>
        <v>PASSED</v>
      </c>
      <c r="J158" s="89" t="s">
        <v>27</v>
      </c>
      <c r="K158" s="95" t="s">
        <v>86</v>
      </c>
      <c r="L158" s="95" t="s">
        <v>12</v>
      </c>
      <c r="M158" s="97" t="s">
        <v>923</v>
      </c>
      <c r="N158" s="137" t="s">
        <v>856</v>
      </c>
      <c r="O158" s="138"/>
      <c r="P158" s="137" t="s">
        <v>37</v>
      </c>
      <c r="Q158" s="139" t="s">
        <v>979</v>
      </c>
      <c r="R158" s="139" t="s">
        <v>980</v>
      </c>
      <c r="S158" s="139" t="s">
        <v>981</v>
      </c>
      <c r="T158" s="80" t="s">
        <v>594</v>
      </c>
      <c r="U158" s="157"/>
      <c r="V158" s="157"/>
      <c r="W158" s="157"/>
      <c r="X158" s="157"/>
      <c r="Y158" s="157"/>
      <c r="Z158" s="157"/>
      <c r="AA158" s="157"/>
      <c r="AB158" s="157"/>
      <c r="AC158" s="157"/>
      <c r="AD158" s="157"/>
      <c r="AE158" s="157"/>
      <c r="AF158" s="157"/>
      <c r="AG158" s="157"/>
      <c r="AH158" s="157"/>
      <c r="AI158" s="157"/>
      <c r="AJ158" s="157"/>
      <c r="AK158" s="157"/>
      <c r="AL158" s="157"/>
      <c r="AM158" s="157"/>
      <c r="AN158" s="157"/>
      <c r="AO158" s="157"/>
      <c r="AP158" s="157"/>
    </row>
    <row r="159" ht="15.75" customHeight="1">
      <c r="A159" s="103"/>
      <c r="B159" s="103"/>
      <c r="C159" s="139" t="s">
        <v>982</v>
      </c>
      <c r="D159" s="87">
        <v>2060229.0</v>
      </c>
      <c r="E159" s="87" t="s">
        <v>983</v>
      </c>
      <c r="F159" s="87" t="s">
        <v>260</v>
      </c>
      <c r="G159" s="146" t="s">
        <v>146</v>
      </c>
      <c r="H159" s="146" t="s">
        <v>85</v>
      </c>
      <c r="I159" s="89" t="str">
        <f t="shared" si="3"/>
        <v>PASSED</v>
      </c>
      <c r="J159" s="89" t="s">
        <v>27</v>
      </c>
      <c r="K159" s="95" t="s">
        <v>86</v>
      </c>
      <c r="L159" s="95" t="s">
        <v>12</v>
      </c>
      <c r="M159" s="97" t="s">
        <v>695</v>
      </c>
      <c r="N159" s="137" t="s">
        <v>856</v>
      </c>
      <c r="O159" s="86"/>
      <c r="P159" s="97" t="s">
        <v>37</v>
      </c>
      <c r="Q159" s="139" t="s">
        <v>984</v>
      </c>
      <c r="R159" s="109" t="s">
        <v>985</v>
      </c>
      <c r="S159" s="139" t="s">
        <v>986</v>
      </c>
      <c r="T159" s="80" t="s">
        <v>350</v>
      </c>
      <c r="U159" s="6"/>
      <c r="V159" s="6"/>
      <c r="W159" s="6"/>
      <c r="X159" s="6"/>
      <c r="Y159" s="6"/>
      <c r="Z159" s="6"/>
      <c r="AA159" s="6"/>
      <c r="AB159" s="6"/>
      <c r="AC159" s="6"/>
      <c r="AD159" s="6"/>
      <c r="AE159" s="6"/>
      <c r="AF159" s="6"/>
      <c r="AG159" s="6"/>
      <c r="AH159" s="6"/>
      <c r="AI159" s="6"/>
      <c r="AJ159" s="6"/>
      <c r="AK159" s="6"/>
      <c r="AL159" s="6"/>
      <c r="AM159" s="6"/>
      <c r="AN159" s="6"/>
      <c r="AO159" s="6"/>
      <c r="AP159" s="6"/>
    </row>
    <row r="160" ht="15.75" customHeight="1">
      <c r="A160" s="103"/>
      <c r="B160" s="103"/>
      <c r="C160" s="139" t="s">
        <v>987</v>
      </c>
      <c r="D160" s="87">
        <v>2060230.0</v>
      </c>
      <c r="E160" s="87" t="s">
        <v>988</v>
      </c>
      <c r="F160" s="87" t="s">
        <v>260</v>
      </c>
      <c r="G160" s="146" t="s">
        <v>146</v>
      </c>
      <c r="H160" s="146" t="s">
        <v>85</v>
      </c>
      <c r="I160" s="89" t="str">
        <f t="shared" si="3"/>
        <v>PASSED</v>
      </c>
      <c r="J160" s="89" t="s">
        <v>27</v>
      </c>
      <c r="K160" s="95" t="s">
        <v>86</v>
      </c>
      <c r="L160" s="95" t="s">
        <v>12</v>
      </c>
      <c r="M160" s="97" t="s">
        <v>592</v>
      </c>
      <c r="N160" s="137" t="s">
        <v>856</v>
      </c>
      <c r="O160" s="86"/>
      <c r="P160" s="97" t="s">
        <v>37</v>
      </c>
      <c r="Q160" s="139" t="s">
        <v>989</v>
      </c>
      <c r="R160" s="109" t="s">
        <v>990</v>
      </c>
      <c r="S160" s="139" t="s">
        <v>991</v>
      </c>
      <c r="T160" s="80" t="s">
        <v>594</v>
      </c>
      <c r="U160" s="6"/>
      <c r="V160" s="6"/>
      <c r="W160" s="6"/>
      <c r="X160" s="6"/>
      <c r="Y160" s="6"/>
      <c r="Z160" s="6"/>
      <c r="AA160" s="6"/>
      <c r="AB160" s="6"/>
      <c r="AC160" s="6"/>
      <c r="AD160" s="6"/>
      <c r="AE160" s="6"/>
      <c r="AF160" s="6"/>
      <c r="AG160" s="6"/>
      <c r="AH160" s="6"/>
      <c r="AI160" s="6"/>
      <c r="AJ160" s="6"/>
      <c r="AK160" s="6"/>
      <c r="AL160" s="6"/>
      <c r="AM160" s="6"/>
      <c r="AN160" s="6"/>
      <c r="AO160" s="6"/>
      <c r="AP160" s="6"/>
    </row>
    <row r="161" ht="17.25" customHeight="1">
      <c r="A161" s="103"/>
      <c r="B161" s="103"/>
      <c r="C161" s="87" t="s">
        <v>992</v>
      </c>
      <c r="D161" s="87">
        <v>2060231.0</v>
      </c>
      <c r="E161" s="87" t="s">
        <v>993</v>
      </c>
      <c r="F161" s="87" t="s">
        <v>260</v>
      </c>
      <c r="G161" s="95" t="s">
        <v>146</v>
      </c>
      <c r="H161" s="89" t="s">
        <v>85</v>
      </c>
      <c r="I161" s="89" t="str">
        <f t="shared" si="3"/>
        <v>PASSED</v>
      </c>
      <c r="J161" s="95" t="s">
        <v>27</v>
      </c>
      <c r="K161" s="95" t="s">
        <v>86</v>
      </c>
      <c r="L161" s="95" t="s">
        <v>12</v>
      </c>
      <c r="M161" s="97"/>
      <c r="N161" s="137" t="s">
        <v>856</v>
      </c>
      <c r="O161" s="86"/>
      <c r="P161" s="97" t="s">
        <v>37</v>
      </c>
      <c r="Q161" s="139" t="s">
        <v>994</v>
      </c>
      <c r="R161" s="109" t="s">
        <v>995</v>
      </c>
      <c r="S161" s="139" t="s">
        <v>996</v>
      </c>
      <c r="T161" s="128">
        <v>46058.0</v>
      </c>
      <c r="U161" s="6"/>
      <c r="V161" s="6"/>
      <c r="W161" s="6"/>
      <c r="X161" s="6"/>
      <c r="Y161" s="6"/>
      <c r="Z161" s="6"/>
      <c r="AA161" s="6"/>
      <c r="AB161" s="6"/>
      <c r="AC161" s="6"/>
      <c r="AD161" s="6"/>
      <c r="AE161" s="6"/>
      <c r="AF161" s="6"/>
      <c r="AG161" s="6"/>
      <c r="AH161" s="6"/>
      <c r="AI161" s="6"/>
      <c r="AJ161" s="6"/>
      <c r="AK161" s="6"/>
      <c r="AL161" s="6"/>
      <c r="AM161" s="6"/>
      <c r="AN161" s="6"/>
      <c r="AO161" s="6"/>
      <c r="AP161" s="6"/>
    </row>
    <row r="162" ht="17.25" customHeight="1">
      <c r="A162" s="103"/>
      <c r="B162" s="103"/>
      <c r="C162" s="87" t="s">
        <v>997</v>
      </c>
      <c r="D162" s="87">
        <v>2060232.0</v>
      </c>
      <c r="E162" s="87" t="s">
        <v>998</v>
      </c>
      <c r="F162" s="87" t="s">
        <v>260</v>
      </c>
      <c r="G162" s="95" t="s">
        <v>146</v>
      </c>
      <c r="H162" s="89" t="s">
        <v>85</v>
      </c>
      <c r="I162" s="89" t="str">
        <f t="shared" si="3"/>
        <v>PASSED</v>
      </c>
      <c r="J162" s="95" t="s">
        <v>27</v>
      </c>
      <c r="K162" s="95" t="s">
        <v>86</v>
      </c>
      <c r="L162" s="95" t="s">
        <v>12</v>
      </c>
      <c r="M162" s="155" t="s">
        <v>959</v>
      </c>
      <c r="N162" s="137" t="s">
        <v>856</v>
      </c>
      <c r="O162" s="86"/>
      <c r="P162" s="97" t="s">
        <v>37</v>
      </c>
      <c r="Q162" s="139" t="s">
        <v>999</v>
      </c>
      <c r="R162" s="109" t="s">
        <v>1000</v>
      </c>
      <c r="S162" s="139" t="s">
        <v>1001</v>
      </c>
      <c r="T162" s="128">
        <v>46058.0</v>
      </c>
      <c r="U162" s="6"/>
      <c r="V162" s="6"/>
      <c r="W162" s="6"/>
      <c r="X162" s="6"/>
      <c r="Y162" s="6"/>
      <c r="Z162" s="6"/>
      <c r="AA162" s="6"/>
      <c r="AB162" s="6"/>
      <c r="AC162" s="6"/>
      <c r="AD162" s="6"/>
      <c r="AE162" s="6"/>
      <c r="AF162" s="6"/>
      <c r="AG162" s="6"/>
      <c r="AH162" s="6"/>
      <c r="AI162" s="6"/>
      <c r="AJ162" s="6"/>
      <c r="AK162" s="6"/>
      <c r="AL162" s="6"/>
      <c r="AM162" s="6"/>
      <c r="AN162" s="6"/>
      <c r="AO162" s="6"/>
      <c r="AP162" s="6"/>
    </row>
    <row r="163" ht="17.25" customHeight="1">
      <c r="A163" s="103"/>
      <c r="B163" s="103"/>
      <c r="C163" s="87" t="s">
        <v>1002</v>
      </c>
      <c r="D163" s="87">
        <v>2060233.0</v>
      </c>
      <c r="E163" s="87" t="s">
        <v>1003</v>
      </c>
      <c r="F163" s="87" t="s">
        <v>260</v>
      </c>
      <c r="G163" s="95" t="s">
        <v>146</v>
      </c>
      <c r="H163" s="89" t="s">
        <v>85</v>
      </c>
      <c r="I163" s="89" t="str">
        <f t="shared" si="3"/>
        <v>PASSED</v>
      </c>
      <c r="J163" s="95" t="s">
        <v>27</v>
      </c>
      <c r="K163" s="95" t="s">
        <v>86</v>
      </c>
      <c r="L163" s="95" t="s">
        <v>12</v>
      </c>
      <c r="M163" s="155" t="s">
        <v>959</v>
      </c>
      <c r="N163" s="137" t="s">
        <v>856</v>
      </c>
      <c r="O163" s="86"/>
      <c r="P163" s="97" t="s">
        <v>37</v>
      </c>
      <c r="Q163" s="139" t="s">
        <v>1004</v>
      </c>
      <c r="R163" s="109" t="s">
        <v>1005</v>
      </c>
      <c r="S163" s="139" t="s">
        <v>1006</v>
      </c>
      <c r="T163" s="128">
        <v>46058.0</v>
      </c>
      <c r="U163" s="6"/>
      <c r="V163" s="6"/>
      <c r="W163" s="6"/>
      <c r="X163" s="6"/>
      <c r="Y163" s="6"/>
      <c r="Z163" s="6"/>
      <c r="AA163" s="6"/>
      <c r="AB163" s="6"/>
      <c r="AC163" s="6"/>
      <c r="AD163" s="6"/>
      <c r="AE163" s="6"/>
      <c r="AF163" s="6"/>
      <c r="AG163" s="6"/>
      <c r="AH163" s="6"/>
      <c r="AI163" s="6"/>
      <c r="AJ163" s="6"/>
      <c r="AK163" s="6"/>
      <c r="AL163" s="6"/>
      <c r="AM163" s="6"/>
      <c r="AN163" s="6"/>
      <c r="AO163" s="6"/>
      <c r="AP163" s="6"/>
    </row>
    <row r="164" ht="17.25" customHeight="1">
      <c r="A164" s="103"/>
      <c r="B164" s="103"/>
      <c r="C164" s="139" t="s">
        <v>1007</v>
      </c>
      <c r="D164" s="87">
        <v>2060234.0</v>
      </c>
      <c r="E164" s="134" t="s">
        <v>952</v>
      </c>
      <c r="F164" s="87" t="s">
        <v>260</v>
      </c>
      <c r="G164" s="146" t="s">
        <v>146</v>
      </c>
      <c r="H164" s="140" t="s">
        <v>75</v>
      </c>
      <c r="I164" s="89" t="str">
        <f t="shared" si="3"/>
        <v>FAILED</v>
      </c>
      <c r="J164" s="140" t="s">
        <v>27</v>
      </c>
      <c r="K164" s="146" t="s">
        <v>86</v>
      </c>
      <c r="L164" s="146" t="s">
        <v>13</v>
      </c>
      <c r="M164" s="137" t="s">
        <v>953</v>
      </c>
      <c r="N164" s="137" t="s">
        <v>856</v>
      </c>
      <c r="O164" s="87" t="s">
        <v>622</v>
      </c>
      <c r="P164" s="137" t="s">
        <v>37</v>
      </c>
      <c r="Q164" s="139" t="s">
        <v>1008</v>
      </c>
      <c r="R164" s="139" t="s">
        <v>1009</v>
      </c>
      <c r="S164" s="139" t="s">
        <v>1010</v>
      </c>
      <c r="T164" s="80" t="s">
        <v>956</v>
      </c>
      <c r="U164" s="6"/>
      <c r="V164" s="6"/>
      <c r="W164" s="6"/>
      <c r="X164" s="6"/>
      <c r="Y164" s="6"/>
      <c r="Z164" s="6"/>
      <c r="AA164" s="6"/>
      <c r="AB164" s="6"/>
      <c r="AC164" s="6"/>
      <c r="AD164" s="6"/>
      <c r="AE164" s="6"/>
      <c r="AF164" s="6"/>
      <c r="AG164" s="6"/>
      <c r="AH164" s="6"/>
      <c r="AI164" s="6"/>
      <c r="AJ164" s="6"/>
      <c r="AK164" s="6"/>
      <c r="AL164" s="6"/>
      <c r="AM164" s="6"/>
      <c r="AN164" s="6"/>
      <c r="AO164" s="6"/>
      <c r="AP164" s="6"/>
    </row>
    <row r="165" ht="17.25" customHeight="1">
      <c r="A165" s="103"/>
      <c r="B165" s="103"/>
      <c r="C165" s="139" t="s">
        <v>1011</v>
      </c>
      <c r="D165" s="87">
        <v>2060235.0</v>
      </c>
      <c r="E165" s="139" t="s">
        <v>1012</v>
      </c>
      <c r="F165" s="87" t="s">
        <v>73</v>
      </c>
      <c r="G165" s="146" t="s">
        <v>74</v>
      </c>
      <c r="H165" s="146" t="s">
        <v>85</v>
      </c>
      <c r="I165" s="89" t="str">
        <f t="shared" si="3"/>
        <v>PASSED</v>
      </c>
      <c r="J165" s="140" t="s">
        <v>27</v>
      </c>
      <c r="K165" s="146" t="s">
        <v>86</v>
      </c>
      <c r="L165" s="146" t="s">
        <v>12</v>
      </c>
      <c r="M165" s="155" t="s">
        <v>592</v>
      </c>
      <c r="N165" s="155" t="s">
        <v>856</v>
      </c>
      <c r="O165" s="138"/>
      <c r="P165" s="155" t="s">
        <v>37</v>
      </c>
      <c r="Q165" s="139" t="s">
        <v>1013</v>
      </c>
      <c r="R165" s="139" t="s">
        <v>1014</v>
      </c>
      <c r="S165" s="139" t="s">
        <v>1015</v>
      </c>
      <c r="T165" s="128">
        <v>46058.0</v>
      </c>
      <c r="U165" s="6"/>
      <c r="V165" s="6"/>
      <c r="W165" s="6"/>
      <c r="X165" s="6"/>
      <c r="Y165" s="6"/>
      <c r="Z165" s="6"/>
      <c r="AA165" s="6"/>
      <c r="AB165" s="6"/>
      <c r="AC165" s="6"/>
      <c r="AD165" s="6"/>
      <c r="AE165" s="6"/>
      <c r="AF165" s="6"/>
      <c r="AG165" s="6"/>
      <c r="AH165" s="6"/>
      <c r="AI165" s="6"/>
      <c r="AJ165" s="6"/>
      <c r="AK165" s="6"/>
      <c r="AL165" s="6"/>
      <c r="AM165" s="6"/>
      <c r="AN165" s="6"/>
      <c r="AO165" s="6"/>
      <c r="AP165" s="6"/>
    </row>
    <row r="166" ht="17.25" customHeight="1">
      <c r="A166" s="103"/>
      <c r="B166" s="103"/>
      <c r="C166" s="139" t="s">
        <v>1016</v>
      </c>
      <c r="D166" s="87">
        <v>2060236.0</v>
      </c>
      <c r="E166" s="139" t="s">
        <v>1017</v>
      </c>
      <c r="F166" s="87" t="s">
        <v>260</v>
      </c>
      <c r="G166" s="146" t="s">
        <v>74</v>
      </c>
      <c r="H166" s="146" t="s">
        <v>85</v>
      </c>
      <c r="I166" s="89" t="str">
        <f t="shared" si="3"/>
        <v>PASSED</v>
      </c>
      <c r="J166" s="140" t="s">
        <v>27</v>
      </c>
      <c r="K166" s="146" t="s">
        <v>86</v>
      </c>
      <c r="L166" s="146" t="s">
        <v>12</v>
      </c>
      <c r="M166" s="155" t="s">
        <v>592</v>
      </c>
      <c r="N166" s="155" t="s">
        <v>856</v>
      </c>
      <c r="O166" s="86"/>
      <c r="P166" s="155" t="s">
        <v>37</v>
      </c>
      <c r="Q166" s="139" t="s">
        <v>1018</v>
      </c>
      <c r="R166" s="139" t="s">
        <v>1019</v>
      </c>
      <c r="S166" s="139" t="s">
        <v>1020</v>
      </c>
      <c r="T166" s="128">
        <v>46058.0</v>
      </c>
      <c r="U166" s="6"/>
      <c r="V166" s="6"/>
      <c r="W166" s="6"/>
      <c r="X166" s="6"/>
      <c r="Y166" s="6"/>
      <c r="Z166" s="6"/>
      <c r="AA166" s="6"/>
      <c r="AB166" s="6"/>
      <c r="AC166" s="6"/>
      <c r="AD166" s="6"/>
      <c r="AE166" s="6"/>
      <c r="AF166" s="6"/>
      <c r="AG166" s="6"/>
      <c r="AH166" s="6"/>
      <c r="AI166" s="6"/>
      <c r="AJ166" s="6"/>
      <c r="AK166" s="6"/>
      <c r="AL166" s="6"/>
      <c r="AM166" s="6"/>
      <c r="AN166" s="6"/>
      <c r="AO166" s="6"/>
      <c r="AP166" s="6"/>
    </row>
    <row r="167" ht="17.25" customHeight="1">
      <c r="A167" s="103"/>
      <c r="B167" s="26"/>
      <c r="C167" s="139" t="s">
        <v>1021</v>
      </c>
      <c r="D167" s="87">
        <v>2060237.0</v>
      </c>
      <c r="E167" s="139" t="s">
        <v>1022</v>
      </c>
      <c r="F167" s="87" t="s">
        <v>260</v>
      </c>
      <c r="G167" s="146" t="s">
        <v>74</v>
      </c>
      <c r="H167" s="146" t="s">
        <v>75</v>
      </c>
      <c r="I167" s="89" t="str">
        <f t="shared" si="3"/>
        <v>PASSED</v>
      </c>
      <c r="J167" s="140" t="s">
        <v>27</v>
      </c>
      <c r="K167" s="146" t="s">
        <v>86</v>
      </c>
      <c r="L167" s="146" t="s">
        <v>12</v>
      </c>
      <c r="M167" s="155" t="s">
        <v>1023</v>
      </c>
      <c r="N167" s="155" t="s">
        <v>856</v>
      </c>
      <c r="O167" s="159"/>
      <c r="P167" s="155" t="s">
        <v>37</v>
      </c>
      <c r="Q167" s="139" t="s">
        <v>1024</v>
      </c>
      <c r="R167" s="139" t="s">
        <v>1025</v>
      </c>
      <c r="S167" s="139" t="s">
        <v>893</v>
      </c>
      <c r="T167" s="128">
        <v>46149.0</v>
      </c>
      <c r="U167" s="6"/>
      <c r="V167" s="6"/>
      <c r="W167" s="6"/>
      <c r="X167" s="6"/>
      <c r="Y167" s="6"/>
      <c r="Z167" s="6"/>
      <c r="AA167" s="6"/>
      <c r="AB167" s="6"/>
      <c r="AC167" s="6"/>
      <c r="AD167" s="6"/>
      <c r="AE167" s="6"/>
      <c r="AF167" s="6"/>
      <c r="AG167" s="6"/>
      <c r="AH167" s="6"/>
      <c r="AI167" s="6"/>
      <c r="AJ167" s="6"/>
      <c r="AK167" s="6"/>
      <c r="AL167" s="6"/>
      <c r="AM167" s="6"/>
      <c r="AN167" s="6"/>
      <c r="AO167" s="6"/>
      <c r="AP167" s="6"/>
    </row>
    <row r="168" ht="17.25" customHeight="1">
      <c r="A168" s="103"/>
      <c r="B168" s="84" t="s">
        <v>1026</v>
      </c>
      <c r="C168" s="86" t="s">
        <v>1027</v>
      </c>
      <c r="D168" s="87">
        <v>2061101.0</v>
      </c>
      <c r="E168" s="86" t="s">
        <v>1028</v>
      </c>
      <c r="F168" s="87" t="s">
        <v>260</v>
      </c>
      <c r="G168" s="95" t="s">
        <v>74</v>
      </c>
      <c r="H168" s="89" t="s">
        <v>85</v>
      </c>
      <c r="I168" s="89" t="str">
        <f t="shared" si="3"/>
        <v>PASSED</v>
      </c>
      <c r="J168" s="89" t="s">
        <v>27</v>
      </c>
      <c r="K168" s="95" t="s">
        <v>86</v>
      </c>
      <c r="L168" s="95" t="s">
        <v>12</v>
      </c>
      <c r="M168" s="97" t="s">
        <v>592</v>
      </c>
      <c r="N168" s="137" t="s">
        <v>856</v>
      </c>
      <c r="O168" s="86"/>
      <c r="P168" s="97" t="s">
        <v>37</v>
      </c>
      <c r="Q168" s="139" t="s">
        <v>1029</v>
      </c>
      <c r="R168" s="109" t="s">
        <v>1030</v>
      </c>
      <c r="S168" s="139" t="s">
        <v>1031</v>
      </c>
      <c r="T168" s="80" t="s">
        <v>594</v>
      </c>
      <c r="U168" s="6"/>
      <c r="V168" s="6"/>
      <c r="W168" s="6"/>
      <c r="X168" s="6"/>
      <c r="Y168" s="6"/>
      <c r="Z168" s="6"/>
      <c r="AA168" s="6"/>
      <c r="AB168" s="6"/>
      <c r="AC168" s="6"/>
      <c r="AD168" s="6"/>
      <c r="AE168" s="6"/>
      <c r="AF168" s="6"/>
      <c r="AG168" s="6"/>
      <c r="AH168" s="6"/>
      <c r="AI168" s="6"/>
      <c r="AJ168" s="6"/>
      <c r="AK168" s="6"/>
      <c r="AL168" s="6"/>
      <c r="AM168" s="6"/>
      <c r="AN168" s="6"/>
      <c r="AO168" s="6"/>
      <c r="AP168" s="6"/>
    </row>
    <row r="169" ht="17.25" customHeight="1">
      <c r="A169" s="103"/>
      <c r="B169" s="26"/>
      <c r="C169" s="87" t="s">
        <v>1032</v>
      </c>
      <c r="D169" s="87">
        <v>2061111.0</v>
      </c>
      <c r="E169" s="86" t="s">
        <v>1028</v>
      </c>
      <c r="F169" s="87" t="s">
        <v>260</v>
      </c>
      <c r="G169" s="95" t="s">
        <v>74</v>
      </c>
      <c r="H169" s="89" t="s">
        <v>85</v>
      </c>
      <c r="I169" s="89" t="str">
        <f t="shared" si="3"/>
        <v>PASSED</v>
      </c>
      <c r="J169" s="89" t="s">
        <v>27</v>
      </c>
      <c r="K169" s="95" t="s">
        <v>86</v>
      </c>
      <c r="L169" s="95" t="s">
        <v>12</v>
      </c>
      <c r="M169" s="97" t="s">
        <v>592</v>
      </c>
      <c r="N169" s="137" t="s">
        <v>856</v>
      </c>
      <c r="O169" s="86"/>
      <c r="P169" s="97" t="s">
        <v>37</v>
      </c>
      <c r="Q169" s="139" t="s">
        <v>979</v>
      </c>
      <c r="R169" s="109" t="s">
        <v>1033</v>
      </c>
      <c r="S169" s="139" t="s">
        <v>1034</v>
      </c>
      <c r="T169" s="80" t="s">
        <v>594</v>
      </c>
      <c r="U169" s="6"/>
      <c r="V169" s="6"/>
      <c r="W169" s="6"/>
      <c r="X169" s="6"/>
      <c r="Y169" s="6"/>
      <c r="Z169" s="6"/>
      <c r="AA169" s="6"/>
      <c r="AB169" s="6"/>
      <c r="AC169" s="6"/>
      <c r="AD169" s="6"/>
      <c r="AE169" s="6"/>
      <c r="AF169" s="6"/>
      <c r="AG169" s="6"/>
      <c r="AH169" s="6"/>
      <c r="AI169" s="6"/>
      <c r="AJ169" s="6"/>
      <c r="AK169" s="6"/>
      <c r="AL169" s="6"/>
      <c r="AM169" s="6"/>
      <c r="AN169" s="6"/>
      <c r="AO169" s="6"/>
      <c r="AP169" s="6"/>
    </row>
    <row r="170" ht="17.25" customHeight="1">
      <c r="A170" s="103"/>
      <c r="B170" s="84" t="s">
        <v>1035</v>
      </c>
      <c r="C170" s="86" t="s">
        <v>1036</v>
      </c>
      <c r="D170" s="86"/>
      <c r="E170" s="86" t="s">
        <v>1037</v>
      </c>
      <c r="F170" s="86" t="s">
        <v>73</v>
      </c>
      <c r="G170" s="89" t="s">
        <v>146</v>
      </c>
      <c r="H170" s="89" t="s">
        <v>85</v>
      </c>
      <c r="I170" s="89" t="str">
        <f t="shared" si="3"/>
        <v>BLOCKED</v>
      </c>
      <c r="J170" s="95" t="s">
        <v>17</v>
      </c>
      <c r="K170" s="89" t="s">
        <v>78</v>
      </c>
      <c r="L170" s="89" t="s">
        <v>27</v>
      </c>
      <c r="M170" s="97" t="s">
        <v>1038</v>
      </c>
      <c r="N170" s="137" t="s">
        <v>856</v>
      </c>
      <c r="O170" s="86"/>
      <c r="P170" s="97" t="s">
        <v>37</v>
      </c>
      <c r="Q170" s="139" t="s">
        <v>1039</v>
      </c>
      <c r="R170" s="100"/>
      <c r="S170" s="134"/>
      <c r="T170" s="80" t="s">
        <v>458</v>
      </c>
      <c r="U170" s="6"/>
      <c r="V170" s="6"/>
      <c r="W170" s="6"/>
      <c r="X170" s="6"/>
      <c r="Y170" s="6"/>
      <c r="Z170" s="6"/>
      <c r="AA170" s="6"/>
      <c r="AB170" s="6"/>
      <c r="AC170" s="6"/>
      <c r="AD170" s="6"/>
      <c r="AE170" s="6"/>
      <c r="AF170" s="6"/>
      <c r="AG170" s="6"/>
      <c r="AH170" s="6"/>
      <c r="AI170" s="6"/>
      <c r="AJ170" s="6"/>
      <c r="AK170" s="6"/>
      <c r="AL170" s="6"/>
      <c r="AM170" s="6"/>
      <c r="AN170" s="6"/>
      <c r="AO170" s="6"/>
      <c r="AP170" s="6"/>
    </row>
    <row r="171" ht="17.25" customHeight="1">
      <c r="A171" s="103"/>
      <c r="B171" s="26"/>
      <c r="C171" s="86" t="s">
        <v>1040</v>
      </c>
      <c r="D171" s="86"/>
      <c r="E171" s="86" t="s">
        <v>1041</v>
      </c>
      <c r="F171" s="86" t="s">
        <v>73</v>
      </c>
      <c r="G171" s="89" t="s">
        <v>146</v>
      </c>
      <c r="H171" s="89" t="s">
        <v>85</v>
      </c>
      <c r="I171" s="89" t="str">
        <f t="shared" si="3"/>
        <v>BLOCKED</v>
      </c>
      <c r="J171" s="95" t="s">
        <v>17</v>
      </c>
      <c r="K171" s="89" t="s">
        <v>78</v>
      </c>
      <c r="L171" s="89" t="s">
        <v>27</v>
      </c>
      <c r="M171" s="97" t="s">
        <v>1038</v>
      </c>
      <c r="N171" s="137" t="s">
        <v>856</v>
      </c>
      <c r="O171" s="86"/>
      <c r="P171" s="97" t="s">
        <v>37</v>
      </c>
      <c r="Q171" s="139" t="s">
        <v>1042</v>
      </c>
      <c r="R171" s="100"/>
      <c r="S171" s="134"/>
      <c r="T171" s="80" t="s">
        <v>458</v>
      </c>
      <c r="U171" s="6"/>
      <c r="V171" s="6"/>
      <c r="W171" s="6"/>
      <c r="X171" s="6"/>
      <c r="Y171" s="6"/>
      <c r="Z171" s="6"/>
      <c r="AA171" s="6"/>
      <c r="AB171" s="6"/>
      <c r="AC171" s="6"/>
      <c r="AD171" s="6"/>
      <c r="AE171" s="6"/>
      <c r="AF171" s="6"/>
      <c r="AG171" s="6"/>
      <c r="AH171" s="6"/>
      <c r="AI171" s="6"/>
      <c r="AJ171" s="6"/>
      <c r="AK171" s="6"/>
      <c r="AL171" s="6"/>
      <c r="AM171" s="6"/>
      <c r="AN171" s="6"/>
      <c r="AO171" s="6"/>
      <c r="AP171" s="6"/>
    </row>
    <row r="172" ht="17.25" customHeight="1">
      <c r="A172" s="103"/>
      <c r="B172" s="84" t="s">
        <v>443</v>
      </c>
      <c r="C172" s="86" t="s">
        <v>471</v>
      </c>
      <c r="D172" s="87">
        <v>2061201.0</v>
      </c>
      <c r="E172" s="86" t="s">
        <v>473</v>
      </c>
      <c r="F172" s="86" t="s">
        <v>121</v>
      </c>
      <c r="G172" s="89" t="s">
        <v>74</v>
      </c>
      <c r="H172" s="89" t="s">
        <v>75</v>
      </c>
      <c r="I172" s="89" t="str">
        <f t="shared" si="3"/>
        <v>PASSED</v>
      </c>
      <c r="J172" s="89" t="s">
        <v>27</v>
      </c>
      <c r="K172" s="95" t="s">
        <v>86</v>
      </c>
      <c r="L172" s="95" t="s">
        <v>12</v>
      </c>
      <c r="M172" s="97" t="s">
        <v>1044</v>
      </c>
      <c r="N172" s="137" t="s">
        <v>856</v>
      </c>
      <c r="O172" s="86"/>
      <c r="P172" s="97" t="s">
        <v>37</v>
      </c>
      <c r="Q172" s="139" t="s">
        <v>1045</v>
      </c>
      <c r="R172" s="109" t="s">
        <v>1046</v>
      </c>
      <c r="S172" s="139" t="s">
        <v>1047</v>
      </c>
      <c r="T172" s="80" t="s">
        <v>458</v>
      </c>
      <c r="U172" s="6"/>
      <c r="V172" s="6"/>
      <c r="W172" s="6"/>
      <c r="X172" s="6"/>
      <c r="Y172" s="6"/>
      <c r="Z172" s="6"/>
      <c r="AA172" s="6"/>
      <c r="AB172" s="6"/>
      <c r="AC172" s="6"/>
      <c r="AD172" s="6"/>
      <c r="AE172" s="6"/>
      <c r="AF172" s="6"/>
      <c r="AG172" s="6"/>
      <c r="AH172" s="6"/>
      <c r="AI172" s="6"/>
      <c r="AJ172" s="6"/>
      <c r="AK172" s="6"/>
      <c r="AL172" s="6"/>
      <c r="AM172" s="6"/>
      <c r="AN172" s="6"/>
      <c r="AO172" s="6"/>
      <c r="AP172" s="6"/>
    </row>
    <row r="173" ht="17.25" customHeight="1">
      <c r="A173" s="103"/>
      <c r="B173" s="103"/>
      <c r="C173" s="86" t="s">
        <v>1049</v>
      </c>
      <c r="D173" s="87">
        <v>2061202.0</v>
      </c>
      <c r="E173" s="87" t="s">
        <v>1050</v>
      </c>
      <c r="F173" s="86" t="s">
        <v>73</v>
      </c>
      <c r="G173" s="89" t="s">
        <v>146</v>
      </c>
      <c r="H173" s="89" t="s">
        <v>85</v>
      </c>
      <c r="I173" s="89" t="str">
        <f t="shared" si="3"/>
        <v>PASSED</v>
      </c>
      <c r="J173" s="89" t="s">
        <v>27</v>
      </c>
      <c r="K173" s="95" t="s">
        <v>86</v>
      </c>
      <c r="L173" s="95" t="s">
        <v>12</v>
      </c>
      <c r="M173" s="97" t="s">
        <v>1038</v>
      </c>
      <c r="N173" s="137" t="s">
        <v>856</v>
      </c>
      <c r="O173" s="86"/>
      <c r="P173" s="97" t="s">
        <v>37</v>
      </c>
      <c r="Q173" s="139" t="s">
        <v>1052</v>
      </c>
      <c r="R173" s="109" t="s">
        <v>1053</v>
      </c>
      <c r="S173" s="139" t="s">
        <v>1054</v>
      </c>
      <c r="T173" s="80" t="s">
        <v>458</v>
      </c>
      <c r="U173" s="6"/>
      <c r="V173" s="6"/>
      <c r="W173" s="6"/>
      <c r="X173" s="6"/>
      <c r="Y173" s="6"/>
      <c r="Z173" s="6"/>
      <c r="AA173" s="6"/>
      <c r="AB173" s="6"/>
      <c r="AC173" s="6"/>
      <c r="AD173" s="6"/>
      <c r="AE173" s="6"/>
      <c r="AF173" s="6"/>
      <c r="AG173" s="6"/>
      <c r="AH173" s="6"/>
      <c r="AI173" s="6"/>
      <c r="AJ173" s="6"/>
      <c r="AK173" s="6"/>
      <c r="AL173" s="6"/>
      <c r="AM173" s="6"/>
      <c r="AN173" s="6"/>
      <c r="AO173" s="6"/>
      <c r="AP173" s="6"/>
    </row>
    <row r="174" ht="17.25" customHeight="1">
      <c r="A174" s="103"/>
      <c r="B174" s="103"/>
      <c r="C174" s="87" t="s">
        <v>1055</v>
      </c>
      <c r="D174" s="87">
        <v>2061211.0</v>
      </c>
      <c r="E174" s="87" t="s">
        <v>1056</v>
      </c>
      <c r="F174" s="86" t="s">
        <v>121</v>
      </c>
      <c r="G174" s="89" t="s">
        <v>74</v>
      </c>
      <c r="H174" s="89" t="s">
        <v>75</v>
      </c>
      <c r="I174" s="89" t="str">
        <f t="shared" si="3"/>
        <v>PASSED</v>
      </c>
      <c r="J174" s="89" t="s">
        <v>27</v>
      </c>
      <c r="K174" s="95" t="s">
        <v>86</v>
      </c>
      <c r="L174" s="95" t="s">
        <v>12</v>
      </c>
      <c r="M174" s="97" t="s">
        <v>1044</v>
      </c>
      <c r="N174" s="137" t="s">
        <v>856</v>
      </c>
      <c r="O174" s="86"/>
      <c r="P174" s="97" t="s">
        <v>37</v>
      </c>
      <c r="Q174" s="139" t="s">
        <v>1058</v>
      </c>
      <c r="R174" s="109" t="s">
        <v>1059</v>
      </c>
      <c r="S174" s="139" t="s">
        <v>1060</v>
      </c>
      <c r="T174" s="80" t="s">
        <v>458</v>
      </c>
      <c r="U174" s="6"/>
      <c r="V174" s="6"/>
      <c r="W174" s="6"/>
      <c r="X174" s="6"/>
      <c r="Y174" s="6"/>
      <c r="Z174" s="6"/>
      <c r="AA174" s="6"/>
      <c r="AB174" s="6"/>
      <c r="AC174" s="6"/>
      <c r="AD174" s="6"/>
      <c r="AE174" s="6"/>
      <c r="AF174" s="6"/>
      <c r="AG174" s="6"/>
      <c r="AH174" s="6"/>
      <c r="AI174" s="6"/>
      <c r="AJ174" s="6"/>
      <c r="AK174" s="6"/>
      <c r="AL174" s="6"/>
      <c r="AM174" s="6"/>
      <c r="AN174" s="6"/>
      <c r="AO174" s="6"/>
      <c r="AP174" s="6"/>
    </row>
    <row r="175" ht="17.25" customHeight="1">
      <c r="A175" s="103"/>
      <c r="B175" s="103"/>
      <c r="C175" s="87" t="s">
        <v>1061</v>
      </c>
      <c r="D175" s="87">
        <v>2061212.0</v>
      </c>
      <c r="E175" s="87" t="s">
        <v>1062</v>
      </c>
      <c r="F175" s="87" t="s">
        <v>73</v>
      </c>
      <c r="G175" s="95" t="s">
        <v>146</v>
      </c>
      <c r="H175" s="95" t="s">
        <v>85</v>
      </c>
      <c r="I175" s="89" t="str">
        <f t="shared" si="3"/>
        <v>PASSED</v>
      </c>
      <c r="J175" s="89" t="s">
        <v>27</v>
      </c>
      <c r="K175" s="95" t="s">
        <v>86</v>
      </c>
      <c r="L175" s="95" t="s">
        <v>12</v>
      </c>
      <c r="M175" s="129" t="s">
        <v>769</v>
      </c>
      <c r="N175" s="155" t="s">
        <v>856</v>
      </c>
      <c r="O175" s="86"/>
      <c r="P175" s="129" t="s">
        <v>37</v>
      </c>
      <c r="Q175" s="139" t="s">
        <v>1067</v>
      </c>
      <c r="R175" s="109" t="s">
        <v>1068</v>
      </c>
      <c r="S175" s="139" t="s">
        <v>893</v>
      </c>
      <c r="T175" s="128">
        <v>46147.0</v>
      </c>
      <c r="U175" s="6"/>
      <c r="V175" s="6"/>
      <c r="W175" s="6"/>
      <c r="X175" s="6"/>
      <c r="Y175" s="6"/>
      <c r="Z175" s="6"/>
      <c r="AA175" s="6"/>
      <c r="AB175" s="6"/>
      <c r="AC175" s="6"/>
      <c r="AD175" s="6"/>
      <c r="AE175" s="6"/>
      <c r="AF175" s="6"/>
      <c r="AG175" s="6"/>
      <c r="AH175" s="6"/>
      <c r="AI175" s="6"/>
      <c r="AJ175" s="6"/>
      <c r="AK175" s="6"/>
      <c r="AL175" s="6"/>
      <c r="AM175" s="6"/>
      <c r="AN175" s="6"/>
      <c r="AO175" s="6"/>
      <c r="AP175" s="6"/>
    </row>
    <row r="176" ht="17.25" customHeight="1">
      <c r="A176" s="26"/>
      <c r="B176" s="26"/>
      <c r="C176" s="87" t="s">
        <v>1070</v>
      </c>
      <c r="D176" s="87">
        <v>2061213.0</v>
      </c>
      <c r="E176" s="87" t="s">
        <v>1071</v>
      </c>
      <c r="F176" s="87" t="s">
        <v>260</v>
      </c>
      <c r="G176" s="95" t="s">
        <v>146</v>
      </c>
      <c r="H176" s="95" t="s">
        <v>85</v>
      </c>
      <c r="I176" s="89" t="str">
        <f t="shared" si="3"/>
        <v>PASSED</v>
      </c>
      <c r="J176" s="89" t="s">
        <v>27</v>
      </c>
      <c r="K176" s="95" t="s">
        <v>86</v>
      </c>
      <c r="L176" s="95" t="s">
        <v>12</v>
      </c>
      <c r="M176" s="129" t="s">
        <v>769</v>
      </c>
      <c r="N176" s="155" t="s">
        <v>856</v>
      </c>
      <c r="O176" s="86"/>
      <c r="P176" s="129" t="s">
        <v>37</v>
      </c>
      <c r="Q176" s="139" t="s">
        <v>1075</v>
      </c>
      <c r="R176" s="109" t="s">
        <v>1076</v>
      </c>
      <c r="S176" s="139" t="s">
        <v>893</v>
      </c>
      <c r="T176" s="128">
        <v>46147.0</v>
      </c>
      <c r="U176" s="6"/>
      <c r="V176" s="6"/>
      <c r="W176" s="6"/>
      <c r="X176" s="6"/>
      <c r="Y176" s="6"/>
      <c r="Z176" s="6"/>
      <c r="AA176" s="6"/>
      <c r="AB176" s="6"/>
      <c r="AC176" s="6"/>
      <c r="AD176" s="6"/>
      <c r="AE176" s="6"/>
      <c r="AF176" s="6"/>
      <c r="AG176" s="6"/>
      <c r="AH176" s="6"/>
      <c r="AI176" s="6"/>
      <c r="AJ176" s="6"/>
      <c r="AK176" s="6"/>
      <c r="AL176" s="6"/>
      <c r="AM176" s="6"/>
      <c r="AN176" s="6"/>
      <c r="AO176" s="6"/>
      <c r="AP176" s="6"/>
    </row>
    <row r="177" ht="17.25" customHeight="1">
      <c r="A177" s="156" t="s">
        <v>1078</v>
      </c>
      <c r="B177" s="84" t="s">
        <v>1080</v>
      </c>
      <c r="C177" s="86" t="s">
        <v>475</v>
      </c>
      <c r="D177" s="86"/>
      <c r="E177" s="86" t="s">
        <v>476</v>
      </c>
      <c r="F177" s="86" t="s">
        <v>73</v>
      </c>
      <c r="G177" s="89" t="s">
        <v>74</v>
      </c>
      <c r="H177" s="89" t="s">
        <v>75</v>
      </c>
      <c r="I177" s="89" t="str">
        <f t="shared" si="3"/>
        <v>BLOCKED</v>
      </c>
      <c r="J177" s="95" t="s">
        <v>17</v>
      </c>
      <c r="K177" s="89" t="s">
        <v>78</v>
      </c>
      <c r="L177" s="89" t="s">
        <v>27</v>
      </c>
      <c r="M177" s="97" t="s">
        <v>469</v>
      </c>
      <c r="N177" s="137" t="s">
        <v>856</v>
      </c>
      <c r="O177" s="86"/>
      <c r="P177" s="97" t="s">
        <v>37</v>
      </c>
      <c r="Q177" s="139" t="s">
        <v>1084</v>
      </c>
      <c r="R177" s="100"/>
      <c r="S177" s="134"/>
      <c r="T177" s="80" t="s">
        <v>472</v>
      </c>
      <c r="U177" s="6"/>
      <c r="V177" s="6"/>
      <c r="W177" s="6"/>
      <c r="X177" s="6"/>
      <c r="Y177" s="6"/>
      <c r="Z177" s="6"/>
      <c r="AA177" s="6"/>
      <c r="AB177" s="6"/>
      <c r="AC177" s="6"/>
      <c r="AD177" s="6"/>
      <c r="AE177" s="6"/>
      <c r="AF177" s="6"/>
      <c r="AG177" s="6"/>
      <c r="AH177" s="6"/>
      <c r="AI177" s="6"/>
      <c r="AJ177" s="6"/>
      <c r="AK177" s="6"/>
      <c r="AL177" s="6"/>
      <c r="AM177" s="6"/>
      <c r="AN177" s="6"/>
      <c r="AO177" s="6"/>
      <c r="AP177" s="6"/>
    </row>
    <row r="178" ht="17.25" customHeight="1">
      <c r="A178" s="103"/>
      <c r="B178" s="103"/>
      <c r="C178" s="86" t="s">
        <v>479</v>
      </c>
      <c r="D178" s="87">
        <v>2061602.0</v>
      </c>
      <c r="E178" s="86" t="s">
        <v>481</v>
      </c>
      <c r="F178" s="86" t="s">
        <v>73</v>
      </c>
      <c r="G178" s="89" t="s">
        <v>74</v>
      </c>
      <c r="H178" s="89" t="s">
        <v>75</v>
      </c>
      <c r="I178" s="89" t="str">
        <f t="shared" si="3"/>
        <v>FAILED</v>
      </c>
      <c r="J178" s="95" t="s">
        <v>27</v>
      </c>
      <c r="K178" s="95" t="s">
        <v>86</v>
      </c>
      <c r="L178" s="95" t="s">
        <v>13</v>
      </c>
      <c r="M178" s="97" t="s">
        <v>1087</v>
      </c>
      <c r="N178" s="137" t="s">
        <v>856</v>
      </c>
      <c r="O178" s="87" t="s">
        <v>622</v>
      </c>
      <c r="P178" s="97" t="s">
        <v>37</v>
      </c>
      <c r="Q178" s="139" t="s">
        <v>1092</v>
      </c>
      <c r="R178" s="109" t="s">
        <v>1094</v>
      </c>
      <c r="S178" s="139" t="s">
        <v>1095</v>
      </c>
      <c r="T178" s="80" t="s">
        <v>956</v>
      </c>
      <c r="U178" s="6"/>
      <c r="V178" s="6"/>
      <c r="W178" s="6"/>
      <c r="X178" s="6"/>
      <c r="Y178" s="6"/>
      <c r="Z178" s="6"/>
      <c r="AA178" s="6"/>
      <c r="AB178" s="6"/>
      <c r="AC178" s="6"/>
      <c r="AD178" s="6"/>
      <c r="AE178" s="6"/>
      <c r="AF178" s="6"/>
      <c r="AG178" s="6"/>
      <c r="AH178" s="6"/>
      <c r="AI178" s="6"/>
      <c r="AJ178" s="6"/>
      <c r="AK178" s="6"/>
      <c r="AL178" s="6"/>
      <c r="AM178" s="6"/>
      <c r="AN178" s="6"/>
      <c r="AO178" s="6"/>
      <c r="AP178" s="6"/>
    </row>
    <row r="179" ht="17.25" customHeight="1">
      <c r="A179" s="103"/>
      <c r="B179" s="103"/>
      <c r="C179" s="86" t="s">
        <v>483</v>
      </c>
      <c r="D179" s="86"/>
      <c r="E179" s="86" t="s">
        <v>484</v>
      </c>
      <c r="F179" s="86" t="s">
        <v>73</v>
      </c>
      <c r="G179" s="89" t="s">
        <v>74</v>
      </c>
      <c r="H179" s="89" t="s">
        <v>75</v>
      </c>
      <c r="I179" s="89" t="str">
        <f t="shared" si="3"/>
        <v>BLOCKED</v>
      </c>
      <c r="J179" s="95" t="s">
        <v>17</v>
      </c>
      <c r="K179" s="89" t="s">
        <v>78</v>
      </c>
      <c r="L179" s="89" t="s">
        <v>27</v>
      </c>
      <c r="M179" s="97" t="s">
        <v>1099</v>
      </c>
      <c r="N179" s="137" t="s">
        <v>856</v>
      </c>
      <c r="O179" s="86"/>
      <c r="P179" s="97" t="s">
        <v>37</v>
      </c>
      <c r="Q179" s="139" t="s">
        <v>1100</v>
      </c>
      <c r="R179" s="100"/>
      <c r="S179" s="134"/>
      <c r="T179" s="80" t="s">
        <v>1102</v>
      </c>
      <c r="U179" s="6"/>
      <c r="V179" s="6"/>
      <c r="W179" s="6"/>
      <c r="X179" s="6"/>
      <c r="Y179" s="6"/>
      <c r="Z179" s="6"/>
      <c r="AA179" s="6"/>
      <c r="AB179" s="6"/>
      <c r="AC179" s="6"/>
      <c r="AD179" s="6"/>
      <c r="AE179" s="6"/>
      <c r="AF179" s="6"/>
      <c r="AG179" s="6"/>
      <c r="AH179" s="6"/>
      <c r="AI179" s="6"/>
      <c r="AJ179" s="6"/>
      <c r="AK179" s="6"/>
      <c r="AL179" s="6"/>
      <c r="AM179" s="6"/>
      <c r="AN179" s="6"/>
      <c r="AO179" s="6"/>
      <c r="AP179" s="6"/>
    </row>
    <row r="180" ht="17.25" customHeight="1">
      <c r="A180" s="103"/>
      <c r="B180" s="103"/>
      <c r="C180" s="86" t="s">
        <v>486</v>
      </c>
      <c r="D180" s="86"/>
      <c r="E180" s="86" t="s">
        <v>487</v>
      </c>
      <c r="F180" s="86" t="s">
        <v>73</v>
      </c>
      <c r="G180" s="89" t="s">
        <v>74</v>
      </c>
      <c r="H180" s="89" t="s">
        <v>75</v>
      </c>
      <c r="I180" s="89" t="str">
        <f t="shared" si="3"/>
        <v>BLOCKED</v>
      </c>
      <c r="J180" s="95" t="s">
        <v>17</v>
      </c>
      <c r="K180" s="89" t="s">
        <v>78</v>
      </c>
      <c r="L180" s="89" t="s">
        <v>27</v>
      </c>
      <c r="M180" s="97" t="s">
        <v>305</v>
      </c>
      <c r="N180" s="137" t="s">
        <v>856</v>
      </c>
      <c r="O180" s="86"/>
      <c r="P180" s="97" t="s">
        <v>37</v>
      </c>
      <c r="Q180" s="139" t="s">
        <v>1106</v>
      </c>
      <c r="R180" s="100"/>
      <c r="S180" s="134"/>
      <c r="T180" s="80" t="s">
        <v>1107</v>
      </c>
      <c r="U180" s="6"/>
      <c r="V180" s="6"/>
      <c r="W180" s="6"/>
      <c r="X180" s="6"/>
      <c r="Y180" s="6"/>
      <c r="Z180" s="6"/>
      <c r="AA180" s="6"/>
      <c r="AB180" s="6"/>
      <c r="AC180" s="6"/>
      <c r="AD180" s="6"/>
      <c r="AE180" s="6"/>
      <c r="AF180" s="6"/>
      <c r="AG180" s="6"/>
      <c r="AH180" s="6"/>
      <c r="AI180" s="6"/>
      <c r="AJ180" s="6"/>
      <c r="AK180" s="6"/>
      <c r="AL180" s="6"/>
      <c r="AM180" s="6"/>
      <c r="AN180" s="6"/>
      <c r="AO180" s="6"/>
      <c r="AP180" s="6"/>
    </row>
    <row r="181" ht="17.25" customHeight="1">
      <c r="A181" s="103"/>
      <c r="B181" s="103"/>
      <c r="C181" s="86" t="s">
        <v>490</v>
      </c>
      <c r="D181" s="86"/>
      <c r="E181" s="86" t="s">
        <v>491</v>
      </c>
      <c r="F181" s="86" t="s">
        <v>73</v>
      </c>
      <c r="G181" s="89" t="s">
        <v>74</v>
      </c>
      <c r="H181" s="89" t="s">
        <v>75</v>
      </c>
      <c r="I181" s="89" t="str">
        <f t="shared" si="3"/>
        <v>BLOCKED</v>
      </c>
      <c r="J181" s="95" t="s">
        <v>17</v>
      </c>
      <c r="K181" s="89" t="s">
        <v>78</v>
      </c>
      <c r="L181" s="89" t="s">
        <v>27</v>
      </c>
      <c r="M181" s="97" t="s">
        <v>1111</v>
      </c>
      <c r="N181" s="137" t="s">
        <v>856</v>
      </c>
      <c r="O181" s="86"/>
      <c r="P181" s="97" t="s">
        <v>37</v>
      </c>
      <c r="Q181" s="139" t="s">
        <v>1114</v>
      </c>
      <c r="R181" s="100"/>
      <c r="S181" s="134"/>
      <c r="T181" s="80" t="s">
        <v>1107</v>
      </c>
      <c r="U181" s="6"/>
      <c r="V181" s="6"/>
      <c r="W181" s="6"/>
      <c r="X181" s="6"/>
      <c r="Y181" s="6"/>
      <c r="Z181" s="6"/>
      <c r="AA181" s="6"/>
      <c r="AB181" s="6"/>
      <c r="AC181" s="6"/>
      <c r="AD181" s="6"/>
      <c r="AE181" s="6"/>
      <c r="AF181" s="6"/>
      <c r="AG181" s="6"/>
      <c r="AH181" s="6"/>
      <c r="AI181" s="6"/>
      <c r="AJ181" s="6"/>
      <c r="AK181" s="6"/>
      <c r="AL181" s="6"/>
      <c r="AM181" s="6"/>
      <c r="AN181" s="6"/>
      <c r="AO181" s="6"/>
      <c r="AP181" s="6"/>
    </row>
    <row r="182" ht="17.25" customHeight="1">
      <c r="A182" s="103"/>
      <c r="B182" s="103"/>
      <c r="C182" s="86" t="s">
        <v>495</v>
      </c>
      <c r="D182" s="86"/>
      <c r="E182" s="86" t="s">
        <v>496</v>
      </c>
      <c r="F182" s="86" t="s">
        <v>73</v>
      </c>
      <c r="G182" s="89" t="s">
        <v>74</v>
      </c>
      <c r="H182" s="89" t="s">
        <v>75</v>
      </c>
      <c r="I182" s="89" t="str">
        <f t="shared" si="3"/>
        <v>BLOCKED</v>
      </c>
      <c r="J182" s="95" t="s">
        <v>17</v>
      </c>
      <c r="K182" s="89" t="s">
        <v>78</v>
      </c>
      <c r="L182" s="89" t="s">
        <v>27</v>
      </c>
      <c r="M182" s="97" t="s">
        <v>1111</v>
      </c>
      <c r="N182" s="137" t="s">
        <v>856</v>
      </c>
      <c r="O182" s="86"/>
      <c r="P182" s="97" t="s">
        <v>37</v>
      </c>
      <c r="Q182" s="139" t="s">
        <v>1116</v>
      </c>
      <c r="R182" s="100"/>
      <c r="S182" s="134"/>
      <c r="T182" s="80" t="s">
        <v>1107</v>
      </c>
      <c r="U182" s="6"/>
      <c r="V182" s="6"/>
      <c r="W182" s="6"/>
      <c r="X182" s="6"/>
      <c r="Y182" s="6"/>
      <c r="Z182" s="6"/>
      <c r="AA182" s="6"/>
      <c r="AB182" s="6"/>
      <c r="AC182" s="6"/>
      <c r="AD182" s="6"/>
      <c r="AE182" s="6"/>
      <c r="AF182" s="6"/>
      <c r="AG182" s="6"/>
      <c r="AH182" s="6"/>
      <c r="AI182" s="6"/>
      <c r="AJ182" s="6"/>
      <c r="AK182" s="6"/>
      <c r="AL182" s="6"/>
      <c r="AM182" s="6"/>
      <c r="AN182" s="6"/>
      <c r="AO182" s="6"/>
      <c r="AP182" s="6"/>
    </row>
    <row r="183" ht="17.25" customHeight="1">
      <c r="A183" s="103"/>
      <c r="B183" s="103"/>
      <c r="C183" s="86" t="s">
        <v>499</v>
      </c>
      <c r="D183" s="86"/>
      <c r="E183" s="86" t="s">
        <v>500</v>
      </c>
      <c r="F183" s="86" t="s">
        <v>73</v>
      </c>
      <c r="G183" s="89" t="s">
        <v>74</v>
      </c>
      <c r="H183" s="89" t="s">
        <v>75</v>
      </c>
      <c r="I183" s="89" t="str">
        <f t="shared" si="3"/>
        <v>BLOCKED</v>
      </c>
      <c r="J183" s="95" t="s">
        <v>17</v>
      </c>
      <c r="K183" s="89" t="s">
        <v>78</v>
      </c>
      <c r="L183" s="89" t="s">
        <v>27</v>
      </c>
      <c r="M183" s="97" t="s">
        <v>1118</v>
      </c>
      <c r="N183" s="137" t="s">
        <v>856</v>
      </c>
      <c r="O183" s="86"/>
      <c r="P183" s="97" t="s">
        <v>37</v>
      </c>
      <c r="Q183" s="139" t="s">
        <v>1120</v>
      </c>
      <c r="R183" s="100"/>
      <c r="S183" s="134"/>
      <c r="T183" s="80" t="s">
        <v>956</v>
      </c>
      <c r="U183" s="6"/>
      <c r="V183" s="6"/>
      <c r="W183" s="6"/>
      <c r="X183" s="6"/>
      <c r="Y183" s="6"/>
      <c r="Z183" s="6"/>
      <c r="AA183" s="6"/>
      <c r="AB183" s="6"/>
      <c r="AC183" s="6"/>
      <c r="AD183" s="6"/>
      <c r="AE183" s="6"/>
      <c r="AF183" s="6"/>
      <c r="AG183" s="6"/>
      <c r="AH183" s="6"/>
      <c r="AI183" s="6"/>
      <c r="AJ183" s="6"/>
      <c r="AK183" s="6"/>
      <c r="AL183" s="6"/>
      <c r="AM183" s="6"/>
      <c r="AN183" s="6"/>
      <c r="AO183" s="6"/>
      <c r="AP183" s="6"/>
    </row>
    <row r="184" ht="17.25" customHeight="1">
      <c r="A184" s="103"/>
      <c r="B184" s="103"/>
      <c r="C184" s="86" t="s">
        <v>503</v>
      </c>
      <c r="D184" s="86"/>
      <c r="E184" s="86" t="s">
        <v>505</v>
      </c>
      <c r="F184" s="87" t="s">
        <v>260</v>
      </c>
      <c r="G184" s="89" t="s">
        <v>74</v>
      </c>
      <c r="H184" s="89" t="s">
        <v>75</v>
      </c>
      <c r="I184" s="89" t="str">
        <f t="shared" si="3"/>
        <v>BLOCKED</v>
      </c>
      <c r="J184" s="95" t="s">
        <v>17</v>
      </c>
      <c r="K184" s="89" t="s">
        <v>78</v>
      </c>
      <c r="L184" s="89" t="s">
        <v>27</v>
      </c>
      <c r="M184" s="97" t="s">
        <v>1023</v>
      </c>
      <c r="N184" s="137" t="s">
        <v>856</v>
      </c>
      <c r="O184" s="86"/>
      <c r="P184" s="97" t="s">
        <v>37</v>
      </c>
      <c r="Q184" s="139" t="s">
        <v>1124</v>
      </c>
      <c r="R184" s="100"/>
      <c r="S184" s="134"/>
      <c r="T184" s="80" t="s">
        <v>1125</v>
      </c>
      <c r="U184" s="6"/>
      <c r="V184" s="6"/>
      <c r="W184" s="6"/>
      <c r="X184" s="6"/>
      <c r="Y184" s="6"/>
      <c r="Z184" s="6"/>
      <c r="AA184" s="6"/>
      <c r="AB184" s="6"/>
      <c r="AC184" s="6"/>
      <c r="AD184" s="6"/>
      <c r="AE184" s="6"/>
      <c r="AF184" s="6"/>
      <c r="AG184" s="6"/>
      <c r="AH184" s="6"/>
      <c r="AI184" s="6"/>
      <c r="AJ184" s="6"/>
      <c r="AK184" s="6"/>
      <c r="AL184" s="6"/>
      <c r="AM184" s="6"/>
      <c r="AN184" s="6"/>
      <c r="AO184" s="6"/>
      <c r="AP184" s="6"/>
    </row>
    <row r="185" ht="17.25" customHeight="1">
      <c r="A185" s="103"/>
      <c r="B185" s="103"/>
      <c r="C185" s="86" t="s">
        <v>508</v>
      </c>
      <c r="D185" s="86"/>
      <c r="E185" s="86" t="s">
        <v>509</v>
      </c>
      <c r="F185" s="86" t="s">
        <v>121</v>
      </c>
      <c r="G185" s="89" t="s">
        <v>74</v>
      </c>
      <c r="H185" s="89" t="s">
        <v>75</v>
      </c>
      <c r="I185" s="89" t="str">
        <f t="shared" si="3"/>
        <v>BLOCKED</v>
      </c>
      <c r="J185" s="95" t="s">
        <v>17</v>
      </c>
      <c r="K185" s="89" t="s">
        <v>78</v>
      </c>
      <c r="L185" s="89" t="s">
        <v>27</v>
      </c>
      <c r="M185" s="97" t="s">
        <v>1126</v>
      </c>
      <c r="N185" s="137" t="s">
        <v>856</v>
      </c>
      <c r="O185" s="86"/>
      <c r="P185" s="97" t="s">
        <v>37</v>
      </c>
      <c r="Q185" s="139" t="s">
        <v>1130</v>
      </c>
      <c r="R185" s="100"/>
      <c r="S185" s="134"/>
      <c r="T185" s="80" t="s">
        <v>1125</v>
      </c>
      <c r="U185" s="6"/>
      <c r="V185" s="6"/>
      <c r="W185" s="6"/>
      <c r="X185" s="6"/>
      <c r="Y185" s="6"/>
      <c r="Z185" s="6"/>
      <c r="AA185" s="6"/>
      <c r="AB185" s="6"/>
      <c r="AC185" s="6"/>
      <c r="AD185" s="6"/>
      <c r="AE185" s="6"/>
      <c r="AF185" s="6"/>
      <c r="AG185" s="6"/>
      <c r="AH185" s="6"/>
      <c r="AI185" s="6"/>
      <c r="AJ185" s="6"/>
      <c r="AK185" s="6"/>
      <c r="AL185" s="6"/>
      <c r="AM185" s="6"/>
      <c r="AN185" s="6"/>
      <c r="AO185" s="6"/>
      <c r="AP185" s="6"/>
    </row>
    <row r="186" ht="17.25" customHeight="1">
      <c r="A186" s="103"/>
      <c r="B186" s="103"/>
      <c r="C186" s="86" t="s">
        <v>512</v>
      </c>
      <c r="D186" s="86"/>
      <c r="E186" s="86" t="s">
        <v>513</v>
      </c>
      <c r="F186" s="86" t="s">
        <v>73</v>
      </c>
      <c r="G186" s="89" t="s">
        <v>74</v>
      </c>
      <c r="H186" s="89" t="s">
        <v>75</v>
      </c>
      <c r="I186" s="89" t="str">
        <f t="shared" si="3"/>
        <v>BLOCKED</v>
      </c>
      <c r="J186" s="95" t="s">
        <v>17</v>
      </c>
      <c r="K186" s="89" t="s">
        <v>78</v>
      </c>
      <c r="L186" s="89" t="s">
        <v>27</v>
      </c>
      <c r="M186" s="97" t="s">
        <v>469</v>
      </c>
      <c r="N186" s="137" t="s">
        <v>856</v>
      </c>
      <c r="O186" s="86"/>
      <c r="P186" s="97" t="s">
        <v>37</v>
      </c>
      <c r="Q186" s="139" t="s">
        <v>1134</v>
      </c>
      <c r="R186" s="100"/>
      <c r="S186" s="134"/>
      <c r="T186" s="80" t="s">
        <v>472</v>
      </c>
      <c r="U186" s="6"/>
      <c r="V186" s="6"/>
      <c r="W186" s="6"/>
      <c r="X186" s="6"/>
      <c r="Y186" s="6"/>
      <c r="Z186" s="6"/>
      <c r="AA186" s="6"/>
      <c r="AB186" s="6"/>
      <c r="AC186" s="6"/>
      <c r="AD186" s="6"/>
      <c r="AE186" s="6"/>
      <c r="AF186" s="6"/>
      <c r="AG186" s="6"/>
      <c r="AH186" s="6"/>
      <c r="AI186" s="6"/>
      <c r="AJ186" s="6"/>
      <c r="AK186" s="6"/>
      <c r="AL186" s="6"/>
      <c r="AM186" s="6"/>
      <c r="AN186" s="6"/>
      <c r="AO186" s="6"/>
      <c r="AP186" s="6"/>
    </row>
    <row r="187" ht="17.25" customHeight="1">
      <c r="A187" s="103"/>
      <c r="B187" s="103"/>
      <c r="C187" s="86" t="s">
        <v>1138</v>
      </c>
      <c r="D187" s="86"/>
      <c r="E187" s="86" t="s">
        <v>1139</v>
      </c>
      <c r="F187" s="87" t="s">
        <v>260</v>
      </c>
      <c r="G187" s="89" t="s">
        <v>146</v>
      </c>
      <c r="H187" s="89" t="s">
        <v>85</v>
      </c>
      <c r="I187" s="89" t="str">
        <f t="shared" si="3"/>
        <v>NOT_STARTED</v>
      </c>
      <c r="J187" s="95" t="s">
        <v>27</v>
      </c>
      <c r="K187" s="89" t="s">
        <v>78</v>
      </c>
      <c r="L187" s="89" t="s">
        <v>27</v>
      </c>
      <c r="M187" s="97" t="s">
        <v>498</v>
      </c>
      <c r="N187" s="137" t="s">
        <v>856</v>
      </c>
      <c r="O187" s="86"/>
      <c r="P187" s="97" t="s">
        <v>37</v>
      </c>
      <c r="Q187" s="139" t="s">
        <v>1142</v>
      </c>
      <c r="R187" s="100"/>
      <c r="S187" s="134"/>
      <c r="T187" s="80" t="s">
        <v>82</v>
      </c>
      <c r="U187" s="6"/>
      <c r="V187" s="6"/>
      <c r="W187" s="6"/>
      <c r="X187" s="6"/>
      <c r="Y187" s="6"/>
      <c r="Z187" s="6"/>
      <c r="AA187" s="6"/>
      <c r="AB187" s="6"/>
      <c r="AC187" s="6"/>
      <c r="AD187" s="6"/>
      <c r="AE187" s="6"/>
      <c r="AF187" s="6"/>
      <c r="AG187" s="6"/>
      <c r="AH187" s="6"/>
      <c r="AI187" s="6"/>
      <c r="AJ187" s="6"/>
      <c r="AK187" s="6"/>
      <c r="AL187" s="6"/>
      <c r="AM187" s="6"/>
      <c r="AN187" s="6"/>
      <c r="AO187" s="6"/>
      <c r="AP187" s="6"/>
    </row>
    <row r="188" ht="17.25" customHeight="1">
      <c r="A188" s="103"/>
      <c r="B188" s="103"/>
      <c r="C188" s="87" t="s">
        <v>1143</v>
      </c>
      <c r="D188" s="87">
        <v>2061612.0</v>
      </c>
      <c r="E188" s="87" t="s">
        <v>1144</v>
      </c>
      <c r="F188" s="87" t="s">
        <v>73</v>
      </c>
      <c r="G188" s="95" t="s">
        <v>74</v>
      </c>
      <c r="H188" s="95" t="s">
        <v>85</v>
      </c>
      <c r="I188" s="89" t="str">
        <f t="shared" si="3"/>
        <v>PASSED</v>
      </c>
      <c r="J188" s="89" t="s">
        <v>27</v>
      </c>
      <c r="K188" s="95" t="s">
        <v>86</v>
      </c>
      <c r="L188" s="95" t="s">
        <v>12</v>
      </c>
      <c r="M188" s="129" t="s">
        <v>1023</v>
      </c>
      <c r="N188" s="155" t="s">
        <v>856</v>
      </c>
      <c r="O188" s="86"/>
      <c r="P188" s="129" t="s">
        <v>37</v>
      </c>
      <c r="Q188" s="139" t="s">
        <v>1145</v>
      </c>
      <c r="R188" s="109" t="s">
        <v>1146</v>
      </c>
      <c r="S188" s="139" t="s">
        <v>1147</v>
      </c>
      <c r="T188" s="128">
        <v>46149.0</v>
      </c>
      <c r="U188" s="6"/>
      <c r="V188" s="6"/>
      <c r="W188" s="6"/>
      <c r="X188" s="6"/>
      <c r="Y188" s="6"/>
      <c r="Z188" s="6"/>
      <c r="AA188" s="6"/>
      <c r="AB188" s="6"/>
      <c r="AC188" s="6"/>
      <c r="AD188" s="6"/>
      <c r="AE188" s="6"/>
      <c r="AF188" s="6"/>
      <c r="AG188" s="6"/>
      <c r="AH188" s="6"/>
      <c r="AI188" s="6"/>
      <c r="AJ188" s="6"/>
      <c r="AK188" s="6"/>
      <c r="AL188" s="6"/>
      <c r="AM188" s="6"/>
      <c r="AN188" s="6"/>
      <c r="AO188" s="6"/>
      <c r="AP188" s="6"/>
    </row>
    <row r="189" ht="17.25" customHeight="1">
      <c r="A189" s="103"/>
      <c r="B189" s="26"/>
      <c r="C189" s="87" t="s">
        <v>1148</v>
      </c>
      <c r="D189" s="87">
        <v>2061613.0</v>
      </c>
      <c r="E189" s="87" t="s">
        <v>1149</v>
      </c>
      <c r="F189" s="87" t="s">
        <v>260</v>
      </c>
      <c r="G189" s="95" t="s">
        <v>74</v>
      </c>
      <c r="H189" s="95" t="s">
        <v>85</v>
      </c>
      <c r="I189" s="89" t="str">
        <f t="shared" si="3"/>
        <v>PASSED</v>
      </c>
      <c r="J189" s="89" t="s">
        <v>27</v>
      </c>
      <c r="K189" s="95" t="s">
        <v>86</v>
      </c>
      <c r="L189" s="95" t="s">
        <v>12</v>
      </c>
      <c r="M189" s="129" t="s">
        <v>1023</v>
      </c>
      <c r="N189" s="155" t="s">
        <v>856</v>
      </c>
      <c r="O189" s="87" t="s">
        <v>1150</v>
      </c>
      <c r="P189" s="129" t="s">
        <v>37</v>
      </c>
      <c r="Q189" s="139" t="s">
        <v>1151</v>
      </c>
      <c r="R189" s="109" t="s">
        <v>1152</v>
      </c>
      <c r="S189" s="139" t="s">
        <v>1147</v>
      </c>
      <c r="T189" s="128">
        <v>46149.0</v>
      </c>
      <c r="U189" s="6"/>
      <c r="V189" s="6"/>
      <c r="W189" s="6"/>
      <c r="X189" s="6"/>
      <c r="Y189" s="6"/>
      <c r="Z189" s="6"/>
      <c r="AA189" s="6"/>
      <c r="AB189" s="6"/>
      <c r="AC189" s="6"/>
      <c r="AD189" s="6"/>
      <c r="AE189" s="6"/>
      <c r="AF189" s="6"/>
      <c r="AG189" s="6"/>
      <c r="AH189" s="6"/>
      <c r="AI189" s="6"/>
      <c r="AJ189" s="6"/>
      <c r="AK189" s="6"/>
      <c r="AL189" s="6"/>
      <c r="AM189" s="6"/>
      <c r="AN189" s="6"/>
      <c r="AO189" s="6"/>
      <c r="AP189" s="6"/>
    </row>
    <row r="190" ht="17.25" customHeight="1">
      <c r="A190" s="103"/>
      <c r="B190" s="84" t="s">
        <v>1153</v>
      </c>
      <c r="C190" s="86" t="s">
        <v>762</v>
      </c>
      <c r="D190" s="86"/>
      <c r="E190" s="86" t="s">
        <v>763</v>
      </c>
      <c r="F190" s="86" t="s">
        <v>73</v>
      </c>
      <c r="G190" s="89" t="s">
        <v>74</v>
      </c>
      <c r="H190" s="89" t="s">
        <v>75</v>
      </c>
      <c r="I190" s="89" t="str">
        <f t="shared" si="3"/>
        <v>BLOCKED</v>
      </c>
      <c r="J190" s="95" t="s">
        <v>17</v>
      </c>
      <c r="K190" s="89" t="s">
        <v>78</v>
      </c>
      <c r="L190" s="89" t="s">
        <v>27</v>
      </c>
      <c r="M190" s="97" t="s">
        <v>1154</v>
      </c>
      <c r="N190" s="137" t="s">
        <v>856</v>
      </c>
      <c r="O190" s="86"/>
      <c r="P190" s="97" t="s">
        <v>37</v>
      </c>
      <c r="Q190" s="139" t="s">
        <v>1155</v>
      </c>
      <c r="R190" s="100"/>
      <c r="S190" s="134"/>
      <c r="T190" s="80" t="s">
        <v>1156</v>
      </c>
      <c r="U190" s="6"/>
      <c r="V190" s="6"/>
      <c r="W190" s="6"/>
      <c r="X190" s="6"/>
      <c r="Y190" s="6"/>
      <c r="Z190" s="6"/>
      <c r="AA190" s="6"/>
      <c r="AB190" s="6"/>
      <c r="AC190" s="6"/>
      <c r="AD190" s="6"/>
      <c r="AE190" s="6"/>
      <c r="AF190" s="6"/>
      <c r="AG190" s="6"/>
      <c r="AH190" s="6"/>
      <c r="AI190" s="6"/>
      <c r="AJ190" s="6"/>
      <c r="AK190" s="6"/>
      <c r="AL190" s="6"/>
      <c r="AM190" s="6"/>
      <c r="AN190" s="6"/>
      <c r="AO190" s="6"/>
      <c r="AP190" s="6"/>
    </row>
    <row r="191" ht="17.25" customHeight="1">
      <c r="A191" s="103"/>
      <c r="B191" s="103"/>
      <c r="C191" s="86" t="s">
        <v>767</v>
      </c>
      <c r="D191" s="86"/>
      <c r="E191" s="86" t="s">
        <v>768</v>
      </c>
      <c r="F191" s="86" t="s">
        <v>73</v>
      </c>
      <c r="G191" s="89" t="s">
        <v>74</v>
      </c>
      <c r="H191" s="89" t="s">
        <v>75</v>
      </c>
      <c r="I191" s="89" t="str">
        <f t="shared" si="3"/>
        <v>BLOCKED</v>
      </c>
      <c r="J191" s="95" t="s">
        <v>17</v>
      </c>
      <c r="K191" s="89" t="s">
        <v>78</v>
      </c>
      <c r="L191" s="89" t="s">
        <v>27</v>
      </c>
      <c r="M191" s="97" t="s">
        <v>1157</v>
      </c>
      <c r="N191" s="137" t="s">
        <v>856</v>
      </c>
      <c r="O191" s="86"/>
      <c r="P191" s="97" t="s">
        <v>37</v>
      </c>
      <c r="Q191" s="139" t="s">
        <v>1158</v>
      </c>
      <c r="R191" s="100"/>
      <c r="S191" s="134"/>
      <c r="T191" s="80" t="s">
        <v>1159</v>
      </c>
      <c r="U191" s="6"/>
      <c r="V191" s="6"/>
      <c r="W191" s="6"/>
      <c r="X191" s="6"/>
      <c r="Y191" s="6"/>
      <c r="Z191" s="6"/>
      <c r="AA191" s="6"/>
      <c r="AB191" s="6"/>
      <c r="AC191" s="6"/>
      <c r="AD191" s="6"/>
      <c r="AE191" s="6"/>
      <c r="AF191" s="6"/>
      <c r="AG191" s="6"/>
      <c r="AH191" s="6"/>
      <c r="AI191" s="6"/>
      <c r="AJ191" s="6"/>
      <c r="AK191" s="6"/>
      <c r="AL191" s="6"/>
      <c r="AM191" s="6"/>
      <c r="AN191" s="6"/>
      <c r="AO191" s="6"/>
      <c r="AP191" s="6"/>
    </row>
    <row r="192" ht="17.25" customHeight="1">
      <c r="A192" s="103"/>
      <c r="B192" s="103"/>
      <c r="C192" s="86" t="s">
        <v>1160</v>
      </c>
      <c r="D192" s="86"/>
      <c r="E192" s="86" t="s">
        <v>1161</v>
      </c>
      <c r="F192" s="86" t="s">
        <v>73</v>
      </c>
      <c r="G192" s="89" t="s">
        <v>146</v>
      </c>
      <c r="H192" s="89" t="s">
        <v>85</v>
      </c>
      <c r="I192" s="89" t="str">
        <f t="shared" si="3"/>
        <v>BLOCKED</v>
      </c>
      <c r="J192" s="95" t="s">
        <v>17</v>
      </c>
      <c r="K192" s="89" t="s">
        <v>78</v>
      </c>
      <c r="L192" s="89" t="s">
        <v>27</v>
      </c>
      <c r="M192" s="97" t="s">
        <v>1162</v>
      </c>
      <c r="N192" s="137" t="s">
        <v>856</v>
      </c>
      <c r="O192" s="86"/>
      <c r="P192" s="97" t="s">
        <v>37</v>
      </c>
      <c r="Q192" s="139" t="s">
        <v>1163</v>
      </c>
      <c r="R192" s="100"/>
      <c r="S192" s="134"/>
      <c r="T192" s="80" t="s">
        <v>1159</v>
      </c>
      <c r="U192" s="6"/>
      <c r="V192" s="6"/>
      <c r="W192" s="6"/>
      <c r="X192" s="6"/>
      <c r="Y192" s="6"/>
      <c r="Z192" s="6"/>
      <c r="AA192" s="6"/>
      <c r="AB192" s="6"/>
      <c r="AC192" s="6"/>
      <c r="AD192" s="6"/>
      <c r="AE192" s="6"/>
      <c r="AF192" s="6"/>
      <c r="AG192" s="6"/>
      <c r="AH192" s="6"/>
      <c r="AI192" s="6"/>
      <c r="AJ192" s="6"/>
      <c r="AK192" s="6"/>
      <c r="AL192" s="6"/>
      <c r="AM192" s="6"/>
      <c r="AN192" s="6"/>
      <c r="AO192" s="6"/>
      <c r="AP192" s="6"/>
    </row>
    <row r="193" ht="17.25" customHeight="1">
      <c r="A193" s="26"/>
      <c r="B193" s="26"/>
      <c r="C193" s="86" t="s">
        <v>1164</v>
      </c>
      <c r="D193" s="86"/>
      <c r="E193" s="86" t="s">
        <v>1165</v>
      </c>
      <c r="F193" s="86" t="s">
        <v>73</v>
      </c>
      <c r="G193" s="89" t="s">
        <v>146</v>
      </c>
      <c r="H193" s="89" t="s">
        <v>85</v>
      </c>
      <c r="I193" s="89" t="str">
        <f t="shared" si="3"/>
        <v>BLOCKED</v>
      </c>
      <c r="J193" s="95" t="s">
        <v>17</v>
      </c>
      <c r="K193" s="89" t="s">
        <v>78</v>
      </c>
      <c r="L193" s="89" t="s">
        <v>27</v>
      </c>
      <c r="M193" s="97" t="s">
        <v>1162</v>
      </c>
      <c r="N193" s="137" t="s">
        <v>856</v>
      </c>
      <c r="O193" s="86"/>
      <c r="P193" s="97" t="s">
        <v>37</v>
      </c>
      <c r="Q193" s="139" t="s">
        <v>1166</v>
      </c>
      <c r="R193" s="100"/>
      <c r="S193" s="134"/>
      <c r="T193" s="80" t="s">
        <v>1159</v>
      </c>
      <c r="U193" s="6"/>
      <c r="V193" s="6"/>
      <c r="W193" s="6"/>
      <c r="X193" s="6"/>
      <c r="Y193" s="6"/>
      <c r="Z193" s="6"/>
      <c r="AA193" s="6"/>
      <c r="AB193" s="6"/>
      <c r="AC193" s="6"/>
      <c r="AD193" s="6"/>
      <c r="AE193" s="6"/>
      <c r="AF193" s="6"/>
      <c r="AG193" s="6"/>
      <c r="AH193" s="6"/>
      <c r="AI193" s="6"/>
      <c r="AJ193" s="6"/>
      <c r="AK193" s="6"/>
      <c r="AL193" s="6"/>
      <c r="AM193" s="6"/>
      <c r="AN193" s="6"/>
      <c r="AO193" s="6"/>
      <c r="AP193" s="6"/>
    </row>
    <row r="194" ht="17.25" customHeight="1">
      <c r="A194" s="156" t="s">
        <v>1167</v>
      </c>
      <c r="B194" s="84" t="s">
        <v>278</v>
      </c>
      <c r="C194" s="87" t="s">
        <v>516</v>
      </c>
      <c r="D194" s="87">
        <v>2061501.0</v>
      </c>
      <c r="E194" s="87" t="s">
        <v>1168</v>
      </c>
      <c r="F194" s="87" t="s">
        <v>73</v>
      </c>
      <c r="G194" s="95" t="s">
        <v>74</v>
      </c>
      <c r="H194" s="95" t="s">
        <v>85</v>
      </c>
      <c r="I194" s="89" t="str">
        <f t="shared" si="3"/>
        <v>PASSED</v>
      </c>
      <c r="J194" s="89" t="s">
        <v>27</v>
      </c>
      <c r="K194" s="95" t="s">
        <v>86</v>
      </c>
      <c r="L194" s="95" t="s">
        <v>12</v>
      </c>
      <c r="M194" s="129" t="s">
        <v>1169</v>
      </c>
      <c r="N194" s="155" t="s">
        <v>856</v>
      </c>
      <c r="O194" s="86"/>
      <c r="P194" s="129" t="s">
        <v>37</v>
      </c>
      <c r="Q194" s="139" t="s">
        <v>1170</v>
      </c>
      <c r="R194" s="109" t="s">
        <v>1171</v>
      </c>
      <c r="S194" s="139" t="s">
        <v>1172</v>
      </c>
      <c r="T194" s="128">
        <v>46177.0</v>
      </c>
      <c r="U194" s="6"/>
      <c r="V194" s="6"/>
      <c r="W194" s="6"/>
      <c r="X194" s="6"/>
      <c r="Y194" s="6"/>
      <c r="Z194" s="6"/>
      <c r="AA194" s="6"/>
      <c r="AB194" s="6"/>
      <c r="AC194" s="6"/>
      <c r="AD194" s="6"/>
      <c r="AE194" s="6"/>
      <c r="AF194" s="6"/>
      <c r="AG194" s="6"/>
      <c r="AH194" s="6"/>
      <c r="AI194" s="6"/>
      <c r="AJ194" s="6"/>
      <c r="AK194" s="6"/>
      <c r="AL194" s="6"/>
      <c r="AM194" s="6"/>
      <c r="AN194" s="6"/>
      <c r="AO194" s="6"/>
      <c r="AP194" s="6"/>
    </row>
    <row r="195" ht="17.25" customHeight="1">
      <c r="A195" s="103"/>
      <c r="B195" s="103"/>
      <c r="C195" s="86" t="s">
        <v>520</v>
      </c>
      <c r="D195" s="86"/>
      <c r="E195" s="86" t="s">
        <v>521</v>
      </c>
      <c r="F195" s="86" t="s">
        <v>73</v>
      </c>
      <c r="G195" s="89" t="s">
        <v>74</v>
      </c>
      <c r="H195" s="89" t="s">
        <v>85</v>
      </c>
      <c r="I195" s="89" t="str">
        <f t="shared" si="3"/>
        <v>BLOCKED</v>
      </c>
      <c r="J195" s="95" t="s">
        <v>17</v>
      </c>
      <c r="K195" s="89" t="s">
        <v>78</v>
      </c>
      <c r="L195" s="89" t="s">
        <v>27</v>
      </c>
      <c r="M195" s="97" t="s">
        <v>1173</v>
      </c>
      <c r="N195" s="137" t="s">
        <v>856</v>
      </c>
      <c r="O195" s="86"/>
      <c r="P195" s="97" t="s">
        <v>37</v>
      </c>
      <c r="Q195" s="139" t="s">
        <v>1174</v>
      </c>
      <c r="R195" s="100"/>
      <c r="S195" s="134"/>
      <c r="T195" s="80" t="s">
        <v>281</v>
      </c>
      <c r="U195" s="6"/>
      <c r="V195" s="6"/>
      <c r="W195" s="6"/>
      <c r="X195" s="6"/>
      <c r="Y195" s="6"/>
      <c r="Z195" s="6"/>
      <c r="AA195" s="6"/>
      <c r="AB195" s="6"/>
      <c r="AC195" s="6"/>
      <c r="AD195" s="6"/>
      <c r="AE195" s="6"/>
      <c r="AF195" s="6"/>
      <c r="AG195" s="6"/>
      <c r="AH195" s="6"/>
      <c r="AI195" s="6"/>
      <c r="AJ195" s="6"/>
      <c r="AK195" s="6"/>
      <c r="AL195" s="6"/>
      <c r="AM195" s="6"/>
      <c r="AN195" s="6"/>
      <c r="AO195" s="6"/>
      <c r="AP195" s="6"/>
    </row>
    <row r="196" ht="17.25" customHeight="1">
      <c r="A196" s="103"/>
      <c r="B196" s="103"/>
      <c r="C196" s="86" t="s">
        <v>525</v>
      </c>
      <c r="D196" s="86"/>
      <c r="E196" s="86" t="s">
        <v>526</v>
      </c>
      <c r="F196" s="86" t="s">
        <v>121</v>
      </c>
      <c r="G196" s="89" t="s">
        <v>74</v>
      </c>
      <c r="H196" s="89" t="s">
        <v>75</v>
      </c>
      <c r="I196" s="89" t="str">
        <f t="shared" si="3"/>
        <v>BLOCKED</v>
      </c>
      <c r="J196" s="95" t="s">
        <v>17</v>
      </c>
      <c r="K196" s="89" t="s">
        <v>78</v>
      </c>
      <c r="L196" s="89" t="s">
        <v>27</v>
      </c>
      <c r="M196" s="97" t="s">
        <v>869</v>
      </c>
      <c r="N196" s="137" t="s">
        <v>856</v>
      </c>
      <c r="O196" s="86"/>
      <c r="P196" s="97" t="s">
        <v>37</v>
      </c>
      <c r="Q196" s="139" t="s">
        <v>1175</v>
      </c>
      <c r="R196" s="100"/>
      <c r="S196" s="134"/>
      <c r="T196" s="80" t="s">
        <v>286</v>
      </c>
      <c r="U196" s="6"/>
      <c r="V196" s="6"/>
      <c r="W196" s="6"/>
      <c r="X196" s="6"/>
      <c r="Y196" s="6"/>
      <c r="Z196" s="6"/>
      <c r="AA196" s="6"/>
      <c r="AB196" s="6"/>
      <c r="AC196" s="6"/>
      <c r="AD196" s="6"/>
      <c r="AE196" s="6"/>
      <c r="AF196" s="6"/>
      <c r="AG196" s="6"/>
      <c r="AH196" s="6"/>
      <c r="AI196" s="6"/>
      <c r="AJ196" s="6"/>
      <c r="AK196" s="6"/>
      <c r="AL196" s="6"/>
      <c r="AM196" s="6"/>
      <c r="AN196" s="6"/>
      <c r="AO196" s="6"/>
      <c r="AP196" s="6"/>
    </row>
    <row r="197" ht="17.25" customHeight="1">
      <c r="A197" s="103"/>
      <c r="B197" s="103"/>
      <c r="C197" s="86" t="s">
        <v>531</v>
      </c>
      <c r="D197" s="86"/>
      <c r="E197" s="86" t="s">
        <v>532</v>
      </c>
      <c r="F197" s="86" t="s">
        <v>121</v>
      </c>
      <c r="G197" s="89" t="s">
        <v>74</v>
      </c>
      <c r="H197" s="89" t="s">
        <v>75</v>
      </c>
      <c r="I197" s="89" t="str">
        <f t="shared" si="3"/>
        <v>BLOCKED</v>
      </c>
      <c r="J197" s="95" t="s">
        <v>17</v>
      </c>
      <c r="K197" s="89" t="s">
        <v>78</v>
      </c>
      <c r="L197" s="89" t="s">
        <v>27</v>
      </c>
      <c r="M197" s="97" t="s">
        <v>869</v>
      </c>
      <c r="N197" s="137" t="s">
        <v>856</v>
      </c>
      <c r="O197" s="86"/>
      <c r="P197" s="97" t="s">
        <v>37</v>
      </c>
      <c r="Q197" s="139" t="s">
        <v>1176</v>
      </c>
      <c r="R197" s="100"/>
      <c r="S197" s="134"/>
      <c r="T197" s="80" t="s">
        <v>286</v>
      </c>
      <c r="U197" s="6"/>
      <c r="V197" s="6"/>
      <c r="W197" s="6"/>
      <c r="X197" s="6"/>
      <c r="Y197" s="6"/>
      <c r="Z197" s="6"/>
      <c r="AA197" s="6"/>
      <c r="AB197" s="6"/>
      <c r="AC197" s="6"/>
      <c r="AD197" s="6"/>
      <c r="AE197" s="6"/>
      <c r="AF197" s="6"/>
      <c r="AG197" s="6"/>
      <c r="AH197" s="6"/>
      <c r="AI197" s="6"/>
      <c r="AJ197" s="6"/>
      <c r="AK197" s="6"/>
      <c r="AL197" s="6"/>
      <c r="AM197" s="6"/>
      <c r="AN197" s="6"/>
      <c r="AO197" s="6"/>
      <c r="AP197" s="6"/>
    </row>
    <row r="198" ht="17.25" customHeight="1">
      <c r="A198" s="103"/>
      <c r="B198" s="103"/>
      <c r="C198" s="86" t="s">
        <v>536</v>
      </c>
      <c r="D198" s="86"/>
      <c r="E198" s="86" t="s">
        <v>537</v>
      </c>
      <c r="F198" s="86" t="s">
        <v>121</v>
      </c>
      <c r="G198" s="89" t="s">
        <v>74</v>
      </c>
      <c r="H198" s="89" t="s">
        <v>75</v>
      </c>
      <c r="I198" s="89" t="str">
        <f t="shared" si="3"/>
        <v>BLOCKED</v>
      </c>
      <c r="J198" s="95" t="s">
        <v>17</v>
      </c>
      <c r="K198" s="89" t="s">
        <v>78</v>
      </c>
      <c r="L198" s="89" t="s">
        <v>27</v>
      </c>
      <c r="M198" s="97" t="s">
        <v>1177</v>
      </c>
      <c r="N198" s="137" t="s">
        <v>856</v>
      </c>
      <c r="O198" s="86"/>
      <c r="P198" s="97" t="s">
        <v>37</v>
      </c>
      <c r="Q198" s="139" t="s">
        <v>1178</v>
      </c>
      <c r="R198" s="100"/>
      <c r="S198" s="134"/>
      <c r="T198" s="80" t="s">
        <v>871</v>
      </c>
      <c r="U198" s="6"/>
      <c r="V198" s="6"/>
      <c r="W198" s="6"/>
      <c r="X198" s="6"/>
      <c r="Y198" s="6"/>
      <c r="Z198" s="6"/>
      <c r="AA198" s="6"/>
      <c r="AB198" s="6"/>
      <c r="AC198" s="6"/>
      <c r="AD198" s="6"/>
      <c r="AE198" s="6"/>
      <c r="AF198" s="6"/>
      <c r="AG198" s="6"/>
      <c r="AH198" s="6"/>
      <c r="AI198" s="6"/>
      <c r="AJ198" s="6"/>
      <c r="AK198" s="6"/>
      <c r="AL198" s="6"/>
      <c r="AM198" s="6"/>
      <c r="AN198" s="6"/>
      <c r="AO198" s="6"/>
      <c r="AP198" s="6"/>
    </row>
    <row r="199" ht="17.25" customHeight="1">
      <c r="A199" s="103"/>
      <c r="B199" s="103"/>
      <c r="C199" s="86" t="s">
        <v>540</v>
      </c>
      <c r="D199" s="86"/>
      <c r="E199" s="86" t="s">
        <v>542</v>
      </c>
      <c r="F199" s="86" t="s">
        <v>73</v>
      </c>
      <c r="G199" s="89" t="s">
        <v>74</v>
      </c>
      <c r="H199" s="89" t="s">
        <v>75</v>
      </c>
      <c r="I199" s="89" t="str">
        <f t="shared" si="3"/>
        <v>BLOCKED</v>
      </c>
      <c r="J199" s="95" t="s">
        <v>17</v>
      </c>
      <c r="K199" s="89" t="s">
        <v>78</v>
      </c>
      <c r="L199" s="89" t="s">
        <v>27</v>
      </c>
      <c r="M199" s="97" t="s">
        <v>285</v>
      </c>
      <c r="N199" s="137" t="s">
        <v>856</v>
      </c>
      <c r="O199" s="86"/>
      <c r="P199" s="97" t="s">
        <v>37</v>
      </c>
      <c r="Q199" s="139" t="s">
        <v>1179</v>
      </c>
      <c r="R199" s="100"/>
      <c r="S199" s="134"/>
      <c r="T199" s="80" t="s">
        <v>286</v>
      </c>
      <c r="U199" s="6"/>
      <c r="V199" s="6"/>
      <c r="W199" s="6"/>
      <c r="X199" s="6"/>
      <c r="Y199" s="6"/>
      <c r="Z199" s="6"/>
      <c r="AA199" s="6"/>
      <c r="AB199" s="6"/>
      <c r="AC199" s="6"/>
      <c r="AD199" s="6"/>
      <c r="AE199" s="6"/>
      <c r="AF199" s="6"/>
      <c r="AG199" s="6"/>
      <c r="AH199" s="6"/>
      <c r="AI199" s="6"/>
      <c r="AJ199" s="6"/>
      <c r="AK199" s="6"/>
      <c r="AL199" s="6"/>
      <c r="AM199" s="6"/>
      <c r="AN199" s="6"/>
      <c r="AO199" s="6"/>
      <c r="AP199" s="6"/>
    </row>
    <row r="200" ht="17.25" customHeight="1">
      <c r="A200" s="103"/>
      <c r="B200" s="103"/>
      <c r="C200" s="86" t="s">
        <v>544</v>
      </c>
      <c r="D200" s="86"/>
      <c r="E200" s="86" t="s">
        <v>545</v>
      </c>
      <c r="F200" s="86" t="s">
        <v>73</v>
      </c>
      <c r="G200" s="89" t="s">
        <v>74</v>
      </c>
      <c r="H200" s="89" t="s">
        <v>75</v>
      </c>
      <c r="I200" s="89" t="str">
        <f t="shared" si="3"/>
        <v>BLOCKED</v>
      </c>
      <c r="J200" s="95" t="s">
        <v>17</v>
      </c>
      <c r="K200" s="89" t="s">
        <v>78</v>
      </c>
      <c r="L200" s="89" t="s">
        <v>27</v>
      </c>
      <c r="M200" s="97" t="s">
        <v>1180</v>
      </c>
      <c r="N200" s="137" t="s">
        <v>856</v>
      </c>
      <c r="O200" s="86"/>
      <c r="P200" s="97" t="s">
        <v>37</v>
      </c>
      <c r="Q200" s="139" t="s">
        <v>1181</v>
      </c>
      <c r="R200" s="100"/>
      <c r="S200" s="134"/>
      <c r="T200" s="80" t="s">
        <v>1125</v>
      </c>
      <c r="U200" s="6"/>
      <c r="V200" s="6"/>
      <c r="W200" s="6"/>
      <c r="X200" s="6"/>
      <c r="Y200" s="6"/>
      <c r="Z200" s="6"/>
      <c r="AA200" s="6"/>
      <c r="AB200" s="6"/>
      <c r="AC200" s="6"/>
      <c r="AD200" s="6"/>
      <c r="AE200" s="6"/>
      <c r="AF200" s="6"/>
      <c r="AG200" s="6"/>
      <c r="AH200" s="6"/>
      <c r="AI200" s="6"/>
      <c r="AJ200" s="6"/>
      <c r="AK200" s="6"/>
      <c r="AL200" s="6"/>
      <c r="AM200" s="6"/>
      <c r="AN200" s="6"/>
      <c r="AO200" s="6"/>
      <c r="AP200" s="6"/>
    </row>
    <row r="201" ht="17.25" customHeight="1">
      <c r="A201" s="103"/>
      <c r="B201" s="103"/>
      <c r="C201" s="86" t="s">
        <v>549</v>
      </c>
      <c r="D201" s="86"/>
      <c r="E201" s="86" t="s">
        <v>550</v>
      </c>
      <c r="F201" s="86" t="s">
        <v>73</v>
      </c>
      <c r="G201" s="89" t="s">
        <v>74</v>
      </c>
      <c r="H201" s="89" t="s">
        <v>75</v>
      </c>
      <c r="I201" s="89" t="str">
        <f t="shared" si="3"/>
        <v>BLOCKED</v>
      </c>
      <c r="J201" s="95" t="s">
        <v>17</v>
      </c>
      <c r="K201" s="89" t="s">
        <v>78</v>
      </c>
      <c r="L201" s="89" t="s">
        <v>27</v>
      </c>
      <c r="M201" s="97" t="s">
        <v>1182</v>
      </c>
      <c r="N201" s="137" t="s">
        <v>856</v>
      </c>
      <c r="O201" s="86"/>
      <c r="P201" s="97" t="s">
        <v>37</v>
      </c>
      <c r="Q201" s="139" t="s">
        <v>1183</v>
      </c>
      <c r="R201" s="100"/>
      <c r="S201" s="134"/>
      <c r="T201" s="80" t="s">
        <v>1184</v>
      </c>
      <c r="U201" s="6"/>
      <c r="V201" s="6"/>
      <c r="W201" s="6"/>
      <c r="X201" s="6"/>
      <c r="Y201" s="6"/>
      <c r="Z201" s="6"/>
      <c r="AA201" s="6"/>
      <c r="AB201" s="6"/>
      <c r="AC201" s="6"/>
      <c r="AD201" s="6"/>
      <c r="AE201" s="6"/>
      <c r="AF201" s="6"/>
      <c r="AG201" s="6"/>
      <c r="AH201" s="6"/>
      <c r="AI201" s="6"/>
      <c r="AJ201" s="6"/>
      <c r="AK201" s="6"/>
      <c r="AL201" s="6"/>
      <c r="AM201" s="6"/>
      <c r="AN201" s="6"/>
      <c r="AO201" s="6"/>
      <c r="AP201" s="6"/>
    </row>
    <row r="202" ht="17.25" customHeight="1">
      <c r="A202" s="103"/>
      <c r="B202" s="103"/>
      <c r="C202" s="86" t="s">
        <v>553</v>
      </c>
      <c r="D202" s="86"/>
      <c r="E202" s="86" t="s">
        <v>554</v>
      </c>
      <c r="F202" s="86" t="s">
        <v>121</v>
      </c>
      <c r="G202" s="89" t="s">
        <v>74</v>
      </c>
      <c r="H202" s="89" t="s">
        <v>75</v>
      </c>
      <c r="I202" s="89" t="str">
        <f t="shared" si="3"/>
        <v>BLOCKED</v>
      </c>
      <c r="J202" s="95" t="s">
        <v>17</v>
      </c>
      <c r="K202" s="89" t="s">
        <v>78</v>
      </c>
      <c r="L202" s="89" t="s">
        <v>27</v>
      </c>
      <c r="M202" s="97" t="s">
        <v>1185</v>
      </c>
      <c r="N202" s="137" t="s">
        <v>856</v>
      </c>
      <c r="O202" s="86"/>
      <c r="P202" s="97" t="s">
        <v>37</v>
      </c>
      <c r="Q202" s="139" t="s">
        <v>1186</v>
      </c>
      <c r="R202" s="100"/>
      <c r="S202" s="134"/>
      <c r="T202" s="80" t="s">
        <v>286</v>
      </c>
      <c r="U202" s="6"/>
      <c r="V202" s="6"/>
      <c r="W202" s="6"/>
      <c r="X202" s="6"/>
      <c r="Y202" s="6"/>
      <c r="Z202" s="6"/>
      <c r="AA202" s="6"/>
      <c r="AB202" s="6"/>
      <c r="AC202" s="6"/>
      <c r="AD202" s="6"/>
      <c r="AE202" s="6"/>
      <c r="AF202" s="6"/>
      <c r="AG202" s="6"/>
      <c r="AH202" s="6"/>
      <c r="AI202" s="6"/>
      <c r="AJ202" s="6"/>
      <c r="AK202" s="6"/>
      <c r="AL202" s="6"/>
      <c r="AM202" s="6"/>
      <c r="AN202" s="6"/>
      <c r="AO202" s="6"/>
      <c r="AP202" s="6"/>
    </row>
    <row r="203" ht="17.25" customHeight="1">
      <c r="A203" s="26"/>
      <c r="B203" s="26"/>
      <c r="C203" s="87" t="s">
        <v>1187</v>
      </c>
      <c r="D203" s="87">
        <v>2061510.0</v>
      </c>
      <c r="E203" s="87" t="s">
        <v>1188</v>
      </c>
      <c r="F203" s="87" t="s">
        <v>260</v>
      </c>
      <c r="G203" s="95" t="s">
        <v>74</v>
      </c>
      <c r="H203" s="95" t="s">
        <v>262</v>
      </c>
      <c r="I203" s="89" t="str">
        <f t="shared" si="3"/>
        <v>FAILED</v>
      </c>
      <c r="J203" s="89" t="s">
        <v>27</v>
      </c>
      <c r="K203" s="95" t="s">
        <v>86</v>
      </c>
      <c r="L203" s="95" t="s">
        <v>13</v>
      </c>
      <c r="M203" s="129" t="s">
        <v>1169</v>
      </c>
      <c r="N203" s="155" t="s">
        <v>856</v>
      </c>
      <c r="O203" s="87" t="s">
        <v>1189</v>
      </c>
      <c r="P203" s="129" t="s">
        <v>37</v>
      </c>
      <c r="Q203" s="139" t="s">
        <v>1190</v>
      </c>
      <c r="R203" s="109" t="s">
        <v>1191</v>
      </c>
      <c r="S203" s="139" t="s">
        <v>1192</v>
      </c>
      <c r="T203" s="128">
        <v>46177.0</v>
      </c>
      <c r="U203" s="6"/>
      <c r="V203" s="6"/>
      <c r="W203" s="6"/>
      <c r="X203" s="6"/>
      <c r="Y203" s="6"/>
      <c r="Z203" s="6"/>
      <c r="AA203" s="6"/>
      <c r="AB203" s="6"/>
      <c r="AC203" s="6"/>
      <c r="AD203" s="6"/>
      <c r="AE203" s="6"/>
      <c r="AF203" s="6"/>
      <c r="AG203" s="6"/>
      <c r="AH203" s="6"/>
      <c r="AI203" s="6"/>
      <c r="AJ203" s="6"/>
      <c r="AK203" s="6"/>
      <c r="AL203" s="6"/>
      <c r="AM203" s="6"/>
      <c r="AN203" s="6"/>
      <c r="AO203" s="6"/>
      <c r="AP203" s="6"/>
    </row>
    <row r="204" ht="17.25" customHeight="1">
      <c r="A204" s="156" t="s">
        <v>69</v>
      </c>
      <c r="B204" s="84" t="s">
        <v>70</v>
      </c>
      <c r="C204" s="86" t="s">
        <v>557</v>
      </c>
      <c r="D204" s="86"/>
      <c r="E204" s="86" t="s">
        <v>558</v>
      </c>
      <c r="F204" s="86" t="s">
        <v>73</v>
      </c>
      <c r="G204" s="89" t="s">
        <v>74</v>
      </c>
      <c r="H204" s="89" t="s">
        <v>75</v>
      </c>
      <c r="I204" s="89" t="str">
        <f t="shared" si="3"/>
        <v>BLOCKED</v>
      </c>
      <c r="J204" s="95" t="s">
        <v>17</v>
      </c>
      <c r="K204" s="89" t="s">
        <v>78</v>
      </c>
      <c r="L204" s="89" t="s">
        <v>27</v>
      </c>
      <c r="M204" s="129" t="s">
        <v>749</v>
      </c>
      <c r="N204" s="137" t="s">
        <v>856</v>
      </c>
      <c r="O204" s="86"/>
      <c r="P204" s="97" t="s">
        <v>37</v>
      </c>
      <c r="Q204" s="139" t="s">
        <v>1193</v>
      </c>
      <c r="R204" s="100"/>
      <c r="S204" s="134"/>
      <c r="T204" s="80" t="s">
        <v>752</v>
      </c>
      <c r="U204" s="6"/>
      <c r="V204" s="6"/>
      <c r="W204" s="6"/>
      <c r="X204" s="6"/>
      <c r="Y204" s="6"/>
      <c r="Z204" s="6"/>
      <c r="AA204" s="6"/>
      <c r="AB204" s="6"/>
      <c r="AC204" s="6"/>
      <c r="AD204" s="6"/>
      <c r="AE204" s="6"/>
      <c r="AF204" s="6"/>
      <c r="AG204" s="6"/>
      <c r="AH204" s="6"/>
      <c r="AI204" s="6"/>
      <c r="AJ204" s="6"/>
      <c r="AK204" s="6"/>
      <c r="AL204" s="6"/>
      <c r="AM204" s="6"/>
      <c r="AN204" s="6"/>
      <c r="AO204" s="6"/>
      <c r="AP204" s="6"/>
    </row>
    <row r="205" ht="17.25" customHeight="1">
      <c r="A205" s="103"/>
      <c r="B205" s="103"/>
      <c r="C205" s="86" t="s">
        <v>561</v>
      </c>
      <c r="D205" s="87">
        <v>2060302.0</v>
      </c>
      <c r="E205" s="86" t="s">
        <v>563</v>
      </c>
      <c r="F205" s="86" t="s">
        <v>73</v>
      </c>
      <c r="G205" s="89" t="s">
        <v>74</v>
      </c>
      <c r="H205" s="89" t="s">
        <v>85</v>
      </c>
      <c r="I205" s="89" t="str">
        <f t="shared" si="3"/>
        <v>PASSED</v>
      </c>
      <c r="J205" s="89" t="s">
        <v>27</v>
      </c>
      <c r="K205" s="95" t="s">
        <v>86</v>
      </c>
      <c r="L205" s="95" t="s">
        <v>12</v>
      </c>
      <c r="M205" s="97" t="s">
        <v>1194</v>
      </c>
      <c r="N205" s="137" t="s">
        <v>856</v>
      </c>
      <c r="O205" s="86"/>
      <c r="P205" s="97" t="s">
        <v>37</v>
      </c>
      <c r="Q205" s="139" t="s">
        <v>1195</v>
      </c>
      <c r="R205" s="109" t="s">
        <v>1196</v>
      </c>
      <c r="S205" s="139" t="s">
        <v>1197</v>
      </c>
      <c r="T205" s="80" t="s">
        <v>92</v>
      </c>
      <c r="U205" s="6"/>
      <c r="V205" s="6"/>
      <c r="W205" s="6"/>
      <c r="X205" s="6"/>
      <c r="Y205" s="6"/>
      <c r="Z205" s="6"/>
      <c r="AA205" s="6"/>
      <c r="AB205" s="6"/>
      <c r="AC205" s="6"/>
      <c r="AD205" s="6"/>
      <c r="AE205" s="6"/>
      <c r="AF205" s="6"/>
      <c r="AG205" s="6"/>
      <c r="AH205" s="6"/>
      <c r="AI205" s="6"/>
      <c r="AJ205" s="6"/>
      <c r="AK205" s="6"/>
      <c r="AL205" s="6"/>
      <c r="AM205" s="6"/>
      <c r="AN205" s="6"/>
      <c r="AO205" s="6"/>
      <c r="AP205" s="6"/>
    </row>
    <row r="206" ht="17.25" customHeight="1">
      <c r="A206" s="103"/>
      <c r="B206" s="103"/>
      <c r="C206" s="87" t="s">
        <v>566</v>
      </c>
      <c r="D206" s="86"/>
      <c r="E206" s="86" t="s">
        <v>567</v>
      </c>
      <c r="F206" s="86" t="s">
        <v>73</v>
      </c>
      <c r="G206" s="89" t="s">
        <v>74</v>
      </c>
      <c r="H206" s="89" t="s">
        <v>85</v>
      </c>
      <c r="I206" s="89" t="str">
        <f t="shared" si="3"/>
        <v>BLOCKED</v>
      </c>
      <c r="J206" s="95" t="s">
        <v>17</v>
      </c>
      <c r="K206" s="89" t="s">
        <v>78</v>
      </c>
      <c r="L206" s="89" t="s">
        <v>27</v>
      </c>
      <c r="M206" s="97" t="s">
        <v>1194</v>
      </c>
      <c r="N206" s="137" t="s">
        <v>856</v>
      </c>
      <c r="O206" s="86"/>
      <c r="P206" s="97" t="s">
        <v>37</v>
      </c>
      <c r="Q206" s="139" t="s">
        <v>1198</v>
      </c>
      <c r="R206" s="100"/>
      <c r="S206" s="134"/>
      <c r="T206" s="80" t="s">
        <v>92</v>
      </c>
      <c r="U206" s="6"/>
      <c r="V206" s="6"/>
      <c r="W206" s="6"/>
      <c r="X206" s="6"/>
      <c r="Y206" s="6"/>
      <c r="Z206" s="6"/>
      <c r="AA206" s="6"/>
      <c r="AB206" s="6"/>
      <c r="AC206" s="6"/>
      <c r="AD206" s="6"/>
      <c r="AE206" s="6"/>
      <c r="AF206" s="6"/>
      <c r="AG206" s="6"/>
      <c r="AH206" s="6"/>
      <c r="AI206" s="6"/>
      <c r="AJ206" s="6"/>
      <c r="AK206" s="6"/>
      <c r="AL206" s="6"/>
      <c r="AM206" s="6"/>
      <c r="AN206" s="6"/>
      <c r="AO206" s="6"/>
      <c r="AP206" s="6"/>
    </row>
    <row r="207" ht="17.25" customHeight="1">
      <c r="A207" s="103"/>
      <c r="B207" s="103"/>
      <c r="C207" s="86" t="s">
        <v>726</v>
      </c>
      <c r="D207" s="86"/>
      <c r="E207" s="86" t="s">
        <v>728</v>
      </c>
      <c r="F207" s="86" t="s">
        <v>73</v>
      </c>
      <c r="G207" s="89" t="s">
        <v>74</v>
      </c>
      <c r="H207" s="89" t="s">
        <v>75</v>
      </c>
      <c r="I207" s="89" t="str">
        <f t="shared" si="3"/>
        <v>BLOCKED</v>
      </c>
      <c r="J207" s="95" t="s">
        <v>17</v>
      </c>
      <c r="K207" s="89" t="s">
        <v>78</v>
      </c>
      <c r="L207" s="89" t="s">
        <v>27</v>
      </c>
      <c r="M207" s="97" t="s">
        <v>1199</v>
      </c>
      <c r="N207" s="137" t="s">
        <v>856</v>
      </c>
      <c r="O207" s="86"/>
      <c r="P207" s="97" t="s">
        <v>37</v>
      </c>
      <c r="Q207" s="139" t="s">
        <v>1200</v>
      </c>
      <c r="R207" s="100"/>
      <c r="S207" s="134"/>
      <c r="T207" s="80" t="s">
        <v>92</v>
      </c>
      <c r="U207" s="6"/>
      <c r="V207" s="6"/>
      <c r="W207" s="6"/>
      <c r="X207" s="6"/>
      <c r="Y207" s="6"/>
      <c r="Z207" s="6"/>
      <c r="AA207" s="6"/>
      <c r="AB207" s="6"/>
      <c r="AC207" s="6"/>
      <c r="AD207" s="6"/>
      <c r="AE207" s="6"/>
      <c r="AF207" s="6"/>
      <c r="AG207" s="6"/>
      <c r="AH207" s="6"/>
      <c r="AI207" s="6"/>
      <c r="AJ207" s="6"/>
      <c r="AK207" s="6"/>
      <c r="AL207" s="6"/>
      <c r="AM207" s="6"/>
      <c r="AN207" s="6"/>
      <c r="AO207" s="6"/>
      <c r="AP207" s="6"/>
    </row>
    <row r="208" ht="17.25" customHeight="1">
      <c r="A208" s="103"/>
      <c r="B208" s="103"/>
      <c r="C208" s="86" t="s">
        <v>732</v>
      </c>
      <c r="D208" s="86"/>
      <c r="E208" s="86" t="s">
        <v>733</v>
      </c>
      <c r="F208" s="86" t="s">
        <v>73</v>
      </c>
      <c r="G208" s="89" t="s">
        <v>74</v>
      </c>
      <c r="H208" s="89" t="s">
        <v>75</v>
      </c>
      <c r="I208" s="89" t="str">
        <f t="shared" si="3"/>
        <v>BLOCKED</v>
      </c>
      <c r="J208" s="95" t="s">
        <v>17</v>
      </c>
      <c r="K208" s="89" t="s">
        <v>78</v>
      </c>
      <c r="L208" s="89" t="s">
        <v>27</v>
      </c>
      <c r="M208" s="97" t="s">
        <v>1201</v>
      </c>
      <c r="N208" s="137" t="s">
        <v>856</v>
      </c>
      <c r="O208" s="86"/>
      <c r="P208" s="97" t="s">
        <v>37</v>
      </c>
      <c r="Q208" s="139" t="s">
        <v>1202</v>
      </c>
      <c r="R208" s="100"/>
      <c r="S208" s="134"/>
      <c r="T208" s="80" t="s">
        <v>752</v>
      </c>
      <c r="U208" s="6"/>
      <c r="V208" s="6"/>
      <c r="W208" s="6"/>
      <c r="X208" s="6"/>
      <c r="Y208" s="6"/>
      <c r="Z208" s="6"/>
      <c r="AA208" s="6"/>
      <c r="AB208" s="6"/>
      <c r="AC208" s="6"/>
      <c r="AD208" s="6"/>
      <c r="AE208" s="6"/>
      <c r="AF208" s="6"/>
      <c r="AG208" s="6"/>
      <c r="AH208" s="6"/>
      <c r="AI208" s="6"/>
      <c r="AJ208" s="6"/>
      <c r="AK208" s="6"/>
      <c r="AL208" s="6"/>
      <c r="AM208" s="6"/>
      <c r="AN208" s="6"/>
      <c r="AO208" s="6"/>
      <c r="AP208" s="6"/>
    </row>
    <row r="209" ht="17.25" customHeight="1">
      <c r="A209" s="103"/>
      <c r="B209" s="103"/>
      <c r="C209" s="86" t="s">
        <v>738</v>
      </c>
      <c r="D209" s="87">
        <v>2060306.0</v>
      </c>
      <c r="E209" s="86" t="s">
        <v>739</v>
      </c>
      <c r="F209" s="86" t="s">
        <v>73</v>
      </c>
      <c r="G209" s="89" t="s">
        <v>74</v>
      </c>
      <c r="H209" s="89" t="s">
        <v>75</v>
      </c>
      <c r="I209" s="89" t="str">
        <f t="shared" si="3"/>
        <v>PASSED</v>
      </c>
      <c r="J209" s="89" t="s">
        <v>27</v>
      </c>
      <c r="K209" s="95" t="s">
        <v>86</v>
      </c>
      <c r="L209" s="95" t="s">
        <v>12</v>
      </c>
      <c r="M209" s="97" t="s">
        <v>1203</v>
      </c>
      <c r="N209" s="137" t="s">
        <v>856</v>
      </c>
      <c r="O209" s="86"/>
      <c r="P209" s="97" t="s">
        <v>37</v>
      </c>
      <c r="Q209" s="139" t="s">
        <v>1204</v>
      </c>
      <c r="R209" s="109" t="s">
        <v>1205</v>
      </c>
      <c r="S209" s="139" t="s">
        <v>1206</v>
      </c>
      <c r="T209" s="80" t="s">
        <v>752</v>
      </c>
      <c r="U209" s="6"/>
      <c r="V209" s="6"/>
      <c r="W209" s="6"/>
      <c r="X209" s="6"/>
      <c r="Y209" s="6"/>
      <c r="Z209" s="6"/>
      <c r="AA209" s="6"/>
      <c r="AB209" s="6"/>
      <c r="AC209" s="6"/>
      <c r="AD209" s="6"/>
      <c r="AE209" s="6"/>
      <c r="AF209" s="6"/>
      <c r="AG209" s="6"/>
      <c r="AH209" s="6"/>
      <c r="AI209" s="6"/>
      <c r="AJ209" s="6"/>
      <c r="AK209" s="6"/>
      <c r="AL209" s="6"/>
      <c r="AM209" s="6"/>
      <c r="AN209" s="6"/>
      <c r="AO209" s="6"/>
      <c r="AP209" s="6"/>
    </row>
    <row r="210" ht="17.25" customHeight="1">
      <c r="A210" s="103"/>
      <c r="B210" s="103"/>
      <c r="C210" s="86" t="s">
        <v>742</v>
      </c>
      <c r="D210" s="86"/>
      <c r="E210" s="86" t="s">
        <v>743</v>
      </c>
      <c r="F210" s="86" t="s">
        <v>121</v>
      </c>
      <c r="G210" s="89" t="s">
        <v>74</v>
      </c>
      <c r="H210" s="89" t="s">
        <v>75</v>
      </c>
      <c r="I210" s="89" t="str">
        <f t="shared" si="3"/>
        <v>BLOCKED</v>
      </c>
      <c r="J210" s="95" t="s">
        <v>17</v>
      </c>
      <c r="K210" s="89" t="s">
        <v>78</v>
      </c>
      <c r="L210" s="89" t="s">
        <v>27</v>
      </c>
      <c r="M210" s="97" t="s">
        <v>126</v>
      </c>
      <c r="N210" s="137" t="s">
        <v>856</v>
      </c>
      <c r="O210" s="86"/>
      <c r="P210" s="97" t="s">
        <v>37</v>
      </c>
      <c r="Q210" s="139" t="s">
        <v>1207</v>
      </c>
      <c r="R210" s="100"/>
      <c r="S210" s="134"/>
      <c r="T210" s="80" t="s">
        <v>129</v>
      </c>
      <c r="U210" s="6"/>
      <c r="V210" s="6"/>
      <c r="W210" s="6"/>
      <c r="X210" s="6"/>
      <c r="Y210" s="6"/>
      <c r="Z210" s="6"/>
      <c r="AA210" s="6"/>
      <c r="AB210" s="6"/>
      <c r="AC210" s="6"/>
      <c r="AD210" s="6"/>
      <c r="AE210" s="6"/>
      <c r="AF210" s="6"/>
      <c r="AG210" s="6"/>
      <c r="AH210" s="6"/>
      <c r="AI210" s="6"/>
      <c r="AJ210" s="6"/>
      <c r="AK210" s="6"/>
      <c r="AL210" s="6"/>
      <c r="AM210" s="6"/>
      <c r="AN210" s="6"/>
      <c r="AO210" s="6"/>
      <c r="AP210" s="6"/>
    </row>
    <row r="211" ht="17.25" customHeight="1">
      <c r="A211" s="103"/>
      <c r="B211" s="103"/>
      <c r="C211" s="86" t="s">
        <v>745</v>
      </c>
      <c r="D211" s="86"/>
      <c r="E211" s="86" t="s">
        <v>746</v>
      </c>
      <c r="F211" s="86" t="s">
        <v>73</v>
      </c>
      <c r="G211" s="89" t="s">
        <v>74</v>
      </c>
      <c r="H211" s="89" t="s">
        <v>85</v>
      </c>
      <c r="I211" s="89" t="str">
        <f t="shared" si="3"/>
        <v>BLOCKED</v>
      </c>
      <c r="J211" s="95" t="s">
        <v>17</v>
      </c>
      <c r="K211" s="89" t="s">
        <v>78</v>
      </c>
      <c r="L211" s="89" t="s">
        <v>27</v>
      </c>
      <c r="M211" s="97" t="s">
        <v>1154</v>
      </c>
      <c r="N211" s="137" t="s">
        <v>856</v>
      </c>
      <c r="O211" s="86"/>
      <c r="P211" s="97" t="s">
        <v>37</v>
      </c>
      <c r="Q211" s="139" t="s">
        <v>1208</v>
      </c>
      <c r="R211" s="100"/>
      <c r="S211" s="134"/>
      <c r="T211" s="80" t="s">
        <v>1156</v>
      </c>
      <c r="U211" s="6"/>
      <c r="V211" s="6"/>
      <c r="W211" s="6"/>
      <c r="X211" s="6"/>
      <c r="Y211" s="6"/>
      <c r="Z211" s="6"/>
      <c r="AA211" s="6"/>
      <c r="AB211" s="6"/>
      <c r="AC211" s="6"/>
      <c r="AD211" s="6"/>
      <c r="AE211" s="6"/>
      <c r="AF211" s="6"/>
      <c r="AG211" s="6"/>
      <c r="AH211" s="6"/>
      <c r="AI211" s="6"/>
      <c r="AJ211" s="6"/>
      <c r="AK211" s="6"/>
      <c r="AL211" s="6"/>
      <c r="AM211" s="6"/>
      <c r="AN211" s="6"/>
      <c r="AO211" s="6"/>
      <c r="AP211" s="6"/>
    </row>
    <row r="212" ht="17.25" customHeight="1">
      <c r="A212" s="103"/>
      <c r="B212" s="103"/>
      <c r="C212" s="86" t="s">
        <v>747</v>
      </c>
      <c r="D212" s="86"/>
      <c r="E212" s="86" t="s">
        <v>748</v>
      </c>
      <c r="F212" s="86" t="s">
        <v>73</v>
      </c>
      <c r="G212" s="89" t="s">
        <v>74</v>
      </c>
      <c r="H212" s="89" t="s">
        <v>85</v>
      </c>
      <c r="I212" s="89" t="str">
        <f t="shared" si="3"/>
        <v>BLOCKED</v>
      </c>
      <c r="J212" s="95" t="s">
        <v>17</v>
      </c>
      <c r="K212" s="89" t="s">
        <v>78</v>
      </c>
      <c r="L212" s="89" t="s">
        <v>27</v>
      </c>
      <c r="M212" s="97" t="s">
        <v>1209</v>
      </c>
      <c r="N212" s="137" t="s">
        <v>856</v>
      </c>
      <c r="O212" s="86"/>
      <c r="P212" s="97" t="s">
        <v>37</v>
      </c>
      <c r="Q212" s="139" t="s">
        <v>1210</v>
      </c>
      <c r="R212" s="100"/>
      <c r="S212" s="134"/>
      <c r="T212" s="80" t="s">
        <v>1156</v>
      </c>
      <c r="U212" s="6"/>
      <c r="V212" s="6"/>
      <c r="W212" s="6"/>
      <c r="X212" s="6"/>
      <c r="Y212" s="6"/>
      <c r="Z212" s="6"/>
      <c r="AA212" s="6"/>
      <c r="AB212" s="6"/>
      <c r="AC212" s="6"/>
      <c r="AD212" s="6"/>
      <c r="AE212" s="6"/>
      <c r="AF212" s="6"/>
      <c r="AG212" s="6"/>
      <c r="AH212" s="6"/>
      <c r="AI212" s="6"/>
      <c r="AJ212" s="6"/>
      <c r="AK212" s="6"/>
      <c r="AL212" s="6"/>
      <c r="AM212" s="6"/>
      <c r="AN212" s="6"/>
      <c r="AO212" s="6"/>
      <c r="AP212" s="6"/>
    </row>
    <row r="213" ht="17.25" customHeight="1">
      <c r="A213" s="103"/>
      <c r="B213" s="103"/>
      <c r="C213" s="86" t="s">
        <v>751</v>
      </c>
      <c r="D213" s="86"/>
      <c r="E213" s="86" t="s">
        <v>753</v>
      </c>
      <c r="F213" s="86" t="s">
        <v>73</v>
      </c>
      <c r="G213" s="89" t="s">
        <v>74</v>
      </c>
      <c r="H213" s="89" t="s">
        <v>75</v>
      </c>
      <c r="I213" s="89" t="str">
        <f t="shared" si="3"/>
        <v>BLOCKED</v>
      </c>
      <c r="J213" s="95" t="s">
        <v>17</v>
      </c>
      <c r="K213" s="89" t="s">
        <v>78</v>
      </c>
      <c r="L213" s="89" t="s">
        <v>27</v>
      </c>
      <c r="M213" s="97" t="s">
        <v>749</v>
      </c>
      <c r="N213" s="137" t="s">
        <v>856</v>
      </c>
      <c r="O213" s="86"/>
      <c r="P213" s="97" t="s">
        <v>37</v>
      </c>
      <c r="Q213" s="139" t="s">
        <v>1212</v>
      </c>
      <c r="R213" s="100"/>
      <c r="S213" s="134"/>
      <c r="T213" s="80" t="s">
        <v>752</v>
      </c>
      <c r="U213" s="6"/>
      <c r="V213" s="6"/>
      <c r="W213" s="6"/>
      <c r="X213" s="6"/>
      <c r="Y213" s="6"/>
      <c r="Z213" s="6"/>
      <c r="AA213" s="6"/>
      <c r="AB213" s="6"/>
      <c r="AC213" s="6"/>
      <c r="AD213" s="6"/>
      <c r="AE213" s="6"/>
      <c r="AF213" s="6"/>
      <c r="AG213" s="6"/>
      <c r="AH213" s="6"/>
      <c r="AI213" s="6"/>
      <c r="AJ213" s="6"/>
      <c r="AK213" s="6"/>
      <c r="AL213" s="6"/>
      <c r="AM213" s="6"/>
      <c r="AN213" s="6"/>
      <c r="AO213" s="6"/>
      <c r="AP213" s="6"/>
    </row>
    <row r="214" ht="17.25" customHeight="1">
      <c r="A214" s="103"/>
      <c r="B214" s="103"/>
      <c r="C214" s="86" t="s">
        <v>754</v>
      </c>
      <c r="D214" s="86"/>
      <c r="E214" s="86" t="s">
        <v>756</v>
      </c>
      <c r="F214" s="86" t="s">
        <v>73</v>
      </c>
      <c r="G214" s="89" t="s">
        <v>74</v>
      </c>
      <c r="H214" s="89" t="s">
        <v>85</v>
      </c>
      <c r="I214" s="89" t="str">
        <f t="shared" si="3"/>
        <v>BLOCKED</v>
      </c>
      <c r="J214" s="95" t="s">
        <v>17</v>
      </c>
      <c r="K214" s="89" t="s">
        <v>78</v>
      </c>
      <c r="L214" s="89" t="s">
        <v>27</v>
      </c>
      <c r="M214" s="97" t="s">
        <v>1220</v>
      </c>
      <c r="N214" s="137" t="s">
        <v>856</v>
      </c>
      <c r="O214" s="86"/>
      <c r="P214" s="97" t="s">
        <v>37</v>
      </c>
      <c r="Q214" s="139" t="s">
        <v>1221</v>
      </c>
      <c r="R214" s="100"/>
      <c r="S214" s="134"/>
      <c r="T214" s="80" t="s">
        <v>752</v>
      </c>
      <c r="U214" s="6"/>
      <c r="V214" s="6"/>
      <c r="W214" s="6"/>
      <c r="X214" s="6"/>
      <c r="Y214" s="6"/>
      <c r="Z214" s="6"/>
      <c r="AA214" s="6"/>
      <c r="AB214" s="6"/>
      <c r="AC214" s="6"/>
      <c r="AD214" s="6"/>
      <c r="AE214" s="6"/>
      <c r="AF214" s="6"/>
      <c r="AG214" s="6"/>
      <c r="AH214" s="6"/>
      <c r="AI214" s="6"/>
      <c r="AJ214" s="6"/>
      <c r="AK214" s="6"/>
      <c r="AL214" s="6"/>
      <c r="AM214" s="6"/>
      <c r="AN214" s="6"/>
      <c r="AO214" s="6"/>
      <c r="AP214" s="6"/>
    </row>
    <row r="215" ht="17.25" customHeight="1">
      <c r="A215" s="103"/>
      <c r="B215" s="103"/>
      <c r="C215" s="86" t="s">
        <v>758</v>
      </c>
      <c r="D215" s="86"/>
      <c r="E215" s="86" t="s">
        <v>759</v>
      </c>
      <c r="F215" s="86" t="s">
        <v>73</v>
      </c>
      <c r="G215" s="89" t="s">
        <v>74</v>
      </c>
      <c r="H215" s="89" t="s">
        <v>85</v>
      </c>
      <c r="I215" s="89" t="str">
        <f t="shared" si="3"/>
        <v>BLOCKED</v>
      </c>
      <c r="J215" s="95" t="s">
        <v>17</v>
      </c>
      <c r="K215" s="89" t="s">
        <v>78</v>
      </c>
      <c r="L215" s="89" t="s">
        <v>27</v>
      </c>
      <c r="M215" s="97" t="s">
        <v>1222</v>
      </c>
      <c r="N215" s="137" t="s">
        <v>856</v>
      </c>
      <c r="O215" s="86"/>
      <c r="P215" s="97" t="s">
        <v>37</v>
      </c>
      <c r="Q215" s="139" t="s">
        <v>1223</v>
      </c>
      <c r="R215" s="100"/>
      <c r="S215" s="134"/>
      <c r="T215" s="80" t="s">
        <v>92</v>
      </c>
      <c r="U215" s="6"/>
      <c r="V215" s="6"/>
      <c r="W215" s="6"/>
      <c r="X215" s="6"/>
      <c r="Y215" s="6"/>
      <c r="Z215" s="6"/>
      <c r="AA215" s="6"/>
      <c r="AB215" s="6"/>
      <c r="AC215" s="6"/>
      <c r="AD215" s="6"/>
      <c r="AE215" s="6"/>
      <c r="AF215" s="6"/>
      <c r="AG215" s="6"/>
      <c r="AH215" s="6"/>
      <c r="AI215" s="6"/>
      <c r="AJ215" s="6"/>
      <c r="AK215" s="6"/>
      <c r="AL215" s="6"/>
      <c r="AM215" s="6"/>
      <c r="AN215" s="6"/>
      <c r="AO215" s="6"/>
      <c r="AP215" s="6"/>
    </row>
    <row r="216" ht="17.25" customHeight="1">
      <c r="A216" s="103"/>
      <c r="B216" s="103"/>
      <c r="C216" s="86" t="s">
        <v>1225</v>
      </c>
      <c r="D216" s="86"/>
      <c r="E216" s="86" t="s">
        <v>1226</v>
      </c>
      <c r="F216" s="86" t="s">
        <v>73</v>
      </c>
      <c r="G216" s="89" t="s">
        <v>146</v>
      </c>
      <c r="H216" s="89" t="s">
        <v>85</v>
      </c>
      <c r="I216" s="89" t="str">
        <f t="shared" si="3"/>
        <v>BLOCKED</v>
      </c>
      <c r="J216" s="95" t="s">
        <v>17</v>
      </c>
      <c r="K216" s="89" t="s">
        <v>78</v>
      </c>
      <c r="L216" s="89" t="s">
        <v>27</v>
      </c>
      <c r="M216" s="97" t="s">
        <v>1236</v>
      </c>
      <c r="N216" s="137" t="s">
        <v>856</v>
      </c>
      <c r="O216" s="86"/>
      <c r="P216" s="97" t="s">
        <v>37</v>
      </c>
      <c r="Q216" s="139" t="s">
        <v>1238</v>
      </c>
      <c r="R216" s="100"/>
      <c r="S216" s="134"/>
      <c r="T216" s="80" t="s">
        <v>752</v>
      </c>
      <c r="U216" s="6"/>
      <c r="V216" s="6"/>
      <c r="W216" s="6"/>
      <c r="X216" s="6"/>
      <c r="Y216" s="6"/>
      <c r="Z216" s="6"/>
      <c r="AA216" s="6"/>
      <c r="AB216" s="6"/>
      <c r="AC216" s="6"/>
      <c r="AD216" s="6"/>
      <c r="AE216" s="6"/>
      <c r="AF216" s="6"/>
      <c r="AG216" s="6"/>
      <c r="AH216" s="6"/>
      <c r="AI216" s="6"/>
      <c r="AJ216" s="6"/>
      <c r="AK216" s="6"/>
      <c r="AL216" s="6"/>
      <c r="AM216" s="6"/>
      <c r="AN216" s="6"/>
      <c r="AO216" s="6"/>
      <c r="AP216" s="6"/>
    </row>
    <row r="217" ht="17.25" customHeight="1">
      <c r="A217" s="103"/>
      <c r="B217" s="103"/>
      <c r="C217" s="86" t="s">
        <v>1244</v>
      </c>
      <c r="D217" s="86"/>
      <c r="E217" s="86" t="s">
        <v>1245</v>
      </c>
      <c r="F217" s="86" t="s">
        <v>73</v>
      </c>
      <c r="G217" s="89" t="s">
        <v>146</v>
      </c>
      <c r="H217" s="89" t="s">
        <v>85</v>
      </c>
      <c r="I217" s="89" t="str">
        <f t="shared" si="3"/>
        <v>BLOCKED</v>
      </c>
      <c r="J217" s="95" t="s">
        <v>17</v>
      </c>
      <c r="K217" s="89" t="s">
        <v>78</v>
      </c>
      <c r="L217" s="89" t="s">
        <v>27</v>
      </c>
      <c r="M217" s="97" t="s">
        <v>1251</v>
      </c>
      <c r="N217" s="137" t="s">
        <v>856</v>
      </c>
      <c r="O217" s="86"/>
      <c r="P217" s="97" t="s">
        <v>37</v>
      </c>
      <c r="Q217" s="139" t="s">
        <v>1253</v>
      </c>
      <c r="R217" s="100"/>
      <c r="S217" s="134"/>
      <c r="T217" s="80" t="s">
        <v>1255</v>
      </c>
      <c r="U217" s="6"/>
      <c r="V217" s="6"/>
      <c r="W217" s="6"/>
      <c r="X217" s="6"/>
      <c r="Y217" s="6"/>
      <c r="Z217" s="6"/>
      <c r="AA217" s="6"/>
      <c r="AB217" s="6"/>
      <c r="AC217" s="6"/>
      <c r="AD217" s="6"/>
      <c r="AE217" s="6"/>
      <c r="AF217" s="6"/>
      <c r="AG217" s="6"/>
      <c r="AH217" s="6"/>
      <c r="AI217" s="6"/>
      <c r="AJ217" s="6"/>
      <c r="AK217" s="6"/>
      <c r="AL217" s="6"/>
      <c r="AM217" s="6"/>
      <c r="AN217" s="6"/>
      <c r="AO217" s="6"/>
      <c r="AP217" s="6"/>
    </row>
    <row r="218" ht="17.25" customHeight="1">
      <c r="A218" s="103"/>
      <c r="B218" s="103"/>
      <c r="C218" s="86" t="s">
        <v>1262</v>
      </c>
      <c r="D218" s="86"/>
      <c r="E218" s="86" t="s">
        <v>1263</v>
      </c>
      <c r="F218" s="86" t="s">
        <v>73</v>
      </c>
      <c r="G218" s="89" t="s">
        <v>146</v>
      </c>
      <c r="H218" s="89" t="s">
        <v>85</v>
      </c>
      <c r="I218" s="89" t="str">
        <f t="shared" si="3"/>
        <v>BLOCKED</v>
      </c>
      <c r="J218" s="95" t="s">
        <v>17</v>
      </c>
      <c r="K218" s="89" t="s">
        <v>78</v>
      </c>
      <c r="L218" s="89" t="s">
        <v>27</v>
      </c>
      <c r="M218" s="97" t="s">
        <v>1267</v>
      </c>
      <c r="N218" s="137" t="s">
        <v>856</v>
      </c>
      <c r="O218" s="86"/>
      <c r="P218" s="97" t="s">
        <v>37</v>
      </c>
      <c r="Q218" s="139" t="s">
        <v>1272</v>
      </c>
      <c r="R218" s="100"/>
      <c r="S218" s="134"/>
      <c r="T218" s="80" t="s">
        <v>656</v>
      </c>
      <c r="U218" s="6"/>
      <c r="V218" s="6"/>
      <c r="W218" s="6"/>
      <c r="X218" s="6"/>
      <c r="Y218" s="6"/>
      <c r="Z218" s="6"/>
      <c r="AA218" s="6"/>
      <c r="AB218" s="6"/>
      <c r="AC218" s="6"/>
      <c r="AD218" s="6"/>
      <c r="AE218" s="6"/>
      <c r="AF218" s="6"/>
      <c r="AG218" s="6"/>
      <c r="AH218" s="6"/>
      <c r="AI218" s="6"/>
      <c r="AJ218" s="6"/>
      <c r="AK218" s="6"/>
      <c r="AL218" s="6"/>
      <c r="AM218" s="6"/>
      <c r="AN218" s="6"/>
      <c r="AO218" s="6"/>
      <c r="AP218" s="6"/>
    </row>
    <row r="219" ht="17.25" customHeight="1">
      <c r="A219" s="103"/>
      <c r="B219" s="103"/>
      <c r="C219" s="87" t="s">
        <v>1275</v>
      </c>
      <c r="D219" s="87">
        <v>2060316.0</v>
      </c>
      <c r="E219" s="87" t="s">
        <v>1276</v>
      </c>
      <c r="F219" s="87" t="s">
        <v>121</v>
      </c>
      <c r="G219" s="95" t="s">
        <v>146</v>
      </c>
      <c r="H219" s="95" t="s">
        <v>85</v>
      </c>
      <c r="I219" s="89" t="str">
        <f t="shared" si="3"/>
        <v>PASSED</v>
      </c>
      <c r="J219" s="89" t="s">
        <v>27</v>
      </c>
      <c r="K219" s="95" t="s">
        <v>86</v>
      </c>
      <c r="L219" s="95" t="s">
        <v>12</v>
      </c>
      <c r="M219" s="129" t="s">
        <v>1282</v>
      </c>
      <c r="N219" s="155" t="s">
        <v>856</v>
      </c>
      <c r="O219" s="86"/>
      <c r="P219" s="129" t="s">
        <v>37</v>
      </c>
      <c r="Q219" s="139" t="s">
        <v>1285</v>
      </c>
      <c r="R219" s="109" t="s">
        <v>1286</v>
      </c>
      <c r="S219" s="139" t="s">
        <v>1288</v>
      </c>
      <c r="T219" s="128">
        <v>46207.0</v>
      </c>
      <c r="U219" s="6"/>
      <c r="V219" s="6"/>
      <c r="W219" s="6"/>
      <c r="X219" s="6"/>
      <c r="Y219" s="6"/>
      <c r="Z219" s="6"/>
      <c r="AA219" s="6"/>
      <c r="AB219" s="6"/>
      <c r="AC219" s="6"/>
      <c r="AD219" s="6"/>
      <c r="AE219" s="6"/>
      <c r="AF219" s="6"/>
      <c r="AG219" s="6"/>
      <c r="AH219" s="6"/>
      <c r="AI219" s="6"/>
      <c r="AJ219" s="6"/>
      <c r="AK219" s="6"/>
      <c r="AL219" s="6"/>
      <c r="AM219" s="6"/>
      <c r="AN219" s="6"/>
      <c r="AO219" s="6"/>
      <c r="AP219" s="6"/>
    </row>
    <row r="220" ht="17.25" customHeight="1">
      <c r="A220" s="103"/>
      <c r="B220" s="103"/>
      <c r="C220" s="87" t="s">
        <v>1291</v>
      </c>
      <c r="D220" s="87">
        <v>2060317.0</v>
      </c>
      <c r="E220" s="86" t="s">
        <v>563</v>
      </c>
      <c r="F220" s="87" t="s">
        <v>260</v>
      </c>
      <c r="G220" s="95" t="s">
        <v>146</v>
      </c>
      <c r="H220" s="89" t="s">
        <v>85</v>
      </c>
      <c r="I220" s="89" t="str">
        <f t="shared" si="3"/>
        <v>PASSED</v>
      </c>
      <c r="J220" s="89" t="s">
        <v>27</v>
      </c>
      <c r="K220" s="95" t="s">
        <v>86</v>
      </c>
      <c r="L220" s="95" t="s">
        <v>12</v>
      </c>
      <c r="M220" s="97" t="s">
        <v>1194</v>
      </c>
      <c r="N220" s="137" t="s">
        <v>856</v>
      </c>
      <c r="O220" s="86"/>
      <c r="P220" s="97" t="s">
        <v>37</v>
      </c>
      <c r="Q220" s="139" t="s">
        <v>1296</v>
      </c>
      <c r="R220" s="109" t="s">
        <v>1297</v>
      </c>
      <c r="S220" s="139" t="s">
        <v>1298</v>
      </c>
      <c r="T220" s="80" t="s">
        <v>92</v>
      </c>
      <c r="U220" s="6"/>
      <c r="V220" s="6"/>
      <c r="W220" s="6"/>
      <c r="X220" s="6"/>
      <c r="Y220" s="6"/>
      <c r="Z220" s="6"/>
      <c r="AA220" s="6"/>
      <c r="AB220" s="6"/>
      <c r="AC220" s="6"/>
      <c r="AD220" s="6"/>
      <c r="AE220" s="6"/>
      <c r="AF220" s="6"/>
      <c r="AG220" s="6"/>
      <c r="AH220" s="6"/>
      <c r="AI220" s="6"/>
      <c r="AJ220" s="6"/>
      <c r="AK220" s="6"/>
      <c r="AL220" s="6"/>
      <c r="AM220" s="6"/>
      <c r="AN220" s="6"/>
      <c r="AO220" s="6"/>
      <c r="AP220" s="6"/>
    </row>
    <row r="221" ht="17.25" customHeight="1">
      <c r="A221" s="103"/>
      <c r="B221" s="103"/>
      <c r="C221" s="87" t="s">
        <v>1303</v>
      </c>
      <c r="D221" s="87">
        <v>2060318.0</v>
      </c>
      <c r="E221" s="86" t="s">
        <v>739</v>
      </c>
      <c r="F221" s="87" t="s">
        <v>260</v>
      </c>
      <c r="G221" s="95" t="s">
        <v>146</v>
      </c>
      <c r="H221" s="89" t="s">
        <v>75</v>
      </c>
      <c r="I221" s="89" t="str">
        <f t="shared" si="3"/>
        <v>PASSED</v>
      </c>
      <c r="J221" s="89" t="s">
        <v>27</v>
      </c>
      <c r="K221" s="95" t="s">
        <v>86</v>
      </c>
      <c r="L221" s="95" t="s">
        <v>12</v>
      </c>
      <c r="M221" s="97" t="s">
        <v>1203</v>
      </c>
      <c r="N221" s="137" t="s">
        <v>856</v>
      </c>
      <c r="O221" s="86"/>
      <c r="P221" s="97" t="s">
        <v>37</v>
      </c>
      <c r="Q221" s="139" t="s">
        <v>1313</v>
      </c>
      <c r="R221" s="109" t="s">
        <v>1315</v>
      </c>
      <c r="S221" s="139" t="s">
        <v>1318</v>
      </c>
      <c r="T221" s="80" t="s">
        <v>752</v>
      </c>
      <c r="U221" s="6"/>
      <c r="V221" s="6"/>
      <c r="W221" s="6"/>
      <c r="X221" s="6"/>
      <c r="Y221" s="6"/>
      <c r="Z221" s="6"/>
      <c r="AA221" s="6"/>
      <c r="AB221" s="6"/>
      <c r="AC221" s="6"/>
      <c r="AD221" s="6"/>
      <c r="AE221" s="6"/>
      <c r="AF221" s="6"/>
      <c r="AG221" s="6"/>
      <c r="AH221" s="6"/>
      <c r="AI221" s="6"/>
      <c r="AJ221" s="6"/>
      <c r="AK221" s="6"/>
      <c r="AL221" s="6"/>
      <c r="AM221" s="6"/>
      <c r="AN221" s="6"/>
      <c r="AO221" s="6"/>
      <c r="AP221" s="6"/>
    </row>
    <row r="222" ht="17.25" customHeight="1">
      <c r="A222" s="103"/>
      <c r="B222" s="103"/>
      <c r="C222" s="87" t="s">
        <v>1322</v>
      </c>
      <c r="D222" s="87">
        <v>2060319.0</v>
      </c>
      <c r="E222" s="87" t="s">
        <v>1324</v>
      </c>
      <c r="F222" s="87" t="s">
        <v>73</v>
      </c>
      <c r="G222" s="95" t="s">
        <v>146</v>
      </c>
      <c r="H222" s="95" t="s">
        <v>85</v>
      </c>
      <c r="I222" s="89" t="str">
        <f t="shared" si="3"/>
        <v>PASSED</v>
      </c>
      <c r="J222" s="89" t="s">
        <v>27</v>
      </c>
      <c r="K222" s="95" t="s">
        <v>86</v>
      </c>
      <c r="L222" s="95" t="s">
        <v>12</v>
      </c>
      <c r="M222" s="129" t="s">
        <v>96</v>
      </c>
      <c r="N222" s="155" t="s">
        <v>856</v>
      </c>
      <c r="O222" s="86"/>
      <c r="P222" s="129" t="s">
        <v>37</v>
      </c>
      <c r="Q222" s="139" t="s">
        <v>1332</v>
      </c>
      <c r="R222" s="109" t="s">
        <v>1333</v>
      </c>
      <c r="S222" s="139" t="s">
        <v>893</v>
      </c>
      <c r="T222" s="128">
        <v>46207.0</v>
      </c>
      <c r="U222" s="6"/>
      <c r="V222" s="6"/>
      <c r="W222" s="6"/>
      <c r="X222" s="6"/>
      <c r="Y222" s="6"/>
      <c r="Z222" s="6"/>
      <c r="AA222" s="6"/>
      <c r="AB222" s="6"/>
      <c r="AC222" s="6"/>
      <c r="AD222" s="6"/>
      <c r="AE222" s="6"/>
      <c r="AF222" s="6"/>
      <c r="AG222" s="6"/>
      <c r="AH222" s="6"/>
      <c r="AI222" s="6"/>
      <c r="AJ222" s="6"/>
      <c r="AK222" s="6"/>
      <c r="AL222" s="6"/>
      <c r="AM222" s="6"/>
      <c r="AN222" s="6"/>
      <c r="AO222" s="6"/>
      <c r="AP222" s="6"/>
    </row>
    <row r="223" ht="17.25" customHeight="1">
      <c r="A223" s="103"/>
      <c r="B223" s="103"/>
      <c r="C223" s="87" t="s">
        <v>1337</v>
      </c>
      <c r="D223" s="87">
        <v>2060320.0</v>
      </c>
      <c r="E223" s="87" t="s">
        <v>1338</v>
      </c>
      <c r="F223" s="87" t="s">
        <v>73</v>
      </c>
      <c r="G223" s="95" t="s">
        <v>146</v>
      </c>
      <c r="H223" s="95" t="s">
        <v>85</v>
      </c>
      <c r="I223" s="89" t="str">
        <f t="shared" si="3"/>
        <v>PASSED</v>
      </c>
      <c r="J223" s="89" t="s">
        <v>27</v>
      </c>
      <c r="K223" s="95" t="s">
        <v>86</v>
      </c>
      <c r="L223" s="95" t="s">
        <v>12</v>
      </c>
      <c r="M223" s="129" t="s">
        <v>96</v>
      </c>
      <c r="N223" s="155" t="s">
        <v>856</v>
      </c>
      <c r="O223" s="86"/>
      <c r="P223" s="129" t="s">
        <v>37</v>
      </c>
      <c r="Q223" s="139" t="s">
        <v>1350</v>
      </c>
      <c r="R223" s="109" t="s">
        <v>1351</v>
      </c>
      <c r="S223" s="139" t="s">
        <v>893</v>
      </c>
      <c r="T223" s="128">
        <v>46207.0</v>
      </c>
      <c r="U223" s="6"/>
      <c r="V223" s="6"/>
      <c r="W223" s="6"/>
      <c r="X223" s="6"/>
      <c r="Y223" s="6"/>
      <c r="Z223" s="6"/>
      <c r="AA223" s="6"/>
      <c r="AB223" s="6"/>
      <c r="AC223" s="6"/>
      <c r="AD223" s="6"/>
      <c r="AE223" s="6"/>
      <c r="AF223" s="6"/>
      <c r="AG223" s="6"/>
      <c r="AH223" s="6"/>
      <c r="AI223" s="6"/>
      <c r="AJ223" s="6"/>
      <c r="AK223" s="6"/>
      <c r="AL223" s="6"/>
      <c r="AM223" s="6"/>
      <c r="AN223" s="6"/>
      <c r="AO223" s="6"/>
      <c r="AP223" s="6"/>
    </row>
    <row r="224" ht="17.25" customHeight="1">
      <c r="A224" s="103"/>
      <c r="B224" s="103"/>
      <c r="C224" s="87" t="s">
        <v>1357</v>
      </c>
      <c r="D224" s="87">
        <v>2060321.0</v>
      </c>
      <c r="E224" s="87" t="s">
        <v>1359</v>
      </c>
      <c r="F224" s="87" t="s">
        <v>260</v>
      </c>
      <c r="G224" s="95" t="s">
        <v>74</v>
      </c>
      <c r="H224" s="95" t="s">
        <v>75</v>
      </c>
      <c r="I224" s="89" t="str">
        <f t="shared" si="3"/>
        <v>PASSED</v>
      </c>
      <c r="J224" s="89" t="s">
        <v>27</v>
      </c>
      <c r="K224" s="95" t="s">
        <v>86</v>
      </c>
      <c r="L224" s="95" t="s">
        <v>12</v>
      </c>
      <c r="M224" s="129" t="s">
        <v>1367</v>
      </c>
      <c r="N224" s="155" t="s">
        <v>856</v>
      </c>
      <c r="O224" s="86"/>
      <c r="P224" s="129" t="s">
        <v>37</v>
      </c>
      <c r="Q224" s="139" t="s">
        <v>1370</v>
      </c>
      <c r="R224" s="109" t="s">
        <v>1371</v>
      </c>
      <c r="S224" s="139" t="s">
        <v>1288</v>
      </c>
      <c r="T224" s="128">
        <v>46090.0</v>
      </c>
      <c r="U224" s="6"/>
      <c r="V224" s="6"/>
      <c r="W224" s="6"/>
      <c r="X224" s="6"/>
      <c r="Y224" s="6"/>
      <c r="Z224" s="6"/>
      <c r="AA224" s="6"/>
      <c r="AB224" s="6"/>
      <c r="AC224" s="6"/>
      <c r="AD224" s="6"/>
      <c r="AE224" s="6"/>
      <c r="AF224" s="6"/>
      <c r="AG224" s="6"/>
      <c r="AH224" s="6"/>
      <c r="AI224" s="6"/>
      <c r="AJ224" s="6"/>
      <c r="AK224" s="6"/>
      <c r="AL224" s="6"/>
      <c r="AM224" s="6"/>
      <c r="AN224" s="6"/>
      <c r="AO224" s="6"/>
      <c r="AP224" s="6"/>
    </row>
    <row r="225" ht="17.25" customHeight="1">
      <c r="A225" s="103"/>
      <c r="B225" s="103"/>
      <c r="C225" s="87" t="s">
        <v>1376</v>
      </c>
      <c r="D225" s="87">
        <v>2060322.0</v>
      </c>
      <c r="E225" s="87" t="s">
        <v>1379</v>
      </c>
      <c r="F225" s="87" t="s">
        <v>260</v>
      </c>
      <c r="G225" s="95" t="s">
        <v>74</v>
      </c>
      <c r="H225" s="95" t="s">
        <v>85</v>
      </c>
      <c r="I225" s="89" t="str">
        <f t="shared" si="3"/>
        <v>PASSED</v>
      </c>
      <c r="J225" s="89" t="s">
        <v>27</v>
      </c>
      <c r="K225" s="95" t="s">
        <v>86</v>
      </c>
      <c r="L225" s="95" t="s">
        <v>12</v>
      </c>
      <c r="M225" s="129" t="s">
        <v>1367</v>
      </c>
      <c r="N225" s="155" t="s">
        <v>856</v>
      </c>
      <c r="O225" s="86"/>
      <c r="P225" s="129" t="s">
        <v>37</v>
      </c>
      <c r="Q225" s="139" t="s">
        <v>1385</v>
      </c>
      <c r="R225" s="109" t="s">
        <v>1386</v>
      </c>
      <c r="S225" s="139" t="s">
        <v>1288</v>
      </c>
      <c r="T225" s="128">
        <v>46090.0</v>
      </c>
      <c r="U225" s="6"/>
      <c r="V225" s="6"/>
      <c r="W225" s="6"/>
      <c r="X225" s="6"/>
      <c r="Y225" s="6"/>
      <c r="Z225" s="6"/>
      <c r="AA225" s="6"/>
      <c r="AB225" s="6"/>
      <c r="AC225" s="6"/>
      <c r="AD225" s="6"/>
      <c r="AE225" s="6"/>
      <c r="AF225" s="6"/>
      <c r="AG225" s="6"/>
      <c r="AH225" s="6"/>
      <c r="AI225" s="6"/>
      <c r="AJ225" s="6"/>
      <c r="AK225" s="6"/>
      <c r="AL225" s="6"/>
      <c r="AM225" s="6"/>
      <c r="AN225" s="6"/>
      <c r="AO225" s="6"/>
      <c r="AP225" s="6"/>
    </row>
    <row r="226" ht="17.25" customHeight="1">
      <c r="A226" s="103"/>
      <c r="B226" s="103"/>
      <c r="C226" s="87" t="s">
        <v>1390</v>
      </c>
      <c r="D226" s="87">
        <v>2060323.0</v>
      </c>
      <c r="E226" s="87" t="s">
        <v>1392</v>
      </c>
      <c r="F226" s="87" t="s">
        <v>260</v>
      </c>
      <c r="G226" s="95" t="s">
        <v>146</v>
      </c>
      <c r="H226" s="95" t="s">
        <v>85</v>
      </c>
      <c r="I226" s="89" t="str">
        <f t="shared" si="3"/>
        <v>PASSED</v>
      </c>
      <c r="J226" s="89" t="s">
        <v>27</v>
      </c>
      <c r="K226" s="95" t="s">
        <v>86</v>
      </c>
      <c r="L226" s="95" t="s">
        <v>12</v>
      </c>
      <c r="M226" s="129" t="s">
        <v>96</v>
      </c>
      <c r="N226" s="155" t="s">
        <v>856</v>
      </c>
      <c r="O226" s="86"/>
      <c r="P226" s="129" t="s">
        <v>37</v>
      </c>
      <c r="Q226" s="139" t="s">
        <v>1398</v>
      </c>
      <c r="R226" s="109" t="s">
        <v>1399</v>
      </c>
      <c r="S226" s="139" t="s">
        <v>893</v>
      </c>
      <c r="T226" s="128">
        <v>46207.0</v>
      </c>
      <c r="U226" s="6"/>
      <c r="V226" s="6"/>
      <c r="W226" s="6"/>
      <c r="X226" s="6"/>
      <c r="Y226" s="6"/>
      <c r="Z226" s="6"/>
      <c r="AA226" s="6"/>
      <c r="AB226" s="6"/>
      <c r="AC226" s="6"/>
      <c r="AD226" s="6"/>
      <c r="AE226" s="6"/>
      <c r="AF226" s="6"/>
      <c r="AG226" s="6"/>
      <c r="AH226" s="6"/>
      <c r="AI226" s="6"/>
      <c r="AJ226" s="6"/>
      <c r="AK226" s="6"/>
      <c r="AL226" s="6"/>
      <c r="AM226" s="6"/>
      <c r="AN226" s="6"/>
      <c r="AO226" s="6"/>
      <c r="AP226" s="6"/>
    </row>
    <row r="227" ht="17.25" customHeight="1">
      <c r="A227" s="26"/>
      <c r="B227" s="26"/>
      <c r="C227" s="87" t="s">
        <v>1405</v>
      </c>
      <c r="D227" s="87">
        <v>2060324.0</v>
      </c>
      <c r="E227" s="87" t="s">
        <v>1406</v>
      </c>
      <c r="F227" s="87" t="s">
        <v>260</v>
      </c>
      <c r="G227" s="95" t="s">
        <v>146</v>
      </c>
      <c r="H227" s="95" t="s">
        <v>262</v>
      </c>
      <c r="I227" s="187" t="str">
        <f t="shared" si="3"/>
        <v>PASSED</v>
      </c>
      <c r="J227" s="188" t="s">
        <v>27</v>
      </c>
      <c r="K227" s="189" t="s">
        <v>86</v>
      </c>
      <c r="L227" s="190" t="s">
        <v>12</v>
      </c>
      <c r="M227" s="129" t="s">
        <v>96</v>
      </c>
      <c r="N227" s="155" t="s">
        <v>856</v>
      </c>
      <c r="O227" s="87"/>
      <c r="P227" s="129" t="s">
        <v>37</v>
      </c>
      <c r="Q227" s="139" t="s">
        <v>1423</v>
      </c>
      <c r="R227" s="109" t="s">
        <v>1424</v>
      </c>
      <c r="S227" s="139" t="s">
        <v>893</v>
      </c>
      <c r="T227" s="128">
        <v>46207.0</v>
      </c>
      <c r="U227" s="6"/>
      <c r="V227" s="6"/>
      <c r="W227" s="6"/>
      <c r="X227" s="6"/>
      <c r="Y227" s="6"/>
      <c r="Z227" s="6"/>
      <c r="AA227" s="6"/>
      <c r="AB227" s="6"/>
      <c r="AC227" s="6"/>
      <c r="AD227" s="6"/>
      <c r="AE227" s="6"/>
      <c r="AF227" s="6"/>
      <c r="AG227" s="6"/>
      <c r="AH227" s="6"/>
      <c r="AI227" s="6"/>
      <c r="AJ227" s="6"/>
      <c r="AK227" s="6"/>
      <c r="AL227" s="6"/>
      <c r="AM227" s="6"/>
      <c r="AN227" s="6"/>
      <c r="AO227" s="6"/>
      <c r="AP227" s="6"/>
    </row>
    <row r="228" ht="17.25" customHeight="1">
      <c r="A228" s="156" t="s">
        <v>1430</v>
      </c>
      <c r="B228" s="84" t="s">
        <v>1437</v>
      </c>
      <c r="C228" s="86" t="s">
        <v>773</v>
      </c>
      <c r="D228" s="87">
        <v>2060325.0</v>
      </c>
      <c r="E228" s="86" t="s">
        <v>774</v>
      </c>
      <c r="F228" s="86" t="s">
        <v>73</v>
      </c>
      <c r="G228" s="89" t="s">
        <v>74</v>
      </c>
      <c r="H228" s="89" t="s">
        <v>85</v>
      </c>
      <c r="I228" s="89" t="str">
        <f t="shared" si="3"/>
        <v>PASSED</v>
      </c>
      <c r="J228" s="89" t="s">
        <v>27</v>
      </c>
      <c r="K228" s="95" t="s">
        <v>86</v>
      </c>
      <c r="L228" s="95" t="s">
        <v>12</v>
      </c>
      <c r="M228" s="97" t="s">
        <v>1447</v>
      </c>
      <c r="N228" s="137" t="s">
        <v>856</v>
      </c>
      <c r="O228" s="86"/>
      <c r="P228" s="97" t="s">
        <v>37</v>
      </c>
      <c r="Q228" s="139" t="s">
        <v>1450</v>
      </c>
      <c r="R228" s="109" t="s">
        <v>1452</v>
      </c>
      <c r="S228" s="139" t="s">
        <v>1454</v>
      </c>
      <c r="T228" s="80" t="s">
        <v>701</v>
      </c>
      <c r="U228" s="6"/>
      <c r="V228" s="6"/>
      <c r="W228" s="6"/>
      <c r="X228" s="6"/>
      <c r="Y228" s="6"/>
      <c r="Z228" s="6"/>
      <c r="AA228" s="6"/>
      <c r="AB228" s="6"/>
      <c r="AC228" s="6"/>
      <c r="AD228" s="6"/>
      <c r="AE228" s="6"/>
      <c r="AF228" s="6"/>
      <c r="AG228" s="6"/>
      <c r="AH228" s="6"/>
      <c r="AI228" s="6"/>
      <c r="AJ228" s="6"/>
      <c r="AK228" s="6"/>
      <c r="AL228" s="6"/>
      <c r="AM228" s="6"/>
      <c r="AN228" s="6"/>
      <c r="AO228" s="6"/>
      <c r="AP228" s="6"/>
    </row>
    <row r="229" ht="17.25" customHeight="1">
      <c r="A229" s="103"/>
      <c r="B229" s="103"/>
      <c r="C229" s="86" t="s">
        <v>778</v>
      </c>
      <c r="D229" s="87">
        <v>2060102.0</v>
      </c>
      <c r="E229" s="86" t="s">
        <v>779</v>
      </c>
      <c r="F229" s="86" t="s">
        <v>73</v>
      </c>
      <c r="G229" s="89" t="s">
        <v>74</v>
      </c>
      <c r="H229" s="89" t="s">
        <v>85</v>
      </c>
      <c r="I229" s="89" t="str">
        <f t="shared" si="3"/>
        <v>PASSED</v>
      </c>
      <c r="J229" s="89" t="s">
        <v>27</v>
      </c>
      <c r="K229" s="95" t="s">
        <v>86</v>
      </c>
      <c r="L229" s="95" t="s">
        <v>12</v>
      </c>
      <c r="M229" s="97" t="s">
        <v>1447</v>
      </c>
      <c r="N229" s="137" t="s">
        <v>856</v>
      </c>
      <c r="O229" s="86"/>
      <c r="P229" s="97" t="s">
        <v>37</v>
      </c>
      <c r="Q229" s="139" t="s">
        <v>1468</v>
      </c>
      <c r="R229" s="109" t="s">
        <v>1470</v>
      </c>
      <c r="S229" s="139" t="s">
        <v>1472</v>
      </c>
      <c r="T229" s="80" t="s">
        <v>701</v>
      </c>
      <c r="U229" s="6"/>
      <c r="V229" s="6"/>
      <c r="W229" s="6"/>
      <c r="X229" s="6"/>
      <c r="Y229" s="6"/>
      <c r="Z229" s="6"/>
      <c r="AA229" s="6"/>
      <c r="AB229" s="6"/>
      <c r="AC229" s="6"/>
      <c r="AD229" s="6"/>
      <c r="AE229" s="6"/>
      <c r="AF229" s="6"/>
      <c r="AG229" s="6"/>
      <c r="AH229" s="6"/>
      <c r="AI229" s="6"/>
      <c r="AJ229" s="6"/>
      <c r="AK229" s="6"/>
      <c r="AL229" s="6"/>
      <c r="AM229" s="6"/>
      <c r="AN229" s="6"/>
      <c r="AO229" s="6"/>
      <c r="AP229" s="6"/>
    </row>
    <row r="230" ht="17.25" customHeight="1">
      <c r="A230" s="103"/>
      <c r="B230" s="103"/>
      <c r="C230" s="86" t="s">
        <v>782</v>
      </c>
      <c r="D230" s="87">
        <v>2060103.0</v>
      </c>
      <c r="E230" s="86" t="s">
        <v>784</v>
      </c>
      <c r="F230" s="86" t="s">
        <v>73</v>
      </c>
      <c r="G230" s="89" t="s">
        <v>74</v>
      </c>
      <c r="H230" s="89" t="s">
        <v>75</v>
      </c>
      <c r="I230" s="89" t="str">
        <f t="shared" si="3"/>
        <v>PASSED</v>
      </c>
      <c r="J230" s="89" t="s">
        <v>27</v>
      </c>
      <c r="K230" s="95" t="s">
        <v>86</v>
      </c>
      <c r="L230" s="95" t="s">
        <v>12</v>
      </c>
      <c r="M230" s="97" t="s">
        <v>1483</v>
      </c>
      <c r="N230" s="137" t="s">
        <v>856</v>
      </c>
      <c r="O230" s="86"/>
      <c r="P230" s="97" t="s">
        <v>37</v>
      </c>
      <c r="Q230" s="139" t="s">
        <v>1486</v>
      </c>
      <c r="R230" s="109" t="s">
        <v>1487</v>
      </c>
      <c r="S230" s="139" t="s">
        <v>1489</v>
      </c>
      <c r="T230" s="80" t="s">
        <v>701</v>
      </c>
      <c r="U230" s="6"/>
      <c r="V230" s="6"/>
      <c r="W230" s="6"/>
      <c r="X230" s="6"/>
      <c r="Y230" s="6"/>
      <c r="Z230" s="6"/>
      <c r="AA230" s="6"/>
      <c r="AB230" s="6"/>
      <c r="AC230" s="6"/>
      <c r="AD230" s="6"/>
      <c r="AE230" s="6"/>
      <c r="AF230" s="6"/>
      <c r="AG230" s="6"/>
      <c r="AH230" s="6"/>
      <c r="AI230" s="6"/>
      <c r="AJ230" s="6"/>
      <c r="AK230" s="6"/>
      <c r="AL230" s="6"/>
      <c r="AM230" s="6"/>
      <c r="AN230" s="6"/>
      <c r="AO230" s="6"/>
      <c r="AP230" s="6"/>
    </row>
    <row r="231" ht="17.25" customHeight="1">
      <c r="A231" s="103"/>
      <c r="B231" s="103"/>
      <c r="C231" s="86" t="s">
        <v>788</v>
      </c>
      <c r="D231" s="87">
        <v>2060104.0</v>
      </c>
      <c r="E231" s="87" t="s">
        <v>1493</v>
      </c>
      <c r="F231" s="86" t="s">
        <v>121</v>
      </c>
      <c r="G231" s="89" t="s">
        <v>74</v>
      </c>
      <c r="H231" s="89" t="s">
        <v>75</v>
      </c>
      <c r="I231" s="89" t="str">
        <f t="shared" si="3"/>
        <v>PASSED</v>
      </c>
      <c r="J231" s="89" t="s">
        <v>27</v>
      </c>
      <c r="K231" s="95" t="s">
        <v>86</v>
      </c>
      <c r="L231" s="95" t="s">
        <v>12</v>
      </c>
      <c r="M231" s="97" t="s">
        <v>729</v>
      </c>
      <c r="N231" s="137" t="s">
        <v>856</v>
      </c>
      <c r="O231" s="86"/>
      <c r="P231" s="97" t="s">
        <v>37</v>
      </c>
      <c r="Q231" s="139" t="s">
        <v>1499</v>
      </c>
      <c r="R231" s="109" t="s">
        <v>1501</v>
      </c>
      <c r="S231" s="139" t="s">
        <v>1503</v>
      </c>
      <c r="T231" s="80" t="s">
        <v>701</v>
      </c>
      <c r="U231" s="6"/>
      <c r="V231" s="6"/>
      <c r="W231" s="6"/>
      <c r="X231" s="6"/>
      <c r="Y231" s="6"/>
      <c r="Z231" s="6"/>
      <c r="AA231" s="6"/>
      <c r="AB231" s="6"/>
      <c r="AC231" s="6"/>
      <c r="AD231" s="6"/>
      <c r="AE231" s="6"/>
      <c r="AF231" s="6"/>
      <c r="AG231" s="6"/>
      <c r="AH231" s="6"/>
      <c r="AI231" s="6"/>
      <c r="AJ231" s="6"/>
      <c r="AK231" s="6"/>
      <c r="AL231" s="6"/>
      <c r="AM231" s="6"/>
      <c r="AN231" s="6"/>
      <c r="AO231" s="6"/>
      <c r="AP231" s="6"/>
    </row>
    <row r="232" ht="17.25" customHeight="1">
      <c r="A232" s="103"/>
      <c r="B232" s="103"/>
      <c r="C232" s="86" t="s">
        <v>793</v>
      </c>
      <c r="D232" s="87">
        <v>2060105.0</v>
      </c>
      <c r="E232" s="86" t="s">
        <v>794</v>
      </c>
      <c r="F232" s="86" t="s">
        <v>73</v>
      </c>
      <c r="G232" s="89" t="s">
        <v>74</v>
      </c>
      <c r="H232" s="89" t="s">
        <v>85</v>
      </c>
      <c r="I232" s="89" t="str">
        <f t="shared" si="3"/>
        <v>PASSED</v>
      </c>
      <c r="J232" s="89" t="s">
        <v>27</v>
      </c>
      <c r="K232" s="95" t="s">
        <v>86</v>
      </c>
      <c r="L232" s="95" t="s">
        <v>12</v>
      </c>
      <c r="M232" s="97" t="s">
        <v>1508</v>
      </c>
      <c r="N232" s="137" t="s">
        <v>856</v>
      </c>
      <c r="O232" s="86"/>
      <c r="P232" s="97" t="s">
        <v>37</v>
      </c>
      <c r="Q232" s="139" t="s">
        <v>1509</v>
      </c>
      <c r="R232" s="109" t="s">
        <v>1511</v>
      </c>
      <c r="S232" s="139" t="s">
        <v>1512</v>
      </c>
      <c r="T232" s="80" t="s">
        <v>1514</v>
      </c>
      <c r="U232" s="6"/>
      <c r="V232" s="6"/>
      <c r="W232" s="6"/>
      <c r="X232" s="6"/>
      <c r="Y232" s="6"/>
      <c r="Z232" s="6"/>
      <c r="AA232" s="6"/>
      <c r="AB232" s="6"/>
      <c r="AC232" s="6"/>
      <c r="AD232" s="6"/>
      <c r="AE232" s="6"/>
      <c r="AF232" s="6"/>
      <c r="AG232" s="6"/>
      <c r="AH232" s="6"/>
      <c r="AI232" s="6"/>
      <c r="AJ232" s="6"/>
      <c r="AK232" s="6"/>
      <c r="AL232" s="6"/>
      <c r="AM232" s="6"/>
      <c r="AN232" s="6"/>
      <c r="AO232" s="6"/>
      <c r="AP232" s="6"/>
    </row>
    <row r="233" ht="17.25" customHeight="1">
      <c r="A233" s="103"/>
      <c r="B233" s="103"/>
      <c r="C233" s="86" t="s">
        <v>796</v>
      </c>
      <c r="D233" s="87">
        <v>2060106.0</v>
      </c>
      <c r="E233" s="86" t="s">
        <v>797</v>
      </c>
      <c r="F233" s="86" t="s">
        <v>121</v>
      </c>
      <c r="G233" s="89" t="s">
        <v>74</v>
      </c>
      <c r="H233" s="89" t="s">
        <v>75</v>
      </c>
      <c r="I233" s="89" t="str">
        <f t="shared" si="3"/>
        <v>PASSED</v>
      </c>
      <c r="J233" s="95" t="s">
        <v>27</v>
      </c>
      <c r="K233" s="95" t="s">
        <v>86</v>
      </c>
      <c r="L233" s="95" t="s">
        <v>12</v>
      </c>
      <c r="M233" s="97" t="s">
        <v>1520</v>
      </c>
      <c r="N233" s="137" t="s">
        <v>856</v>
      </c>
      <c r="O233" s="86"/>
      <c r="P233" s="97" t="s">
        <v>37</v>
      </c>
      <c r="Q233" s="139" t="s">
        <v>1522</v>
      </c>
      <c r="R233" s="109" t="s">
        <v>1523</v>
      </c>
      <c r="S233" s="139" t="s">
        <v>1527</v>
      </c>
      <c r="T233" s="80" t="s">
        <v>1184</v>
      </c>
      <c r="U233" s="6"/>
      <c r="V233" s="6"/>
      <c r="W233" s="6"/>
      <c r="X233" s="6"/>
      <c r="Y233" s="6"/>
      <c r="Z233" s="6"/>
      <c r="AA233" s="6"/>
      <c r="AB233" s="6"/>
      <c r="AC233" s="6"/>
      <c r="AD233" s="6"/>
      <c r="AE233" s="6"/>
      <c r="AF233" s="6"/>
      <c r="AG233" s="6"/>
      <c r="AH233" s="6"/>
      <c r="AI233" s="6"/>
      <c r="AJ233" s="6"/>
      <c r="AK233" s="6"/>
      <c r="AL233" s="6"/>
      <c r="AM233" s="6"/>
      <c r="AN233" s="6"/>
      <c r="AO233" s="6"/>
      <c r="AP233" s="6"/>
    </row>
    <row r="234" ht="17.25" customHeight="1">
      <c r="A234" s="103"/>
      <c r="B234" s="103"/>
      <c r="C234" s="86" t="s">
        <v>800</v>
      </c>
      <c r="D234" s="87">
        <v>2060107.0</v>
      </c>
      <c r="E234" s="86" t="s">
        <v>801</v>
      </c>
      <c r="F234" s="86" t="s">
        <v>73</v>
      </c>
      <c r="G234" s="89" t="s">
        <v>74</v>
      </c>
      <c r="H234" s="89" t="s">
        <v>75</v>
      </c>
      <c r="I234" s="89" t="str">
        <f t="shared" si="3"/>
        <v>BLOCKED</v>
      </c>
      <c r="J234" s="95" t="s">
        <v>17</v>
      </c>
      <c r="K234" s="89" t="s">
        <v>78</v>
      </c>
      <c r="L234" s="89" t="s">
        <v>27</v>
      </c>
      <c r="M234" s="97" t="s">
        <v>1508</v>
      </c>
      <c r="N234" s="137" t="s">
        <v>856</v>
      </c>
      <c r="O234" s="86"/>
      <c r="P234" s="97" t="s">
        <v>37</v>
      </c>
      <c r="Q234" s="139" t="s">
        <v>1532</v>
      </c>
      <c r="R234" s="100" t="s">
        <v>1533</v>
      </c>
      <c r="S234" s="134" t="s">
        <v>1534</v>
      </c>
      <c r="T234" s="80" t="s">
        <v>1514</v>
      </c>
      <c r="U234" s="6"/>
      <c r="V234" s="6"/>
      <c r="W234" s="6"/>
      <c r="X234" s="6"/>
      <c r="Y234" s="6"/>
      <c r="Z234" s="6"/>
      <c r="AA234" s="6"/>
      <c r="AB234" s="6"/>
      <c r="AC234" s="6"/>
      <c r="AD234" s="6"/>
      <c r="AE234" s="6"/>
      <c r="AF234" s="6"/>
      <c r="AG234" s="6"/>
      <c r="AH234" s="6"/>
      <c r="AI234" s="6"/>
      <c r="AJ234" s="6"/>
      <c r="AK234" s="6"/>
      <c r="AL234" s="6"/>
      <c r="AM234" s="6"/>
      <c r="AN234" s="6"/>
      <c r="AO234" s="6"/>
      <c r="AP234" s="6"/>
    </row>
    <row r="235" ht="17.25" customHeight="1">
      <c r="A235" s="103"/>
      <c r="B235" s="103"/>
      <c r="C235" s="86" t="s">
        <v>804</v>
      </c>
      <c r="D235" s="87">
        <v>2060108.0</v>
      </c>
      <c r="E235" s="86" t="s">
        <v>805</v>
      </c>
      <c r="F235" s="86" t="s">
        <v>73</v>
      </c>
      <c r="G235" s="89" t="s">
        <v>74</v>
      </c>
      <c r="H235" s="89" t="s">
        <v>85</v>
      </c>
      <c r="I235" s="89" t="str">
        <f t="shared" si="3"/>
        <v>BLOCKED</v>
      </c>
      <c r="J235" s="95" t="s">
        <v>17</v>
      </c>
      <c r="K235" s="89" t="s">
        <v>78</v>
      </c>
      <c r="L235" s="89" t="s">
        <v>27</v>
      </c>
      <c r="M235" s="97" t="s">
        <v>1535</v>
      </c>
      <c r="N235" s="137" t="s">
        <v>856</v>
      </c>
      <c r="O235" s="86"/>
      <c r="P235" s="97" t="s">
        <v>37</v>
      </c>
      <c r="Q235" s="139" t="s">
        <v>1536</v>
      </c>
      <c r="R235" s="100" t="s">
        <v>1537</v>
      </c>
      <c r="S235" s="134" t="s">
        <v>1538</v>
      </c>
      <c r="T235" s="80" t="s">
        <v>1514</v>
      </c>
      <c r="U235" s="6"/>
      <c r="V235" s="6"/>
      <c r="W235" s="6"/>
      <c r="X235" s="6"/>
      <c r="Y235" s="6"/>
      <c r="Z235" s="6"/>
      <c r="AA235" s="6"/>
      <c r="AB235" s="6"/>
      <c r="AC235" s="6"/>
      <c r="AD235" s="6"/>
      <c r="AE235" s="6"/>
      <c r="AF235" s="6"/>
      <c r="AG235" s="6"/>
      <c r="AH235" s="6"/>
      <c r="AI235" s="6"/>
      <c r="AJ235" s="6"/>
      <c r="AK235" s="6"/>
      <c r="AL235" s="6"/>
      <c r="AM235" s="6"/>
      <c r="AN235" s="6"/>
      <c r="AO235" s="6"/>
      <c r="AP235" s="6"/>
    </row>
    <row r="236" ht="17.25" customHeight="1">
      <c r="A236" s="103"/>
      <c r="B236" s="103"/>
      <c r="C236" s="86" t="s">
        <v>1539</v>
      </c>
      <c r="D236" s="87">
        <v>2060109.0</v>
      </c>
      <c r="E236" s="86" t="s">
        <v>1540</v>
      </c>
      <c r="F236" s="86" t="s">
        <v>73</v>
      </c>
      <c r="G236" s="89" t="s">
        <v>146</v>
      </c>
      <c r="H236" s="89" t="s">
        <v>85</v>
      </c>
      <c r="I236" s="89" t="str">
        <f t="shared" si="3"/>
        <v>BLOCKED</v>
      </c>
      <c r="J236" s="95" t="s">
        <v>17</v>
      </c>
      <c r="K236" s="89" t="s">
        <v>78</v>
      </c>
      <c r="L236" s="89" t="s">
        <v>27</v>
      </c>
      <c r="M236" s="97" t="s">
        <v>1541</v>
      </c>
      <c r="N236" s="137" t="s">
        <v>856</v>
      </c>
      <c r="O236" s="86"/>
      <c r="P236" s="97" t="s">
        <v>37</v>
      </c>
      <c r="Q236" s="139" t="s">
        <v>1542</v>
      </c>
      <c r="R236" s="100" t="s">
        <v>1543</v>
      </c>
      <c r="S236" s="134" t="s">
        <v>1544</v>
      </c>
      <c r="T236" s="80" t="s">
        <v>1514</v>
      </c>
      <c r="U236" s="6"/>
      <c r="V236" s="6"/>
      <c r="W236" s="6"/>
      <c r="X236" s="6"/>
      <c r="Y236" s="6"/>
      <c r="Z236" s="6"/>
      <c r="AA236" s="6"/>
      <c r="AB236" s="6"/>
      <c r="AC236" s="6"/>
      <c r="AD236" s="6"/>
      <c r="AE236" s="6"/>
      <c r="AF236" s="6"/>
      <c r="AG236" s="6"/>
      <c r="AH236" s="6"/>
      <c r="AI236" s="6"/>
      <c r="AJ236" s="6"/>
      <c r="AK236" s="6"/>
      <c r="AL236" s="6"/>
      <c r="AM236" s="6"/>
      <c r="AN236" s="6"/>
      <c r="AO236" s="6"/>
      <c r="AP236" s="6"/>
    </row>
    <row r="237" ht="17.25" customHeight="1">
      <c r="A237" s="103"/>
      <c r="B237" s="103"/>
      <c r="C237" s="86" t="s">
        <v>1545</v>
      </c>
      <c r="D237" s="87">
        <v>2060110.0</v>
      </c>
      <c r="E237" s="86" t="s">
        <v>1546</v>
      </c>
      <c r="F237" s="86" t="s">
        <v>73</v>
      </c>
      <c r="G237" s="89" t="s">
        <v>146</v>
      </c>
      <c r="H237" s="89" t="s">
        <v>85</v>
      </c>
      <c r="I237" s="89" t="str">
        <f t="shared" si="3"/>
        <v>PASSED</v>
      </c>
      <c r="J237" s="89" t="s">
        <v>27</v>
      </c>
      <c r="K237" s="95" t="s">
        <v>86</v>
      </c>
      <c r="L237" s="95" t="s">
        <v>12</v>
      </c>
      <c r="M237" s="97" t="s">
        <v>846</v>
      </c>
      <c r="N237" s="137" t="s">
        <v>856</v>
      </c>
      <c r="O237" s="86"/>
      <c r="P237" s="97" t="s">
        <v>37</v>
      </c>
      <c r="Q237" s="139" t="s">
        <v>1547</v>
      </c>
      <c r="R237" s="109" t="s">
        <v>1548</v>
      </c>
      <c r="S237" s="139" t="s">
        <v>1549</v>
      </c>
      <c r="T237" s="80" t="s">
        <v>1550</v>
      </c>
      <c r="U237" s="6"/>
      <c r="V237" s="6"/>
      <c r="W237" s="6"/>
      <c r="X237" s="6"/>
      <c r="Y237" s="6"/>
      <c r="Z237" s="6"/>
      <c r="AA237" s="6"/>
      <c r="AB237" s="6"/>
      <c r="AC237" s="6"/>
      <c r="AD237" s="6"/>
      <c r="AE237" s="6"/>
      <c r="AF237" s="6"/>
      <c r="AG237" s="6"/>
      <c r="AH237" s="6"/>
      <c r="AI237" s="6"/>
      <c r="AJ237" s="6"/>
      <c r="AK237" s="6"/>
      <c r="AL237" s="6"/>
      <c r="AM237" s="6"/>
      <c r="AN237" s="6"/>
      <c r="AO237" s="6"/>
      <c r="AP237" s="6"/>
    </row>
    <row r="238" ht="17.25" customHeight="1">
      <c r="A238" s="103"/>
      <c r="B238" s="103"/>
      <c r="C238" s="87" t="s">
        <v>1551</v>
      </c>
      <c r="D238" s="87">
        <v>2060111.0</v>
      </c>
      <c r="E238" s="87" t="s">
        <v>1552</v>
      </c>
      <c r="F238" s="87" t="s">
        <v>260</v>
      </c>
      <c r="G238" s="89" t="s">
        <v>146</v>
      </c>
      <c r="H238" s="89" t="s">
        <v>85</v>
      </c>
      <c r="I238" s="89" t="str">
        <f t="shared" si="3"/>
        <v>PASSED</v>
      </c>
      <c r="J238" s="89" t="s">
        <v>27</v>
      </c>
      <c r="K238" s="95" t="s">
        <v>86</v>
      </c>
      <c r="L238" s="95" t="s">
        <v>12</v>
      </c>
      <c r="M238" s="97" t="s">
        <v>1447</v>
      </c>
      <c r="N238" s="137" t="s">
        <v>856</v>
      </c>
      <c r="O238" s="86"/>
      <c r="P238" s="97" t="s">
        <v>37</v>
      </c>
      <c r="Q238" s="139" t="s">
        <v>1553</v>
      </c>
      <c r="R238" s="109" t="s">
        <v>1554</v>
      </c>
      <c r="S238" s="139" t="s">
        <v>1555</v>
      </c>
      <c r="T238" s="80" t="s">
        <v>701</v>
      </c>
      <c r="U238" s="6"/>
      <c r="V238" s="6"/>
      <c r="W238" s="6"/>
      <c r="X238" s="6"/>
      <c r="Y238" s="6"/>
      <c r="Z238" s="6"/>
      <c r="AA238" s="6"/>
      <c r="AB238" s="6"/>
      <c r="AC238" s="6"/>
      <c r="AD238" s="6"/>
      <c r="AE238" s="6"/>
      <c r="AF238" s="6"/>
      <c r="AG238" s="6"/>
      <c r="AH238" s="6"/>
      <c r="AI238" s="6"/>
      <c r="AJ238" s="6"/>
      <c r="AK238" s="6"/>
      <c r="AL238" s="6"/>
      <c r="AM238" s="6"/>
      <c r="AN238" s="6"/>
      <c r="AO238" s="6"/>
      <c r="AP238" s="6"/>
    </row>
    <row r="239" ht="17.25" customHeight="1">
      <c r="A239" s="103"/>
      <c r="B239" s="103"/>
      <c r="C239" s="87" t="s">
        <v>1556</v>
      </c>
      <c r="D239" s="87">
        <v>2060112.0</v>
      </c>
      <c r="E239" s="87" t="s">
        <v>1557</v>
      </c>
      <c r="F239" s="87" t="s">
        <v>260</v>
      </c>
      <c r="G239" s="89" t="s">
        <v>146</v>
      </c>
      <c r="H239" s="89" t="s">
        <v>85</v>
      </c>
      <c r="I239" s="89" t="str">
        <f t="shared" si="3"/>
        <v>PASSED</v>
      </c>
      <c r="J239" s="89" t="s">
        <v>27</v>
      </c>
      <c r="K239" s="95" t="s">
        <v>86</v>
      </c>
      <c r="L239" s="95" t="s">
        <v>12</v>
      </c>
      <c r="M239" s="97" t="s">
        <v>1447</v>
      </c>
      <c r="N239" s="137" t="s">
        <v>856</v>
      </c>
      <c r="O239" s="86"/>
      <c r="P239" s="97" t="s">
        <v>37</v>
      </c>
      <c r="Q239" s="139" t="s">
        <v>1558</v>
      </c>
      <c r="R239" s="109" t="s">
        <v>1559</v>
      </c>
      <c r="S239" s="139" t="s">
        <v>1560</v>
      </c>
      <c r="T239" s="80" t="s">
        <v>701</v>
      </c>
      <c r="U239" s="6"/>
      <c r="V239" s="6"/>
      <c r="W239" s="6"/>
      <c r="X239" s="6"/>
      <c r="Y239" s="6"/>
      <c r="Z239" s="6"/>
      <c r="AA239" s="6"/>
      <c r="AB239" s="6"/>
      <c r="AC239" s="6"/>
      <c r="AD239" s="6"/>
      <c r="AE239" s="6"/>
      <c r="AF239" s="6"/>
      <c r="AG239" s="6"/>
      <c r="AH239" s="6"/>
      <c r="AI239" s="6"/>
      <c r="AJ239" s="6"/>
      <c r="AK239" s="6"/>
      <c r="AL239" s="6"/>
      <c r="AM239" s="6"/>
      <c r="AN239" s="6"/>
      <c r="AO239" s="6"/>
      <c r="AP239" s="6"/>
    </row>
    <row r="240" ht="17.25" customHeight="1">
      <c r="A240" s="103"/>
      <c r="B240" s="103"/>
      <c r="C240" s="87" t="s">
        <v>1307</v>
      </c>
      <c r="D240" s="87">
        <v>2060113.0</v>
      </c>
      <c r="E240" s="87" t="s">
        <v>1561</v>
      </c>
      <c r="F240" s="87" t="s">
        <v>260</v>
      </c>
      <c r="G240" s="89" t="s">
        <v>146</v>
      </c>
      <c r="H240" s="89" t="s">
        <v>85</v>
      </c>
      <c r="I240" s="89" t="str">
        <f t="shared" si="3"/>
        <v>PASSED</v>
      </c>
      <c r="J240" s="89" t="s">
        <v>27</v>
      </c>
      <c r="K240" s="95" t="s">
        <v>86</v>
      </c>
      <c r="L240" s="95" t="s">
        <v>12</v>
      </c>
      <c r="M240" s="97" t="s">
        <v>1483</v>
      </c>
      <c r="N240" s="137" t="s">
        <v>856</v>
      </c>
      <c r="O240" s="87"/>
      <c r="P240" s="97" t="s">
        <v>37</v>
      </c>
      <c r="Q240" s="139" t="s">
        <v>1562</v>
      </c>
      <c r="R240" s="109" t="s">
        <v>1563</v>
      </c>
      <c r="S240" s="139" t="s">
        <v>1564</v>
      </c>
      <c r="T240" s="80" t="s">
        <v>701</v>
      </c>
      <c r="U240" s="6"/>
      <c r="V240" s="6"/>
      <c r="W240" s="6"/>
      <c r="X240" s="6"/>
      <c r="Y240" s="6"/>
      <c r="Z240" s="6"/>
      <c r="AA240" s="6"/>
      <c r="AB240" s="6"/>
      <c r="AC240" s="6"/>
      <c r="AD240" s="6"/>
      <c r="AE240" s="6"/>
      <c r="AF240" s="6"/>
      <c r="AG240" s="6"/>
      <c r="AH240" s="6"/>
      <c r="AI240" s="6"/>
      <c r="AJ240" s="6"/>
      <c r="AK240" s="6"/>
      <c r="AL240" s="6"/>
      <c r="AM240" s="6"/>
      <c r="AN240" s="6"/>
      <c r="AO240" s="6"/>
      <c r="AP240" s="6"/>
    </row>
    <row r="241" ht="17.25" customHeight="1">
      <c r="A241" s="103"/>
      <c r="B241" s="103"/>
      <c r="C241" s="87" t="s">
        <v>1316</v>
      </c>
      <c r="D241" s="87">
        <v>2060114.0</v>
      </c>
      <c r="E241" s="87" t="s">
        <v>1565</v>
      </c>
      <c r="F241" s="87" t="s">
        <v>260</v>
      </c>
      <c r="G241" s="89" t="s">
        <v>146</v>
      </c>
      <c r="H241" s="89" t="s">
        <v>85</v>
      </c>
      <c r="I241" s="89" t="str">
        <f t="shared" si="3"/>
        <v>PASSED</v>
      </c>
      <c r="J241" s="89" t="s">
        <v>27</v>
      </c>
      <c r="K241" s="95" t="s">
        <v>86</v>
      </c>
      <c r="L241" s="95" t="s">
        <v>12</v>
      </c>
      <c r="M241" s="97" t="s">
        <v>729</v>
      </c>
      <c r="N241" s="137" t="s">
        <v>856</v>
      </c>
      <c r="O241" s="191"/>
      <c r="P241" s="97" t="s">
        <v>37</v>
      </c>
      <c r="Q241" s="142" t="s">
        <v>1566</v>
      </c>
      <c r="R241" s="109" t="s">
        <v>1567</v>
      </c>
      <c r="S241" s="139" t="s">
        <v>1568</v>
      </c>
      <c r="T241" s="80" t="s">
        <v>701</v>
      </c>
      <c r="U241" s="6"/>
      <c r="V241" s="6"/>
      <c r="W241" s="6"/>
      <c r="X241" s="6"/>
      <c r="Y241" s="6"/>
      <c r="Z241" s="6"/>
      <c r="AA241" s="6"/>
      <c r="AB241" s="6"/>
      <c r="AC241" s="6"/>
      <c r="AD241" s="6"/>
      <c r="AE241" s="6"/>
      <c r="AF241" s="6"/>
      <c r="AG241" s="6"/>
      <c r="AH241" s="6"/>
      <c r="AI241" s="6"/>
      <c r="AJ241" s="6"/>
      <c r="AK241" s="6"/>
      <c r="AL241" s="6"/>
      <c r="AM241" s="6"/>
      <c r="AN241" s="6"/>
      <c r="AO241" s="6"/>
      <c r="AP241" s="6"/>
    </row>
    <row r="242" ht="17.25" customHeight="1">
      <c r="A242" s="103"/>
      <c r="B242" s="103"/>
      <c r="C242" s="87" t="s">
        <v>1321</v>
      </c>
      <c r="D242" s="87">
        <v>2060115.0</v>
      </c>
      <c r="E242" s="87" t="s">
        <v>1569</v>
      </c>
      <c r="F242" s="87" t="s">
        <v>260</v>
      </c>
      <c r="G242" s="89" t="s">
        <v>146</v>
      </c>
      <c r="H242" s="89" t="s">
        <v>85</v>
      </c>
      <c r="I242" s="89" t="str">
        <f t="shared" si="3"/>
        <v>PASSED</v>
      </c>
      <c r="J242" s="89" t="s">
        <v>27</v>
      </c>
      <c r="K242" s="95" t="s">
        <v>86</v>
      </c>
      <c r="L242" s="95" t="s">
        <v>12</v>
      </c>
      <c r="M242" s="97" t="s">
        <v>1508</v>
      </c>
      <c r="N242" s="137" t="s">
        <v>856</v>
      </c>
      <c r="O242" s="87"/>
      <c r="P242" s="97" t="s">
        <v>37</v>
      </c>
      <c r="Q242" s="139" t="s">
        <v>1570</v>
      </c>
      <c r="R242" s="109" t="s">
        <v>1571</v>
      </c>
      <c r="S242" s="139" t="s">
        <v>1572</v>
      </c>
      <c r="T242" s="80" t="s">
        <v>1514</v>
      </c>
      <c r="U242" s="6"/>
      <c r="V242" s="6"/>
      <c r="W242" s="6"/>
      <c r="X242" s="6"/>
      <c r="Y242" s="6"/>
      <c r="Z242" s="6"/>
      <c r="AA242" s="6"/>
      <c r="AB242" s="6"/>
      <c r="AC242" s="6"/>
      <c r="AD242" s="6"/>
      <c r="AE242" s="6"/>
      <c r="AF242" s="6"/>
      <c r="AG242" s="6"/>
      <c r="AH242" s="6"/>
      <c r="AI242" s="6"/>
      <c r="AJ242" s="6"/>
      <c r="AK242" s="6"/>
      <c r="AL242" s="6"/>
      <c r="AM242" s="6"/>
      <c r="AN242" s="6"/>
      <c r="AO242" s="6"/>
      <c r="AP242" s="6"/>
    </row>
    <row r="243" ht="17.25" customHeight="1">
      <c r="A243" s="103"/>
      <c r="B243" s="103"/>
      <c r="C243" s="87" t="s">
        <v>1573</v>
      </c>
      <c r="D243" s="87">
        <v>2060116.0</v>
      </c>
      <c r="E243" s="87" t="s">
        <v>797</v>
      </c>
      <c r="F243" s="87" t="s">
        <v>260</v>
      </c>
      <c r="G243" s="89" t="s">
        <v>146</v>
      </c>
      <c r="H243" s="89" t="s">
        <v>85</v>
      </c>
      <c r="I243" s="89" t="str">
        <f t="shared" si="3"/>
        <v>PASSED</v>
      </c>
      <c r="J243" s="95" t="s">
        <v>27</v>
      </c>
      <c r="K243" s="95" t="s">
        <v>86</v>
      </c>
      <c r="L243" s="95" t="s">
        <v>12</v>
      </c>
      <c r="M243" s="97" t="s">
        <v>1520</v>
      </c>
      <c r="N243" s="137" t="s">
        <v>856</v>
      </c>
      <c r="O243" s="86"/>
      <c r="P243" s="97" t="s">
        <v>37</v>
      </c>
      <c r="Q243" s="139" t="s">
        <v>1574</v>
      </c>
      <c r="R243" s="109" t="s">
        <v>1575</v>
      </c>
      <c r="S243" s="139" t="s">
        <v>1576</v>
      </c>
      <c r="T243" s="80" t="s">
        <v>1184</v>
      </c>
      <c r="U243" s="6"/>
      <c r="V243" s="6"/>
      <c r="W243" s="6"/>
      <c r="X243" s="6"/>
      <c r="Y243" s="6"/>
      <c r="Z243" s="6"/>
      <c r="AA243" s="6"/>
      <c r="AB243" s="6"/>
      <c r="AC243" s="6"/>
      <c r="AD243" s="6"/>
      <c r="AE243" s="6"/>
      <c r="AF243" s="6"/>
      <c r="AG243" s="6"/>
      <c r="AH243" s="6"/>
      <c r="AI243" s="6"/>
      <c r="AJ243" s="6"/>
      <c r="AK243" s="6"/>
      <c r="AL243" s="6"/>
      <c r="AM243" s="6"/>
      <c r="AN243" s="6"/>
      <c r="AO243" s="6"/>
      <c r="AP243" s="6"/>
    </row>
    <row r="244" ht="17.25" customHeight="1">
      <c r="A244" s="103"/>
      <c r="B244" s="103"/>
      <c r="C244" s="87" t="s">
        <v>1577</v>
      </c>
      <c r="D244" s="87">
        <v>2060117.0</v>
      </c>
      <c r="E244" s="87" t="s">
        <v>1578</v>
      </c>
      <c r="F244" s="87" t="s">
        <v>260</v>
      </c>
      <c r="G244" s="89" t="s">
        <v>146</v>
      </c>
      <c r="H244" s="89" t="s">
        <v>85</v>
      </c>
      <c r="I244" s="89" t="str">
        <f t="shared" si="3"/>
        <v>BLOCKED</v>
      </c>
      <c r="J244" s="95" t="s">
        <v>17</v>
      </c>
      <c r="K244" s="89" t="s">
        <v>78</v>
      </c>
      <c r="L244" s="95" t="s">
        <v>27</v>
      </c>
      <c r="M244" s="97" t="s">
        <v>1508</v>
      </c>
      <c r="N244" s="137" t="s">
        <v>856</v>
      </c>
      <c r="O244" s="86"/>
      <c r="P244" s="97" t="s">
        <v>37</v>
      </c>
      <c r="Q244" s="139" t="s">
        <v>1579</v>
      </c>
      <c r="R244" s="109" t="s">
        <v>1580</v>
      </c>
      <c r="S244" s="139"/>
      <c r="T244" s="80" t="s">
        <v>1514</v>
      </c>
      <c r="U244" s="6"/>
      <c r="V244" s="6"/>
      <c r="W244" s="6"/>
      <c r="X244" s="6"/>
      <c r="Y244" s="6"/>
      <c r="Z244" s="6"/>
      <c r="AA244" s="6"/>
      <c r="AB244" s="6"/>
      <c r="AC244" s="6"/>
      <c r="AD244" s="6"/>
      <c r="AE244" s="6"/>
      <c r="AF244" s="6"/>
      <c r="AG244" s="6"/>
      <c r="AH244" s="6"/>
      <c r="AI244" s="6"/>
      <c r="AJ244" s="6"/>
      <c r="AK244" s="6"/>
      <c r="AL244" s="6"/>
      <c r="AM244" s="6"/>
      <c r="AN244" s="6"/>
      <c r="AO244" s="6"/>
      <c r="AP244" s="6"/>
    </row>
    <row r="245" ht="17.25" customHeight="1">
      <c r="A245" s="103"/>
      <c r="B245" s="103"/>
      <c r="C245" s="87" t="s">
        <v>1581</v>
      </c>
      <c r="D245" s="87">
        <v>2060118.0</v>
      </c>
      <c r="E245" s="87" t="s">
        <v>805</v>
      </c>
      <c r="F245" s="87" t="s">
        <v>260</v>
      </c>
      <c r="G245" s="89" t="s">
        <v>146</v>
      </c>
      <c r="H245" s="89" t="s">
        <v>85</v>
      </c>
      <c r="I245" s="89" t="str">
        <f t="shared" si="3"/>
        <v>BLOCKED</v>
      </c>
      <c r="J245" s="95" t="s">
        <v>17</v>
      </c>
      <c r="K245" s="89" t="s">
        <v>78</v>
      </c>
      <c r="L245" s="89" t="s">
        <v>27</v>
      </c>
      <c r="M245" s="97" t="s">
        <v>1535</v>
      </c>
      <c r="N245" s="137" t="s">
        <v>856</v>
      </c>
      <c r="O245" s="86"/>
      <c r="P245" s="97" t="s">
        <v>37</v>
      </c>
      <c r="Q245" s="139" t="s">
        <v>1582</v>
      </c>
      <c r="R245" s="109" t="s">
        <v>1583</v>
      </c>
      <c r="S245" s="139"/>
      <c r="T245" s="80" t="s">
        <v>1514</v>
      </c>
      <c r="U245" s="6"/>
      <c r="V245" s="6"/>
      <c r="W245" s="6"/>
      <c r="X245" s="6"/>
      <c r="Y245" s="6"/>
      <c r="Z245" s="6"/>
      <c r="AA245" s="6"/>
      <c r="AB245" s="6"/>
      <c r="AC245" s="6"/>
      <c r="AD245" s="6"/>
      <c r="AE245" s="6"/>
      <c r="AF245" s="6"/>
      <c r="AG245" s="6"/>
      <c r="AH245" s="6"/>
      <c r="AI245" s="6"/>
      <c r="AJ245" s="6"/>
      <c r="AK245" s="6"/>
      <c r="AL245" s="6"/>
      <c r="AM245" s="6"/>
      <c r="AN245" s="6"/>
      <c r="AO245" s="6"/>
      <c r="AP245" s="6"/>
    </row>
    <row r="246" ht="17.25" customHeight="1">
      <c r="A246" s="103"/>
      <c r="B246" s="103"/>
      <c r="C246" s="87" t="s">
        <v>1584</v>
      </c>
      <c r="D246" s="87">
        <v>2060119.0</v>
      </c>
      <c r="E246" s="87" t="s">
        <v>1540</v>
      </c>
      <c r="F246" s="87" t="s">
        <v>260</v>
      </c>
      <c r="G246" s="89" t="s">
        <v>146</v>
      </c>
      <c r="H246" s="89" t="s">
        <v>85</v>
      </c>
      <c r="I246" s="89" t="str">
        <f t="shared" si="3"/>
        <v>BLOCKED</v>
      </c>
      <c r="J246" s="95" t="s">
        <v>17</v>
      </c>
      <c r="K246" s="89" t="s">
        <v>78</v>
      </c>
      <c r="L246" s="89" t="s">
        <v>27</v>
      </c>
      <c r="M246" s="97" t="s">
        <v>1541</v>
      </c>
      <c r="N246" s="137" t="s">
        <v>856</v>
      </c>
      <c r="O246" s="86"/>
      <c r="P246" s="97" t="s">
        <v>37</v>
      </c>
      <c r="Q246" s="139"/>
      <c r="R246" s="109" t="s">
        <v>1585</v>
      </c>
      <c r="S246" s="139"/>
      <c r="T246" s="80" t="s">
        <v>1514</v>
      </c>
      <c r="U246" s="6"/>
      <c r="V246" s="6"/>
      <c r="W246" s="6"/>
      <c r="X246" s="6"/>
      <c r="Y246" s="6"/>
      <c r="Z246" s="6"/>
      <c r="AA246" s="6"/>
      <c r="AB246" s="6"/>
      <c r="AC246" s="6"/>
      <c r="AD246" s="6"/>
      <c r="AE246" s="6"/>
      <c r="AF246" s="6"/>
      <c r="AG246" s="6"/>
      <c r="AH246" s="6"/>
      <c r="AI246" s="6"/>
      <c r="AJ246" s="6"/>
      <c r="AK246" s="6"/>
      <c r="AL246" s="6"/>
      <c r="AM246" s="6"/>
      <c r="AN246" s="6"/>
      <c r="AO246" s="6"/>
      <c r="AP246" s="6"/>
    </row>
    <row r="247" ht="17.25" customHeight="1">
      <c r="A247" s="103"/>
      <c r="B247" s="103"/>
      <c r="C247" s="87" t="s">
        <v>1327</v>
      </c>
      <c r="D247" s="87">
        <v>2060120.0</v>
      </c>
      <c r="E247" s="87" t="s">
        <v>1586</v>
      </c>
      <c r="F247" s="87" t="s">
        <v>260</v>
      </c>
      <c r="G247" s="89" t="s">
        <v>146</v>
      </c>
      <c r="H247" s="89" t="s">
        <v>85</v>
      </c>
      <c r="I247" s="89" t="str">
        <f t="shared" si="3"/>
        <v>PASSED</v>
      </c>
      <c r="J247" s="89" t="s">
        <v>27</v>
      </c>
      <c r="K247" s="95" t="s">
        <v>86</v>
      </c>
      <c r="L247" s="95" t="s">
        <v>12</v>
      </c>
      <c r="M247" s="97" t="s">
        <v>846</v>
      </c>
      <c r="N247" s="137" t="s">
        <v>856</v>
      </c>
      <c r="O247" s="87"/>
      <c r="P247" s="97" t="s">
        <v>37</v>
      </c>
      <c r="Q247" s="139" t="s">
        <v>1587</v>
      </c>
      <c r="R247" s="109" t="s">
        <v>1588</v>
      </c>
      <c r="S247" s="139" t="s">
        <v>1589</v>
      </c>
      <c r="T247" s="80" t="s">
        <v>1550</v>
      </c>
      <c r="U247" s="6"/>
      <c r="V247" s="6"/>
      <c r="W247" s="6"/>
      <c r="X247" s="6"/>
      <c r="Y247" s="6"/>
      <c r="Z247" s="6"/>
      <c r="AA247" s="6"/>
      <c r="AB247" s="6"/>
      <c r="AC247" s="6"/>
      <c r="AD247" s="6"/>
      <c r="AE247" s="6"/>
      <c r="AF247" s="6"/>
      <c r="AG247" s="6"/>
      <c r="AH247" s="6"/>
      <c r="AI247" s="6"/>
      <c r="AJ247" s="6"/>
      <c r="AK247" s="6"/>
      <c r="AL247" s="6"/>
      <c r="AM247" s="6"/>
      <c r="AN247" s="6"/>
      <c r="AO247" s="6"/>
      <c r="AP247" s="6"/>
    </row>
    <row r="248" ht="17.25" customHeight="1">
      <c r="A248" s="103"/>
      <c r="B248" s="103"/>
      <c r="C248" s="87" t="s">
        <v>1590</v>
      </c>
      <c r="D248" s="87">
        <v>2060121.0</v>
      </c>
      <c r="E248" s="87" t="s">
        <v>1591</v>
      </c>
      <c r="F248" s="87" t="s">
        <v>260</v>
      </c>
      <c r="G248" s="89" t="s">
        <v>146</v>
      </c>
      <c r="H248" s="89" t="s">
        <v>85</v>
      </c>
      <c r="I248" s="89" t="str">
        <f t="shared" si="3"/>
        <v>PASSED</v>
      </c>
      <c r="J248" s="89" t="s">
        <v>27</v>
      </c>
      <c r="K248" s="95" t="s">
        <v>86</v>
      </c>
      <c r="L248" s="95" t="s">
        <v>12</v>
      </c>
      <c r="M248" s="129" t="s">
        <v>1592</v>
      </c>
      <c r="N248" s="137" t="s">
        <v>856</v>
      </c>
      <c r="O248" s="86"/>
      <c r="P248" s="97" t="s">
        <v>37</v>
      </c>
      <c r="Q248" s="139" t="s">
        <v>1593</v>
      </c>
      <c r="R248" s="109" t="s">
        <v>1594</v>
      </c>
      <c r="S248" s="139" t="s">
        <v>1595</v>
      </c>
      <c r="T248" s="128">
        <v>46027.0</v>
      </c>
      <c r="U248" s="6"/>
      <c r="V248" s="6"/>
      <c r="W248" s="6"/>
      <c r="X248" s="6"/>
      <c r="Y248" s="6"/>
      <c r="Z248" s="6"/>
      <c r="AA248" s="6"/>
      <c r="AB248" s="6"/>
      <c r="AC248" s="6"/>
      <c r="AD248" s="6"/>
      <c r="AE248" s="6"/>
      <c r="AF248" s="6"/>
      <c r="AG248" s="6"/>
      <c r="AH248" s="6"/>
      <c r="AI248" s="6"/>
      <c r="AJ248" s="6"/>
      <c r="AK248" s="6"/>
      <c r="AL248" s="6"/>
      <c r="AM248" s="6"/>
      <c r="AN248" s="6"/>
      <c r="AO248" s="6"/>
      <c r="AP248" s="6"/>
    </row>
    <row r="249" ht="17.25" customHeight="1">
      <c r="A249" s="103"/>
      <c r="B249" s="103"/>
      <c r="C249" s="87" t="s">
        <v>1227</v>
      </c>
      <c r="D249" s="87">
        <v>2060122.0</v>
      </c>
      <c r="E249" s="87" t="s">
        <v>1596</v>
      </c>
      <c r="F249" s="87" t="s">
        <v>260</v>
      </c>
      <c r="G249" s="89" t="s">
        <v>146</v>
      </c>
      <c r="H249" s="89" t="s">
        <v>85</v>
      </c>
      <c r="I249" s="89" t="str">
        <f t="shared" si="3"/>
        <v>PASSED</v>
      </c>
      <c r="J249" s="89" t="s">
        <v>27</v>
      </c>
      <c r="K249" s="95" t="s">
        <v>86</v>
      </c>
      <c r="L249" s="95" t="s">
        <v>12</v>
      </c>
      <c r="M249" s="129" t="s">
        <v>846</v>
      </c>
      <c r="N249" s="137" t="s">
        <v>856</v>
      </c>
      <c r="O249" s="86"/>
      <c r="P249" s="97" t="s">
        <v>37</v>
      </c>
      <c r="Q249" s="139" t="s">
        <v>1597</v>
      </c>
      <c r="R249" s="109" t="s">
        <v>1598</v>
      </c>
      <c r="S249" s="139" t="s">
        <v>1599</v>
      </c>
      <c r="T249" s="128">
        <v>46114.0</v>
      </c>
      <c r="U249" s="6"/>
      <c r="V249" s="6"/>
      <c r="W249" s="6"/>
      <c r="X249" s="6"/>
      <c r="Y249" s="6"/>
      <c r="Z249" s="6"/>
      <c r="AA249" s="6"/>
      <c r="AB249" s="6"/>
      <c r="AC249" s="6"/>
      <c r="AD249" s="6"/>
      <c r="AE249" s="6"/>
      <c r="AF249" s="6"/>
      <c r="AG249" s="6"/>
      <c r="AH249" s="6"/>
      <c r="AI249" s="6"/>
      <c r="AJ249" s="6"/>
      <c r="AK249" s="6"/>
      <c r="AL249" s="6"/>
      <c r="AM249" s="6"/>
      <c r="AN249" s="6"/>
      <c r="AO249" s="6"/>
      <c r="AP249" s="6"/>
    </row>
    <row r="250" ht="17.25" customHeight="1">
      <c r="A250" s="103"/>
      <c r="B250" s="103"/>
      <c r="C250" s="87" t="s">
        <v>1600</v>
      </c>
      <c r="D250" s="87">
        <v>2060123.0</v>
      </c>
      <c r="E250" s="87" t="s">
        <v>1601</v>
      </c>
      <c r="F250" s="87" t="s">
        <v>73</v>
      </c>
      <c r="G250" s="95" t="s">
        <v>74</v>
      </c>
      <c r="H250" s="95" t="s">
        <v>85</v>
      </c>
      <c r="I250" s="89" t="str">
        <f t="shared" si="3"/>
        <v>PASSED</v>
      </c>
      <c r="J250" s="89" t="s">
        <v>27</v>
      </c>
      <c r="K250" s="95" t="s">
        <v>86</v>
      </c>
      <c r="L250" s="95" t="s">
        <v>12</v>
      </c>
      <c r="M250" s="129" t="s">
        <v>1602</v>
      </c>
      <c r="N250" s="155" t="s">
        <v>856</v>
      </c>
      <c r="O250" s="86"/>
      <c r="P250" s="129" t="s">
        <v>37</v>
      </c>
      <c r="Q250" s="139" t="s">
        <v>1603</v>
      </c>
      <c r="R250" s="109" t="s">
        <v>1604</v>
      </c>
      <c r="S250" s="139" t="s">
        <v>1605</v>
      </c>
      <c r="T250" s="128">
        <v>46150.0</v>
      </c>
      <c r="U250" s="6"/>
      <c r="V250" s="6"/>
      <c r="W250" s="6"/>
      <c r="X250" s="6"/>
      <c r="Y250" s="6"/>
      <c r="Z250" s="6"/>
      <c r="AA250" s="6"/>
      <c r="AB250" s="6"/>
      <c r="AC250" s="6"/>
      <c r="AD250" s="6"/>
      <c r="AE250" s="6"/>
      <c r="AF250" s="6"/>
      <c r="AG250" s="6"/>
      <c r="AH250" s="6"/>
      <c r="AI250" s="6"/>
      <c r="AJ250" s="6"/>
      <c r="AK250" s="6"/>
      <c r="AL250" s="6"/>
      <c r="AM250" s="6"/>
      <c r="AN250" s="6"/>
      <c r="AO250" s="6"/>
      <c r="AP250" s="6"/>
    </row>
    <row r="251" ht="17.25" customHeight="1">
      <c r="A251" s="103"/>
      <c r="B251" s="26"/>
      <c r="C251" s="87" t="s">
        <v>1397</v>
      </c>
      <c r="D251" s="87">
        <v>2060124.0</v>
      </c>
      <c r="E251" s="87" t="s">
        <v>1606</v>
      </c>
      <c r="F251" s="87" t="s">
        <v>260</v>
      </c>
      <c r="G251" s="95" t="s">
        <v>74</v>
      </c>
      <c r="H251" s="95" t="s">
        <v>75</v>
      </c>
      <c r="I251" s="89" t="str">
        <f t="shared" si="3"/>
        <v>PASSED</v>
      </c>
      <c r="J251" s="89" t="s">
        <v>27</v>
      </c>
      <c r="K251" s="95" t="s">
        <v>86</v>
      </c>
      <c r="L251" s="95" t="s">
        <v>12</v>
      </c>
      <c r="M251" s="129" t="s">
        <v>1602</v>
      </c>
      <c r="N251" s="155" t="s">
        <v>856</v>
      </c>
      <c r="O251" s="87"/>
      <c r="P251" s="129" t="s">
        <v>37</v>
      </c>
      <c r="Q251" s="139" t="s">
        <v>1607</v>
      </c>
      <c r="R251" s="109" t="s">
        <v>1608</v>
      </c>
      <c r="S251" s="139" t="s">
        <v>1609</v>
      </c>
      <c r="T251" s="128">
        <v>46150.0</v>
      </c>
      <c r="U251" s="6"/>
      <c r="V251" s="6"/>
      <c r="W251" s="6"/>
      <c r="X251" s="6"/>
      <c r="Y251" s="6"/>
      <c r="Z251" s="6"/>
      <c r="AA251" s="6"/>
      <c r="AB251" s="6"/>
      <c r="AC251" s="6"/>
      <c r="AD251" s="6"/>
      <c r="AE251" s="6"/>
      <c r="AF251" s="6"/>
      <c r="AG251" s="6"/>
      <c r="AH251" s="6"/>
      <c r="AI251" s="6"/>
      <c r="AJ251" s="6"/>
      <c r="AK251" s="6"/>
      <c r="AL251" s="6"/>
      <c r="AM251" s="6"/>
      <c r="AN251" s="6"/>
      <c r="AO251" s="6"/>
      <c r="AP251" s="6"/>
    </row>
    <row r="252" ht="15.75" customHeight="1">
      <c r="A252" s="103"/>
      <c r="B252" s="192" t="s">
        <v>1257</v>
      </c>
      <c r="C252" s="134" t="s">
        <v>1610</v>
      </c>
      <c r="D252" s="87">
        <v>2060701.0</v>
      </c>
      <c r="E252" s="139" t="s">
        <v>1611</v>
      </c>
      <c r="F252" s="134" t="s">
        <v>73</v>
      </c>
      <c r="G252" s="89" t="s">
        <v>146</v>
      </c>
      <c r="H252" s="89" t="s">
        <v>85</v>
      </c>
      <c r="I252" s="89" t="str">
        <f t="shared" si="3"/>
        <v>PASSED</v>
      </c>
      <c r="J252" s="89" t="s">
        <v>27</v>
      </c>
      <c r="K252" s="95" t="s">
        <v>86</v>
      </c>
      <c r="L252" s="95" t="s">
        <v>12</v>
      </c>
      <c r="M252" s="137" t="s">
        <v>661</v>
      </c>
      <c r="N252" s="137" t="s">
        <v>856</v>
      </c>
      <c r="O252" s="138"/>
      <c r="P252" s="137" t="s">
        <v>37</v>
      </c>
      <c r="Q252" s="139" t="s">
        <v>1612</v>
      </c>
      <c r="R252" s="139" t="s">
        <v>1613</v>
      </c>
      <c r="S252" s="139" t="s">
        <v>1614</v>
      </c>
      <c r="T252" s="193" t="s">
        <v>665</v>
      </c>
      <c r="U252" s="194"/>
      <c r="V252" s="194"/>
      <c r="W252" s="194"/>
      <c r="X252" s="194"/>
      <c r="Y252" s="194"/>
      <c r="Z252" s="194"/>
      <c r="AA252" s="194"/>
      <c r="AB252" s="194"/>
      <c r="AC252" s="194"/>
      <c r="AD252" s="194"/>
      <c r="AE252" s="194"/>
      <c r="AF252" s="194"/>
      <c r="AG252" s="194"/>
      <c r="AH252" s="194"/>
      <c r="AI252" s="194"/>
      <c r="AJ252" s="194"/>
      <c r="AK252" s="194"/>
      <c r="AL252" s="194"/>
      <c r="AM252" s="194"/>
      <c r="AN252" s="194"/>
      <c r="AO252" s="194"/>
      <c r="AP252" s="194"/>
    </row>
    <row r="253" ht="15.75" customHeight="1">
      <c r="A253" s="103"/>
      <c r="B253" s="103"/>
      <c r="C253" s="134" t="s">
        <v>1615</v>
      </c>
      <c r="D253" s="195">
        <v>2060702.0</v>
      </c>
      <c r="E253" s="139" t="s">
        <v>1616</v>
      </c>
      <c r="F253" s="134" t="s">
        <v>73</v>
      </c>
      <c r="G253" s="89" t="s">
        <v>146</v>
      </c>
      <c r="H253" s="89" t="s">
        <v>85</v>
      </c>
      <c r="I253" s="89" t="str">
        <f t="shared" si="3"/>
        <v>PASSED</v>
      </c>
      <c r="J253" s="89" t="s">
        <v>27</v>
      </c>
      <c r="K253" s="95" t="s">
        <v>86</v>
      </c>
      <c r="L253" s="95" t="s">
        <v>12</v>
      </c>
      <c r="M253" s="137" t="s">
        <v>661</v>
      </c>
      <c r="N253" s="137" t="s">
        <v>856</v>
      </c>
      <c r="O253" s="138"/>
      <c r="P253" s="137" t="s">
        <v>37</v>
      </c>
      <c r="Q253" s="139" t="s">
        <v>1617</v>
      </c>
      <c r="R253" s="139" t="s">
        <v>1618</v>
      </c>
      <c r="S253" s="139" t="s">
        <v>1619</v>
      </c>
      <c r="T253" s="193" t="s">
        <v>665</v>
      </c>
      <c r="U253" s="194"/>
      <c r="V253" s="194"/>
      <c r="W253" s="194"/>
      <c r="X253" s="194"/>
      <c r="Y253" s="194"/>
      <c r="Z253" s="194"/>
      <c r="AA253" s="194"/>
      <c r="AB253" s="194"/>
      <c r="AC253" s="194"/>
      <c r="AD253" s="194"/>
      <c r="AE253" s="194"/>
      <c r="AF253" s="194"/>
      <c r="AG253" s="194"/>
      <c r="AH253" s="194"/>
      <c r="AI253" s="194"/>
      <c r="AJ253" s="194"/>
      <c r="AK253" s="194"/>
      <c r="AL253" s="194"/>
      <c r="AM253" s="194"/>
      <c r="AN253" s="194"/>
      <c r="AO253" s="194"/>
      <c r="AP253" s="194"/>
    </row>
    <row r="254" ht="15.75" customHeight="1">
      <c r="A254" s="103"/>
      <c r="B254" s="103"/>
      <c r="C254" s="134" t="s">
        <v>1620</v>
      </c>
      <c r="D254" s="195">
        <v>2060703.0</v>
      </c>
      <c r="E254" s="139" t="s">
        <v>1621</v>
      </c>
      <c r="F254" s="134" t="s">
        <v>73</v>
      </c>
      <c r="G254" s="89" t="s">
        <v>146</v>
      </c>
      <c r="H254" s="89" t="s">
        <v>85</v>
      </c>
      <c r="I254" s="89" t="str">
        <f t="shared" si="3"/>
        <v>PASSED</v>
      </c>
      <c r="J254" s="89" t="s">
        <v>27</v>
      </c>
      <c r="K254" s="95" t="s">
        <v>86</v>
      </c>
      <c r="L254" s="95" t="s">
        <v>12</v>
      </c>
      <c r="M254" s="137" t="s">
        <v>823</v>
      </c>
      <c r="N254" s="137" t="s">
        <v>856</v>
      </c>
      <c r="O254" s="138"/>
      <c r="P254" s="137" t="s">
        <v>37</v>
      </c>
      <c r="Q254" s="139" t="s">
        <v>1622</v>
      </c>
      <c r="R254" s="139" t="s">
        <v>1623</v>
      </c>
      <c r="S254" s="139" t="s">
        <v>1624</v>
      </c>
      <c r="T254" s="193" t="s">
        <v>825</v>
      </c>
      <c r="U254" s="194"/>
      <c r="V254" s="194"/>
      <c r="W254" s="194"/>
      <c r="X254" s="194"/>
      <c r="Y254" s="194"/>
      <c r="Z254" s="194"/>
      <c r="AA254" s="194"/>
      <c r="AB254" s="194"/>
      <c r="AC254" s="194"/>
      <c r="AD254" s="194"/>
      <c r="AE254" s="194"/>
      <c r="AF254" s="194"/>
      <c r="AG254" s="194"/>
      <c r="AH254" s="194"/>
      <c r="AI254" s="194"/>
      <c r="AJ254" s="194"/>
      <c r="AK254" s="194"/>
      <c r="AL254" s="194"/>
      <c r="AM254" s="194"/>
      <c r="AN254" s="194"/>
      <c r="AO254" s="194"/>
      <c r="AP254" s="194"/>
    </row>
    <row r="255" ht="15.75" customHeight="1">
      <c r="A255" s="103"/>
      <c r="B255" s="103"/>
      <c r="C255" s="139" t="s">
        <v>1491</v>
      </c>
      <c r="D255" s="195">
        <v>2060711.0</v>
      </c>
      <c r="E255" s="139" t="s">
        <v>1625</v>
      </c>
      <c r="F255" s="87" t="s">
        <v>260</v>
      </c>
      <c r="G255" s="89" t="s">
        <v>146</v>
      </c>
      <c r="H255" s="89" t="s">
        <v>85</v>
      </c>
      <c r="I255" s="89" t="str">
        <f t="shared" si="3"/>
        <v>PASSED</v>
      </c>
      <c r="J255" s="89" t="s">
        <v>27</v>
      </c>
      <c r="K255" s="95" t="s">
        <v>86</v>
      </c>
      <c r="L255" s="95" t="s">
        <v>12</v>
      </c>
      <c r="M255" s="137" t="s">
        <v>661</v>
      </c>
      <c r="N255" s="137" t="s">
        <v>856</v>
      </c>
      <c r="O255" s="138"/>
      <c r="P255" s="137" t="s">
        <v>37</v>
      </c>
      <c r="Q255" s="139" t="s">
        <v>1626</v>
      </c>
      <c r="R255" s="139" t="s">
        <v>1627</v>
      </c>
      <c r="S255" s="139" t="s">
        <v>1628</v>
      </c>
      <c r="T255" s="193" t="s">
        <v>665</v>
      </c>
      <c r="U255" s="194"/>
      <c r="V255" s="194"/>
      <c r="W255" s="194"/>
      <c r="X255" s="194"/>
      <c r="Y255" s="194"/>
      <c r="Z255" s="194"/>
      <c r="AA255" s="194"/>
      <c r="AB255" s="194"/>
      <c r="AC255" s="194"/>
      <c r="AD255" s="194"/>
      <c r="AE255" s="194"/>
      <c r="AF255" s="194"/>
      <c r="AG255" s="194"/>
      <c r="AH255" s="194"/>
      <c r="AI255" s="194"/>
      <c r="AJ255" s="194"/>
      <c r="AK255" s="194"/>
      <c r="AL255" s="194"/>
      <c r="AM255" s="194"/>
      <c r="AN255" s="194"/>
      <c r="AO255" s="194"/>
      <c r="AP255" s="194"/>
    </row>
    <row r="256" ht="15.75" customHeight="1">
      <c r="A256" s="103"/>
      <c r="B256" s="103"/>
      <c r="C256" s="139" t="s">
        <v>1629</v>
      </c>
      <c r="D256" s="195">
        <v>2060712.0</v>
      </c>
      <c r="E256" s="139" t="s">
        <v>1630</v>
      </c>
      <c r="F256" s="87" t="s">
        <v>260</v>
      </c>
      <c r="G256" s="89" t="s">
        <v>146</v>
      </c>
      <c r="H256" s="89" t="s">
        <v>85</v>
      </c>
      <c r="I256" s="89" t="str">
        <f t="shared" si="3"/>
        <v>PASSED</v>
      </c>
      <c r="J256" s="89" t="s">
        <v>27</v>
      </c>
      <c r="K256" s="95" t="s">
        <v>86</v>
      </c>
      <c r="L256" s="95" t="s">
        <v>12</v>
      </c>
      <c r="M256" s="137" t="s">
        <v>661</v>
      </c>
      <c r="N256" s="137" t="s">
        <v>856</v>
      </c>
      <c r="O256" s="138"/>
      <c r="P256" s="137" t="s">
        <v>37</v>
      </c>
      <c r="Q256" s="139" t="s">
        <v>1631</v>
      </c>
      <c r="R256" s="139" t="s">
        <v>1632</v>
      </c>
      <c r="S256" s="139" t="s">
        <v>1633</v>
      </c>
      <c r="T256" s="193" t="s">
        <v>665</v>
      </c>
      <c r="U256" s="194"/>
      <c r="V256" s="194"/>
      <c r="W256" s="194"/>
      <c r="X256" s="194"/>
      <c r="Y256" s="194"/>
      <c r="Z256" s="194"/>
      <c r="AA256" s="194"/>
      <c r="AB256" s="194"/>
      <c r="AC256" s="194"/>
      <c r="AD256" s="194"/>
      <c r="AE256" s="194"/>
      <c r="AF256" s="194"/>
      <c r="AG256" s="194"/>
      <c r="AH256" s="194"/>
      <c r="AI256" s="194"/>
      <c r="AJ256" s="194"/>
      <c r="AK256" s="194"/>
      <c r="AL256" s="194"/>
      <c r="AM256" s="194"/>
      <c r="AN256" s="194"/>
      <c r="AO256" s="194"/>
      <c r="AP256" s="194"/>
    </row>
    <row r="257" ht="15.75" customHeight="1">
      <c r="A257" s="103"/>
      <c r="B257" s="103"/>
      <c r="C257" s="139" t="s">
        <v>1256</v>
      </c>
      <c r="D257" s="195">
        <v>2060713.0</v>
      </c>
      <c r="E257" s="139" t="s">
        <v>1634</v>
      </c>
      <c r="F257" s="87" t="s">
        <v>260</v>
      </c>
      <c r="G257" s="89" t="s">
        <v>146</v>
      </c>
      <c r="H257" s="89" t="s">
        <v>85</v>
      </c>
      <c r="I257" s="89" t="str">
        <f t="shared" si="3"/>
        <v>PASSED</v>
      </c>
      <c r="J257" s="89" t="s">
        <v>27</v>
      </c>
      <c r="K257" s="95" t="s">
        <v>86</v>
      </c>
      <c r="L257" s="95" t="s">
        <v>12</v>
      </c>
      <c r="M257" s="137" t="s">
        <v>661</v>
      </c>
      <c r="N257" s="137" t="s">
        <v>856</v>
      </c>
      <c r="O257" s="138"/>
      <c r="P257" s="137" t="s">
        <v>37</v>
      </c>
      <c r="Q257" s="139" t="s">
        <v>1635</v>
      </c>
      <c r="R257" s="139" t="s">
        <v>1636</v>
      </c>
      <c r="S257" s="139" t="s">
        <v>1637</v>
      </c>
      <c r="T257" s="193" t="s">
        <v>665</v>
      </c>
      <c r="U257" s="194"/>
      <c r="V257" s="194"/>
      <c r="W257" s="194"/>
      <c r="X257" s="194"/>
      <c r="Y257" s="194"/>
      <c r="Z257" s="194"/>
      <c r="AA257" s="194"/>
      <c r="AB257" s="194"/>
      <c r="AC257" s="194"/>
      <c r="AD257" s="194"/>
      <c r="AE257" s="194"/>
      <c r="AF257" s="194"/>
      <c r="AG257" s="194"/>
      <c r="AH257" s="194"/>
      <c r="AI257" s="194"/>
      <c r="AJ257" s="194"/>
      <c r="AK257" s="194"/>
      <c r="AL257" s="194"/>
      <c r="AM257" s="194"/>
      <c r="AN257" s="194"/>
      <c r="AO257" s="194"/>
      <c r="AP257" s="194"/>
    </row>
    <row r="258" ht="15.75" customHeight="1">
      <c r="A258" s="103"/>
      <c r="B258" s="103"/>
      <c r="C258" s="139" t="s">
        <v>1335</v>
      </c>
      <c r="D258" s="195">
        <v>2060714.0</v>
      </c>
      <c r="E258" s="139" t="s">
        <v>1638</v>
      </c>
      <c r="F258" s="87" t="s">
        <v>260</v>
      </c>
      <c r="G258" s="89" t="s">
        <v>146</v>
      </c>
      <c r="H258" s="95" t="s">
        <v>85</v>
      </c>
      <c r="I258" s="89" t="str">
        <f t="shared" si="3"/>
        <v>PASSED</v>
      </c>
      <c r="J258" s="89" t="s">
        <v>27</v>
      </c>
      <c r="K258" s="95" t="s">
        <v>86</v>
      </c>
      <c r="L258" s="95" t="s">
        <v>12</v>
      </c>
      <c r="M258" s="137" t="s">
        <v>823</v>
      </c>
      <c r="N258" s="137" t="s">
        <v>856</v>
      </c>
      <c r="O258" s="159"/>
      <c r="P258" s="137" t="s">
        <v>37</v>
      </c>
      <c r="Q258" s="139" t="s">
        <v>1639</v>
      </c>
      <c r="R258" s="139" t="s">
        <v>1640</v>
      </c>
      <c r="S258" s="139" t="s">
        <v>1641</v>
      </c>
      <c r="T258" s="193" t="s">
        <v>825</v>
      </c>
      <c r="U258" s="194"/>
      <c r="V258" s="194"/>
      <c r="W258" s="194"/>
      <c r="X258" s="194"/>
      <c r="Y258" s="194"/>
      <c r="Z258" s="194"/>
      <c r="AA258" s="194"/>
      <c r="AB258" s="194"/>
      <c r="AC258" s="194"/>
      <c r="AD258" s="194"/>
      <c r="AE258" s="194"/>
      <c r="AF258" s="194"/>
      <c r="AG258" s="194"/>
      <c r="AH258" s="194"/>
      <c r="AI258" s="194"/>
      <c r="AJ258" s="194"/>
      <c r="AK258" s="194"/>
      <c r="AL258" s="194"/>
      <c r="AM258" s="194"/>
      <c r="AN258" s="194"/>
      <c r="AO258" s="194"/>
      <c r="AP258" s="194"/>
    </row>
    <row r="259" ht="15.75" customHeight="1">
      <c r="A259" s="103"/>
      <c r="B259" s="103"/>
      <c r="C259" s="139" t="s">
        <v>1642</v>
      </c>
      <c r="D259" s="195">
        <v>2060715.0</v>
      </c>
      <c r="E259" s="139" t="s">
        <v>1643</v>
      </c>
      <c r="F259" s="139" t="s">
        <v>73</v>
      </c>
      <c r="G259" s="95" t="s">
        <v>146</v>
      </c>
      <c r="H259" s="95" t="s">
        <v>85</v>
      </c>
      <c r="I259" s="89" t="str">
        <f t="shared" si="3"/>
        <v>PASSED</v>
      </c>
      <c r="J259" s="89" t="s">
        <v>27</v>
      </c>
      <c r="K259" s="95" t="s">
        <v>86</v>
      </c>
      <c r="L259" s="95" t="s">
        <v>12</v>
      </c>
      <c r="M259" s="155" t="s">
        <v>699</v>
      </c>
      <c r="N259" s="155" t="s">
        <v>856</v>
      </c>
      <c r="O259" s="138"/>
      <c r="P259" s="155" t="s">
        <v>37</v>
      </c>
      <c r="Q259" s="139" t="s">
        <v>1644</v>
      </c>
      <c r="R259" s="139" t="s">
        <v>1645</v>
      </c>
      <c r="S259" s="139" t="s">
        <v>893</v>
      </c>
      <c r="T259" s="128">
        <v>46027.0</v>
      </c>
      <c r="U259" s="194"/>
      <c r="V259" s="194"/>
      <c r="W259" s="194"/>
      <c r="X259" s="194"/>
      <c r="Y259" s="194"/>
      <c r="Z259" s="194"/>
      <c r="AA259" s="194"/>
      <c r="AB259" s="194"/>
      <c r="AC259" s="194"/>
      <c r="AD259" s="194"/>
      <c r="AE259" s="194"/>
      <c r="AF259" s="194"/>
      <c r="AG259" s="194"/>
      <c r="AH259" s="194"/>
      <c r="AI259" s="194"/>
      <c r="AJ259" s="194"/>
      <c r="AK259" s="194"/>
      <c r="AL259" s="194"/>
      <c r="AM259" s="194"/>
      <c r="AN259" s="194"/>
      <c r="AO259" s="194"/>
      <c r="AP259" s="194"/>
    </row>
    <row r="260" ht="15.75" customHeight="1">
      <c r="A260" s="103"/>
      <c r="B260" s="26"/>
      <c r="C260" s="139" t="s">
        <v>1646</v>
      </c>
      <c r="D260" s="195">
        <v>2060716.0</v>
      </c>
      <c r="E260" s="139" t="s">
        <v>1647</v>
      </c>
      <c r="F260" s="139" t="s">
        <v>260</v>
      </c>
      <c r="G260" s="95" t="s">
        <v>146</v>
      </c>
      <c r="H260" s="95" t="s">
        <v>85</v>
      </c>
      <c r="I260" s="89" t="str">
        <f t="shared" si="3"/>
        <v>PASSED</v>
      </c>
      <c r="J260" s="89" t="s">
        <v>27</v>
      </c>
      <c r="K260" s="95" t="s">
        <v>86</v>
      </c>
      <c r="L260" s="95" t="s">
        <v>12</v>
      </c>
      <c r="M260" s="155" t="s">
        <v>699</v>
      </c>
      <c r="N260" s="155" t="s">
        <v>856</v>
      </c>
      <c r="O260" s="138"/>
      <c r="P260" s="155" t="s">
        <v>37</v>
      </c>
      <c r="Q260" s="139" t="s">
        <v>1648</v>
      </c>
      <c r="R260" s="139" t="s">
        <v>1649</v>
      </c>
      <c r="S260" s="139" t="s">
        <v>893</v>
      </c>
      <c r="T260" s="128">
        <v>46027.0</v>
      </c>
      <c r="U260" s="194"/>
      <c r="V260" s="194"/>
      <c r="W260" s="194"/>
      <c r="X260" s="194"/>
      <c r="Y260" s="194"/>
      <c r="Z260" s="194"/>
      <c r="AA260" s="194"/>
      <c r="AB260" s="194"/>
      <c r="AC260" s="194"/>
      <c r="AD260" s="194"/>
      <c r="AE260" s="194"/>
      <c r="AF260" s="194"/>
      <c r="AG260" s="194"/>
      <c r="AH260" s="194"/>
      <c r="AI260" s="194"/>
      <c r="AJ260" s="194"/>
      <c r="AK260" s="194"/>
      <c r="AL260" s="194"/>
      <c r="AM260" s="194"/>
      <c r="AN260" s="194"/>
      <c r="AO260" s="194"/>
      <c r="AP260" s="194"/>
    </row>
    <row r="261" ht="15.75" customHeight="1">
      <c r="A261" s="103"/>
      <c r="B261" s="192" t="s">
        <v>1650</v>
      </c>
      <c r="C261" s="134" t="s">
        <v>1651</v>
      </c>
      <c r="D261" s="195">
        <v>2060401.0</v>
      </c>
      <c r="E261" s="139" t="s">
        <v>1652</v>
      </c>
      <c r="F261" s="134" t="s">
        <v>73</v>
      </c>
      <c r="G261" s="89" t="s">
        <v>146</v>
      </c>
      <c r="H261" s="89" t="s">
        <v>85</v>
      </c>
      <c r="I261" s="89" t="str">
        <f t="shared" si="3"/>
        <v>PASSED</v>
      </c>
      <c r="J261" s="89" t="s">
        <v>27</v>
      </c>
      <c r="K261" s="95" t="s">
        <v>86</v>
      </c>
      <c r="L261" s="95" t="s">
        <v>12</v>
      </c>
      <c r="M261" s="137" t="s">
        <v>781</v>
      </c>
      <c r="N261" s="137" t="s">
        <v>856</v>
      </c>
      <c r="O261" s="138"/>
      <c r="P261" s="137" t="s">
        <v>37</v>
      </c>
      <c r="Q261" s="139" t="s">
        <v>1653</v>
      </c>
      <c r="R261" s="139" t="s">
        <v>1613</v>
      </c>
      <c r="S261" s="139" t="s">
        <v>1654</v>
      </c>
      <c r="T261" s="193" t="s">
        <v>785</v>
      </c>
      <c r="U261" s="194"/>
      <c r="V261" s="194"/>
      <c r="W261" s="194"/>
      <c r="X261" s="194"/>
      <c r="Y261" s="194"/>
      <c r="Z261" s="194"/>
      <c r="AA261" s="194"/>
      <c r="AB261" s="194"/>
      <c r="AC261" s="194"/>
      <c r="AD261" s="194"/>
      <c r="AE261" s="194"/>
      <c r="AF261" s="194"/>
      <c r="AG261" s="194"/>
      <c r="AH261" s="194"/>
      <c r="AI261" s="194"/>
      <c r="AJ261" s="194"/>
      <c r="AK261" s="194"/>
      <c r="AL261" s="194"/>
      <c r="AM261" s="194"/>
      <c r="AN261" s="194"/>
      <c r="AO261" s="194"/>
      <c r="AP261" s="194"/>
    </row>
    <row r="262" ht="15.75" customHeight="1">
      <c r="A262" s="103"/>
      <c r="B262" s="103"/>
      <c r="C262" s="134" t="s">
        <v>1655</v>
      </c>
      <c r="D262" s="195">
        <v>2060402.0</v>
      </c>
      <c r="E262" s="139" t="s">
        <v>1656</v>
      </c>
      <c r="F262" s="134" t="s">
        <v>73</v>
      </c>
      <c r="G262" s="89" t="s">
        <v>146</v>
      </c>
      <c r="H262" s="89" t="s">
        <v>85</v>
      </c>
      <c r="I262" s="89" t="str">
        <f t="shared" si="3"/>
        <v>PASSED</v>
      </c>
      <c r="J262" s="89" t="s">
        <v>27</v>
      </c>
      <c r="K262" s="95" t="s">
        <v>86</v>
      </c>
      <c r="L262" s="95" t="s">
        <v>12</v>
      </c>
      <c r="M262" s="137" t="s">
        <v>781</v>
      </c>
      <c r="N262" s="137" t="s">
        <v>856</v>
      </c>
      <c r="O262" s="138"/>
      <c r="P262" s="137" t="s">
        <v>37</v>
      </c>
      <c r="Q262" s="139" t="s">
        <v>1657</v>
      </c>
      <c r="R262" s="139" t="s">
        <v>1658</v>
      </c>
      <c r="S262" s="139" t="s">
        <v>1659</v>
      </c>
      <c r="T262" s="193" t="s">
        <v>785</v>
      </c>
      <c r="U262" s="194"/>
      <c r="V262" s="194"/>
      <c r="W262" s="194"/>
      <c r="X262" s="194"/>
      <c r="Y262" s="194"/>
      <c r="Z262" s="194"/>
      <c r="AA262" s="194"/>
      <c r="AB262" s="194"/>
      <c r="AC262" s="194"/>
      <c r="AD262" s="194"/>
      <c r="AE262" s="194"/>
      <c r="AF262" s="194"/>
      <c r="AG262" s="194"/>
      <c r="AH262" s="194"/>
      <c r="AI262" s="194"/>
      <c r="AJ262" s="194"/>
      <c r="AK262" s="194"/>
      <c r="AL262" s="194"/>
      <c r="AM262" s="194"/>
      <c r="AN262" s="194"/>
      <c r="AO262" s="194"/>
      <c r="AP262" s="194"/>
    </row>
    <row r="263" ht="15.75" customHeight="1">
      <c r="A263" s="103"/>
      <c r="B263" s="103"/>
      <c r="C263" s="134" t="s">
        <v>1660</v>
      </c>
      <c r="D263" s="195">
        <v>2060403.0</v>
      </c>
      <c r="E263" s="139" t="s">
        <v>1661</v>
      </c>
      <c r="F263" s="134" t="s">
        <v>73</v>
      </c>
      <c r="G263" s="95" t="s">
        <v>261</v>
      </c>
      <c r="H263" s="95" t="s">
        <v>262</v>
      </c>
      <c r="I263" s="89" t="str">
        <f t="shared" si="3"/>
        <v>PASSED</v>
      </c>
      <c r="J263" s="89" t="s">
        <v>27</v>
      </c>
      <c r="K263" s="95" t="s">
        <v>86</v>
      </c>
      <c r="L263" s="95" t="s">
        <v>12</v>
      </c>
      <c r="M263" s="137" t="s">
        <v>781</v>
      </c>
      <c r="N263" s="137" t="s">
        <v>856</v>
      </c>
      <c r="O263" s="138"/>
      <c r="P263" s="137" t="s">
        <v>37</v>
      </c>
      <c r="Q263" s="139" t="s">
        <v>1662</v>
      </c>
      <c r="R263" s="139" t="s">
        <v>1663</v>
      </c>
      <c r="S263" s="139" t="s">
        <v>1664</v>
      </c>
      <c r="T263" s="193" t="s">
        <v>785</v>
      </c>
      <c r="U263" s="194"/>
      <c r="V263" s="194"/>
      <c r="W263" s="194"/>
      <c r="X263" s="194"/>
      <c r="Y263" s="194"/>
      <c r="Z263" s="194"/>
      <c r="AA263" s="194"/>
      <c r="AB263" s="194"/>
      <c r="AC263" s="194"/>
      <c r="AD263" s="194"/>
      <c r="AE263" s="194"/>
      <c r="AF263" s="194"/>
      <c r="AG263" s="194"/>
      <c r="AH263" s="194"/>
      <c r="AI263" s="194"/>
      <c r="AJ263" s="194"/>
      <c r="AK263" s="194"/>
      <c r="AL263" s="194"/>
      <c r="AM263" s="194"/>
      <c r="AN263" s="194"/>
      <c r="AO263" s="194"/>
      <c r="AP263" s="194"/>
    </row>
    <row r="264" ht="15.75" customHeight="1">
      <c r="A264" s="103"/>
      <c r="B264" s="103"/>
      <c r="C264" s="134" t="s">
        <v>1665</v>
      </c>
      <c r="D264" s="195">
        <v>2060404.0</v>
      </c>
      <c r="E264" s="139" t="s">
        <v>1666</v>
      </c>
      <c r="F264" s="134" t="s">
        <v>73</v>
      </c>
      <c r="G264" s="89" t="s">
        <v>146</v>
      </c>
      <c r="H264" s="89" t="s">
        <v>85</v>
      </c>
      <c r="I264" s="89" t="str">
        <f t="shared" si="3"/>
        <v>PASSED</v>
      </c>
      <c r="J264" s="89" t="s">
        <v>27</v>
      </c>
      <c r="K264" s="95" t="s">
        <v>86</v>
      </c>
      <c r="L264" s="95" t="s">
        <v>12</v>
      </c>
      <c r="M264" s="137" t="s">
        <v>1667</v>
      </c>
      <c r="N264" s="137" t="s">
        <v>856</v>
      </c>
      <c r="O264" s="138"/>
      <c r="P264" s="137" t="s">
        <v>37</v>
      </c>
      <c r="Q264" s="139" t="s">
        <v>1668</v>
      </c>
      <c r="R264" s="139" t="s">
        <v>1669</v>
      </c>
      <c r="S264" s="139" t="s">
        <v>1670</v>
      </c>
      <c r="T264" s="193" t="s">
        <v>785</v>
      </c>
      <c r="U264" s="194"/>
      <c r="V264" s="194"/>
      <c r="W264" s="194"/>
      <c r="X264" s="194"/>
      <c r="Y264" s="194"/>
      <c r="Z264" s="194"/>
      <c r="AA264" s="194"/>
      <c r="AB264" s="194"/>
      <c r="AC264" s="194"/>
      <c r="AD264" s="194"/>
      <c r="AE264" s="194"/>
      <c r="AF264" s="194"/>
      <c r="AG264" s="194"/>
      <c r="AH264" s="194"/>
      <c r="AI264" s="194"/>
      <c r="AJ264" s="194"/>
      <c r="AK264" s="194"/>
      <c r="AL264" s="194"/>
      <c r="AM264" s="194"/>
      <c r="AN264" s="194"/>
      <c r="AO264" s="194"/>
      <c r="AP264" s="194"/>
    </row>
    <row r="265" ht="15.75" customHeight="1">
      <c r="A265" s="103"/>
      <c r="B265" s="103"/>
      <c r="C265" s="139" t="s">
        <v>1671</v>
      </c>
      <c r="D265" s="195">
        <v>2060411.0</v>
      </c>
      <c r="E265" s="139" t="s">
        <v>1672</v>
      </c>
      <c r="F265" s="87" t="s">
        <v>260</v>
      </c>
      <c r="G265" s="89" t="s">
        <v>146</v>
      </c>
      <c r="H265" s="89" t="s">
        <v>85</v>
      </c>
      <c r="I265" s="89" t="str">
        <f t="shared" si="3"/>
        <v>PASSED</v>
      </c>
      <c r="J265" s="89" t="s">
        <v>27</v>
      </c>
      <c r="K265" s="95" t="s">
        <v>86</v>
      </c>
      <c r="L265" s="95" t="s">
        <v>12</v>
      </c>
      <c r="M265" s="137" t="s">
        <v>781</v>
      </c>
      <c r="N265" s="137" t="s">
        <v>856</v>
      </c>
      <c r="O265" s="138"/>
      <c r="P265" s="137" t="s">
        <v>37</v>
      </c>
      <c r="Q265" s="139" t="s">
        <v>1673</v>
      </c>
      <c r="R265" s="139" t="s">
        <v>1674</v>
      </c>
      <c r="S265" s="139" t="s">
        <v>1675</v>
      </c>
      <c r="T265" s="193" t="s">
        <v>785</v>
      </c>
      <c r="U265" s="194"/>
      <c r="V265" s="194"/>
      <c r="W265" s="194"/>
      <c r="X265" s="194"/>
      <c r="Y265" s="194"/>
      <c r="Z265" s="194"/>
      <c r="AA265" s="194"/>
      <c r="AB265" s="194"/>
      <c r="AC265" s="194"/>
      <c r="AD265" s="194"/>
      <c r="AE265" s="194"/>
      <c r="AF265" s="194"/>
      <c r="AG265" s="194"/>
      <c r="AH265" s="194"/>
      <c r="AI265" s="194"/>
      <c r="AJ265" s="194"/>
      <c r="AK265" s="194"/>
      <c r="AL265" s="194"/>
      <c r="AM265" s="194"/>
      <c r="AN265" s="194"/>
      <c r="AO265" s="194"/>
      <c r="AP265" s="194"/>
    </row>
    <row r="266" ht="15.75" customHeight="1">
      <c r="A266" s="103"/>
      <c r="B266" s="103"/>
      <c r="C266" s="139" t="s">
        <v>1676</v>
      </c>
      <c r="D266" s="195">
        <v>2060412.0</v>
      </c>
      <c r="E266" s="139" t="s">
        <v>1677</v>
      </c>
      <c r="F266" s="87" t="s">
        <v>260</v>
      </c>
      <c r="G266" s="89" t="s">
        <v>146</v>
      </c>
      <c r="H266" s="89" t="s">
        <v>85</v>
      </c>
      <c r="I266" s="89" t="str">
        <f t="shared" si="3"/>
        <v>PASSED</v>
      </c>
      <c r="J266" s="89" t="s">
        <v>27</v>
      </c>
      <c r="K266" s="95" t="s">
        <v>86</v>
      </c>
      <c r="L266" s="95" t="s">
        <v>12</v>
      </c>
      <c r="M266" s="137" t="s">
        <v>781</v>
      </c>
      <c r="N266" s="137" t="s">
        <v>856</v>
      </c>
      <c r="O266" s="138"/>
      <c r="P266" s="137" t="s">
        <v>37</v>
      </c>
      <c r="Q266" s="139" t="s">
        <v>1678</v>
      </c>
      <c r="R266" s="139" t="s">
        <v>1679</v>
      </c>
      <c r="S266" s="139" t="s">
        <v>1680</v>
      </c>
      <c r="T266" s="193" t="s">
        <v>785</v>
      </c>
      <c r="U266" s="194"/>
      <c r="V266" s="194"/>
      <c r="W266" s="194"/>
      <c r="X266" s="194"/>
      <c r="Y266" s="194"/>
      <c r="Z266" s="194"/>
      <c r="AA266" s="194"/>
      <c r="AB266" s="194"/>
      <c r="AC266" s="194"/>
      <c r="AD266" s="194"/>
      <c r="AE266" s="194"/>
      <c r="AF266" s="194"/>
      <c r="AG266" s="194"/>
      <c r="AH266" s="194"/>
      <c r="AI266" s="194"/>
      <c r="AJ266" s="194"/>
      <c r="AK266" s="194"/>
      <c r="AL266" s="194"/>
      <c r="AM266" s="194"/>
      <c r="AN266" s="194"/>
      <c r="AO266" s="194"/>
      <c r="AP266" s="194"/>
    </row>
    <row r="267" ht="15.75" customHeight="1">
      <c r="A267" s="103"/>
      <c r="B267" s="103"/>
      <c r="C267" s="139" t="s">
        <v>1479</v>
      </c>
      <c r="D267" s="195">
        <v>2060413.0</v>
      </c>
      <c r="E267" s="139" t="s">
        <v>1681</v>
      </c>
      <c r="F267" s="87" t="s">
        <v>260</v>
      </c>
      <c r="G267" s="89" t="s">
        <v>146</v>
      </c>
      <c r="H267" s="89" t="s">
        <v>85</v>
      </c>
      <c r="I267" s="89" t="str">
        <f t="shared" si="3"/>
        <v>PASSED</v>
      </c>
      <c r="J267" s="89" t="s">
        <v>27</v>
      </c>
      <c r="K267" s="95" t="s">
        <v>86</v>
      </c>
      <c r="L267" s="95" t="s">
        <v>12</v>
      </c>
      <c r="M267" s="137" t="s">
        <v>781</v>
      </c>
      <c r="N267" s="137" t="s">
        <v>856</v>
      </c>
      <c r="O267" s="138"/>
      <c r="P267" s="137" t="s">
        <v>37</v>
      </c>
      <c r="Q267" s="139" t="s">
        <v>1683</v>
      </c>
      <c r="R267" s="139" t="s">
        <v>1684</v>
      </c>
      <c r="S267" s="139" t="s">
        <v>1685</v>
      </c>
      <c r="T267" s="193" t="s">
        <v>785</v>
      </c>
      <c r="U267" s="194"/>
      <c r="V267" s="194"/>
      <c r="W267" s="194"/>
      <c r="X267" s="194"/>
      <c r="Y267" s="194"/>
      <c r="Z267" s="194"/>
      <c r="AA267" s="194"/>
      <c r="AB267" s="194"/>
      <c r="AC267" s="194"/>
      <c r="AD267" s="194"/>
      <c r="AE267" s="194"/>
      <c r="AF267" s="194"/>
      <c r="AG267" s="194"/>
      <c r="AH267" s="194"/>
      <c r="AI267" s="194"/>
      <c r="AJ267" s="194"/>
      <c r="AK267" s="194"/>
      <c r="AL267" s="194"/>
      <c r="AM267" s="194"/>
      <c r="AN267" s="194"/>
      <c r="AO267" s="194"/>
      <c r="AP267" s="194"/>
    </row>
    <row r="268" ht="15.75" customHeight="1">
      <c r="A268" s="103"/>
      <c r="B268" s="103"/>
      <c r="C268" s="139" t="s">
        <v>1342</v>
      </c>
      <c r="D268" s="195">
        <v>2060414.0</v>
      </c>
      <c r="E268" s="139" t="s">
        <v>1690</v>
      </c>
      <c r="F268" s="87" t="s">
        <v>260</v>
      </c>
      <c r="G268" s="95" t="s">
        <v>261</v>
      </c>
      <c r="H268" s="95" t="s">
        <v>262</v>
      </c>
      <c r="I268" s="89" t="str">
        <f t="shared" si="3"/>
        <v>PASSED</v>
      </c>
      <c r="J268" s="89" t="s">
        <v>27</v>
      </c>
      <c r="K268" s="95" t="s">
        <v>86</v>
      </c>
      <c r="L268" s="95" t="s">
        <v>12</v>
      </c>
      <c r="M268" s="137" t="s">
        <v>781</v>
      </c>
      <c r="N268" s="137" t="s">
        <v>856</v>
      </c>
      <c r="O268" s="159"/>
      <c r="P268" s="137" t="s">
        <v>37</v>
      </c>
      <c r="Q268" s="139" t="s">
        <v>1692</v>
      </c>
      <c r="R268" s="139" t="s">
        <v>1693</v>
      </c>
      <c r="S268" s="139" t="s">
        <v>1694</v>
      </c>
      <c r="T268" s="193" t="s">
        <v>785</v>
      </c>
      <c r="U268" s="194"/>
      <c r="V268" s="194"/>
      <c r="W268" s="194"/>
      <c r="X268" s="194"/>
      <c r="Y268" s="194"/>
      <c r="Z268" s="194"/>
      <c r="AA268" s="194"/>
      <c r="AB268" s="194"/>
      <c r="AC268" s="194"/>
      <c r="AD268" s="194"/>
      <c r="AE268" s="194"/>
      <c r="AF268" s="194"/>
      <c r="AG268" s="194"/>
      <c r="AH268" s="194"/>
      <c r="AI268" s="194"/>
      <c r="AJ268" s="194"/>
      <c r="AK268" s="194"/>
      <c r="AL268" s="194"/>
      <c r="AM268" s="194"/>
      <c r="AN268" s="194"/>
      <c r="AO268" s="194"/>
      <c r="AP268" s="194"/>
    </row>
    <row r="269" ht="15.75" customHeight="1">
      <c r="A269" s="103"/>
      <c r="B269" s="26"/>
      <c r="C269" s="139" t="s">
        <v>1349</v>
      </c>
      <c r="D269" s="195">
        <v>2060415.0</v>
      </c>
      <c r="E269" s="139" t="s">
        <v>1695</v>
      </c>
      <c r="F269" s="87" t="s">
        <v>260</v>
      </c>
      <c r="G269" s="89" t="s">
        <v>146</v>
      </c>
      <c r="H269" s="89" t="s">
        <v>85</v>
      </c>
      <c r="I269" s="89" t="str">
        <f t="shared" si="3"/>
        <v>PASSED</v>
      </c>
      <c r="J269" s="89" t="s">
        <v>27</v>
      </c>
      <c r="K269" s="95" t="s">
        <v>86</v>
      </c>
      <c r="L269" s="95" t="s">
        <v>12</v>
      </c>
      <c r="M269" s="137" t="s">
        <v>1667</v>
      </c>
      <c r="N269" s="137" t="s">
        <v>856</v>
      </c>
      <c r="O269" s="159"/>
      <c r="P269" s="137" t="s">
        <v>37</v>
      </c>
      <c r="Q269" s="139" t="s">
        <v>1702</v>
      </c>
      <c r="R269" s="139" t="s">
        <v>1703</v>
      </c>
      <c r="S269" s="139" t="s">
        <v>1705</v>
      </c>
      <c r="T269" s="193" t="s">
        <v>785</v>
      </c>
      <c r="U269" s="194"/>
      <c r="V269" s="194"/>
      <c r="W269" s="194"/>
      <c r="X269" s="194"/>
      <c r="Y269" s="194"/>
      <c r="Z269" s="194"/>
      <c r="AA269" s="194"/>
      <c r="AB269" s="194"/>
      <c r="AC269" s="194"/>
      <c r="AD269" s="194"/>
      <c r="AE269" s="194"/>
      <c r="AF269" s="194"/>
      <c r="AG269" s="194"/>
      <c r="AH269" s="194"/>
      <c r="AI269" s="194"/>
      <c r="AJ269" s="194"/>
      <c r="AK269" s="194"/>
      <c r="AL269" s="194"/>
      <c r="AM269" s="194"/>
      <c r="AN269" s="194"/>
      <c r="AO269" s="194"/>
      <c r="AP269" s="194"/>
    </row>
    <row r="270" ht="15.75" customHeight="1">
      <c r="A270" s="103"/>
      <c r="B270" s="192" t="s">
        <v>1708</v>
      </c>
      <c r="C270" s="134" t="s">
        <v>1712</v>
      </c>
      <c r="D270" s="195">
        <v>2060501.0</v>
      </c>
      <c r="E270" s="134" t="s">
        <v>1714</v>
      </c>
      <c r="F270" s="134" t="s">
        <v>73</v>
      </c>
      <c r="G270" s="89" t="s">
        <v>146</v>
      </c>
      <c r="H270" s="89" t="s">
        <v>85</v>
      </c>
      <c r="I270" s="89" t="str">
        <f t="shared" si="3"/>
        <v>NOT_STARTED</v>
      </c>
      <c r="J270" s="89" t="s">
        <v>27</v>
      </c>
      <c r="K270" s="95" t="s">
        <v>78</v>
      </c>
      <c r="L270" s="89" t="s">
        <v>27</v>
      </c>
      <c r="M270" s="137" t="s">
        <v>1719</v>
      </c>
      <c r="N270" s="137" t="s">
        <v>856</v>
      </c>
      <c r="O270" s="138"/>
      <c r="P270" s="137" t="s">
        <v>37</v>
      </c>
      <c r="Q270" s="139" t="s">
        <v>1721</v>
      </c>
      <c r="R270" s="139" t="s">
        <v>1723</v>
      </c>
      <c r="S270" s="134"/>
      <c r="T270" s="193" t="s">
        <v>1550</v>
      </c>
      <c r="U270" s="194"/>
      <c r="V270" s="194"/>
      <c r="W270" s="194"/>
      <c r="X270" s="194"/>
      <c r="Y270" s="194"/>
      <c r="Z270" s="194"/>
      <c r="AA270" s="194"/>
      <c r="AB270" s="194"/>
      <c r="AC270" s="194"/>
      <c r="AD270" s="194"/>
      <c r="AE270" s="194"/>
      <c r="AF270" s="194"/>
      <c r="AG270" s="194"/>
      <c r="AH270" s="194"/>
      <c r="AI270" s="194"/>
      <c r="AJ270" s="194"/>
      <c r="AK270" s="194"/>
      <c r="AL270" s="194"/>
      <c r="AM270" s="194"/>
      <c r="AN270" s="194"/>
      <c r="AO270" s="194"/>
      <c r="AP270" s="194"/>
    </row>
    <row r="271" ht="15.75" customHeight="1">
      <c r="A271" s="103"/>
      <c r="B271" s="103"/>
      <c r="C271" s="134" t="s">
        <v>1729</v>
      </c>
      <c r="D271" s="195">
        <v>2060502.0</v>
      </c>
      <c r="E271" s="139" t="s">
        <v>1730</v>
      </c>
      <c r="F271" s="134" t="s">
        <v>73</v>
      </c>
      <c r="G271" s="89" t="s">
        <v>146</v>
      </c>
      <c r="H271" s="89" t="s">
        <v>85</v>
      </c>
      <c r="I271" s="89" t="str">
        <f t="shared" si="3"/>
        <v>PASSED</v>
      </c>
      <c r="J271" s="89" t="s">
        <v>27</v>
      </c>
      <c r="K271" s="95" t="s">
        <v>86</v>
      </c>
      <c r="L271" s="95" t="s">
        <v>12</v>
      </c>
      <c r="M271" s="137" t="s">
        <v>1719</v>
      </c>
      <c r="N271" s="137" t="s">
        <v>856</v>
      </c>
      <c r="O271" s="138"/>
      <c r="P271" s="137" t="s">
        <v>37</v>
      </c>
      <c r="Q271" s="139" t="s">
        <v>1734</v>
      </c>
      <c r="R271" s="139" t="s">
        <v>1736</v>
      </c>
      <c r="S271" s="139" t="s">
        <v>1737</v>
      </c>
      <c r="T271" s="193" t="s">
        <v>1550</v>
      </c>
      <c r="U271" s="194"/>
      <c r="V271" s="194"/>
      <c r="W271" s="194"/>
      <c r="X271" s="194"/>
      <c r="Y271" s="194"/>
      <c r="Z271" s="194"/>
      <c r="AA271" s="194"/>
      <c r="AB271" s="194"/>
      <c r="AC271" s="194"/>
      <c r="AD271" s="194"/>
      <c r="AE271" s="194"/>
      <c r="AF271" s="194"/>
      <c r="AG271" s="194"/>
      <c r="AH271" s="194"/>
      <c r="AI271" s="194"/>
      <c r="AJ271" s="194"/>
      <c r="AK271" s="194"/>
      <c r="AL271" s="194"/>
      <c r="AM271" s="194"/>
      <c r="AN271" s="194"/>
      <c r="AO271" s="194"/>
      <c r="AP271" s="194"/>
    </row>
    <row r="272" ht="17.25" customHeight="1">
      <c r="A272" s="103"/>
      <c r="B272" s="103"/>
      <c r="C272" s="134" t="s">
        <v>1738</v>
      </c>
      <c r="D272" s="195">
        <v>2060503.0</v>
      </c>
      <c r="E272" s="139" t="s">
        <v>1739</v>
      </c>
      <c r="F272" s="134" t="s">
        <v>73</v>
      </c>
      <c r="G272" s="89" t="s">
        <v>146</v>
      </c>
      <c r="H272" s="89" t="s">
        <v>85</v>
      </c>
      <c r="I272" s="89" t="str">
        <f t="shared" si="3"/>
        <v>PASSED</v>
      </c>
      <c r="J272" s="89" t="s">
        <v>27</v>
      </c>
      <c r="K272" s="95" t="s">
        <v>86</v>
      </c>
      <c r="L272" s="95" t="s">
        <v>12</v>
      </c>
      <c r="M272" s="137" t="s">
        <v>1719</v>
      </c>
      <c r="N272" s="137" t="s">
        <v>856</v>
      </c>
      <c r="O272" s="138"/>
      <c r="P272" s="137" t="s">
        <v>37</v>
      </c>
      <c r="Q272" s="139" t="s">
        <v>1742</v>
      </c>
      <c r="R272" s="139" t="s">
        <v>1743</v>
      </c>
      <c r="S272" s="139" t="s">
        <v>1745</v>
      </c>
      <c r="T272" s="193" t="s">
        <v>1550</v>
      </c>
      <c r="U272" s="157"/>
      <c r="V272" s="157"/>
      <c r="W272" s="157"/>
      <c r="X272" s="157"/>
      <c r="Y272" s="157"/>
      <c r="Z272" s="157"/>
      <c r="AA272" s="157"/>
      <c r="AB272" s="157"/>
      <c r="AC272" s="157"/>
      <c r="AD272" s="157"/>
      <c r="AE272" s="157"/>
      <c r="AF272" s="157"/>
      <c r="AG272" s="157"/>
      <c r="AH272" s="157"/>
      <c r="AI272" s="157"/>
      <c r="AJ272" s="157"/>
      <c r="AK272" s="157"/>
      <c r="AL272" s="157"/>
      <c r="AM272" s="157"/>
      <c r="AN272" s="157"/>
      <c r="AO272" s="157"/>
      <c r="AP272" s="157"/>
    </row>
    <row r="273" ht="17.25" customHeight="1">
      <c r="A273" s="103"/>
      <c r="B273" s="103"/>
      <c r="C273" s="134" t="s">
        <v>1749</v>
      </c>
      <c r="D273" s="195">
        <v>2060504.0</v>
      </c>
      <c r="E273" s="139" t="s">
        <v>1750</v>
      </c>
      <c r="F273" s="134" t="s">
        <v>73</v>
      </c>
      <c r="G273" s="95" t="s">
        <v>261</v>
      </c>
      <c r="H273" s="95" t="s">
        <v>262</v>
      </c>
      <c r="I273" s="89" t="str">
        <f t="shared" si="3"/>
        <v>PASSED</v>
      </c>
      <c r="J273" s="89" t="s">
        <v>27</v>
      </c>
      <c r="K273" s="95" t="s">
        <v>86</v>
      </c>
      <c r="L273" s="95" t="s">
        <v>12</v>
      </c>
      <c r="M273" s="137" t="s">
        <v>1719</v>
      </c>
      <c r="N273" s="137" t="s">
        <v>856</v>
      </c>
      <c r="O273" s="138"/>
      <c r="P273" s="137" t="s">
        <v>37</v>
      </c>
      <c r="Q273" s="139" t="s">
        <v>1755</v>
      </c>
      <c r="R273" s="139" t="s">
        <v>1756</v>
      </c>
      <c r="S273" s="139" t="s">
        <v>1758</v>
      </c>
      <c r="T273" s="193" t="s">
        <v>1550</v>
      </c>
      <c r="U273" s="157"/>
      <c r="V273" s="157"/>
      <c r="W273" s="157"/>
      <c r="X273" s="157"/>
      <c r="Y273" s="157"/>
      <c r="Z273" s="157"/>
      <c r="AA273" s="157"/>
      <c r="AB273" s="157"/>
      <c r="AC273" s="157"/>
      <c r="AD273" s="157"/>
      <c r="AE273" s="157"/>
      <c r="AF273" s="157"/>
      <c r="AG273" s="157"/>
      <c r="AH273" s="157"/>
      <c r="AI273" s="157"/>
      <c r="AJ273" s="157"/>
      <c r="AK273" s="157"/>
      <c r="AL273" s="157"/>
      <c r="AM273" s="157"/>
      <c r="AN273" s="157"/>
      <c r="AO273" s="157"/>
      <c r="AP273" s="157"/>
    </row>
    <row r="274" ht="17.25" customHeight="1">
      <c r="A274" s="103"/>
      <c r="B274" s="103"/>
      <c r="C274" s="139" t="s">
        <v>1355</v>
      </c>
      <c r="D274" s="195">
        <v>2060512.0</v>
      </c>
      <c r="E274" s="139" t="s">
        <v>1761</v>
      </c>
      <c r="F274" s="87" t="s">
        <v>260</v>
      </c>
      <c r="G274" s="95" t="s">
        <v>146</v>
      </c>
      <c r="H274" s="95" t="s">
        <v>85</v>
      </c>
      <c r="I274" s="89" t="str">
        <f t="shared" si="3"/>
        <v>PASSED</v>
      </c>
      <c r="J274" s="89" t="s">
        <v>27</v>
      </c>
      <c r="K274" s="95" t="s">
        <v>86</v>
      </c>
      <c r="L274" s="95" t="s">
        <v>12</v>
      </c>
      <c r="M274" s="137" t="s">
        <v>1719</v>
      </c>
      <c r="N274" s="137" t="s">
        <v>856</v>
      </c>
      <c r="O274" s="159"/>
      <c r="P274" s="137" t="s">
        <v>37</v>
      </c>
      <c r="Q274" s="139" t="s">
        <v>1765</v>
      </c>
      <c r="R274" s="139" t="s">
        <v>1766</v>
      </c>
      <c r="S274" s="139" t="s">
        <v>1767</v>
      </c>
      <c r="T274" s="193" t="s">
        <v>1550</v>
      </c>
      <c r="U274" s="157"/>
      <c r="V274" s="157"/>
      <c r="W274" s="157"/>
      <c r="X274" s="157"/>
      <c r="Y274" s="157"/>
      <c r="Z274" s="157"/>
      <c r="AA274" s="157"/>
      <c r="AB274" s="157"/>
      <c r="AC274" s="157"/>
      <c r="AD274" s="157"/>
      <c r="AE274" s="157"/>
      <c r="AF274" s="157"/>
      <c r="AG274" s="157"/>
      <c r="AH274" s="157"/>
      <c r="AI274" s="157"/>
      <c r="AJ274" s="157"/>
      <c r="AK274" s="157"/>
      <c r="AL274" s="157"/>
      <c r="AM274" s="157"/>
      <c r="AN274" s="157"/>
      <c r="AO274" s="157"/>
      <c r="AP274" s="157"/>
    </row>
    <row r="275" ht="17.25" customHeight="1">
      <c r="A275" s="103"/>
      <c r="B275" s="103"/>
      <c r="C275" s="139" t="s">
        <v>1771</v>
      </c>
      <c r="D275" s="195">
        <v>2060513.0</v>
      </c>
      <c r="E275" s="139" t="s">
        <v>1773</v>
      </c>
      <c r="F275" s="87" t="s">
        <v>260</v>
      </c>
      <c r="G275" s="95" t="s">
        <v>146</v>
      </c>
      <c r="H275" s="95" t="s">
        <v>85</v>
      </c>
      <c r="I275" s="89" t="str">
        <f t="shared" si="3"/>
        <v>PASSED</v>
      </c>
      <c r="J275" s="89" t="s">
        <v>27</v>
      </c>
      <c r="K275" s="95" t="s">
        <v>86</v>
      </c>
      <c r="L275" s="95" t="s">
        <v>12</v>
      </c>
      <c r="M275" s="137" t="s">
        <v>1719</v>
      </c>
      <c r="N275" s="137" t="s">
        <v>856</v>
      </c>
      <c r="O275" s="138"/>
      <c r="P275" s="137" t="s">
        <v>37</v>
      </c>
      <c r="Q275" s="139" t="s">
        <v>1776</v>
      </c>
      <c r="R275" s="139" t="s">
        <v>1777</v>
      </c>
      <c r="S275" s="139" t="s">
        <v>1780</v>
      </c>
      <c r="T275" s="193" t="s">
        <v>1550</v>
      </c>
      <c r="U275" s="157"/>
      <c r="V275" s="157"/>
      <c r="W275" s="157"/>
      <c r="X275" s="157"/>
      <c r="Y275" s="157"/>
      <c r="Z275" s="157"/>
      <c r="AA275" s="157"/>
      <c r="AB275" s="157"/>
      <c r="AC275" s="157"/>
      <c r="AD275" s="157"/>
      <c r="AE275" s="157"/>
      <c r="AF275" s="157"/>
      <c r="AG275" s="157"/>
      <c r="AH275" s="157"/>
      <c r="AI275" s="157"/>
      <c r="AJ275" s="157"/>
      <c r="AK275" s="157"/>
      <c r="AL275" s="157"/>
      <c r="AM275" s="157"/>
      <c r="AN275" s="157"/>
      <c r="AO275" s="157"/>
      <c r="AP275" s="157"/>
    </row>
    <row r="276" ht="17.25" customHeight="1">
      <c r="A276" s="26"/>
      <c r="B276" s="26"/>
      <c r="C276" s="139" t="s">
        <v>1485</v>
      </c>
      <c r="D276" s="195">
        <v>2060514.0</v>
      </c>
      <c r="E276" s="139" t="s">
        <v>1782</v>
      </c>
      <c r="F276" s="87" t="s">
        <v>260</v>
      </c>
      <c r="G276" s="95" t="s">
        <v>261</v>
      </c>
      <c r="H276" s="95" t="s">
        <v>262</v>
      </c>
      <c r="I276" s="89" t="str">
        <f t="shared" si="3"/>
        <v>PASSED</v>
      </c>
      <c r="J276" s="89" t="s">
        <v>27</v>
      </c>
      <c r="K276" s="95" t="s">
        <v>86</v>
      </c>
      <c r="L276" s="95" t="s">
        <v>12</v>
      </c>
      <c r="M276" s="137" t="s">
        <v>1719</v>
      </c>
      <c r="N276" s="137" t="s">
        <v>856</v>
      </c>
      <c r="O276" s="138"/>
      <c r="P276" s="137" t="s">
        <v>37</v>
      </c>
      <c r="Q276" s="139" t="s">
        <v>1785</v>
      </c>
      <c r="R276" s="139" t="s">
        <v>1786</v>
      </c>
      <c r="S276" s="139" t="s">
        <v>1787</v>
      </c>
      <c r="T276" s="193" t="s">
        <v>1550</v>
      </c>
      <c r="U276" s="157"/>
      <c r="V276" s="157"/>
      <c r="W276" s="157"/>
      <c r="X276" s="157"/>
      <c r="Y276" s="157"/>
      <c r="Z276" s="157"/>
      <c r="AA276" s="157"/>
      <c r="AB276" s="157"/>
      <c r="AC276" s="157"/>
      <c r="AD276" s="157"/>
      <c r="AE276" s="157"/>
      <c r="AF276" s="157"/>
      <c r="AG276" s="157"/>
      <c r="AH276" s="157"/>
      <c r="AI276" s="157"/>
      <c r="AJ276" s="157"/>
      <c r="AK276" s="157"/>
      <c r="AL276" s="157"/>
      <c r="AM276" s="157"/>
      <c r="AN276" s="157"/>
      <c r="AO276" s="157"/>
      <c r="AP276" s="157"/>
    </row>
    <row r="277" ht="17.25" customHeight="1">
      <c r="A277" s="156" t="s">
        <v>1788</v>
      </c>
      <c r="B277" s="84" t="s">
        <v>658</v>
      </c>
      <c r="C277" s="87" t="s">
        <v>1382</v>
      </c>
      <c r="D277" s="87">
        <v>2061401.0</v>
      </c>
      <c r="E277" s="87" t="s">
        <v>1794</v>
      </c>
      <c r="F277" s="87" t="s">
        <v>73</v>
      </c>
      <c r="G277" s="95" t="s">
        <v>146</v>
      </c>
      <c r="H277" s="95" t="s">
        <v>85</v>
      </c>
      <c r="I277" s="89" t="str">
        <f t="shared" si="3"/>
        <v>FAILED</v>
      </c>
      <c r="J277" s="95" t="s">
        <v>27</v>
      </c>
      <c r="K277" s="95" t="s">
        <v>86</v>
      </c>
      <c r="L277" s="95" t="s">
        <v>13</v>
      </c>
      <c r="M277" s="129" t="s">
        <v>661</v>
      </c>
      <c r="N277" s="155" t="s">
        <v>856</v>
      </c>
      <c r="O277" s="87" t="s">
        <v>1381</v>
      </c>
      <c r="P277" s="129" t="s">
        <v>37</v>
      </c>
      <c r="Q277" s="139" t="s">
        <v>1795</v>
      </c>
      <c r="R277" s="109" t="s">
        <v>1796</v>
      </c>
      <c r="S277" s="139" t="s">
        <v>1797</v>
      </c>
      <c r="T277" s="128">
        <v>46299.0</v>
      </c>
      <c r="U277" s="6"/>
      <c r="V277" s="6"/>
      <c r="W277" s="6"/>
      <c r="X277" s="6"/>
      <c r="Y277" s="6"/>
      <c r="Z277" s="6"/>
      <c r="AA277" s="6"/>
      <c r="AB277" s="6"/>
      <c r="AC277" s="6"/>
      <c r="AD277" s="6"/>
      <c r="AE277" s="6"/>
      <c r="AF277" s="6"/>
      <c r="AG277" s="6"/>
      <c r="AH277" s="6"/>
      <c r="AI277" s="6"/>
      <c r="AJ277" s="6"/>
      <c r="AK277" s="6"/>
      <c r="AL277" s="6"/>
      <c r="AM277" s="6"/>
      <c r="AN277" s="6"/>
      <c r="AO277" s="6"/>
      <c r="AP277" s="6"/>
    </row>
    <row r="278" ht="17.25" customHeight="1">
      <c r="A278" s="103"/>
      <c r="B278" s="103"/>
      <c r="C278" s="87" t="s">
        <v>1456</v>
      </c>
      <c r="D278" s="87">
        <v>2061402.0</v>
      </c>
      <c r="E278" s="87" t="s">
        <v>1798</v>
      </c>
      <c r="F278" s="87" t="s">
        <v>260</v>
      </c>
      <c r="G278" s="95" t="s">
        <v>146</v>
      </c>
      <c r="H278" s="95" t="s">
        <v>85</v>
      </c>
      <c r="I278" s="89" t="str">
        <f t="shared" si="3"/>
        <v>PASSED</v>
      </c>
      <c r="J278" s="95" t="s">
        <v>27</v>
      </c>
      <c r="K278" s="95" t="s">
        <v>86</v>
      </c>
      <c r="L278" s="95" t="s">
        <v>12</v>
      </c>
      <c r="M278" s="129" t="s">
        <v>661</v>
      </c>
      <c r="N278" s="155" t="s">
        <v>856</v>
      </c>
      <c r="O278" s="87"/>
      <c r="P278" s="129" t="s">
        <v>37</v>
      </c>
      <c r="Q278" s="139" t="s">
        <v>1799</v>
      </c>
      <c r="R278" s="109" t="s">
        <v>1800</v>
      </c>
      <c r="S278" s="139" t="s">
        <v>1801</v>
      </c>
      <c r="T278" s="128">
        <v>46299.0</v>
      </c>
      <c r="U278" s="6"/>
      <c r="V278" s="6"/>
      <c r="W278" s="6"/>
      <c r="X278" s="6"/>
      <c r="Y278" s="6"/>
      <c r="Z278" s="6"/>
      <c r="AA278" s="6"/>
      <c r="AB278" s="6"/>
      <c r="AC278" s="6"/>
      <c r="AD278" s="6"/>
      <c r="AE278" s="6"/>
      <c r="AF278" s="6"/>
      <c r="AG278" s="6"/>
      <c r="AH278" s="6"/>
      <c r="AI278" s="6"/>
      <c r="AJ278" s="6"/>
      <c r="AK278" s="6"/>
      <c r="AL278" s="6"/>
      <c r="AM278" s="6"/>
      <c r="AN278" s="6"/>
      <c r="AO278" s="6"/>
      <c r="AP278" s="6"/>
    </row>
    <row r="279" ht="17.25" customHeight="1">
      <c r="A279" s="103"/>
      <c r="B279" s="103"/>
      <c r="C279" s="87" t="s">
        <v>1391</v>
      </c>
      <c r="D279" s="87">
        <v>2061403.0</v>
      </c>
      <c r="E279" s="87" t="s">
        <v>1802</v>
      </c>
      <c r="F279" s="87" t="s">
        <v>73</v>
      </c>
      <c r="G279" s="95" t="s">
        <v>146</v>
      </c>
      <c r="H279" s="95" t="s">
        <v>85</v>
      </c>
      <c r="I279" s="89" t="str">
        <f t="shared" si="3"/>
        <v>FAILED</v>
      </c>
      <c r="J279" s="95" t="s">
        <v>27</v>
      </c>
      <c r="K279" s="95" t="s">
        <v>86</v>
      </c>
      <c r="L279" s="95" t="s">
        <v>13</v>
      </c>
      <c r="M279" s="129" t="s">
        <v>1803</v>
      </c>
      <c r="N279" s="155" t="s">
        <v>856</v>
      </c>
      <c r="O279" s="87" t="s">
        <v>1389</v>
      </c>
      <c r="P279" s="129" t="s">
        <v>37</v>
      </c>
      <c r="Q279" s="139" t="s">
        <v>1804</v>
      </c>
      <c r="R279" s="109" t="s">
        <v>1805</v>
      </c>
      <c r="S279" s="139" t="s">
        <v>1806</v>
      </c>
      <c r="T279" s="128">
        <v>46299.0</v>
      </c>
      <c r="U279" s="6"/>
      <c r="V279" s="6"/>
      <c r="W279" s="6"/>
      <c r="X279" s="6"/>
      <c r="Y279" s="6"/>
      <c r="Z279" s="6"/>
      <c r="AA279" s="6"/>
      <c r="AB279" s="6"/>
      <c r="AC279" s="6"/>
      <c r="AD279" s="6"/>
      <c r="AE279" s="6"/>
      <c r="AF279" s="6"/>
      <c r="AG279" s="6"/>
      <c r="AH279" s="6"/>
      <c r="AI279" s="6"/>
      <c r="AJ279" s="6"/>
      <c r="AK279" s="6"/>
      <c r="AL279" s="6"/>
      <c r="AM279" s="6"/>
      <c r="AN279" s="6"/>
      <c r="AO279" s="6"/>
      <c r="AP279" s="6"/>
    </row>
    <row r="280" ht="17.25" customHeight="1">
      <c r="A280" s="103"/>
      <c r="B280" s="103"/>
      <c r="C280" s="87" t="s">
        <v>1463</v>
      </c>
      <c r="D280" s="87">
        <v>2061404.0</v>
      </c>
      <c r="E280" s="87" t="s">
        <v>1807</v>
      </c>
      <c r="F280" s="87" t="s">
        <v>260</v>
      </c>
      <c r="G280" s="95" t="s">
        <v>146</v>
      </c>
      <c r="H280" s="95" t="s">
        <v>85</v>
      </c>
      <c r="I280" s="89" t="str">
        <f t="shared" si="3"/>
        <v>FAILED</v>
      </c>
      <c r="J280" s="95" t="s">
        <v>27</v>
      </c>
      <c r="K280" s="95" t="s">
        <v>86</v>
      </c>
      <c r="L280" s="95" t="s">
        <v>13</v>
      </c>
      <c r="M280" s="129" t="s">
        <v>661</v>
      </c>
      <c r="N280" s="155" t="s">
        <v>856</v>
      </c>
      <c r="O280" s="87" t="s">
        <v>1462</v>
      </c>
      <c r="P280" s="129" t="s">
        <v>37</v>
      </c>
      <c r="Q280" s="139" t="s">
        <v>1808</v>
      </c>
      <c r="R280" s="109" t="s">
        <v>1809</v>
      </c>
      <c r="S280" s="139" t="s">
        <v>1810</v>
      </c>
      <c r="T280" s="128">
        <v>46299.0</v>
      </c>
      <c r="U280" s="6"/>
      <c r="V280" s="6"/>
      <c r="W280" s="6"/>
      <c r="X280" s="6"/>
      <c r="Y280" s="6"/>
      <c r="Z280" s="6"/>
      <c r="AA280" s="6"/>
      <c r="AB280" s="6"/>
      <c r="AC280" s="6"/>
      <c r="AD280" s="6"/>
      <c r="AE280" s="6"/>
      <c r="AF280" s="6"/>
      <c r="AG280" s="6"/>
      <c r="AH280" s="6"/>
      <c r="AI280" s="6"/>
      <c r="AJ280" s="6"/>
      <c r="AK280" s="6"/>
      <c r="AL280" s="6"/>
      <c r="AM280" s="6"/>
      <c r="AN280" s="6"/>
      <c r="AO280" s="6"/>
      <c r="AP280" s="6"/>
    </row>
    <row r="281" ht="17.25" customHeight="1">
      <c r="A281" s="103"/>
      <c r="B281" s="103"/>
      <c r="C281" s="87" t="s">
        <v>1811</v>
      </c>
      <c r="D281" s="87">
        <v>2061405.0</v>
      </c>
      <c r="E281" s="87" t="s">
        <v>1812</v>
      </c>
      <c r="F281" s="87" t="s">
        <v>73</v>
      </c>
      <c r="G281" s="95" t="s">
        <v>146</v>
      </c>
      <c r="H281" s="95" t="s">
        <v>85</v>
      </c>
      <c r="I281" s="89" t="str">
        <f t="shared" si="3"/>
        <v>FAILED</v>
      </c>
      <c r="J281" s="95" t="s">
        <v>27</v>
      </c>
      <c r="K281" s="95" t="s">
        <v>86</v>
      </c>
      <c r="L281" s="95" t="s">
        <v>13</v>
      </c>
      <c r="M281" s="129" t="s">
        <v>1813</v>
      </c>
      <c r="N281" s="155" t="s">
        <v>856</v>
      </c>
      <c r="O281" s="87" t="s">
        <v>885</v>
      </c>
      <c r="P281" s="129" t="s">
        <v>37</v>
      </c>
      <c r="Q281" s="139" t="s">
        <v>1814</v>
      </c>
      <c r="R281" s="109" t="s">
        <v>1815</v>
      </c>
      <c r="S281" s="139" t="s">
        <v>1816</v>
      </c>
      <c r="T281" s="128">
        <v>46299.0</v>
      </c>
      <c r="U281" s="6"/>
      <c r="V281" s="6"/>
      <c r="W281" s="6"/>
      <c r="X281" s="6"/>
      <c r="Y281" s="6"/>
      <c r="Z281" s="6"/>
      <c r="AA281" s="6"/>
      <c r="AB281" s="6"/>
      <c r="AC281" s="6"/>
      <c r="AD281" s="6"/>
      <c r="AE281" s="6"/>
      <c r="AF281" s="6"/>
      <c r="AG281" s="6"/>
      <c r="AH281" s="6"/>
      <c r="AI281" s="6"/>
      <c r="AJ281" s="6"/>
      <c r="AK281" s="6"/>
      <c r="AL281" s="6"/>
      <c r="AM281" s="6"/>
      <c r="AN281" s="6"/>
      <c r="AO281" s="6"/>
      <c r="AP281" s="6"/>
    </row>
    <row r="282" ht="17.25" customHeight="1">
      <c r="A282" s="103"/>
      <c r="B282" s="103"/>
      <c r="C282" s="87" t="s">
        <v>1817</v>
      </c>
      <c r="D282" s="87">
        <v>2061406.0</v>
      </c>
      <c r="E282" s="87" t="s">
        <v>1818</v>
      </c>
      <c r="F282" s="87" t="s">
        <v>73</v>
      </c>
      <c r="G282" s="95" t="s">
        <v>146</v>
      </c>
      <c r="H282" s="95" t="s">
        <v>85</v>
      </c>
      <c r="I282" s="89" t="str">
        <f t="shared" si="3"/>
        <v>BLOCKED</v>
      </c>
      <c r="J282" s="95" t="s">
        <v>17</v>
      </c>
      <c r="K282" s="89" t="s">
        <v>78</v>
      </c>
      <c r="L282" s="89" t="s">
        <v>27</v>
      </c>
      <c r="M282" s="129" t="s">
        <v>1819</v>
      </c>
      <c r="N282" s="155" t="s">
        <v>856</v>
      </c>
      <c r="O282" s="86"/>
      <c r="P282" s="129" t="s">
        <v>37</v>
      </c>
      <c r="Q282" s="139" t="s">
        <v>1820</v>
      </c>
      <c r="R282" s="100"/>
      <c r="S282" s="134"/>
      <c r="T282" s="128">
        <v>46299.0</v>
      </c>
      <c r="U282" s="6"/>
      <c r="V282" s="6"/>
      <c r="W282" s="6"/>
      <c r="X282" s="6"/>
      <c r="Y282" s="6"/>
      <c r="Z282" s="6"/>
      <c r="AA282" s="6"/>
      <c r="AB282" s="6"/>
      <c r="AC282" s="6"/>
      <c r="AD282" s="6"/>
      <c r="AE282" s="6"/>
      <c r="AF282" s="6"/>
      <c r="AG282" s="6"/>
      <c r="AH282" s="6"/>
      <c r="AI282" s="6"/>
      <c r="AJ282" s="6"/>
      <c r="AK282" s="6"/>
      <c r="AL282" s="6"/>
      <c r="AM282" s="6"/>
      <c r="AN282" s="6"/>
      <c r="AO282" s="6"/>
      <c r="AP282" s="6"/>
    </row>
    <row r="283" ht="17.25" customHeight="1">
      <c r="A283" s="103"/>
      <c r="B283" s="103"/>
      <c r="C283" s="87" t="s">
        <v>1821</v>
      </c>
      <c r="D283" s="87">
        <v>2061407.0</v>
      </c>
      <c r="E283" s="87" t="s">
        <v>1822</v>
      </c>
      <c r="F283" s="87" t="s">
        <v>73</v>
      </c>
      <c r="G283" s="95" t="s">
        <v>146</v>
      </c>
      <c r="H283" s="95" t="s">
        <v>85</v>
      </c>
      <c r="I283" s="89" t="str">
        <f t="shared" si="3"/>
        <v>BLOCKED</v>
      </c>
      <c r="J283" s="95" t="s">
        <v>17</v>
      </c>
      <c r="K283" s="89" t="s">
        <v>78</v>
      </c>
      <c r="L283" s="89" t="s">
        <v>27</v>
      </c>
      <c r="M283" s="129" t="s">
        <v>1823</v>
      </c>
      <c r="N283" s="155" t="s">
        <v>856</v>
      </c>
      <c r="O283" s="86"/>
      <c r="P283" s="129" t="s">
        <v>37</v>
      </c>
      <c r="Q283" s="139" t="s">
        <v>1824</v>
      </c>
      <c r="R283" s="100"/>
      <c r="S283" s="134"/>
      <c r="T283" s="128">
        <v>46299.0</v>
      </c>
      <c r="U283" s="6"/>
      <c r="V283" s="6"/>
      <c r="W283" s="6"/>
      <c r="X283" s="6"/>
      <c r="Y283" s="6"/>
      <c r="Z283" s="6"/>
      <c r="AA283" s="6"/>
      <c r="AB283" s="6"/>
      <c r="AC283" s="6"/>
      <c r="AD283" s="6"/>
      <c r="AE283" s="6"/>
      <c r="AF283" s="6"/>
      <c r="AG283" s="6"/>
      <c r="AH283" s="6"/>
      <c r="AI283" s="6"/>
      <c r="AJ283" s="6"/>
      <c r="AK283" s="6"/>
      <c r="AL283" s="6"/>
      <c r="AM283" s="6"/>
      <c r="AN283" s="6"/>
      <c r="AO283" s="6"/>
      <c r="AP283" s="6"/>
    </row>
    <row r="284" ht="17.25" customHeight="1">
      <c r="A284" s="103"/>
      <c r="B284" s="103"/>
      <c r="C284" s="87" t="s">
        <v>1825</v>
      </c>
      <c r="D284" s="87">
        <v>2061408.0</v>
      </c>
      <c r="E284" s="87" t="s">
        <v>1826</v>
      </c>
      <c r="F284" s="87" t="s">
        <v>260</v>
      </c>
      <c r="G284" s="95" t="s">
        <v>146</v>
      </c>
      <c r="H284" s="95" t="s">
        <v>85</v>
      </c>
      <c r="I284" s="89" t="str">
        <f t="shared" si="3"/>
        <v>PASSED</v>
      </c>
      <c r="J284" s="89" t="s">
        <v>27</v>
      </c>
      <c r="K284" s="95" t="s">
        <v>86</v>
      </c>
      <c r="L284" s="95" t="s">
        <v>12</v>
      </c>
      <c r="M284" s="129" t="s">
        <v>661</v>
      </c>
      <c r="N284" s="155" t="s">
        <v>856</v>
      </c>
      <c r="O284" s="86"/>
      <c r="P284" s="129" t="s">
        <v>37</v>
      </c>
      <c r="Q284" s="139" t="s">
        <v>1827</v>
      </c>
      <c r="R284" s="109" t="s">
        <v>1828</v>
      </c>
      <c r="S284" s="139" t="s">
        <v>1829</v>
      </c>
      <c r="T284" s="128">
        <v>46299.0</v>
      </c>
      <c r="U284" s="6"/>
      <c r="V284" s="6"/>
      <c r="W284" s="6"/>
      <c r="X284" s="6"/>
      <c r="Y284" s="6"/>
      <c r="Z284" s="6"/>
      <c r="AA284" s="6"/>
      <c r="AB284" s="6"/>
      <c r="AC284" s="6"/>
      <c r="AD284" s="6"/>
      <c r="AE284" s="6"/>
      <c r="AF284" s="6"/>
      <c r="AG284" s="6"/>
      <c r="AH284" s="6"/>
      <c r="AI284" s="6"/>
      <c r="AJ284" s="6"/>
      <c r="AK284" s="6"/>
      <c r="AL284" s="6"/>
      <c r="AM284" s="6"/>
      <c r="AN284" s="6"/>
      <c r="AO284" s="6"/>
      <c r="AP284" s="6"/>
    </row>
    <row r="285" ht="17.25" customHeight="1">
      <c r="A285" s="103"/>
      <c r="B285" s="26"/>
      <c r="C285" s="87" t="s">
        <v>1830</v>
      </c>
      <c r="D285" s="87">
        <v>2061409.0</v>
      </c>
      <c r="E285" s="87" t="s">
        <v>1831</v>
      </c>
      <c r="F285" s="87" t="s">
        <v>260</v>
      </c>
      <c r="G285" s="95" t="s">
        <v>146</v>
      </c>
      <c r="H285" s="95" t="s">
        <v>85</v>
      </c>
      <c r="I285" s="89" t="str">
        <f t="shared" si="3"/>
        <v>PASSED</v>
      </c>
      <c r="J285" s="89" t="s">
        <v>27</v>
      </c>
      <c r="K285" s="95" t="s">
        <v>86</v>
      </c>
      <c r="L285" s="95" t="s">
        <v>12</v>
      </c>
      <c r="M285" s="129" t="s">
        <v>1813</v>
      </c>
      <c r="N285" s="155" t="s">
        <v>856</v>
      </c>
      <c r="O285" s="86"/>
      <c r="P285" s="129" t="s">
        <v>37</v>
      </c>
      <c r="Q285" s="139" t="s">
        <v>1832</v>
      </c>
      <c r="R285" s="109" t="s">
        <v>1833</v>
      </c>
      <c r="S285" s="139" t="s">
        <v>1834</v>
      </c>
      <c r="T285" s="128">
        <v>46299.0</v>
      </c>
      <c r="U285" s="6"/>
      <c r="V285" s="6"/>
      <c r="W285" s="6"/>
      <c r="X285" s="6"/>
      <c r="Y285" s="6"/>
      <c r="Z285" s="6"/>
      <c r="AA285" s="6"/>
      <c r="AB285" s="6"/>
      <c r="AC285" s="6"/>
      <c r="AD285" s="6"/>
      <c r="AE285" s="6"/>
      <c r="AF285" s="6"/>
      <c r="AG285" s="6"/>
      <c r="AH285" s="6"/>
      <c r="AI285" s="6"/>
      <c r="AJ285" s="6"/>
      <c r="AK285" s="6"/>
      <c r="AL285" s="6"/>
      <c r="AM285" s="6"/>
      <c r="AN285" s="6"/>
      <c r="AO285" s="6"/>
      <c r="AP285" s="6"/>
    </row>
    <row r="286" ht="17.25" customHeight="1">
      <c r="A286" s="103"/>
      <c r="B286" s="84" t="s">
        <v>674</v>
      </c>
      <c r="C286" s="86" t="s">
        <v>1835</v>
      </c>
      <c r="D286" s="86"/>
      <c r="E286" s="86" t="s">
        <v>1836</v>
      </c>
      <c r="F286" s="86" t="s">
        <v>73</v>
      </c>
      <c r="G286" s="89" t="s">
        <v>146</v>
      </c>
      <c r="H286" s="89" t="s">
        <v>85</v>
      </c>
      <c r="I286" s="89" t="str">
        <f t="shared" si="3"/>
        <v>BLOCKED</v>
      </c>
      <c r="J286" s="95" t="s">
        <v>17</v>
      </c>
      <c r="K286" s="89" t="s">
        <v>78</v>
      </c>
      <c r="L286" s="89" t="s">
        <v>27</v>
      </c>
      <c r="M286" s="97" t="s">
        <v>677</v>
      </c>
      <c r="N286" s="137" t="s">
        <v>856</v>
      </c>
      <c r="O286" s="86"/>
      <c r="P286" s="97" t="s">
        <v>37</v>
      </c>
      <c r="Q286" s="139" t="s">
        <v>1837</v>
      </c>
      <c r="R286" s="100"/>
      <c r="S286" s="134"/>
      <c r="T286" s="80" t="s">
        <v>679</v>
      </c>
      <c r="U286" s="6"/>
      <c r="V286" s="6"/>
      <c r="W286" s="6"/>
      <c r="X286" s="6"/>
      <c r="Y286" s="6"/>
      <c r="Z286" s="6"/>
      <c r="AA286" s="6"/>
      <c r="AB286" s="6"/>
      <c r="AC286" s="6"/>
      <c r="AD286" s="6"/>
      <c r="AE286" s="6"/>
      <c r="AF286" s="6"/>
      <c r="AG286" s="6"/>
      <c r="AH286" s="6"/>
      <c r="AI286" s="6"/>
      <c r="AJ286" s="6"/>
      <c r="AK286" s="6"/>
      <c r="AL286" s="6"/>
      <c r="AM286" s="6"/>
      <c r="AN286" s="6"/>
      <c r="AO286" s="6"/>
      <c r="AP286" s="6"/>
    </row>
    <row r="287" ht="17.25" customHeight="1">
      <c r="A287" s="103"/>
      <c r="B287" s="103"/>
      <c r="C287" s="86" t="s">
        <v>1838</v>
      </c>
      <c r="D287" s="86"/>
      <c r="E287" s="86" t="s">
        <v>1839</v>
      </c>
      <c r="F287" s="86" t="s">
        <v>73</v>
      </c>
      <c r="G287" s="89" t="s">
        <v>146</v>
      </c>
      <c r="H287" s="89" t="s">
        <v>85</v>
      </c>
      <c r="I287" s="89" t="str">
        <f t="shared" si="3"/>
        <v>BLOCKED</v>
      </c>
      <c r="J287" s="95" t="s">
        <v>17</v>
      </c>
      <c r="K287" s="89" t="s">
        <v>78</v>
      </c>
      <c r="L287" s="89" t="s">
        <v>27</v>
      </c>
      <c r="M287" s="97" t="s">
        <v>1840</v>
      </c>
      <c r="N287" s="137" t="s">
        <v>856</v>
      </c>
      <c r="O287" s="86"/>
      <c r="P287" s="97" t="s">
        <v>37</v>
      </c>
      <c r="Q287" s="142" t="s">
        <v>1841</v>
      </c>
      <c r="R287" s="100"/>
      <c r="S287" s="134"/>
      <c r="T287" s="80" t="s">
        <v>679</v>
      </c>
      <c r="U287" s="6"/>
      <c r="V287" s="6"/>
      <c r="W287" s="6"/>
      <c r="X287" s="6"/>
      <c r="Y287" s="6"/>
      <c r="Z287" s="6"/>
      <c r="AA287" s="6"/>
      <c r="AB287" s="6"/>
      <c r="AC287" s="6"/>
      <c r="AD287" s="6"/>
      <c r="AE287" s="6"/>
      <c r="AF287" s="6"/>
      <c r="AG287" s="6"/>
      <c r="AH287" s="6"/>
      <c r="AI287" s="6"/>
      <c r="AJ287" s="6"/>
      <c r="AK287" s="6"/>
      <c r="AL287" s="6"/>
      <c r="AM287" s="6"/>
      <c r="AN287" s="6"/>
      <c r="AO287" s="6"/>
      <c r="AP287" s="6"/>
    </row>
    <row r="288" ht="17.25" customHeight="1">
      <c r="A288" s="26"/>
      <c r="B288" s="26"/>
      <c r="C288" s="86" t="s">
        <v>1842</v>
      </c>
      <c r="D288" s="86"/>
      <c r="E288" s="86" t="s">
        <v>1843</v>
      </c>
      <c r="F288" s="86" t="s">
        <v>73</v>
      </c>
      <c r="G288" s="89" t="s">
        <v>146</v>
      </c>
      <c r="H288" s="89" t="s">
        <v>85</v>
      </c>
      <c r="I288" s="89" t="str">
        <f t="shared" si="3"/>
        <v>BLOCKED</v>
      </c>
      <c r="J288" s="95" t="s">
        <v>17</v>
      </c>
      <c r="K288" s="89" t="s">
        <v>78</v>
      </c>
      <c r="L288" s="89" t="s">
        <v>27</v>
      </c>
      <c r="M288" s="97" t="s">
        <v>677</v>
      </c>
      <c r="N288" s="137" t="s">
        <v>856</v>
      </c>
      <c r="O288" s="86"/>
      <c r="P288" s="97" t="s">
        <v>37</v>
      </c>
      <c r="Q288" s="139" t="s">
        <v>1844</v>
      </c>
      <c r="R288" s="100"/>
      <c r="S288" s="134"/>
      <c r="T288" s="80" t="s">
        <v>679</v>
      </c>
      <c r="U288" s="6"/>
      <c r="V288" s="6"/>
      <c r="W288" s="6"/>
      <c r="X288" s="6"/>
      <c r="Y288" s="6"/>
      <c r="Z288" s="6"/>
      <c r="AA288" s="6"/>
      <c r="AB288" s="6"/>
      <c r="AC288" s="6"/>
      <c r="AD288" s="6"/>
      <c r="AE288" s="6"/>
      <c r="AF288" s="6"/>
      <c r="AG288" s="6"/>
      <c r="AH288" s="6"/>
      <c r="AI288" s="6"/>
      <c r="AJ288" s="6"/>
      <c r="AK288" s="6"/>
      <c r="AL288" s="6"/>
      <c r="AM288" s="6"/>
      <c r="AN288" s="6"/>
      <c r="AO288" s="6"/>
      <c r="AP288" s="6"/>
    </row>
    <row r="289" ht="17.25" customHeight="1">
      <c r="A289" s="156" t="s">
        <v>1845</v>
      </c>
      <c r="B289" s="84" t="s">
        <v>1846</v>
      </c>
      <c r="C289" s="86" t="s">
        <v>405</v>
      </c>
      <c r="D289" s="87">
        <v>2060801.0</v>
      </c>
      <c r="E289" s="86" t="s">
        <v>407</v>
      </c>
      <c r="F289" s="86" t="s">
        <v>73</v>
      </c>
      <c r="G289" s="89" t="s">
        <v>74</v>
      </c>
      <c r="H289" s="89" t="s">
        <v>85</v>
      </c>
      <c r="I289" s="89" t="str">
        <f t="shared" si="3"/>
        <v>PASSED</v>
      </c>
      <c r="J289" s="89" t="s">
        <v>27</v>
      </c>
      <c r="K289" s="95" t="s">
        <v>86</v>
      </c>
      <c r="L289" s="95" t="s">
        <v>12</v>
      </c>
      <c r="M289" s="97" t="s">
        <v>1847</v>
      </c>
      <c r="N289" s="137" t="s">
        <v>856</v>
      </c>
      <c r="O289" s="86"/>
      <c r="P289" s="97" t="s">
        <v>37</v>
      </c>
      <c r="Q289" s="139" t="s">
        <v>1848</v>
      </c>
      <c r="R289" s="109" t="s">
        <v>1849</v>
      </c>
      <c r="S289" s="139" t="s">
        <v>1850</v>
      </c>
      <c r="T289" s="80" t="s">
        <v>239</v>
      </c>
      <c r="U289" s="6"/>
      <c r="V289" s="6"/>
      <c r="W289" s="6"/>
      <c r="X289" s="6"/>
      <c r="Y289" s="6"/>
      <c r="Z289" s="6"/>
      <c r="AA289" s="6"/>
      <c r="AB289" s="6"/>
      <c r="AC289" s="6"/>
      <c r="AD289" s="6"/>
      <c r="AE289" s="6"/>
      <c r="AF289" s="6"/>
      <c r="AG289" s="6"/>
      <c r="AH289" s="6"/>
      <c r="AI289" s="6"/>
      <c r="AJ289" s="6"/>
      <c r="AK289" s="6"/>
      <c r="AL289" s="6"/>
      <c r="AM289" s="6"/>
      <c r="AN289" s="6"/>
      <c r="AO289" s="6"/>
      <c r="AP289" s="6"/>
    </row>
    <row r="290" ht="17.25" customHeight="1">
      <c r="A290" s="103"/>
      <c r="B290" s="103"/>
      <c r="C290" s="87" t="s">
        <v>1851</v>
      </c>
      <c r="D290" s="87">
        <v>2060802.0</v>
      </c>
      <c r="E290" s="87" t="s">
        <v>1852</v>
      </c>
      <c r="F290" s="87" t="s">
        <v>73</v>
      </c>
      <c r="G290" s="95" t="s">
        <v>146</v>
      </c>
      <c r="H290" s="95" t="s">
        <v>85</v>
      </c>
      <c r="I290" s="89" t="str">
        <f t="shared" si="3"/>
        <v>PASSED</v>
      </c>
      <c r="J290" s="89" t="s">
        <v>27</v>
      </c>
      <c r="K290" s="95" t="s">
        <v>86</v>
      </c>
      <c r="L290" s="95" t="s">
        <v>12</v>
      </c>
      <c r="M290" s="129" t="s">
        <v>235</v>
      </c>
      <c r="N290" s="155" t="s">
        <v>856</v>
      </c>
      <c r="O290" s="86"/>
      <c r="P290" s="129" t="s">
        <v>37</v>
      </c>
      <c r="Q290" s="139" t="s">
        <v>1853</v>
      </c>
      <c r="R290" s="109" t="s">
        <v>1854</v>
      </c>
      <c r="S290" s="139" t="s">
        <v>893</v>
      </c>
      <c r="T290" s="128">
        <v>46085.0</v>
      </c>
      <c r="U290" s="6"/>
      <c r="V290" s="6"/>
      <c r="W290" s="6"/>
      <c r="X290" s="6"/>
      <c r="Y290" s="6"/>
      <c r="Z290" s="6"/>
      <c r="AA290" s="6"/>
      <c r="AB290" s="6"/>
      <c r="AC290" s="6"/>
      <c r="AD290" s="6"/>
      <c r="AE290" s="6"/>
      <c r="AF290" s="6"/>
      <c r="AG290" s="6"/>
      <c r="AH290" s="6"/>
      <c r="AI290" s="6"/>
      <c r="AJ290" s="6"/>
      <c r="AK290" s="6"/>
      <c r="AL290" s="6"/>
      <c r="AM290" s="6"/>
      <c r="AN290" s="6"/>
      <c r="AO290" s="6"/>
      <c r="AP290" s="6"/>
    </row>
    <row r="291" ht="17.25" customHeight="1">
      <c r="A291" s="103"/>
      <c r="B291" s="26"/>
      <c r="C291" s="87" t="s">
        <v>1855</v>
      </c>
      <c r="D291" s="87">
        <v>2060803.0</v>
      </c>
      <c r="E291" s="87" t="s">
        <v>1856</v>
      </c>
      <c r="F291" s="87" t="s">
        <v>260</v>
      </c>
      <c r="G291" s="95" t="s">
        <v>146</v>
      </c>
      <c r="H291" s="95" t="s">
        <v>85</v>
      </c>
      <c r="I291" s="89" t="str">
        <f t="shared" si="3"/>
        <v>PASSED</v>
      </c>
      <c r="J291" s="89" t="s">
        <v>27</v>
      </c>
      <c r="K291" s="95" t="s">
        <v>86</v>
      </c>
      <c r="L291" s="95" t="s">
        <v>12</v>
      </c>
      <c r="M291" s="129" t="s">
        <v>235</v>
      </c>
      <c r="N291" s="155" t="s">
        <v>856</v>
      </c>
      <c r="O291" s="86"/>
      <c r="P291" s="129" t="s">
        <v>37</v>
      </c>
      <c r="Q291" s="139" t="s">
        <v>1857</v>
      </c>
      <c r="R291" s="109" t="s">
        <v>1858</v>
      </c>
      <c r="S291" s="139" t="s">
        <v>893</v>
      </c>
      <c r="T291" s="128">
        <v>46085.0</v>
      </c>
      <c r="U291" s="6"/>
      <c r="V291" s="6"/>
      <c r="W291" s="6"/>
      <c r="X291" s="6"/>
      <c r="Y291" s="6"/>
      <c r="Z291" s="6"/>
      <c r="AA291" s="6"/>
      <c r="AB291" s="6"/>
      <c r="AC291" s="6"/>
      <c r="AD291" s="6"/>
      <c r="AE291" s="6"/>
      <c r="AF291" s="6"/>
      <c r="AG291" s="6"/>
      <c r="AH291" s="6"/>
      <c r="AI291" s="6"/>
      <c r="AJ291" s="6"/>
      <c r="AK291" s="6"/>
      <c r="AL291" s="6"/>
      <c r="AM291" s="6"/>
      <c r="AN291" s="6"/>
      <c r="AO291" s="6"/>
      <c r="AP291" s="6"/>
    </row>
    <row r="292" ht="17.25" customHeight="1">
      <c r="A292" s="103"/>
      <c r="B292" s="84" t="s">
        <v>1859</v>
      </c>
      <c r="C292" s="86" t="s">
        <v>806</v>
      </c>
      <c r="D292" s="86"/>
      <c r="E292" s="86" t="s">
        <v>807</v>
      </c>
      <c r="F292" s="86" t="s">
        <v>73</v>
      </c>
      <c r="G292" s="89" t="s">
        <v>74</v>
      </c>
      <c r="H292" s="89" t="s">
        <v>75</v>
      </c>
      <c r="I292" s="89" t="str">
        <f t="shared" si="3"/>
        <v>BLOCKED</v>
      </c>
      <c r="J292" s="95" t="s">
        <v>17</v>
      </c>
      <c r="K292" s="89" t="s">
        <v>78</v>
      </c>
      <c r="L292" s="89" t="s">
        <v>27</v>
      </c>
      <c r="M292" s="97" t="s">
        <v>1860</v>
      </c>
      <c r="N292" s="137" t="s">
        <v>856</v>
      </c>
      <c r="O292" s="86"/>
      <c r="P292" s="97" t="s">
        <v>37</v>
      </c>
      <c r="Q292" s="139" t="s">
        <v>1861</v>
      </c>
      <c r="R292" s="100"/>
      <c r="S292" s="134"/>
      <c r="T292" s="80" t="s">
        <v>1862</v>
      </c>
      <c r="U292" s="6"/>
      <c r="V292" s="6"/>
      <c r="W292" s="6"/>
      <c r="X292" s="6"/>
      <c r="Y292" s="6"/>
      <c r="Z292" s="6"/>
      <c r="AA292" s="6"/>
      <c r="AB292" s="6"/>
      <c r="AC292" s="6"/>
      <c r="AD292" s="6"/>
      <c r="AE292" s="6"/>
      <c r="AF292" s="6"/>
      <c r="AG292" s="6"/>
      <c r="AH292" s="6"/>
      <c r="AI292" s="6"/>
      <c r="AJ292" s="6"/>
      <c r="AK292" s="6"/>
      <c r="AL292" s="6"/>
      <c r="AM292" s="6"/>
      <c r="AN292" s="6"/>
      <c r="AO292" s="6"/>
      <c r="AP292" s="6"/>
    </row>
    <row r="293" ht="17.25" customHeight="1">
      <c r="A293" s="103"/>
      <c r="B293" s="103"/>
      <c r="C293" s="87" t="s">
        <v>1863</v>
      </c>
      <c r="D293" s="87"/>
      <c r="E293" s="87" t="s">
        <v>1864</v>
      </c>
      <c r="F293" s="86" t="s">
        <v>73</v>
      </c>
      <c r="G293" s="89" t="s">
        <v>74</v>
      </c>
      <c r="H293" s="95" t="s">
        <v>85</v>
      </c>
      <c r="I293" s="89" t="str">
        <f t="shared" si="3"/>
        <v>BLOCKED</v>
      </c>
      <c r="J293" s="95" t="s">
        <v>17</v>
      </c>
      <c r="K293" s="89" t="s">
        <v>78</v>
      </c>
      <c r="L293" s="89" t="s">
        <v>27</v>
      </c>
      <c r="M293" s="129" t="s">
        <v>1865</v>
      </c>
      <c r="N293" s="137" t="s">
        <v>856</v>
      </c>
      <c r="O293" s="86"/>
      <c r="P293" s="97" t="s">
        <v>37</v>
      </c>
      <c r="Q293" s="139" t="s">
        <v>1866</v>
      </c>
      <c r="R293" s="109"/>
      <c r="S293" s="139"/>
      <c r="T293" s="80" t="s">
        <v>1862</v>
      </c>
      <c r="U293" s="6"/>
      <c r="V293" s="6"/>
      <c r="W293" s="6"/>
      <c r="X293" s="6"/>
      <c r="Y293" s="6"/>
      <c r="Z293" s="6"/>
      <c r="AA293" s="6"/>
      <c r="AB293" s="6"/>
      <c r="AC293" s="6"/>
      <c r="AD293" s="6"/>
      <c r="AE293" s="6"/>
      <c r="AF293" s="6"/>
      <c r="AG293" s="6"/>
      <c r="AH293" s="6"/>
      <c r="AI293" s="6"/>
      <c r="AJ293" s="6"/>
      <c r="AK293" s="6"/>
      <c r="AL293" s="6"/>
      <c r="AM293" s="6"/>
      <c r="AN293" s="6"/>
      <c r="AO293" s="6"/>
      <c r="AP293" s="6"/>
    </row>
    <row r="294" ht="17.25" customHeight="1">
      <c r="A294" s="103"/>
      <c r="B294" s="103"/>
      <c r="C294" s="87" t="s">
        <v>1867</v>
      </c>
      <c r="D294" s="87"/>
      <c r="E294" s="87" t="s">
        <v>1868</v>
      </c>
      <c r="F294" s="86" t="s">
        <v>73</v>
      </c>
      <c r="G294" s="89" t="s">
        <v>74</v>
      </c>
      <c r="H294" s="95" t="s">
        <v>75</v>
      </c>
      <c r="I294" s="89" t="str">
        <f t="shared" si="3"/>
        <v>BLOCKED</v>
      </c>
      <c r="J294" s="95" t="s">
        <v>17</v>
      </c>
      <c r="K294" s="89" t="s">
        <v>78</v>
      </c>
      <c r="L294" s="89" t="s">
        <v>27</v>
      </c>
      <c r="M294" s="129" t="s">
        <v>1865</v>
      </c>
      <c r="N294" s="137" t="s">
        <v>856</v>
      </c>
      <c r="O294" s="86"/>
      <c r="P294" s="97" t="s">
        <v>37</v>
      </c>
      <c r="Q294" s="139" t="s">
        <v>1869</v>
      </c>
      <c r="R294" s="109"/>
      <c r="S294" s="139"/>
      <c r="T294" s="80" t="s">
        <v>1862</v>
      </c>
      <c r="U294" s="6"/>
      <c r="V294" s="6"/>
      <c r="W294" s="6"/>
      <c r="X294" s="6"/>
      <c r="Y294" s="6"/>
      <c r="Z294" s="6"/>
      <c r="AA294" s="6"/>
      <c r="AB294" s="6"/>
      <c r="AC294" s="6"/>
      <c r="AD294" s="6"/>
      <c r="AE294" s="6"/>
      <c r="AF294" s="6"/>
      <c r="AG294" s="6"/>
      <c r="AH294" s="6"/>
      <c r="AI294" s="6"/>
      <c r="AJ294" s="6"/>
      <c r="AK294" s="6"/>
      <c r="AL294" s="6"/>
      <c r="AM294" s="6"/>
      <c r="AN294" s="6"/>
      <c r="AO294" s="6"/>
      <c r="AP294" s="6"/>
    </row>
    <row r="295" ht="17.25" customHeight="1">
      <c r="A295" s="103"/>
      <c r="B295" s="103"/>
      <c r="C295" s="87" t="s">
        <v>1870</v>
      </c>
      <c r="D295" s="87"/>
      <c r="E295" s="87" t="s">
        <v>1871</v>
      </c>
      <c r="F295" s="86" t="s">
        <v>73</v>
      </c>
      <c r="G295" s="89" t="s">
        <v>74</v>
      </c>
      <c r="H295" s="95" t="s">
        <v>85</v>
      </c>
      <c r="I295" s="89" t="str">
        <f t="shared" si="3"/>
        <v>BLOCKED</v>
      </c>
      <c r="J295" s="95" t="s">
        <v>17</v>
      </c>
      <c r="K295" s="89" t="s">
        <v>78</v>
      </c>
      <c r="L295" s="89" t="s">
        <v>27</v>
      </c>
      <c r="M295" s="129" t="s">
        <v>1872</v>
      </c>
      <c r="N295" s="137" t="s">
        <v>856</v>
      </c>
      <c r="O295" s="86"/>
      <c r="P295" s="97" t="s">
        <v>37</v>
      </c>
      <c r="Q295" s="139" t="s">
        <v>1873</v>
      </c>
      <c r="R295" s="109"/>
      <c r="S295" s="139"/>
      <c r="T295" s="80" t="s">
        <v>1862</v>
      </c>
      <c r="U295" s="6"/>
      <c r="V295" s="6"/>
      <c r="W295" s="6"/>
      <c r="X295" s="6"/>
      <c r="Y295" s="6"/>
      <c r="Z295" s="6"/>
      <c r="AA295" s="6"/>
      <c r="AB295" s="6"/>
      <c r="AC295" s="6"/>
      <c r="AD295" s="6"/>
      <c r="AE295" s="6"/>
      <c r="AF295" s="6"/>
      <c r="AG295" s="6"/>
      <c r="AH295" s="6"/>
      <c r="AI295" s="6"/>
      <c r="AJ295" s="6"/>
      <c r="AK295" s="6"/>
      <c r="AL295" s="6"/>
      <c r="AM295" s="6"/>
      <c r="AN295" s="6"/>
      <c r="AO295" s="6"/>
      <c r="AP295" s="6"/>
    </row>
    <row r="296" ht="17.25" customHeight="1">
      <c r="A296" s="103"/>
      <c r="B296" s="26"/>
      <c r="C296" s="87" t="s">
        <v>1874</v>
      </c>
      <c r="D296" s="87"/>
      <c r="E296" s="87" t="s">
        <v>1875</v>
      </c>
      <c r="F296" s="86" t="s">
        <v>73</v>
      </c>
      <c r="G296" s="89" t="s">
        <v>74</v>
      </c>
      <c r="H296" s="95" t="s">
        <v>85</v>
      </c>
      <c r="I296" s="89" t="str">
        <f t="shared" si="3"/>
        <v>BLOCKED</v>
      </c>
      <c r="J296" s="95" t="s">
        <v>17</v>
      </c>
      <c r="K296" s="89" t="s">
        <v>78</v>
      </c>
      <c r="L296" s="89" t="s">
        <v>27</v>
      </c>
      <c r="M296" s="129" t="s">
        <v>1876</v>
      </c>
      <c r="N296" s="137" t="s">
        <v>856</v>
      </c>
      <c r="O296" s="86"/>
      <c r="P296" s="97" t="s">
        <v>37</v>
      </c>
      <c r="Q296" s="139" t="s">
        <v>1877</v>
      </c>
      <c r="R296" s="109"/>
      <c r="S296" s="139"/>
      <c r="T296" s="80" t="s">
        <v>1862</v>
      </c>
      <c r="U296" s="6"/>
      <c r="V296" s="6"/>
      <c r="W296" s="6"/>
      <c r="X296" s="6"/>
      <c r="Y296" s="6"/>
      <c r="Z296" s="6"/>
      <c r="AA296" s="6"/>
      <c r="AB296" s="6"/>
      <c r="AC296" s="6"/>
      <c r="AD296" s="6"/>
      <c r="AE296" s="6"/>
      <c r="AF296" s="6"/>
      <c r="AG296" s="6"/>
      <c r="AH296" s="6"/>
      <c r="AI296" s="6"/>
      <c r="AJ296" s="6"/>
      <c r="AK296" s="6"/>
      <c r="AL296" s="6"/>
      <c r="AM296" s="6"/>
      <c r="AN296" s="6"/>
      <c r="AO296" s="6"/>
      <c r="AP296" s="6"/>
    </row>
    <row r="297" ht="17.25" customHeight="1">
      <c r="A297" s="103"/>
      <c r="B297" s="135" t="s">
        <v>1878</v>
      </c>
      <c r="C297" s="86" t="s">
        <v>810</v>
      </c>
      <c r="D297" s="86"/>
      <c r="E297" s="86" t="s">
        <v>811</v>
      </c>
      <c r="F297" s="87" t="s">
        <v>260</v>
      </c>
      <c r="G297" s="89" t="s">
        <v>74</v>
      </c>
      <c r="H297" s="89" t="s">
        <v>85</v>
      </c>
      <c r="I297" s="89" t="str">
        <f t="shared" si="3"/>
        <v>BLOCKED</v>
      </c>
      <c r="J297" s="95" t="s">
        <v>17</v>
      </c>
      <c r="K297" s="89" t="s">
        <v>78</v>
      </c>
      <c r="L297" s="89" t="s">
        <v>27</v>
      </c>
      <c r="M297" s="97" t="s">
        <v>1879</v>
      </c>
      <c r="N297" s="137" t="s">
        <v>856</v>
      </c>
      <c r="O297" s="86"/>
      <c r="P297" s="97" t="s">
        <v>37</v>
      </c>
      <c r="Q297" s="139" t="s">
        <v>1880</v>
      </c>
      <c r="R297" s="100"/>
      <c r="S297" s="134"/>
      <c r="T297" s="80" t="s">
        <v>1881</v>
      </c>
      <c r="U297" s="6"/>
      <c r="V297" s="6"/>
      <c r="W297" s="6"/>
      <c r="X297" s="6"/>
      <c r="Y297" s="6"/>
      <c r="Z297" s="6"/>
      <c r="AA297" s="6"/>
      <c r="AB297" s="6"/>
      <c r="AC297" s="6"/>
      <c r="AD297" s="6"/>
      <c r="AE297" s="6"/>
      <c r="AF297" s="6"/>
      <c r="AG297" s="6"/>
      <c r="AH297" s="6"/>
      <c r="AI297" s="6"/>
      <c r="AJ297" s="6"/>
      <c r="AK297" s="6"/>
      <c r="AL297" s="6"/>
      <c r="AM297" s="6"/>
      <c r="AN297" s="6"/>
      <c r="AO297" s="6"/>
      <c r="AP297" s="6"/>
    </row>
    <row r="298" ht="17.25" customHeight="1">
      <c r="A298" s="103"/>
      <c r="B298" s="192" t="s">
        <v>1882</v>
      </c>
      <c r="C298" s="134" t="s">
        <v>1883</v>
      </c>
      <c r="D298" s="195">
        <v>2060901.0</v>
      </c>
      <c r="E298" s="139" t="s">
        <v>1884</v>
      </c>
      <c r="F298" s="134" t="s">
        <v>73</v>
      </c>
      <c r="G298" s="89" t="s">
        <v>146</v>
      </c>
      <c r="H298" s="89" t="s">
        <v>85</v>
      </c>
      <c r="I298" s="89" t="str">
        <f t="shared" si="3"/>
        <v>PASSED</v>
      </c>
      <c r="J298" s="95" t="s">
        <v>27</v>
      </c>
      <c r="K298" s="95" t="s">
        <v>86</v>
      </c>
      <c r="L298" s="95" t="s">
        <v>12</v>
      </c>
      <c r="M298" s="137" t="s">
        <v>1885</v>
      </c>
      <c r="N298" s="137" t="s">
        <v>856</v>
      </c>
      <c r="O298" s="138"/>
      <c r="P298" s="137" t="s">
        <v>37</v>
      </c>
      <c r="Q298" s="139" t="s">
        <v>1886</v>
      </c>
      <c r="R298" s="139" t="s">
        <v>1887</v>
      </c>
      <c r="S298" s="139" t="s">
        <v>1888</v>
      </c>
      <c r="T298" s="80" t="s">
        <v>650</v>
      </c>
      <c r="U298" s="157"/>
      <c r="V298" s="157"/>
      <c r="W298" s="157"/>
      <c r="X298" s="157"/>
      <c r="Y298" s="157"/>
      <c r="Z298" s="157"/>
      <c r="AA298" s="157"/>
      <c r="AB298" s="157"/>
      <c r="AC298" s="157"/>
      <c r="AD298" s="157"/>
      <c r="AE298" s="157"/>
      <c r="AF298" s="157"/>
      <c r="AG298" s="157"/>
      <c r="AH298" s="157"/>
      <c r="AI298" s="157"/>
      <c r="AJ298" s="157"/>
      <c r="AK298" s="157"/>
      <c r="AL298" s="157"/>
      <c r="AM298" s="157"/>
      <c r="AN298" s="157"/>
      <c r="AO298" s="157"/>
      <c r="AP298" s="157"/>
    </row>
    <row r="299" ht="17.25" customHeight="1">
      <c r="A299" s="103"/>
      <c r="B299" s="103"/>
      <c r="C299" s="134" t="s">
        <v>1889</v>
      </c>
      <c r="D299" s="195">
        <v>2060902.0</v>
      </c>
      <c r="E299" s="139" t="s">
        <v>1890</v>
      </c>
      <c r="F299" s="134" t="s">
        <v>73</v>
      </c>
      <c r="G299" s="95" t="s">
        <v>74</v>
      </c>
      <c r="H299" s="89" t="s">
        <v>85</v>
      </c>
      <c r="I299" s="89" t="str">
        <f t="shared" si="3"/>
        <v>PASSED</v>
      </c>
      <c r="J299" s="89" t="s">
        <v>27</v>
      </c>
      <c r="K299" s="95" t="s">
        <v>86</v>
      </c>
      <c r="L299" s="95" t="s">
        <v>12</v>
      </c>
      <c r="M299" s="137" t="s">
        <v>452</v>
      </c>
      <c r="N299" s="137" t="s">
        <v>856</v>
      </c>
      <c r="O299" s="138"/>
      <c r="P299" s="137" t="s">
        <v>37</v>
      </c>
      <c r="Q299" s="139" t="s">
        <v>1891</v>
      </c>
      <c r="R299" s="134" t="s">
        <v>1892</v>
      </c>
      <c r="S299" s="139" t="s">
        <v>1893</v>
      </c>
      <c r="T299" s="80" t="s">
        <v>458</v>
      </c>
      <c r="U299" s="157"/>
      <c r="V299" s="157"/>
      <c r="W299" s="157"/>
      <c r="X299" s="157"/>
      <c r="Y299" s="157"/>
      <c r="Z299" s="157"/>
      <c r="AA299" s="157"/>
      <c r="AB299" s="157"/>
      <c r="AC299" s="157"/>
      <c r="AD299" s="157"/>
      <c r="AE299" s="157"/>
      <c r="AF299" s="157"/>
      <c r="AG299" s="157"/>
      <c r="AH299" s="157"/>
      <c r="AI299" s="157"/>
      <c r="AJ299" s="157"/>
      <c r="AK299" s="157"/>
      <c r="AL299" s="157"/>
      <c r="AM299" s="157"/>
      <c r="AN299" s="157"/>
      <c r="AO299" s="157"/>
      <c r="AP299" s="157"/>
    </row>
    <row r="300" ht="17.25" customHeight="1">
      <c r="A300" s="103"/>
      <c r="B300" s="103"/>
      <c r="C300" s="134" t="s">
        <v>1894</v>
      </c>
      <c r="D300" s="195">
        <v>2060903.0</v>
      </c>
      <c r="E300" s="139" t="s">
        <v>1895</v>
      </c>
      <c r="F300" s="134" t="s">
        <v>73</v>
      </c>
      <c r="G300" s="89" t="s">
        <v>146</v>
      </c>
      <c r="H300" s="89" t="s">
        <v>85</v>
      </c>
      <c r="I300" s="89" t="str">
        <f t="shared" si="3"/>
        <v>PASSED</v>
      </c>
      <c r="J300" s="89" t="s">
        <v>27</v>
      </c>
      <c r="K300" s="95" t="s">
        <v>86</v>
      </c>
      <c r="L300" s="95" t="s">
        <v>12</v>
      </c>
      <c r="M300" s="137" t="s">
        <v>841</v>
      </c>
      <c r="N300" s="137" t="s">
        <v>856</v>
      </c>
      <c r="O300" s="138"/>
      <c r="P300" s="137" t="s">
        <v>37</v>
      </c>
      <c r="Q300" s="139" t="s">
        <v>1896</v>
      </c>
      <c r="R300" s="139" t="s">
        <v>1897</v>
      </c>
      <c r="S300" s="139" t="s">
        <v>1898</v>
      </c>
      <c r="T300" s="80" t="s">
        <v>843</v>
      </c>
      <c r="U300" s="157"/>
      <c r="V300" s="157"/>
      <c r="W300" s="157"/>
      <c r="X300" s="157"/>
      <c r="Y300" s="157"/>
      <c r="Z300" s="157"/>
      <c r="AA300" s="157"/>
      <c r="AB300" s="157"/>
      <c r="AC300" s="157"/>
      <c r="AD300" s="157"/>
      <c r="AE300" s="157"/>
      <c r="AF300" s="157"/>
      <c r="AG300" s="157"/>
      <c r="AH300" s="157"/>
      <c r="AI300" s="157"/>
      <c r="AJ300" s="157"/>
      <c r="AK300" s="157"/>
      <c r="AL300" s="157"/>
      <c r="AM300" s="157"/>
      <c r="AN300" s="157"/>
      <c r="AO300" s="157"/>
      <c r="AP300" s="157"/>
    </row>
    <row r="301" ht="17.25" customHeight="1">
      <c r="A301" s="103"/>
      <c r="B301" s="103"/>
      <c r="C301" s="134" t="s">
        <v>1899</v>
      </c>
      <c r="D301" s="195">
        <v>2060904.0</v>
      </c>
      <c r="E301" s="139" t="s">
        <v>1900</v>
      </c>
      <c r="F301" s="134" t="s">
        <v>73</v>
      </c>
      <c r="G301" s="89" t="s">
        <v>146</v>
      </c>
      <c r="H301" s="89" t="s">
        <v>85</v>
      </c>
      <c r="I301" s="89" t="str">
        <f t="shared" si="3"/>
        <v>PASSED</v>
      </c>
      <c r="J301" s="89" t="s">
        <v>27</v>
      </c>
      <c r="K301" s="95" t="s">
        <v>86</v>
      </c>
      <c r="L301" s="95" t="s">
        <v>12</v>
      </c>
      <c r="M301" s="137" t="s">
        <v>87</v>
      </c>
      <c r="N301" s="137" t="s">
        <v>856</v>
      </c>
      <c r="O301" s="138"/>
      <c r="P301" s="137" t="s">
        <v>37</v>
      </c>
      <c r="Q301" s="139" t="s">
        <v>1901</v>
      </c>
      <c r="R301" s="139" t="s">
        <v>1902</v>
      </c>
      <c r="S301" s="139" t="s">
        <v>1903</v>
      </c>
      <c r="T301" s="80" t="s">
        <v>92</v>
      </c>
      <c r="U301" s="157"/>
      <c r="V301" s="157"/>
      <c r="W301" s="157"/>
      <c r="X301" s="157"/>
      <c r="Y301" s="157"/>
      <c r="Z301" s="157"/>
      <c r="AA301" s="157"/>
      <c r="AB301" s="157"/>
      <c r="AC301" s="157"/>
      <c r="AD301" s="157"/>
      <c r="AE301" s="157"/>
      <c r="AF301" s="157"/>
      <c r="AG301" s="157"/>
      <c r="AH301" s="157"/>
      <c r="AI301" s="157"/>
      <c r="AJ301" s="157"/>
      <c r="AK301" s="157"/>
      <c r="AL301" s="157"/>
      <c r="AM301" s="157"/>
      <c r="AN301" s="157"/>
      <c r="AO301" s="157"/>
      <c r="AP301" s="157"/>
    </row>
    <row r="302" ht="17.25" customHeight="1">
      <c r="A302" s="103"/>
      <c r="B302" s="103"/>
      <c r="C302" s="134" t="s">
        <v>1904</v>
      </c>
      <c r="D302" s="195">
        <v>2060905.0</v>
      </c>
      <c r="E302" s="139" t="s">
        <v>1905</v>
      </c>
      <c r="F302" s="134" t="s">
        <v>73</v>
      </c>
      <c r="G302" s="89" t="s">
        <v>146</v>
      </c>
      <c r="H302" s="95" t="s">
        <v>262</v>
      </c>
      <c r="I302" s="89" t="str">
        <f t="shared" si="3"/>
        <v>PASSED</v>
      </c>
      <c r="J302" s="89" t="s">
        <v>27</v>
      </c>
      <c r="K302" s="95" t="s">
        <v>86</v>
      </c>
      <c r="L302" s="95" t="s">
        <v>12</v>
      </c>
      <c r="M302" s="137" t="s">
        <v>781</v>
      </c>
      <c r="N302" s="137" t="s">
        <v>856</v>
      </c>
      <c r="O302" s="138"/>
      <c r="P302" s="137" t="s">
        <v>37</v>
      </c>
      <c r="Q302" s="139" t="s">
        <v>1906</v>
      </c>
      <c r="R302" s="139" t="s">
        <v>1907</v>
      </c>
      <c r="S302" s="139" t="s">
        <v>1908</v>
      </c>
      <c r="T302" s="80" t="s">
        <v>785</v>
      </c>
      <c r="U302" s="157"/>
      <c r="V302" s="157"/>
      <c r="W302" s="157"/>
      <c r="X302" s="157"/>
      <c r="Y302" s="157"/>
      <c r="Z302" s="157"/>
      <c r="AA302" s="157"/>
      <c r="AB302" s="157"/>
      <c r="AC302" s="157"/>
      <c r="AD302" s="157"/>
      <c r="AE302" s="157"/>
      <c r="AF302" s="157"/>
      <c r="AG302" s="157"/>
      <c r="AH302" s="157"/>
      <c r="AI302" s="157"/>
      <c r="AJ302" s="157"/>
      <c r="AK302" s="157"/>
      <c r="AL302" s="157"/>
      <c r="AM302" s="157"/>
      <c r="AN302" s="157"/>
      <c r="AO302" s="157"/>
      <c r="AP302" s="157"/>
    </row>
    <row r="303" ht="17.25" customHeight="1">
      <c r="A303" s="103"/>
      <c r="B303" s="103"/>
      <c r="C303" s="134" t="s">
        <v>1909</v>
      </c>
      <c r="D303" s="195">
        <v>2060906.0</v>
      </c>
      <c r="E303" s="139" t="s">
        <v>1910</v>
      </c>
      <c r="F303" s="139" t="s">
        <v>260</v>
      </c>
      <c r="G303" s="89" t="s">
        <v>146</v>
      </c>
      <c r="H303" s="95" t="s">
        <v>262</v>
      </c>
      <c r="I303" s="89" t="str">
        <f t="shared" si="3"/>
        <v>PASSED</v>
      </c>
      <c r="J303" s="89" t="s">
        <v>27</v>
      </c>
      <c r="K303" s="95" t="s">
        <v>86</v>
      </c>
      <c r="L303" s="95" t="s">
        <v>12</v>
      </c>
      <c r="M303" s="137" t="s">
        <v>1911</v>
      </c>
      <c r="N303" s="137" t="s">
        <v>856</v>
      </c>
      <c r="O303" s="138"/>
      <c r="P303" s="137" t="s">
        <v>37</v>
      </c>
      <c r="Q303" s="139" t="s">
        <v>1912</v>
      </c>
      <c r="R303" s="139" t="s">
        <v>1913</v>
      </c>
      <c r="S303" s="139" t="s">
        <v>1914</v>
      </c>
      <c r="T303" s="80" t="s">
        <v>752</v>
      </c>
      <c r="U303" s="157"/>
      <c r="V303" s="157"/>
      <c r="W303" s="157"/>
      <c r="X303" s="157"/>
      <c r="Y303" s="157"/>
      <c r="Z303" s="157"/>
      <c r="AA303" s="157"/>
      <c r="AB303" s="157"/>
      <c r="AC303" s="157"/>
      <c r="AD303" s="157"/>
      <c r="AE303" s="157"/>
      <c r="AF303" s="157"/>
      <c r="AG303" s="157"/>
      <c r="AH303" s="157"/>
      <c r="AI303" s="157"/>
      <c r="AJ303" s="157"/>
      <c r="AK303" s="157"/>
      <c r="AL303" s="157"/>
      <c r="AM303" s="157"/>
      <c r="AN303" s="157"/>
      <c r="AO303" s="157"/>
      <c r="AP303" s="157"/>
    </row>
    <row r="304" ht="17.25" customHeight="1">
      <c r="A304" s="103"/>
      <c r="B304" s="103"/>
      <c r="C304" s="139" t="s">
        <v>1915</v>
      </c>
      <c r="D304" s="195">
        <v>2060907.0</v>
      </c>
      <c r="E304" s="139" t="s">
        <v>1916</v>
      </c>
      <c r="F304" s="139" t="s">
        <v>73</v>
      </c>
      <c r="G304" s="95" t="s">
        <v>146</v>
      </c>
      <c r="H304" s="95" t="s">
        <v>85</v>
      </c>
      <c r="I304" s="89" t="str">
        <f t="shared" si="3"/>
        <v>PASSED</v>
      </c>
      <c r="J304" s="89" t="s">
        <v>27</v>
      </c>
      <c r="K304" s="95" t="s">
        <v>86</v>
      </c>
      <c r="L304" s="95" t="s">
        <v>12</v>
      </c>
      <c r="M304" s="155" t="s">
        <v>1917</v>
      </c>
      <c r="N304" s="155" t="s">
        <v>856</v>
      </c>
      <c r="O304" s="138"/>
      <c r="P304" s="155" t="s">
        <v>37</v>
      </c>
      <c r="Q304" s="139" t="s">
        <v>1918</v>
      </c>
      <c r="R304" s="139" t="s">
        <v>1919</v>
      </c>
      <c r="S304" s="139" t="s">
        <v>1920</v>
      </c>
      <c r="T304" s="128">
        <v>46238.0</v>
      </c>
      <c r="U304" s="157"/>
      <c r="V304" s="157"/>
      <c r="W304" s="157"/>
      <c r="X304" s="157"/>
      <c r="Y304" s="157"/>
      <c r="Z304" s="157"/>
      <c r="AA304" s="157"/>
      <c r="AB304" s="157"/>
      <c r="AC304" s="157"/>
      <c r="AD304" s="157"/>
      <c r="AE304" s="157"/>
      <c r="AF304" s="157"/>
      <c r="AG304" s="157"/>
      <c r="AH304" s="157"/>
      <c r="AI304" s="157"/>
      <c r="AJ304" s="157"/>
      <c r="AK304" s="157"/>
      <c r="AL304" s="157"/>
      <c r="AM304" s="157"/>
      <c r="AN304" s="157"/>
      <c r="AO304" s="157"/>
      <c r="AP304" s="157"/>
    </row>
    <row r="305" ht="17.25" customHeight="1">
      <c r="A305" s="103"/>
      <c r="B305" s="103"/>
      <c r="C305" s="139" t="s">
        <v>1414</v>
      </c>
      <c r="D305" s="195">
        <v>2060908.0</v>
      </c>
      <c r="E305" s="139" t="s">
        <v>1921</v>
      </c>
      <c r="F305" s="139" t="s">
        <v>260</v>
      </c>
      <c r="G305" s="95" t="s">
        <v>146</v>
      </c>
      <c r="H305" s="95" t="s">
        <v>85</v>
      </c>
      <c r="I305" s="89" t="str">
        <f t="shared" si="3"/>
        <v>PASSED</v>
      </c>
      <c r="J305" s="89" t="s">
        <v>27</v>
      </c>
      <c r="K305" s="95" t="s">
        <v>86</v>
      </c>
      <c r="L305" s="95" t="s">
        <v>12</v>
      </c>
      <c r="M305" s="155" t="s">
        <v>1917</v>
      </c>
      <c r="N305" s="155" t="s">
        <v>856</v>
      </c>
      <c r="O305" s="159"/>
      <c r="P305" s="155" t="s">
        <v>37</v>
      </c>
      <c r="Q305" s="139" t="s">
        <v>1922</v>
      </c>
      <c r="R305" s="139" t="s">
        <v>1923</v>
      </c>
      <c r="S305" s="139" t="s">
        <v>1924</v>
      </c>
      <c r="T305" s="128">
        <v>46238.0</v>
      </c>
      <c r="U305" s="157"/>
      <c r="V305" s="157"/>
      <c r="W305" s="157"/>
      <c r="X305" s="157"/>
      <c r="Y305" s="157"/>
      <c r="Z305" s="157"/>
      <c r="AA305" s="157"/>
      <c r="AB305" s="157"/>
      <c r="AC305" s="157"/>
      <c r="AD305" s="157"/>
      <c r="AE305" s="157"/>
      <c r="AF305" s="157"/>
      <c r="AG305" s="157"/>
      <c r="AH305" s="157"/>
      <c r="AI305" s="157"/>
      <c r="AJ305" s="157"/>
      <c r="AK305" s="157"/>
      <c r="AL305" s="157"/>
      <c r="AM305" s="157"/>
      <c r="AN305" s="157"/>
      <c r="AO305" s="157"/>
      <c r="AP305" s="157"/>
    </row>
    <row r="306" ht="17.25" customHeight="1">
      <c r="A306" s="103"/>
      <c r="B306" s="103"/>
      <c r="C306" s="139" t="s">
        <v>1925</v>
      </c>
      <c r="D306" s="195">
        <v>2060909.0</v>
      </c>
      <c r="E306" s="139" t="s">
        <v>1926</v>
      </c>
      <c r="F306" s="139" t="s">
        <v>73</v>
      </c>
      <c r="G306" s="95" t="s">
        <v>146</v>
      </c>
      <c r="H306" s="95" t="s">
        <v>85</v>
      </c>
      <c r="I306" s="89" t="str">
        <f t="shared" si="3"/>
        <v>PASSED</v>
      </c>
      <c r="J306" s="89" t="s">
        <v>27</v>
      </c>
      <c r="K306" s="95" t="s">
        <v>86</v>
      </c>
      <c r="L306" s="95" t="s">
        <v>12</v>
      </c>
      <c r="M306" s="155" t="s">
        <v>316</v>
      </c>
      <c r="N306" s="155" t="s">
        <v>856</v>
      </c>
      <c r="O306" s="159"/>
      <c r="P306" s="155" t="s">
        <v>37</v>
      </c>
      <c r="Q306" s="139" t="s">
        <v>1927</v>
      </c>
      <c r="R306" s="139" t="s">
        <v>1928</v>
      </c>
      <c r="S306" s="139" t="s">
        <v>893</v>
      </c>
      <c r="T306" s="128">
        <v>46116.0</v>
      </c>
      <c r="U306" s="157"/>
      <c r="V306" s="157"/>
      <c r="W306" s="157"/>
      <c r="X306" s="157"/>
      <c r="Y306" s="157"/>
      <c r="Z306" s="157"/>
      <c r="AA306" s="157"/>
      <c r="AB306" s="157"/>
      <c r="AC306" s="157"/>
      <c r="AD306" s="157"/>
      <c r="AE306" s="157"/>
      <c r="AF306" s="157"/>
      <c r="AG306" s="157"/>
      <c r="AH306" s="157"/>
      <c r="AI306" s="157"/>
      <c r="AJ306" s="157"/>
      <c r="AK306" s="157"/>
      <c r="AL306" s="157"/>
      <c r="AM306" s="157"/>
      <c r="AN306" s="157"/>
      <c r="AO306" s="157"/>
      <c r="AP306" s="157"/>
    </row>
    <row r="307" ht="17.25" customHeight="1">
      <c r="A307" s="103"/>
      <c r="B307" s="103"/>
      <c r="C307" s="139" t="s">
        <v>1439</v>
      </c>
      <c r="D307" s="195">
        <v>2060910.0</v>
      </c>
      <c r="E307" s="139" t="s">
        <v>1929</v>
      </c>
      <c r="F307" s="139" t="s">
        <v>260</v>
      </c>
      <c r="G307" s="95" t="s">
        <v>146</v>
      </c>
      <c r="H307" s="95" t="s">
        <v>85</v>
      </c>
      <c r="I307" s="89" t="str">
        <f t="shared" si="3"/>
        <v>PASSED</v>
      </c>
      <c r="J307" s="89" t="s">
        <v>27</v>
      </c>
      <c r="K307" s="95" t="s">
        <v>86</v>
      </c>
      <c r="L307" s="95" t="s">
        <v>12</v>
      </c>
      <c r="M307" s="155" t="s">
        <v>316</v>
      </c>
      <c r="N307" s="155" t="s">
        <v>856</v>
      </c>
      <c r="O307" s="159"/>
      <c r="P307" s="155" t="s">
        <v>37</v>
      </c>
      <c r="Q307" s="139" t="s">
        <v>1930</v>
      </c>
      <c r="R307" s="139" t="s">
        <v>1931</v>
      </c>
      <c r="S307" s="139" t="s">
        <v>893</v>
      </c>
      <c r="T307" s="128">
        <v>46116.0</v>
      </c>
      <c r="U307" s="157"/>
      <c r="V307" s="157"/>
      <c r="W307" s="157"/>
      <c r="X307" s="157"/>
      <c r="Y307" s="157"/>
      <c r="Z307" s="157"/>
      <c r="AA307" s="157"/>
      <c r="AB307" s="157"/>
      <c r="AC307" s="157"/>
      <c r="AD307" s="157"/>
      <c r="AE307" s="157"/>
      <c r="AF307" s="157"/>
      <c r="AG307" s="157"/>
      <c r="AH307" s="157"/>
      <c r="AI307" s="157"/>
      <c r="AJ307" s="157"/>
      <c r="AK307" s="157"/>
      <c r="AL307" s="157"/>
      <c r="AM307" s="157"/>
      <c r="AN307" s="157"/>
      <c r="AO307" s="157"/>
      <c r="AP307" s="157"/>
    </row>
    <row r="308" ht="17.25" customHeight="1">
      <c r="A308" s="103"/>
      <c r="B308" s="103"/>
      <c r="C308" s="139" t="s">
        <v>1932</v>
      </c>
      <c r="D308" s="195">
        <v>2060912.0</v>
      </c>
      <c r="E308" s="139" t="s">
        <v>1890</v>
      </c>
      <c r="F308" s="139" t="s">
        <v>260</v>
      </c>
      <c r="G308" s="95" t="s">
        <v>74</v>
      </c>
      <c r="H308" s="89" t="s">
        <v>85</v>
      </c>
      <c r="I308" s="89" t="str">
        <f t="shared" si="3"/>
        <v>PASSED</v>
      </c>
      <c r="J308" s="89" t="s">
        <v>27</v>
      </c>
      <c r="K308" s="95" t="s">
        <v>86</v>
      </c>
      <c r="L308" s="95" t="s">
        <v>12</v>
      </c>
      <c r="M308" s="137" t="s">
        <v>452</v>
      </c>
      <c r="N308" s="137" t="s">
        <v>856</v>
      </c>
      <c r="O308" s="138"/>
      <c r="P308" s="137" t="s">
        <v>37</v>
      </c>
      <c r="Q308" s="139" t="s">
        <v>1933</v>
      </c>
      <c r="R308" s="139" t="s">
        <v>1934</v>
      </c>
      <c r="S308" s="139" t="s">
        <v>1935</v>
      </c>
      <c r="T308" s="80" t="s">
        <v>458</v>
      </c>
      <c r="U308" s="157"/>
      <c r="V308" s="157"/>
      <c r="W308" s="157"/>
      <c r="X308" s="157"/>
      <c r="Y308" s="157"/>
      <c r="Z308" s="157"/>
      <c r="AA308" s="157"/>
      <c r="AB308" s="157"/>
      <c r="AC308" s="157"/>
      <c r="AD308" s="157"/>
      <c r="AE308" s="157"/>
      <c r="AF308" s="157"/>
      <c r="AG308" s="157"/>
      <c r="AH308" s="157"/>
      <c r="AI308" s="157"/>
      <c r="AJ308" s="157"/>
      <c r="AK308" s="157"/>
      <c r="AL308" s="157"/>
      <c r="AM308" s="157"/>
      <c r="AN308" s="157"/>
      <c r="AO308" s="157"/>
      <c r="AP308" s="157"/>
    </row>
    <row r="309" ht="17.25" customHeight="1">
      <c r="A309" s="26"/>
      <c r="B309" s="26"/>
      <c r="C309" s="139" t="s">
        <v>1936</v>
      </c>
      <c r="D309" s="195">
        <v>2060913.0</v>
      </c>
      <c r="E309" s="139" t="s">
        <v>1937</v>
      </c>
      <c r="F309" s="139" t="s">
        <v>260</v>
      </c>
      <c r="G309" s="89" t="s">
        <v>146</v>
      </c>
      <c r="H309" s="89" t="s">
        <v>85</v>
      </c>
      <c r="I309" s="89" t="str">
        <f t="shared" si="3"/>
        <v>PASSED</v>
      </c>
      <c r="J309" s="89" t="s">
        <v>27</v>
      </c>
      <c r="K309" s="95" t="s">
        <v>86</v>
      </c>
      <c r="L309" s="95" t="s">
        <v>12</v>
      </c>
      <c r="M309" s="137" t="s">
        <v>841</v>
      </c>
      <c r="N309" s="137" t="s">
        <v>856</v>
      </c>
      <c r="O309" s="138"/>
      <c r="P309" s="137" t="s">
        <v>37</v>
      </c>
      <c r="Q309" s="139"/>
      <c r="R309" s="139" t="s">
        <v>1938</v>
      </c>
      <c r="S309" s="139" t="s">
        <v>1939</v>
      </c>
      <c r="T309" s="80" t="s">
        <v>843</v>
      </c>
      <c r="U309" s="157"/>
      <c r="V309" s="157"/>
      <c r="W309" s="157"/>
      <c r="X309" s="157"/>
      <c r="Y309" s="157"/>
      <c r="Z309" s="157"/>
      <c r="AA309" s="157"/>
      <c r="AB309" s="157"/>
      <c r="AC309" s="157"/>
      <c r="AD309" s="157"/>
      <c r="AE309" s="157"/>
      <c r="AF309" s="157"/>
      <c r="AG309" s="157"/>
      <c r="AH309" s="157"/>
      <c r="AI309" s="157"/>
      <c r="AJ309" s="157"/>
      <c r="AK309" s="157"/>
      <c r="AL309" s="157"/>
      <c r="AM309" s="157"/>
      <c r="AN309" s="157"/>
      <c r="AO309" s="157"/>
      <c r="AP309" s="157"/>
    </row>
    <row r="310" ht="17.25" customHeight="1">
      <c r="A310" s="156" t="s">
        <v>1940</v>
      </c>
      <c r="B310" s="84" t="s">
        <v>822</v>
      </c>
      <c r="C310" s="86" t="s">
        <v>813</v>
      </c>
      <c r="D310" s="87">
        <v>2061301.0</v>
      </c>
      <c r="E310" s="86" t="s">
        <v>814</v>
      </c>
      <c r="F310" s="86" t="s">
        <v>121</v>
      </c>
      <c r="G310" s="89" t="s">
        <v>74</v>
      </c>
      <c r="H310" s="89" t="s">
        <v>75</v>
      </c>
      <c r="I310" s="89" t="str">
        <f t="shared" si="3"/>
        <v>PASSED</v>
      </c>
      <c r="J310" s="89" t="s">
        <v>27</v>
      </c>
      <c r="K310" s="95" t="s">
        <v>86</v>
      </c>
      <c r="L310" s="95" t="s">
        <v>12</v>
      </c>
      <c r="M310" s="97" t="s">
        <v>826</v>
      </c>
      <c r="N310" s="137" t="s">
        <v>856</v>
      </c>
      <c r="O310" s="86"/>
      <c r="P310" s="97" t="s">
        <v>37</v>
      </c>
      <c r="Q310" s="200" t="s">
        <v>1941</v>
      </c>
      <c r="R310" s="109" t="s">
        <v>1942</v>
      </c>
      <c r="S310" s="139" t="s">
        <v>1943</v>
      </c>
      <c r="T310" s="80" t="s">
        <v>828</v>
      </c>
      <c r="U310" s="6"/>
      <c r="V310" s="6"/>
      <c r="W310" s="6"/>
      <c r="X310" s="6"/>
      <c r="Y310" s="6"/>
      <c r="Z310" s="6"/>
      <c r="AA310" s="6"/>
      <c r="AB310" s="6"/>
      <c r="AC310" s="6"/>
      <c r="AD310" s="6"/>
      <c r="AE310" s="6"/>
      <c r="AF310" s="6"/>
      <c r="AG310" s="6"/>
      <c r="AH310" s="6"/>
      <c r="AI310" s="6"/>
      <c r="AJ310" s="6"/>
      <c r="AK310" s="6"/>
      <c r="AL310" s="6"/>
      <c r="AM310" s="6"/>
      <c r="AN310" s="6"/>
      <c r="AO310" s="6"/>
      <c r="AP310" s="6"/>
    </row>
    <row r="311" ht="17.25" customHeight="1">
      <c r="A311" s="103"/>
      <c r="B311" s="103"/>
      <c r="C311" s="86" t="s">
        <v>818</v>
      </c>
      <c r="D311" s="87">
        <v>2061302.0</v>
      </c>
      <c r="E311" s="86" t="s">
        <v>819</v>
      </c>
      <c r="F311" s="86" t="s">
        <v>121</v>
      </c>
      <c r="G311" s="89" t="s">
        <v>74</v>
      </c>
      <c r="H311" s="89" t="s">
        <v>85</v>
      </c>
      <c r="I311" s="89" t="str">
        <f t="shared" si="3"/>
        <v>PASSED</v>
      </c>
      <c r="J311" s="89" t="s">
        <v>27</v>
      </c>
      <c r="K311" s="95" t="s">
        <v>86</v>
      </c>
      <c r="L311" s="95" t="s">
        <v>12</v>
      </c>
      <c r="M311" s="97" t="s">
        <v>829</v>
      </c>
      <c r="N311" s="137" t="s">
        <v>856</v>
      </c>
      <c r="O311" s="86"/>
      <c r="P311" s="97" t="s">
        <v>37</v>
      </c>
      <c r="Q311" s="139" t="s">
        <v>1944</v>
      </c>
      <c r="R311" s="109" t="s">
        <v>1945</v>
      </c>
      <c r="S311" s="139" t="s">
        <v>1946</v>
      </c>
      <c r="T311" s="80" t="s">
        <v>831</v>
      </c>
      <c r="U311" s="6"/>
      <c r="V311" s="6"/>
      <c r="W311" s="6"/>
      <c r="X311" s="6"/>
      <c r="Y311" s="6"/>
      <c r="Z311" s="6"/>
      <c r="AA311" s="6"/>
      <c r="AB311" s="6"/>
      <c r="AC311" s="6"/>
      <c r="AD311" s="6"/>
      <c r="AE311" s="6"/>
      <c r="AF311" s="6"/>
      <c r="AG311" s="6"/>
      <c r="AH311" s="6"/>
      <c r="AI311" s="6"/>
      <c r="AJ311" s="6"/>
      <c r="AK311" s="6"/>
      <c r="AL311" s="6"/>
      <c r="AM311" s="6"/>
      <c r="AN311" s="6"/>
      <c r="AO311" s="6"/>
      <c r="AP311" s="6"/>
    </row>
    <row r="312" ht="17.25" customHeight="1">
      <c r="A312" s="103"/>
      <c r="B312" s="26"/>
      <c r="C312" s="86" t="s">
        <v>1947</v>
      </c>
      <c r="D312" s="87">
        <v>2061303.0</v>
      </c>
      <c r="E312" s="86" t="s">
        <v>1948</v>
      </c>
      <c r="F312" s="86" t="s">
        <v>121</v>
      </c>
      <c r="G312" s="89" t="s">
        <v>146</v>
      </c>
      <c r="H312" s="89" t="s">
        <v>85</v>
      </c>
      <c r="I312" s="89" t="str">
        <f t="shared" si="3"/>
        <v>BLOCKED</v>
      </c>
      <c r="J312" s="95" t="s">
        <v>17</v>
      </c>
      <c r="K312" s="89" t="s">
        <v>78</v>
      </c>
      <c r="L312" s="89" t="s">
        <v>27</v>
      </c>
      <c r="M312" s="97" t="s">
        <v>1367</v>
      </c>
      <c r="N312" s="137" t="s">
        <v>856</v>
      </c>
      <c r="O312" s="86"/>
      <c r="P312" s="97" t="s">
        <v>37</v>
      </c>
      <c r="Q312" s="139" t="s">
        <v>1949</v>
      </c>
      <c r="R312" s="100"/>
      <c r="S312" s="134"/>
      <c r="T312" s="80" t="s">
        <v>831</v>
      </c>
      <c r="U312" s="6"/>
      <c r="V312" s="6"/>
      <c r="W312" s="6"/>
      <c r="X312" s="6"/>
      <c r="Y312" s="6"/>
      <c r="Z312" s="6"/>
      <c r="AA312" s="6"/>
      <c r="AB312" s="6"/>
      <c r="AC312" s="6"/>
      <c r="AD312" s="6"/>
      <c r="AE312" s="6"/>
      <c r="AF312" s="6"/>
      <c r="AG312" s="6"/>
      <c r="AH312" s="6"/>
      <c r="AI312" s="6"/>
      <c r="AJ312" s="6"/>
      <c r="AK312" s="6"/>
      <c r="AL312" s="6"/>
      <c r="AM312" s="6"/>
      <c r="AN312" s="6"/>
      <c r="AO312" s="6"/>
      <c r="AP312" s="6"/>
    </row>
    <row r="313" ht="17.25" customHeight="1">
      <c r="A313" s="103"/>
      <c r="B313" s="192" t="s">
        <v>1950</v>
      </c>
      <c r="C313" s="134" t="s">
        <v>1951</v>
      </c>
      <c r="D313" s="195">
        <v>2060601.0</v>
      </c>
      <c r="E313" s="139" t="s">
        <v>1952</v>
      </c>
      <c r="F313" s="134" t="s">
        <v>73</v>
      </c>
      <c r="G313" s="89" t="s">
        <v>146</v>
      </c>
      <c r="H313" s="89" t="s">
        <v>85</v>
      </c>
      <c r="I313" s="89" t="str">
        <f t="shared" si="3"/>
        <v>PASSED</v>
      </c>
      <c r="J313" s="89" t="s">
        <v>27</v>
      </c>
      <c r="K313" s="95" t="s">
        <v>86</v>
      </c>
      <c r="L313" s="95" t="s">
        <v>12</v>
      </c>
      <c r="M313" s="137" t="s">
        <v>826</v>
      </c>
      <c r="N313" s="137" t="s">
        <v>856</v>
      </c>
      <c r="O313" s="138"/>
      <c r="P313" s="137" t="s">
        <v>37</v>
      </c>
      <c r="Q313" s="139" t="s">
        <v>1953</v>
      </c>
      <c r="R313" s="139" t="s">
        <v>1954</v>
      </c>
      <c r="S313" s="139" t="s">
        <v>1955</v>
      </c>
      <c r="T313" s="80" t="s">
        <v>828</v>
      </c>
      <c r="U313" s="157"/>
      <c r="V313" s="157"/>
      <c r="W313" s="157"/>
      <c r="X313" s="157"/>
      <c r="Y313" s="157"/>
      <c r="Z313" s="157"/>
      <c r="AA313" s="157"/>
      <c r="AB313" s="157"/>
      <c r="AC313" s="157"/>
      <c r="AD313" s="157"/>
      <c r="AE313" s="157"/>
      <c r="AF313" s="157"/>
      <c r="AG313" s="157"/>
      <c r="AH313" s="157"/>
      <c r="AI313" s="157"/>
      <c r="AJ313" s="157"/>
      <c r="AK313" s="157"/>
      <c r="AL313" s="157"/>
      <c r="AM313" s="157"/>
      <c r="AN313" s="157"/>
      <c r="AO313" s="157"/>
      <c r="AP313" s="157"/>
    </row>
    <row r="314" ht="17.25" customHeight="1">
      <c r="A314" s="103"/>
      <c r="B314" s="103"/>
      <c r="C314" s="134" t="s">
        <v>1956</v>
      </c>
      <c r="D314" s="195">
        <v>2060602.0</v>
      </c>
      <c r="E314" s="139" t="s">
        <v>1957</v>
      </c>
      <c r="F314" s="134" t="s">
        <v>73</v>
      </c>
      <c r="G314" s="95" t="s">
        <v>261</v>
      </c>
      <c r="H314" s="95" t="s">
        <v>262</v>
      </c>
      <c r="I314" s="89" t="str">
        <f t="shared" si="3"/>
        <v>PASSED</v>
      </c>
      <c r="J314" s="89" t="s">
        <v>27</v>
      </c>
      <c r="K314" s="95" t="s">
        <v>86</v>
      </c>
      <c r="L314" s="95" t="s">
        <v>12</v>
      </c>
      <c r="M314" s="137" t="s">
        <v>1958</v>
      </c>
      <c r="N314" s="137" t="s">
        <v>856</v>
      </c>
      <c r="O314" s="138"/>
      <c r="P314" s="137" t="s">
        <v>37</v>
      </c>
      <c r="Q314" s="139" t="s">
        <v>1959</v>
      </c>
      <c r="R314" s="139" t="s">
        <v>1960</v>
      </c>
      <c r="S314" s="139" t="s">
        <v>1961</v>
      </c>
      <c r="T314" s="80" t="s">
        <v>828</v>
      </c>
      <c r="U314" s="157"/>
      <c r="V314" s="157"/>
      <c r="W314" s="157"/>
      <c r="X314" s="157"/>
      <c r="Y314" s="157"/>
      <c r="Z314" s="157"/>
      <c r="AA314" s="157"/>
      <c r="AB314" s="157"/>
      <c r="AC314" s="157"/>
      <c r="AD314" s="157"/>
      <c r="AE314" s="157"/>
      <c r="AF314" s="157"/>
      <c r="AG314" s="157"/>
      <c r="AH314" s="157"/>
      <c r="AI314" s="157"/>
      <c r="AJ314" s="157"/>
      <c r="AK314" s="157"/>
      <c r="AL314" s="157"/>
      <c r="AM314" s="157"/>
      <c r="AN314" s="157"/>
      <c r="AO314" s="157"/>
      <c r="AP314" s="157"/>
    </row>
    <row r="315" ht="17.25" customHeight="1">
      <c r="A315" s="103"/>
      <c r="B315" s="103"/>
      <c r="C315" s="134" t="s">
        <v>1962</v>
      </c>
      <c r="D315" s="195">
        <v>2060603.0</v>
      </c>
      <c r="E315" s="139" t="s">
        <v>1963</v>
      </c>
      <c r="F315" s="134" t="s">
        <v>73</v>
      </c>
      <c r="G315" s="89" t="s">
        <v>146</v>
      </c>
      <c r="H315" s="89" t="s">
        <v>85</v>
      </c>
      <c r="I315" s="89" t="str">
        <f t="shared" si="3"/>
        <v>PASSED</v>
      </c>
      <c r="J315" s="89" t="s">
        <v>27</v>
      </c>
      <c r="K315" s="95" t="s">
        <v>86</v>
      </c>
      <c r="L315" s="95" t="s">
        <v>12</v>
      </c>
      <c r="M315" s="137" t="s">
        <v>826</v>
      </c>
      <c r="N315" s="137" t="s">
        <v>856</v>
      </c>
      <c r="O315" s="138"/>
      <c r="P315" s="137" t="s">
        <v>37</v>
      </c>
      <c r="Q315" s="139" t="s">
        <v>1964</v>
      </c>
      <c r="R315" s="139" t="s">
        <v>1965</v>
      </c>
      <c r="S315" s="139" t="s">
        <v>1966</v>
      </c>
      <c r="T315" s="80" t="s">
        <v>828</v>
      </c>
      <c r="U315" s="157"/>
      <c r="V315" s="157"/>
      <c r="W315" s="157"/>
      <c r="X315" s="157"/>
      <c r="Y315" s="157"/>
      <c r="Z315" s="157"/>
      <c r="AA315" s="157"/>
      <c r="AB315" s="157"/>
      <c r="AC315" s="157"/>
      <c r="AD315" s="157"/>
      <c r="AE315" s="157"/>
      <c r="AF315" s="157"/>
      <c r="AG315" s="157"/>
      <c r="AH315" s="157"/>
      <c r="AI315" s="157"/>
      <c r="AJ315" s="157"/>
      <c r="AK315" s="157"/>
      <c r="AL315" s="157"/>
      <c r="AM315" s="157"/>
      <c r="AN315" s="157"/>
      <c r="AO315" s="157"/>
      <c r="AP315" s="157"/>
    </row>
    <row r="316" ht="17.25" customHeight="1">
      <c r="A316" s="103"/>
      <c r="B316" s="103"/>
      <c r="C316" s="134" t="s">
        <v>1967</v>
      </c>
      <c r="D316" s="195">
        <v>2060604.0</v>
      </c>
      <c r="E316" s="139" t="s">
        <v>1968</v>
      </c>
      <c r="F316" s="134" t="s">
        <v>73</v>
      </c>
      <c r="G316" s="95" t="s">
        <v>261</v>
      </c>
      <c r="H316" s="95" t="s">
        <v>262</v>
      </c>
      <c r="I316" s="89" t="str">
        <f t="shared" si="3"/>
        <v>PASSED</v>
      </c>
      <c r="J316" s="89" t="s">
        <v>27</v>
      </c>
      <c r="K316" s="95" t="s">
        <v>86</v>
      </c>
      <c r="L316" s="95" t="s">
        <v>12</v>
      </c>
      <c r="M316" s="137" t="s">
        <v>826</v>
      </c>
      <c r="N316" s="137" t="s">
        <v>856</v>
      </c>
      <c r="O316" s="138"/>
      <c r="P316" s="137" t="s">
        <v>37</v>
      </c>
      <c r="Q316" s="139" t="s">
        <v>1969</v>
      </c>
      <c r="R316" s="139" t="s">
        <v>1970</v>
      </c>
      <c r="S316" s="139" t="s">
        <v>1971</v>
      </c>
      <c r="T316" s="80" t="s">
        <v>828</v>
      </c>
      <c r="U316" s="157"/>
      <c r="V316" s="157"/>
      <c r="W316" s="157"/>
      <c r="X316" s="157"/>
      <c r="Y316" s="157"/>
      <c r="Z316" s="157"/>
      <c r="AA316" s="157"/>
      <c r="AB316" s="157"/>
      <c r="AC316" s="157"/>
      <c r="AD316" s="157"/>
      <c r="AE316" s="157"/>
      <c r="AF316" s="157"/>
      <c r="AG316" s="157"/>
      <c r="AH316" s="157"/>
      <c r="AI316" s="157"/>
      <c r="AJ316" s="157"/>
      <c r="AK316" s="157"/>
      <c r="AL316" s="157"/>
      <c r="AM316" s="157"/>
      <c r="AN316" s="157"/>
      <c r="AO316" s="157"/>
      <c r="AP316" s="157"/>
    </row>
    <row r="317" ht="17.25" customHeight="1">
      <c r="A317" s="103"/>
      <c r="B317" s="103"/>
      <c r="C317" s="139" t="s">
        <v>1972</v>
      </c>
      <c r="D317" s="195">
        <v>2060605.0</v>
      </c>
      <c r="E317" s="139" t="s">
        <v>1973</v>
      </c>
      <c r="F317" s="139" t="s">
        <v>260</v>
      </c>
      <c r="G317" s="89" t="s">
        <v>146</v>
      </c>
      <c r="H317" s="89" t="s">
        <v>85</v>
      </c>
      <c r="I317" s="89" t="str">
        <f t="shared" si="3"/>
        <v>PASSED</v>
      </c>
      <c r="J317" s="89" t="s">
        <v>27</v>
      </c>
      <c r="K317" s="95" t="s">
        <v>86</v>
      </c>
      <c r="L317" s="95" t="s">
        <v>12</v>
      </c>
      <c r="M317" s="137" t="s">
        <v>826</v>
      </c>
      <c r="N317" s="137" t="s">
        <v>856</v>
      </c>
      <c r="O317" s="138"/>
      <c r="P317" s="137" t="s">
        <v>37</v>
      </c>
      <c r="Q317" s="139" t="s">
        <v>1974</v>
      </c>
      <c r="R317" s="139" t="s">
        <v>1975</v>
      </c>
      <c r="S317" s="139" t="s">
        <v>1976</v>
      </c>
      <c r="T317" s="80" t="s">
        <v>828</v>
      </c>
      <c r="U317" s="157"/>
      <c r="V317" s="157"/>
      <c r="W317" s="157"/>
      <c r="X317" s="157"/>
      <c r="Y317" s="157"/>
      <c r="Z317" s="157"/>
      <c r="AA317" s="157"/>
      <c r="AB317" s="157"/>
      <c r="AC317" s="157"/>
      <c r="AD317" s="157"/>
      <c r="AE317" s="157"/>
      <c r="AF317" s="157"/>
      <c r="AG317" s="157"/>
      <c r="AH317" s="157"/>
      <c r="AI317" s="157"/>
      <c r="AJ317" s="157"/>
      <c r="AK317" s="157"/>
      <c r="AL317" s="157"/>
      <c r="AM317" s="157"/>
      <c r="AN317" s="157"/>
      <c r="AO317" s="157"/>
      <c r="AP317" s="157"/>
    </row>
    <row r="318" ht="17.25" customHeight="1">
      <c r="A318" s="103"/>
      <c r="B318" s="103"/>
      <c r="C318" s="139" t="s">
        <v>1977</v>
      </c>
      <c r="D318" s="195">
        <v>2060606.0</v>
      </c>
      <c r="E318" s="139" t="s">
        <v>1978</v>
      </c>
      <c r="F318" s="139" t="s">
        <v>260</v>
      </c>
      <c r="G318" s="89" t="s">
        <v>146</v>
      </c>
      <c r="H318" s="89" t="s">
        <v>85</v>
      </c>
      <c r="I318" s="89" t="str">
        <f t="shared" si="3"/>
        <v>PASSED</v>
      </c>
      <c r="J318" s="89" t="s">
        <v>27</v>
      </c>
      <c r="K318" s="95" t="s">
        <v>86</v>
      </c>
      <c r="L318" s="95" t="s">
        <v>12</v>
      </c>
      <c r="M318" s="137" t="s">
        <v>826</v>
      </c>
      <c r="N318" s="137" t="s">
        <v>856</v>
      </c>
      <c r="O318" s="138"/>
      <c r="P318" s="137" t="s">
        <v>37</v>
      </c>
      <c r="Q318" s="139" t="s">
        <v>1979</v>
      </c>
      <c r="R318" s="139" t="s">
        <v>1980</v>
      </c>
      <c r="S318" s="139" t="s">
        <v>1981</v>
      </c>
      <c r="T318" s="80" t="s">
        <v>828</v>
      </c>
      <c r="U318" s="157"/>
      <c r="V318" s="157"/>
      <c r="W318" s="157"/>
      <c r="X318" s="157"/>
      <c r="Y318" s="157"/>
      <c r="Z318" s="157"/>
      <c r="AA318" s="157"/>
      <c r="AB318" s="157"/>
      <c r="AC318" s="157"/>
      <c r="AD318" s="157"/>
      <c r="AE318" s="157"/>
      <c r="AF318" s="157"/>
      <c r="AG318" s="157"/>
      <c r="AH318" s="157"/>
      <c r="AI318" s="157"/>
      <c r="AJ318" s="157"/>
      <c r="AK318" s="157"/>
      <c r="AL318" s="157"/>
      <c r="AM318" s="157"/>
      <c r="AN318" s="157"/>
      <c r="AO318" s="157"/>
      <c r="AP318" s="157"/>
    </row>
    <row r="319" ht="17.25" customHeight="1">
      <c r="A319" s="26"/>
      <c r="B319" s="26"/>
      <c r="C319" s="139" t="s">
        <v>1982</v>
      </c>
      <c r="D319" s="195">
        <v>2060607.0</v>
      </c>
      <c r="E319" s="139" t="s">
        <v>1983</v>
      </c>
      <c r="F319" s="139" t="s">
        <v>260</v>
      </c>
      <c r="G319" s="95" t="s">
        <v>261</v>
      </c>
      <c r="H319" s="95" t="s">
        <v>262</v>
      </c>
      <c r="I319" s="89" t="str">
        <f t="shared" si="3"/>
        <v>PASSED</v>
      </c>
      <c r="J319" s="89" t="s">
        <v>27</v>
      </c>
      <c r="K319" s="95" t="s">
        <v>86</v>
      </c>
      <c r="L319" s="95" t="s">
        <v>12</v>
      </c>
      <c r="M319" s="137" t="s">
        <v>826</v>
      </c>
      <c r="N319" s="137" t="s">
        <v>856</v>
      </c>
      <c r="O319" s="138"/>
      <c r="P319" s="137" t="s">
        <v>37</v>
      </c>
      <c r="Q319" s="139" t="s">
        <v>1984</v>
      </c>
      <c r="R319" s="139" t="s">
        <v>1985</v>
      </c>
      <c r="S319" s="139" t="s">
        <v>1986</v>
      </c>
      <c r="T319" s="80" t="s">
        <v>828</v>
      </c>
      <c r="U319" s="157"/>
      <c r="V319" s="157"/>
      <c r="W319" s="157"/>
      <c r="X319" s="157"/>
      <c r="Y319" s="157"/>
      <c r="Z319" s="157"/>
      <c r="AA319" s="157"/>
      <c r="AB319" s="157"/>
      <c r="AC319" s="157"/>
      <c r="AD319" s="157"/>
      <c r="AE319" s="157"/>
      <c r="AF319" s="157"/>
      <c r="AG319" s="157"/>
      <c r="AH319" s="157"/>
      <c r="AI319" s="157"/>
      <c r="AJ319" s="157"/>
      <c r="AK319" s="157"/>
      <c r="AL319" s="157"/>
      <c r="AM319" s="157"/>
      <c r="AN319" s="157"/>
      <c r="AO319" s="157"/>
      <c r="AP319" s="157"/>
    </row>
    <row r="320">
      <c r="D320" s="191"/>
      <c r="O320" s="191"/>
      <c r="Q320" s="201"/>
      <c r="R320" s="179"/>
      <c r="S320" s="179"/>
      <c r="T320" s="202"/>
      <c r="AA320" s="157"/>
      <c r="AB320" s="157"/>
      <c r="AC320" s="157"/>
      <c r="AD320" s="157"/>
      <c r="AE320" s="157"/>
      <c r="AF320" s="157"/>
      <c r="AG320" s="157"/>
      <c r="AH320" s="157"/>
      <c r="AI320" s="157"/>
      <c r="AJ320" s="157"/>
      <c r="AK320" s="157"/>
      <c r="AL320" s="157"/>
      <c r="AM320" s="157"/>
      <c r="AN320" s="157"/>
      <c r="AO320" s="157"/>
      <c r="AP320" s="157"/>
    </row>
    <row r="321">
      <c r="D321" s="191"/>
      <c r="O321" s="191"/>
      <c r="Q321" s="201"/>
      <c r="R321" s="179"/>
      <c r="S321" s="179"/>
      <c r="T321" s="202"/>
      <c r="AA321" s="157"/>
      <c r="AB321" s="157"/>
      <c r="AC321" s="157"/>
      <c r="AD321" s="157"/>
      <c r="AE321" s="157"/>
      <c r="AF321" s="157"/>
      <c r="AG321" s="157"/>
      <c r="AH321" s="157"/>
      <c r="AI321" s="157"/>
      <c r="AJ321" s="157"/>
      <c r="AK321" s="157"/>
      <c r="AL321" s="157"/>
      <c r="AM321" s="157"/>
      <c r="AN321" s="157"/>
      <c r="AO321" s="157"/>
      <c r="AP321" s="157"/>
    </row>
    <row r="322">
      <c r="D322" s="191"/>
      <c r="O322" s="191"/>
      <c r="Q322" s="201"/>
      <c r="R322" s="179"/>
      <c r="S322" s="179"/>
      <c r="T322" s="202"/>
      <c r="AA322" s="6"/>
      <c r="AB322" s="6"/>
      <c r="AC322" s="6"/>
      <c r="AD322" s="6"/>
      <c r="AE322" s="6"/>
      <c r="AF322" s="6"/>
      <c r="AG322" s="6"/>
      <c r="AH322" s="6"/>
      <c r="AI322" s="6"/>
      <c r="AJ322" s="6"/>
      <c r="AK322" s="6"/>
      <c r="AL322" s="6"/>
      <c r="AM322" s="6"/>
      <c r="AN322" s="6"/>
      <c r="AO322" s="6"/>
      <c r="AP322" s="6"/>
    </row>
    <row r="323">
      <c r="D323" s="191"/>
      <c r="O323" s="191"/>
      <c r="Q323" s="201"/>
      <c r="R323" s="179"/>
      <c r="S323" s="179"/>
      <c r="T323" s="202"/>
      <c r="AA323" s="6"/>
      <c r="AB323" s="6"/>
      <c r="AC323" s="6"/>
      <c r="AD323" s="6"/>
      <c r="AE323" s="6"/>
      <c r="AF323" s="6"/>
      <c r="AG323" s="6"/>
      <c r="AH323" s="6"/>
      <c r="AI323" s="6"/>
      <c r="AJ323" s="6"/>
      <c r="AK323" s="6"/>
      <c r="AL323" s="6"/>
      <c r="AM323" s="6"/>
      <c r="AN323" s="6"/>
      <c r="AO323" s="6"/>
      <c r="AP323" s="6"/>
    </row>
    <row r="324">
      <c r="D324" s="191"/>
      <c r="O324" s="191"/>
      <c r="Q324" s="201"/>
      <c r="R324" s="179"/>
      <c r="S324" s="179"/>
      <c r="T324" s="202"/>
      <c r="AA324" s="6"/>
      <c r="AB324" s="6"/>
      <c r="AC324" s="6"/>
      <c r="AD324" s="6"/>
      <c r="AE324" s="6"/>
      <c r="AF324" s="6"/>
      <c r="AG324" s="6"/>
      <c r="AH324" s="6"/>
      <c r="AI324" s="6"/>
      <c r="AJ324" s="6"/>
      <c r="AK324" s="6"/>
      <c r="AL324" s="6"/>
      <c r="AM324" s="6"/>
      <c r="AN324" s="6"/>
      <c r="AO324" s="6"/>
      <c r="AP324" s="6"/>
    </row>
    <row r="325">
      <c r="D325" s="191"/>
      <c r="O325" s="191"/>
      <c r="Q325" s="201"/>
      <c r="R325" s="179"/>
      <c r="S325" s="179"/>
      <c r="T325" s="202"/>
      <c r="AA325" s="6"/>
      <c r="AB325" s="6"/>
      <c r="AC325" s="6"/>
      <c r="AD325" s="6"/>
      <c r="AE325" s="6"/>
      <c r="AF325" s="6"/>
      <c r="AG325" s="6"/>
      <c r="AH325" s="6"/>
      <c r="AI325" s="6"/>
      <c r="AJ325" s="6"/>
      <c r="AK325" s="6"/>
      <c r="AL325" s="6"/>
      <c r="AM325" s="6"/>
      <c r="AN325" s="6"/>
      <c r="AO325" s="6"/>
      <c r="AP325" s="6"/>
    </row>
    <row r="326">
      <c r="D326" s="191"/>
      <c r="O326" s="191"/>
      <c r="Q326" s="201"/>
      <c r="R326" s="179"/>
      <c r="S326" s="179"/>
      <c r="T326" s="202"/>
      <c r="AA326" s="6"/>
      <c r="AB326" s="6"/>
      <c r="AC326" s="6"/>
      <c r="AD326" s="6"/>
      <c r="AE326" s="6"/>
      <c r="AF326" s="6"/>
      <c r="AG326" s="6"/>
      <c r="AH326" s="6"/>
      <c r="AI326" s="6"/>
      <c r="AJ326" s="6"/>
      <c r="AK326" s="6"/>
      <c r="AL326" s="6"/>
      <c r="AM326" s="6"/>
      <c r="AN326" s="6"/>
      <c r="AO326" s="6"/>
      <c r="AP326" s="6"/>
    </row>
    <row r="327">
      <c r="D327" s="191"/>
      <c r="O327" s="191"/>
      <c r="Q327" s="201"/>
      <c r="R327" s="179"/>
      <c r="S327" s="179"/>
      <c r="T327" s="202"/>
      <c r="AB327" s="6"/>
      <c r="AC327" s="6"/>
      <c r="AD327" s="6"/>
      <c r="AE327" s="6"/>
      <c r="AF327" s="6"/>
      <c r="AG327" s="6"/>
      <c r="AH327" s="6"/>
      <c r="AI327" s="6"/>
      <c r="AJ327" s="6"/>
      <c r="AK327" s="6"/>
      <c r="AL327" s="6"/>
      <c r="AM327" s="6"/>
      <c r="AN327" s="6"/>
      <c r="AO327" s="6"/>
      <c r="AP327" s="6"/>
    </row>
    <row r="328">
      <c r="D328" s="191"/>
      <c r="O328" s="191"/>
      <c r="Q328" s="201"/>
      <c r="R328" s="179"/>
      <c r="S328" s="179"/>
      <c r="T328" s="202"/>
      <c r="AB328" s="6"/>
      <c r="AC328" s="6"/>
      <c r="AD328" s="6"/>
      <c r="AE328" s="6"/>
      <c r="AF328" s="6"/>
      <c r="AG328" s="6"/>
      <c r="AH328" s="6"/>
      <c r="AI328" s="6"/>
      <c r="AJ328" s="6"/>
      <c r="AK328" s="6"/>
      <c r="AL328" s="6"/>
      <c r="AM328" s="6"/>
      <c r="AN328" s="6"/>
      <c r="AO328" s="6"/>
      <c r="AP328" s="6"/>
    </row>
    <row r="329">
      <c r="D329" s="191"/>
      <c r="O329" s="191"/>
      <c r="Q329" s="201"/>
      <c r="R329" s="179"/>
      <c r="S329" s="179"/>
      <c r="T329" s="202"/>
      <c r="AB329" s="6"/>
      <c r="AC329" s="6"/>
      <c r="AD329" s="6"/>
      <c r="AE329" s="6"/>
      <c r="AF329" s="6"/>
      <c r="AG329" s="6"/>
      <c r="AH329" s="6"/>
      <c r="AI329" s="6"/>
      <c r="AJ329" s="6"/>
      <c r="AK329" s="6"/>
      <c r="AL329" s="6"/>
      <c r="AM329" s="6"/>
      <c r="AN329" s="6"/>
      <c r="AO329" s="6"/>
      <c r="AP329" s="6"/>
    </row>
    <row r="330">
      <c r="D330" s="191"/>
      <c r="O330" s="191"/>
      <c r="Q330" s="201"/>
      <c r="R330" s="179"/>
      <c r="S330" s="179"/>
      <c r="T330" s="202"/>
      <c r="AB330" s="6"/>
      <c r="AC330" s="6"/>
      <c r="AD330" s="6"/>
      <c r="AE330" s="6"/>
      <c r="AF330" s="6"/>
      <c r="AG330" s="6"/>
      <c r="AH330" s="6"/>
      <c r="AI330" s="6"/>
      <c r="AJ330" s="6"/>
      <c r="AK330" s="6"/>
      <c r="AL330" s="6"/>
      <c r="AM330" s="6"/>
      <c r="AN330" s="6"/>
      <c r="AO330" s="6"/>
      <c r="AP330" s="6"/>
    </row>
    <row r="331">
      <c r="D331" s="191"/>
      <c r="O331" s="191"/>
      <c r="Q331" s="201"/>
      <c r="R331" s="179"/>
      <c r="S331" s="179"/>
      <c r="T331" s="202"/>
      <c r="AB331" s="6"/>
      <c r="AC331" s="6"/>
      <c r="AD331" s="6"/>
      <c r="AE331" s="6"/>
      <c r="AF331" s="6"/>
      <c r="AG331" s="6"/>
      <c r="AH331" s="6"/>
      <c r="AI331" s="6"/>
      <c r="AJ331" s="6"/>
      <c r="AK331" s="6"/>
      <c r="AL331" s="6"/>
      <c r="AM331" s="6"/>
      <c r="AN331" s="6"/>
      <c r="AO331" s="6"/>
      <c r="AP331" s="6"/>
    </row>
    <row r="332">
      <c r="D332" s="191"/>
      <c r="O332" s="191"/>
      <c r="Q332" s="201"/>
      <c r="R332" s="179"/>
      <c r="S332" s="179"/>
      <c r="T332" s="202"/>
      <c r="AB332" s="6"/>
      <c r="AC332" s="6"/>
      <c r="AD332" s="6"/>
      <c r="AE332" s="6"/>
      <c r="AF332" s="6"/>
      <c r="AG332" s="6"/>
      <c r="AH332" s="6"/>
      <c r="AI332" s="6"/>
      <c r="AJ332" s="6"/>
      <c r="AK332" s="6"/>
      <c r="AL332" s="6"/>
      <c r="AM332" s="6"/>
      <c r="AN332" s="6"/>
      <c r="AO332" s="6"/>
      <c r="AP332" s="6"/>
    </row>
    <row r="333">
      <c r="D333" s="191"/>
      <c r="O333" s="191"/>
      <c r="Q333" s="201"/>
      <c r="R333" s="179"/>
      <c r="S333" s="179"/>
      <c r="T333" s="202"/>
      <c r="AB333" s="6"/>
      <c r="AC333" s="6"/>
      <c r="AD333" s="6"/>
      <c r="AE333" s="6"/>
      <c r="AF333" s="6"/>
      <c r="AG333" s="6"/>
      <c r="AH333" s="6"/>
      <c r="AI333" s="6"/>
      <c r="AJ333" s="6"/>
      <c r="AK333" s="6"/>
      <c r="AL333" s="6"/>
      <c r="AM333" s="6"/>
      <c r="AN333" s="6"/>
      <c r="AO333" s="6"/>
      <c r="AP333" s="6"/>
    </row>
    <row r="334">
      <c r="D334" s="191"/>
      <c r="O334" s="191"/>
      <c r="Q334" s="201"/>
      <c r="R334" s="179"/>
      <c r="S334" s="179"/>
      <c r="T334" s="202"/>
      <c r="AB334" s="6"/>
      <c r="AC334" s="6"/>
      <c r="AD334" s="6"/>
      <c r="AE334" s="6"/>
      <c r="AF334" s="6"/>
      <c r="AG334" s="6"/>
      <c r="AH334" s="6"/>
      <c r="AI334" s="6"/>
      <c r="AJ334" s="6"/>
      <c r="AK334" s="6"/>
      <c r="AL334" s="6"/>
      <c r="AM334" s="6"/>
      <c r="AN334" s="6"/>
      <c r="AO334" s="6"/>
      <c r="AP334" s="6"/>
    </row>
    <row r="335">
      <c r="D335" s="191"/>
      <c r="O335" s="191"/>
      <c r="Q335" s="201"/>
      <c r="R335" s="179"/>
      <c r="S335" s="179"/>
      <c r="T335" s="202"/>
      <c r="AB335" s="6"/>
      <c r="AC335" s="6"/>
      <c r="AD335" s="6"/>
      <c r="AE335" s="6"/>
      <c r="AF335" s="6"/>
      <c r="AG335" s="6"/>
      <c r="AH335" s="6"/>
      <c r="AI335" s="6"/>
      <c r="AJ335" s="6"/>
      <c r="AK335" s="6"/>
      <c r="AL335" s="6"/>
      <c r="AM335" s="6"/>
      <c r="AN335" s="6"/>
      <c r="AO335" s="6"/>
      <c r="AP335" s="6"/>
    </row>
    <row r="336">
      <c r="D336" s="191"/>
      <c r="O336" s="191"/>
      <c r="Q336" s="201"/>
      <c r="R336" s="179"/>
      <c r="S336" s="179"/>
      <c r="T336" s="202"/>
      <c r="AB336" s="6"/>
      <c r="AC336" s="6"/>
      <c r="AD336" s="6"/>
      <c r="AE336" s="6"/>
      <c r="AF336" s="6"/>
      <c r="AG336" s="6"/>
      <c r="AH336" s="6"/>
      <c r="AI336" s="6"/>
      <c r="AJ336" s="6"/>
      <c r="AK336" s="6"/>
      <c r="AL336" s="6"/>
      <c r="AM336" s="6"/>
      <c r="AN336" s="6"/>
      <c r="AO336" s="6"/>
      <c r="AP336" s="6"/>
    </row>
    <row r="337">
      <c r="D337" s="191"/>
      <c r="O337" s="191"/>
      <c r="Q337" s="201"/>
      <c r="R337" s="179"/>
      <c r="S337" s="179"/>
      <c r="T337" s="202"/>
      <c r="AB337" s="6"/>
      <c r="AC337" s="6"/>
      <c r="AD337" s="6"/>
      <c r="AE337" s="6"/>
      <c r="AF337" s="6"/>
      <c r="AG337" s="6"/>
      <c r="AH337" s="6"/>
      <c r="AI337" s="6"/>
      <c r="AJ337" s="6"/>
      <c r="AK337" s="6"/>
      <c r="AL337" s="6"/>
      <c r="AM337" s="6"/>
      <c r="AN337" s="6"/>
      <c r="AO337" s="6"/>
      <c r="AP337" s="6"/>
    </row>
    <row r="338">
      <c r="D338" s="191"/>
      <c r="O338" s="191"/>
      <c r="Q338" s="201"/>
      <c r="R338" s="179"/>
      <c r="S338" s="179"/>
      <c r="T338" s="202"/>
      <c r="AD338" s="6"/>
      <c r="AE338" s="6"/>
      <c r="AF338" s="6"/>
      <c r="AG338" s="6"/>
      <c r="AH338" s="6"/>
      <c r="AI338" s="6"/>
      <c r="AJ338" s="6"/>
      <c r="AK338" s="6"/>
      <c r="AL338" s="6"/>
      <c r="AM338" s="6"/>
      <c r="AN338" s="6"/>
      <c r="AO338" s="6"/>
      <c r="AP338" s="6"/>
    </row>
    <row r="339">
      <c r="D339" s="191"/>
      <c r="O339" s="191"/>
      <c r="Q339" s="201"/>
      <c r="R339" s="179"/>
      <c r="S339" s="179"/>
      <c r="T339" s="202"/>
      <c r="AD339" s="6"/>
      <c r="AE339" s="6"/>
      <c r="AF339" s="6"/>
      <c r="AG339" s="6"/>
      <c r="AH339" s="6"/>
      <c r="AI339" s="6"/>
      <c r="AJ339" s="6"/>
      <c r="AK339" s="6"/>
      <c r="AL339" s="6"/>
      <c r="AM339" s="6"/>
      <c r="AN339" s="6"/>
      <c r="AO339" s="6"/>
      <c r="AP339" s="6"/>
    </row>
    <row r="340">
      <c r="D340" s="191"/>
      <c r="O340" s="191"/>
      <c r="Q340" s="201"/>
      <c r="R340" s="179"/>
      <c r="S340" s="179"/>
      <c r="T340" s="202"/>
      <c r="AD340" s="6"/>
      <c r="AE340" s="6"/>
      <c r="AF340" s="6"/>
      <c r="AG340" s="6"/>
      <c r="AH340" s="6"/>
      <c r="AI340" s="6"/>
      <c r="AJ340" s="6"/>
      <c r="AK340" s="6"/>
      <c r="AL340" s="6"/>
      <c r="AM340" s="6"/>
      <c r="AN340" s="6"/>
      <c r="AO340" s="6"/>
      <c r="AP340" s="6"/>
    </row>
    <row r="341">
      <c r="D341" s="191"/>
      <c r="O341" s="191"/>
      <c r="Q341" s="201"/>
      <c r="R341" s="179"/>
      <c r="S341" s="179"/>
      <c r="T341" s="202"/>
      <c r="AD341" s="6"/>
      <c r="AE341" s="6"/>
      <c r="AF341" s="6"/>
      <c r="AG341" s="6"/>
      <c r="AH341" s="6"/>
      <c r="AI341" s="6"/>
      <c r="AJ341" s="6"/>
      <c r="AK341" s="6"/>
      <c r="AL341" s="6"/>
      <c r="AM341" s="6"/>
      <c r="AN341" s="6"/>
      <c r="AO341" s="6"/>
      <c r="AP341" s="6"/>
    </row>
    <row r="342">
      <c r="D342" s="191"/>
      <c r="O342" s="191"/>
      <c r="Q342" s="201"/>
      <c r="R342" s="179"/>
      <c r="S342" s="179"/>
      <c r="T342" s="202"/>
      <c r="AD342" s="6"/>
      <c r="AE342" s="6"/>
      <c r="AF342" s="6"/>
      <c r="AG342" s="6"/>
      <c r="AH342" s="6"/>
      <c r="AI342" s="6"/>
      <c r="AJ342" s="6"/>
      <c r="AK342" s="6"/>
      <c r="AL342" s="6"/>
      <c r="AM342" s="6"/>
      <c r="AN342" s="6"/>
      <c r="AO342" s="6"/>
      <c r="AP342" s="6"/>
    </row>
    <row r="343">
      <c r="D343" s="191"/>
      <c r="O343" s="191"/>
      <c r="Q343" s="201"/>
      <c r="R343" s="179"/>
      <c r="S343" s="179"/>
      <c r="T343" s="202"/>
      <c r="AD343" s="6"/>
      <c r="AE343" s="6"/>
      <c r="AF343" s="6"/>
      <c r="AG343" s="6"/>
      <c r="AH343" s="6"/>
      <c r="AI343" s="6"/>
      <c r="AJ343" s="6"/>
      <c r="AK343" s="6"/>
      <c r="AL343" s="6"/>
      <c r="AM343" s="6"/>
      <c r="AN343" s="6"/>
      <c r="AO343" s="6"/>
      <c r="AP343" s="6"/>
    </row>
    <row r="344">
      <c r="D344" s="191"/>
      <c r="O344" s="191"/>
      <c r="Q344" s="201"/>
      <c r="R344" s="179"/>
      <c r="S344" s="179"/>
      <c r="T344" s="202"/>
      <c r="AD344" s="6"/>
      <c r="AE344" s="6"/>
      <c r="AF344" s="6"/>
      <c r="AG344" s="6"/>
      <c r="AH344" s="6"/>
      <c r="AI344" s="6"/>
      <c r="AJ344" s="6"/>
      <c r="AK344" s="6"/>
      <c r="AL344" s="6"/>
      <c r="AM344" s="6"/>
      <c r="AN344" s="6"/>
      <c r="AO344" s="6"/>
      <c r="AP344" s="6"/>
    </row>
    <row r="345">
      <c r="D345" s="191"/>
      <c r="O345" s="191"/>
      <c r="Q345" s="201"/>
      <c r="R345" s="179"/>
      <c r="S345" s="179"/>
      <c r="T345" s="202"/>
      <c r="AD345" s="6"/>
      <c r="AE345" s="6"/>
      <c r="AF345" s="6"/>
      <c r="AG345" s="6"/>
      <c r="AH345" s="6"/>
      <c r="AI345" s="6"/>
      <c r="AJ345" s="6"/>
      <c r="AK345" s="6"/>
      <c r="AL345" s="6"/>
      <c r="AM345" s="6"/>
      <c r="AN345" s="6"/>
      <c r="AO345" s="6"/>
      <c r="AP345" s="6"/>
    </row>
    <row r="346">
      <c r="D346" s="191"/>
      <c r="O346" s="191"/>
      <c r="Q346" s="201"/>
      <c r="R346" s="179"/>
      <c r="S346" s="179"/>
      <c r="T346" s="202"/>
      <c r="AD346" s="6"/>
      <c r="AE346" s="6"/>
      <c r="AF346" s="6"/>
      <c r="AG346" s="6"/>
      <c r="AH346" s="6"/>
      <c r="AI346" s="6"/>
      <c r="AJ346" s="6"/>
      <c r="AK346" s="6"/>
      <c r="AL346" s="6"/>
      <c r="AM346" s="6"/>
      <c r="AN346" s="6"/>
      <c r="AO346" s="6"/>
      <c r="AP346" s="6"/>
    </row>
    <row r="347">
      <c r="D347" s="191"/>
      <c r="O347" s="191"/>
      <c r="Q347" s="201"/>
      <c r="R347" s="179"/>
      <c r="S347" s="179"/>
      <c r="T347" s="202"/>
      <c r="AE347" s="6"/>
      <c r="AF347" s="6"/>
      <c r="AG347" s="6"/>
      <c r="AH347" s="6"/>
      <c r="AI347" s="6"/>
      <c r="AJ347" s="6"/>
      <c r="AK347" s="6"/>
      <c r="AL347" s="6"/>
      <c r="AM347" s="6"/>
      <c r="AN347" s="6"/>
      <c r="AO347" s="6"/>
      <c r="AP347" s="6"/>
    </row>
    <row r="348">
      <c r="D348" s="191"/>
      <c r="O348" s="191"/>
      <c r="Q348" s="201"/>
      <c r="R348" s="179"/>
      <c r="S348" s="179"/>
      <c r="T348" s="202"/>
      <c r="AE348" s="6"/>
      <c r="AF348" s="6"/>
      <c r="AG348" s="6"/>
      <c r="AH348" s="6"/>
      <c r="AI348" s="6"/>
      <c r="AJ348" s="6"/>
      <c r="AK348" s="6"/>
      <c r="AL348" s="6"/>
      <c r="AM348" s="6"/>
      <c r="AN348" s="6"/>
      <c r="AO348" s="6"/>
      <c r="AP348" s="6"/>
    </row>
    <row r="349">
      <c r="D349" s="191"/>
      <c r="O349" s="191"/>
      <c r="Q349" s="201"/>
      <c r="R349" s="179"/>
      <c r="S349" s="179"/>
      <c r="T349" s="202"/>
      <c r="AE349" s="6"/>
      <c r="AF349" s="6"/>
      <c r="AG349" s="6"/>
      <c r="AH349" s="6"/>
      <c r="AI349" s="6"/>
      <c r="AJ349" s="6"/>
      <c r="AK349" s="6"/>
      <c r="AL349" s="6"/>
      <c r="AM349" s="6"/>
      <c r="AN349" s="6"/>
      <c r="AO349" s="6"/>
      <c r="AP349" s="6"/>
    </row>
    <row r="350">
      <c r="D350" s="191"/>
      <c r="O350" s="191"/>
      <c r="Q350" s="201"/>
      <c r="R350" s="179"/>
      <c r="S350" s="179"/>
      <c r="T350" s="202"/>
      <c r="AE350" s="6"/>
      <c r="AF350" s="6"/>
      <c r="AG350" s="6"/>
      <c r="AH350" s="6"/>
      <c r="AI350" s="6"/>
      <c r="AJ350" s="6"/>
      <c r="AK350" s="6"/>
      <c r="AL350" s="6"/>
      <c r="AM350" s="6"/>
      <c r="AN350" s="6"/>
      <c r="AO350" s="6"/>
      <c r="AP350" s="6"/>
    </row>
    <row r="351">
      <c r="D351" s="191"/>
      <c r="O351" s="191"/>
      <c r="Q351" s="201"/>
      <c r="R351" s="179"/>
      <c r="S351" s="179"/>
      <c r="T351" s="202"/>
      <c r="AE351" s="6"/>
      <c r="AF351" s="6"/>
      <c r="AG351" s="6"/>
      <c r="AH351" s="6"/>
      <c r="AI351" s="6"/>
      <c r="AJ351" s="6"/>
      <c r="AK351" s="6"/>
      <c r="AL351" s="6"/>
      <c r="AM351" s="6"/>
      <c r="AN351" s="6"/>
      <c r="AO351" s="6"/>
      <c r="AP351" s="6"/>
    </row>
    <row r="352">
      <c r="D352" s="191"/>
      <c r="O352" s="191"/>
      <c r="Q352" s="201"/>
      <c r="R352" s="179"/>
      <c r="S352" s="179"/>
      <c r="T352" s="202"/>
      <c r="AE352" s="6"/>
      <c r="AF352" s="6"/>
      <c r="AG352" s="6"/>
      <c r="AH352" s="6"/>
      <c r="AI352" s="6"/>
      <c r="AJ352" s="6"/>
      <c r="AK352" s="6"/>
      <c r="AL352" s="6"/>
      <c r="AM352" s="6"/>
      <c r="AN352" s="6"/>
      <c r="AO352" s="6"/>
      <c r="AP352" s="6"/>
    </row>
    <row r="353">
      <c r="D353" s="191"/>
      <c r="O353" s="191"/>
      <c r="Q353" s="201"/>
      <c r="R353" s="179"/>
      <c r="S353" s="179"/>
      <c r="T353" s="202"/>
      <c r="AE353" s="6"/>
      <c r="AF353" s="6"/>
      <c r="AG353" s="6"/>
      <c r="AH353" s="6"/>
      <c r="AI353" s="6"/>
      <c r="AJ353" s="6"/>
      <c r="AK353" s="6"/>
      <c r="AL353" s="6"/>
      <c r="AM353" s="6"/>
      <c r="AN353" s="6"/>
      <c r="AO353" s="6"/>
      <c r="AP353" s="6"/>
    </row>
    <row r="354">
      <c r="D354" s="191"/>
      <c r="O354" s="191"/>
      <c r="Q354" s="201"/>
      <c r="R354" s="179"/>
      <c r="S354" s="179"/>
      <c r="T354" s="202"/>
      <c r="AE354" s="6"/>
      <c r="AF354" s="6"/>
      <c r="AG354" s="6"/>
      <c r="AH354" s="6"/>
      <c r="AI354" s="6"/>
      <c r="AJ354" s="6"/>
      <c r="AK354" s="6"/>
      <c r="AL354" s="6"/>
      <c r="AM354" s="6"/>
      <c r="AN354" s="6"/>
      <c r="AO354" s="6"/>
      <c r="AP354" s="6"/>
    </row>
    <row r="355">
      <c r="D355" s="191"/>
      <c r="O355" s="191"/>
      <c r="Q355" s="201"/>
      <c r="R355" s="179"/>
      <c r="S355" s="179"/>
      <c r="T355" s="202"/>
      <c r="AE355" s="6"/>
      <c r="AF355" s="6"/>
      <c r="AG355" s="6"/>
      <c r="AH355" s="6"/>
      <c r="AI355" s="6"/>
      <c r="AJ355" s="6"/>
      <c r="AK355" s="6"/>
      <c r="AL355" s="6"/>
      <c r="AM355" s="6"/>
      <c r="AN355" s="6"/>
      <c r="AO355" s="6"/>
      <c r="AP355" s="6"/>
    </row>
    <row r="356">
      <c r="D356" s="191"/>
      <c r="O356" s="191"/>
      <c r="Q356" s="201"/>
      <c r="R356" s="179"/>
      <c r="S356" s="179"/>
      <c r="T356" s="202"/>
      <c r="AE356" s="6"/>
      <c r="AF356" s="6"/>
      <c r="AG356" s="6"/>
      <c r="AH356" s="6"/>
      <c r="AI356" s="6"/>
      <c r="AJ356" s="6"/>
      <c r="AK356" s="6"/>
      <c r="AL356" s="6"/>
      <c r="AM356" s="6"/>
      <c r="AN356" s="6"/>
      <c r="AO356" s="6"/>
      <c r="AP356" s="6"/>
    </row>
    <row r="357">
      <c r="D357" s="191"/>
      <c r="O357" s="191"/>
      <c r="Q357" s="201"/>
      <c r="R357" s="179"/>
      <c r="S357" s="179"/>
      <c r="T357" s="202"/>
      <c r="AE357" s="6"/>
      <c r="AF357" s="6"/>
      <c r="AG357" s="6"/>
      <c r="AH357" s="6"/>
      <c r="AI357" s="6"/>
      <c r="AJ357" s="6"/>
      <c r="AK357" s="6"/>
      <c r="AL357" s="6"/>
      <c r="AM357" s="6"/>
      <c r="AN357" s="6"/>
      <c r="AO357" s="6"/>
      <c r="AP357" s="6"/>
    </row>
    <row r="358">
      <c r="D358" s="191"/>
      <c r="O358" s="191"/>
      <c r="Q358" s="201"/>
      <c r="R358" s="179"/>
      <c r="S358" s="179"/>
      <c r="T358" s="202"/>
      <c r="AE358" s="6"/>
      <c r="AF358" s="6"/>
      <c r="AG358" s="6"/>
      <c r="AH358" s="6"/>
      <c r="AI358" s="6"/>
      <c r="AJ358" s="6"/>
      <c r="AK358" s="6"/>
      <c r="AL358" s="6"/>
      <c r="AM358" s="6"/>
      <c r="AN358" s="6"/>
      <c r="AO358" s="6"/>
      <c r="AP358" s="6"/>
    </row>
    <row r="359">
      <c r="D359" s="191"/>
      <c r="O359" s="191"/>
      <c r="Q359" s="201"/>
      <c r="R359" s="179"/>
      <c r="S359" s="179"/>
      <c r="T359" s="202"/>
      <c r="AE359" s="6"/>
      <c r="AF359" s="6"/>
      <c r="AG359" s="6"/>
      <c r="AH359" s="6"/>
      <c r="AI359" s="6"/>
      <c r="AJ359" s="6"/>
      <c r="AK359" s="6"/>
      <c r="AL359" s="6"/>
      <c r="AM359" s="6"/>
      <c r="AN359" s="6"/>
      <c r="AO359" s="6"/>
      <c r="AP359" s="6"/>
    </row>
    <row r="360">
      <c r="D360" s="191"/>
      <c r="O360" s="191"/>
      <c r="Q360" s="201"/>
      <c r="R360" s="179"/>
      <c r="S360" s="179"/>
      <c r="T360" s="202"/>
      <c r="AE360" s="6"/>
      <c r="AF360" s="6"/>
      <c r="AG360" s="6"/>
      <c r="AH360" s="6"/>
      <c r="AI360" s="6"/>
      <c r="AJ360" s="6"/>
      <c r="AK360" s="6"/>
      <c r="AL360" s="6"/>
      <c r="AM360" s="6"/>
      <c r="AN360" s="6"/>
      <c r="AO360" s="6"/>
      <c r="AP360" s="6"/>
    </row>
    <row r="361">
      <c r="D361" s="191"/>
      <c r="O361" s="191"/>
      <c r="Q361" s="201"/>
      <c r="R361" s="179"/>
      <c r="S361" s="179"/>
      <c r="T361" s="202"/>
      <c r="AE361" s="6"/>
      <c r="AF361" s="6"/>
      <c r="AG361" s="6"/>
      <c r="AH361" s="6"/>
      <c r="AI361" s="6"/>
      <c r="AJ361" s="6"/>
      <c r="AK361" s="6"/>
      <c r="AL361" s="6"/>
      <c r="AM361" s="6"/>
      <c r="AN361" s="6"/>
      <c r="AO361" s="6"/>
      <c r="AP361" s="6"/>
    </row>
    <row r="362">
      <c r="D362" s="191"/>
      <c r="O362" s="191"/>
      <c r="Q362" s="201"/>
      <c r="R362" s="179"/>
      <c r="S362" s="179"/>
      <c r="T362" s="202"/>
      <c r="AE362" s="6"/>
      <c r="AF362" s="6"/>
      <c r="AG362" s="6"/>
      <c r="AH362" s="6"/>
      <c r="AI362" s="6"/>
      <c r="AJ362" s="6"/>
      <c r="AK362" s="6"/>
      <c r="AL362" s="6"/>
      <c r="AM362" s="6"/>
      <c r="AN362" s="6"/>
      <c r="AO362" s="6"/>
      <c r="AP362" s="6"/>
    </row>
    <row r="363">
      <c r="D363" s="191"/>
      <c r="O363" s="191"/>
      <c r="Q363" s="201"/>
      <c r="R363" s="179"/>
      <c r="S363" s="179"/>
      <c r="T363" s="202"/>
      <c r="AC363" s="6"/>
      <c r="AD363" s="6"/>
      <c r="AE363" s="6"/>
      <c r="AF363" s="6"/>
      <c r="AG363" s="6"/>
      <c r="AH363" s="6"/>
      <c r="AI363" s="6"/>
      <c r="AJ363" s="6"/>
      <c r="AK363" s="6"/>
      <c r="AL363" s="6"/>
      <c r="AM363" s="6"/>
      <c r="AN363" s="6"/>
      <c r="AO363" s="6"/>
      <c r="AP363" s="6"/>
    </row>
    <row r="364">
      <c r="D364" s="191"/>
      <c r="O364" s="191"/>
      <c r="Q364" s="201"/>
      <c r="R364" s="179"/>
      <c r="S364" s="179"/>
      <c r="T364" s="202"/>
      <c r="AC364" s="6"/>
      <c r="AD364" s="6"/>
      <c r="AE364" s="6"/>
      <c r="AF364" s="6"/>
      <c r="AG364" s="6"/>
      <c r="AH364" s="6"/>
      <c r="AI364" s="6"/>
      <c r="AJ364" s="6"/>
      <c r="AK364" s="6"/>
      <c r="AL364" s="6"/>
      <c r="AM364" s="6"/>
      <c r="AN364" s="6"/>
      <c r="AO364" s="6"/>
      <c r="AP364" s="6"/>
    </row>
    <row r="365">
      <c r="D365" s="191"/>
      <c r="O365" s="191"/>
      <c r="Q365" s="201"/>
      <c r="R365" s="179"/>
      <c r="S365" s="179"/>
      <c r="T365" s="202"/>
      <c r="AC365" s="6"/>
      <c r="AD365" s="6"/>
      <c r="AE365" s="6"/>
      <c r="AF365" s="6"/>
      <c r="AG365" s="6"/>
      <c r="AH365" s="6"/>
      <c r="AI365" s="6"/>
      <c r="AJ365" s="6"/>
      <c r="AK365" s="6"/>
      <c r="AL365" s="6"/>
      <c r="AM365" s="6"/>
      <c r="AN365" s="6"/>
      <c r="AO365" s="6"/>
      <c r="AP365" s="6"/>
    </row>
    <row r="366">
      <c r="D366" s="191"/>
      <c r="O366" s="191"/>
      <c r="Q366" s="201"/>
      <c r="R366" s="179"/>
      <c r="S366" s="179"/>
      <c r="T366" s="202"/>
      <c r="AC366" s="6"/>
      <c r="AD366" s="6"/>
      <c r="AE366" s="6"/>
      <c r="AF366" s="6"/>
      <c r="AG366" s="6"/>
      <c r="AH366" s="6"/>
      <c r="AI366" s="6"/>
      <c r="AJ366" s="6"/>
      <c r="AK366" s="6"/>
      <c r="AL366" s="6"/>
      <c r="AM366" s="6"/>
      <c r="AN366" s="6"/>
      <c r="AO366" s="6"/>
      <c r="AP366" s="6"/>
    </row>
    <row r="367">
      <c r="D367" s="191"/>
      <c r="O367" s="191"/>
      <c r="Q367" s="201"/>
      <c r="R367" s="179"/>
      <c r="S367" s="179"/>
      <c r="T367" s="202"/>
      <c r="AJ367" s="6"/>
      <c r="AK367" s="6"/>
      <c r="AL367" s="6"/>
      <c r="AM367" s="6"/>
      <c r="AN367" s="6"/>
      <c r="AO367" s="6"/>
      <c r="AP367" s="6"/>
    </row>
    <row r="368">
      <c r="D368" s="191"/>
      <c r="O368" s="191"/>
      <c r="Q368" s="201"/>
      <c r="R368" s="179"/>
      <c r="S368" s="179"/>
      <c r="T368" s="202"/>
      <c r="AJ368" s="6"/>
      <c r="AK368" s="6"/>
      <c r="AL368" s="6"/>
      <c r="AM368" s="6"/>
      <c r="AN368" s="6"/>
      <c r="AO368" s="6"/>
      <c r="AP368" s="6"/>
    </row>
    <row r="369">
      <c r="D369" s="191"/>
      <c r="O369" s="191"/>
      <c r="Q369" s="201"/>
      <c r="R369" s="179"/>
      <c r="S369" s="179"/>
      <c r="T369" s="202"/>
      <c r="AF369" s="6"/>
      <c r="AG369" s="6"/>
      <c r="AH369" s="6"/>
      <c r="AI369" s="6"/>
      <c r="AJ369" s="6"/>
      <c r="AK369" s="6"/>
      <c r="AL369" s="6"/>
      <c r="AM369" s="6"/>
      <c r="AN369" s="6"/>
      <c r="AO369" s="6"/>
      <c r="AP369" s="6"/>
    </row>
    <row r="370">
      <c r="D370" s="191"/>
      <c r="O370" s="191"/>
      <c r="Q370" s="201"/>
      <c r="R370" s="179"/>
      <c r="S370" s="179"/>
      <c r="T370" s="202"/>
      <c r="AF370" s="6"/>
      <c r="AG370" s="6"/>
      <c r="AH370" s="6"/>
      <c r="AI370" s="6"/>
      <c r="AJ370" s="6"/>
      <c r="AK370" s="6"/>
      <c r="AL370" s="6"/>
      <c r="AM370" s="6"/>
      <c r="AN370" s="6"/>
      <c r="AO370" s="6"/>
      <c r="AP370" s="6"/>
    </row>
    <row r="371">
      <c r="D371" s="191"/>
      <c r="O371" s="191"/>
      <c r="Q371" s="201"/>
      <c r="R371" s="179"/>
      <c r="S371" s="179"/>
      <c r="T371" s="202"/>
      <c r="AF371" s="6"/>
      <c r="AG371" s="6"/>
      <c r="AH371" s="6"/>
      <c r="AI371" s="6"/>
      <c r="AJ371" s="6"/>
      <c r="AK371" s="6"/>
      <c r="AL371" s="6"/>
      <c r="AM371" s="6"/>
      <c r="AN371" s="6"/>
      <c r="AO371" s="6"/>
      <c r="AP371" s="6"/>
    </row>
    <row r="372">
      <c r="D372" s="191"/>
      <c r="O372" s="191"/>
      <c r="Q372" s="201"/>
      <c r="R372" s="179"/>
      <c r="S372" s="179"/>
      <c r="T372" s="202"/>
      <c r="AF372" s="6"/>
      <c r="AG372" s="6"/>
      <c r="AH372" s="6"/>
      <c r="AI372" s="6"/>
      <c r="AJ372" s="6"/>
      <c r="AK372" s="6"/>
      <c r="AL372" s="6"/>
      <c r="AM372" s="6"/>
      <c r="AN372" s="6"/>
      <c r="AO372" s="6"/>
      <c r="AP372" s="6"/>
    </row>
    <row r="373">
      <c r="D373" s="191"/>
      <c r="O373" s="191"/>
      <c r="Q373" s="201"/>
      <c r="R373" s="179"/>
      <c r="S373" s="179"/>
      <c r="T373" s="202"/>
      <c r="AF373" s="6"/>
      <c r="AG373" s="6"/>
      <c r="AH373" s="6"/>
      <c r="AI373" s="6"/>
      <c r="AJ373" s="6"/>
      <c r="AK373" s="6"/>
      <c r="AL373" s="6"/>
      <c r="AM373" s="6"/>
      <c r="AN373" s="6"/>
      <c r="AO373" s="6"/>
      <c r="AP373" s="6"/>
    </row>
    <row r="374">
      <c r="D374" s="191"/>
      <c r="O374" s="191"/>
      <c r="Q374" s="201"/>
      <c r="R374" s="179"/>
      <c r="S374" s="179"/>
      <c r="T374" s="202"/>
      <c r="AF374" s="6"/>
      <c r="AG374" s="6"/>
      <c r="AH374" s="6"/>
      <c r="AI374" s="6"/>
      <c r="AJ374" s="6"/>
      <c r="AK374" s="6"/>
      <c r="AL374" s="6"/>
      <c r="AM374" s="6"/>
      <c r="AN374" s="6"/>
      <c r="AO374" s="6"/>
      <c r="AP374" s="6"/>
    </row>
    <row r="375">
      <c r="D375" s="191"/>
      <c r="O375" s="191"/>
      <c r="Q375" s="201"/>
      <c r="R375" s="179"/>
      <c r="S375" s="179"/>
      <c r="T375" s="202"/>
      <c r="AF375" s="6"/>
      <c r="AG375" s="6"/>
      <c r="AH375" s="6"/>
      <c r="AI375" s="6"/>
      <c r="AJ375" s="6"/>
      <c r="AK375" s="6"/>
      <c r="AL375" s="6"/>
      <c r="AM375" s="6"/>
      <c r="AN375" s="6"/>
      <c r="AO375" s="6"/>
      <c r="AP375" s="6"/>
    </row>
    <row r="376">
      <c r="D376" s="191"/>
      <c r="O376" s="191"/>
      <c r="Q376" s="201"/>
      <c r="R376" s="179"/>
      <c r="S376" s="179"/>
      <c r="T376" s="202"/>
      <c r="AF376" s="6"/>
      <c r="AG376" s="6"/>
      <c r="AH376" s="6"/>
      <c r="AI376" s="6"/>
      <c r="AJ376" s="6"/>
      <c r="AK376" s="6"/>
      <c r="AL376" s="6"/>
      <c r="AM376" s="6"/>
      <c r="AN376" s="6"/>
      <c r="AO376" s="6"/>
      <c r="AP376" s="6"/>
    </row>
    <row r="377">
      <c r="D377" s="191"/>
      <c r="O377" s="191"/>
      <c r="Q377" s="201"/>
      <c r="R377" s="179"/>
      <c r="S377" s="179"/>
      <c r="T377" s="202"/>
      <c r="AF377" s="6"/>
      <c r="AG377" s="6"/>
      <c r="AH377" s="6"/>
      <c r="AI377" s="6"/>
      <c r="AJ377" s="6"/>
      <c r="AK377" s="6"/>
      <c r="AL377" s="6"/>
      <c r="AM377" s="6"/>
      <c r="AN377" s="6"/>
      <c r="AO377" s="6"/>
      <c r="AP377" s="6"/>
    </row>
    <row r="378">
      <c r="D378" s="191"/>
      <c r="O378" s="191"/>
      <c r="Q378" s="201"/>
      <c r="R378" s="179"/>
      <c r="S378" s="179"/>
      <c r="T378" s="202"/>
      <c r="AF378" s="6"/>
      <c r="AG378" s="6"/>
      <c r="AH378" s="6"/>
      <c r="AI378" s="6"/>
      <c r="AJ378" s="6"/>
      <c r="AK378" s="6"/>
      <c r="AL378" s="6"/>
      <c r="AM378" s="6"/>
      <c r="AN378" s="6"/>
      <c r="AO378" s="6"/>
      <c r="AP378" s="6"/>
    </row>
    <row r="379">
      <c r="D379" s="191"/>
      <c r="O379" s="191"/>
      <c r="Q379" s="201"/>
      <c r="R379" s="179"/>
      <c r="S379" s="179"/>
      <c r="T379" s="202"/>
      <c r="AF379" s="6"/>
      <c r="AG379" s="6"/>
      <c r="AH379" s="6"/>
      <c r="AI379" s="6"/>
      <c r="AJ379" s="6"/>
      <c r="AK379" s="6"/>
      <c r="AL379" s="6"/>
      <c r="AM379" s="6"/>
      <c r="AN379" s="6"/>
      <c r="AO379" s="6"/>
      <c r="AP379" s="6"/>
    </row>
    <row r="380">
      <c r="D380" s="191"/>
      <c r="O380" s="191"/>
      <c r="Q380" s="201"/>
      <c r="R380" s="179"/>
      <c r="S380" s="179"/>
      <c r="T380" s="202"/>
      <c r="AK380" s="6"/>
      <c r="AL380" s="6"/>
      <c r="AM380" s="6"/>
      <c r="AN380" s="6"/>
      <c r="AO380" s="6"/>
      <c r="AP380" s="6"/>
    </row>
    <row r="381">
      <c r="D381" s="191"/>
      <c r="O381" s="191"/>
      <c r="Q381" s="201"/>
      <c r="R381" s="179"/>
      <c r="S381" s="179"/>
      <c r="T381" s="202"/>
      <c r="AK381" s="6"/>
      <c r="AL381" s="6"/>
      <c r="AM381" s="6"/>
      <c r="AN381" s="6"/>
      <c r="AO381" s="6"/>
      <c r="AP381" s="6"/>
    </row>
    <row r="382">
      <c r="D382" s="191"/>
      <c r="O382" s="191"/>
      <c r="Q382" s="201"/>
      <c r="R382" s="179"/>
      <c r="S382" s="179"/>
      <c r="T382" s="202"/>
      <c r="AK382" s="6"/>
      <c r="AL382" s="6"/>
      <c r="AM382" s="6"/>
      <c r="AN382" s="6"/>
      <c r="AO382" s="6"/>
      <c r="AP382" s="6"/>
    </row>
    <row r="383">
      <c r="D383" s="191"/>
      <c r="O383" s="191"/>
      <c r="Q383" s="201"/>
      <c r="R383" s="179"/>
      <c r="S383" s="179"/>
      <c r="T383" s="202"/>
      <c r="AM383" s="6"/>
      <c r="AN383" s="6"/>
      <c r="AO383" s="6"/>
      <c r="AP383" s="6"/>
    </row>
    <row r="384">
      <c r="D384" s="191"/>
      <c r="O384" s="191"/>
      <c r="Q384" s="201"/>
      <c r="R384" s="179"/>
      <c r="S384" s="179"/>
      <c r="T384" s="202"/>
      <c r="AM384" s="6"/>
      <c r="AN384" s="6"/>
      <c r="AO384" s="6"/>
      <c r="AP384" s="6"/>
    </row>
    <row r="385">
      <c r="D385" s="191"/>
      <c r="O385" s="191"/>
      <c r="Q385" s="201"/>
      <c r="R385" s="179"/>
      <c r="S385" s="179"/>
      <c r="T385" s="202"/>
      <c r="AM385" s="6"/>
      <c r="AN385" s="6"/>
      <c r="AO385" s="6"/>
      <c r="AP385" s="6"/>
    </row>
    <row r="386">
      <c r="D386" s="191"/>
      <c r="O386" s="191"/>
      <c r="Q386" s="201"/>
      <c r="R386" s="179"/>
      <c r="S386" s="179"/>
      <c r="T386" s="202"/>
      <c r="AM386" s="6"/>
      <c r="AN386" s="6"/>
      <c r="AO386" s="6"/>
      <c r="AP386" s="6"/>
    </row>
    <row r="387">
      <c r="D387" s="191"/>
      <c r="O387" s="191"/>
      <c r="Q387" s="201"/>
      <c r="R387" s="179"/>
      <c r="S387" s="179"/>
      <c r="T387" s="202"/>
      <c r="AM387" s="6"/>
      <c r="AN387" s="6"/>
      <c r="AO387" s="6"/>
      <c r="AP387" s="6"/>
    </row>
    <row r="388">
      <c r="D388" s="191"/>
      <c r="O388" s="191"/>
      <c r="Q388" s="201"/>
      <c r="R388" s="179"/>
      <c r="S388" s="179"/>
      <c r="T388" s="202"/>
      <c r="AM388" s="6"/>
      <c r="AN388" s="6"/>
      <c r="AO388" s="6"/>
      <c r="AP388" s="6"/>
    </row>
    <row r="389">
      <c r="D389" s="191"/>
      <c r="O389" s="191"/>
      <c r="Q389" s="201"/>
      <c r="R389" s="179"/>
      <c r="S389" s="179"/>
      <c r="T389" s="202"/>
      <c r="AO389" s="6"/>
      <c r="AP389" s="6"/>
    </row>
    <row r="390">
      <c r="D390" s="191"/>
      <c r="O390" s="191"/>
      <c r="Q390" s="201"/>
      <c r="R390" s="179"/>
      <c r="S390" s="179"/>
      <c r="T390" s="202"/>
      <c r="AO390" s="6"/>
      <c r="AP390" s="6"/>
    </row>
    <row r="391">
      <c r="D391" s="191"/>
      <c r="O391" s="191"/>
      <c r="Q391" s="201"/>
      <c r="R391" s="179"/>
      <c r="S391" s="179"/>
      <c r="T391" s="202"/>
      <c r="AO391" s="6"/>
      <c r="AP391" s="6"/>
    </row>
    <row r="392">
      <c r="D392" s="191"/>
      <c r="O392" s="191"/>
      <c r="Q392" s="201"/>
      <c r="R392" s="179"/>
      <c r="S392" s="179"/>
      <c r="T392" s="202"/>
      <c r="AH392" s="194"/>
      <c r="AI392" s="194"/>
      <c r="AJ392" s="194"/>
      <c r="AK392" s="194"/>
      <c r="AL392" s="194"/>
      <c r="AM392" s="194"/>
      <c r="AN392" s="194"/>
      <c r="AO392" s="194"/>
      <c r="AP392" s="194"/>
    </row>
    <row r="393">
      <c r="D393" s="191"/>
      <c r="O393" s="191"/>
      <c r="Q393" s="201"/>
      <c r="R393" s="179"/>
      <c r="S393" s="179"/>
      <c r="T393" s="202"/>
      <c r="AH393" s="194"/>
      <c r="AI393" s="194"/>
      <c r="AJ393" s="194"/>
      <c r="AK393" s="194"/>
      <c r="AL393" s="194"/>
      <c r="AM393" s="194"/>
      <c r="AN393" s="194"/>
      <c r="AO393" s="194"/>
      <c r="AP393" s="194"/>
    </row>
    <row r="394">
      <c r="D394" s="191"/>
      <c r="O394" s="191"/>
      <c r="Q394" s="201"/>
      <c r="R394" s="179"/>
      <c r="S394" s="179"/>
      <c r="T394" s="202"/>
      <c r="AH394" s="194"/>
      <c r="AI394" s="194"/>
      <c r="AJ394" s="194"/>
      <c r="AK394" s="194"/>
      <c r="AL394" s="194"/>
      <c r="AM394" s="194"/>
      <c r="AN394" s="194"/>
      <c r="AO394" s="194"/>
      <c r="AP394" s="194"/>
    </row>
    <row r="395">
      <c r="D395" s="191"/>
      <c r="O395" s="191"/>
      <c r="Q395" s="201"/>
      <c r="R395" s="179"/>
      <c r="S395" s="179"/>
      <c r="T395" s="202"/>
      <c r="AH395" s="194"/>
      <c r="AI395" s="194"/>
      <c r="AJ395" s="194"/>
      <c r="AK395" s="194"/>
      <c r="AL395" s="194"/>
      <c r="AM395" s="194"/>
      <c r="AN395" s="194"/>
      <c r="AO395" s="194"/>
      <c r="AP395" s="194"/>
    </row>
    <row r="396">
      <c r="D396" s="191"/>
      <c r="O396" s="191"/>
      <c r="Q396" s="201"/>
      <c r="R396" s="179"/>
      <c r="S396" s="179"/>
      <c r="T396" s="202"/>
      <c r="AG396" s="194"/>
      <c r="AH396" s="194"/>
      <c r="AI396" s="194"/>
      <c r="AJ396" s="194"/>
      <c r="AK396" s="194"/>
      <c r="AL396" s="194"/>
      <c r="AM396" s="194"/>
      <c r="AN396" s="194"/>
      <c r="AO396" s="194"/>
      <c r="AP396" s="194"/>
    </row>
    <row r="397">
      <c r="D397" s="191"/>
      <c r="O397" s="191"/>
      <c r="Q397" s="201"/>
      <c r="R397" s="179"/>
      <c r="S397" s="179"/>
      <c r="T397" s="202"/>
      <c r="AG397" s="194"/>
      <c r="AH397" s="194"/>
      <c r="AI397" s="194"/>
      <c r="AJ397" s="194"/>
      <c r="AK397" s="194"/>
      <c r="AL397" s="194"/>
      <c r="AM397" s="194"/>
      <c r="AN397" s="194"/>
      <c r="AO397" s="194"/>
      <c r="AP397" s="194"/>
    </row>
    <row r="398">
      <c r="D398" s="191"/>
      <c r="O398" s="191"/>
      <c r="Q398" s="201"/>
      <c r="R398" s="179"/>
      <c r="S398" s="179"/>
      <c r="T398" s="202"/>
      <c r="AG398" s="194"/>
      <c r="AH398" s="194"/>
      <c r="AI398" s="194"/>
      <c r="AJ398" s="194"/>
      <c r="AK398" s="194"/>
      <c r="AL398" s="194"/>
      <c r="AM398" s="194"/>
      <c r="AN398" s="194"/>
      <c r="AO398" s="194"/>
      <c r="AP398" s="194"/>
    </row>
    <row r="399">
      <c r="D399" s="191"/>
      <c r="O399" s="191"/>
      <c r="Q399" s="201"/>
      <c r="R399" s="179"/>
      <c r="S399" s="179"/>
      <c r="T399" s="202"/>
      <c r="AI399" s="194"/>
      <c r="AJ399" s="194"/>
      <c r="AK399" s="194"/>
      <c r="AL399" s="194"/>
      <c r="AM399" s="194"/>
      <c r="AN399" s="194"/>
      <c r="AO399" s="194"/>
      <c r="AP399" s="194"/>
    </row>
    <row r="400">
      <c r="D400" s="191"/>
      <c r="O400" s="191"/>
      <c r="Q400" s="201"/>
      <c r="R400" s="179"/>
      <c r="S400" s="179"/>
      <c r="T400" s="202"/>
      <c r="AI400" s="194"/>
      <c r="AJ400" s="194"/>
      <c r="AK400" s="194"/>
      <c r="AL400" s="194"/>
      <c r="AM400" s="194"/>
      <c r="AN400" s="194"/>
      <c r="AO400" s="194"/>
      <c r="AP400" s="194"/>
    </row>
    <row r="401">
      <c r="D401" s="191"/>
      <c r="O401" s="191"/>
      <c r="Q401" s="201"/>
      <c r="R401" s="179"/>
      <c r="S401" s="179"/>
      <c r="T401" s="202"/>
      <c r="AI401" s="157"/>
      <c r="AJ401" s="157"/>
      <c r="AK401" s="157"/>
      <c r="AL401" s="157"/>
      <c r="AM401" s="157"/>
      <c r="AN401" s="157"/>
      <c r="AO401" s="157"/>
      <c r="AP401" s="157"/>
    </row>
    <row r="402">
      <c r="D402" s="191"/>
      <c r="O402" s="191"/>
      <c r="Q402" s="201"/>
      <c r="R402" s="179"/>
      <c r="S402" s="179"/>
      <c r="T402" s="202"/>
      <c r="AI402" s="157"/>
      <c r="AJ402" s="157"/>
      <c r="AK402" s="157"/>
      <c r="AL402" s="157"/>
      <c r="AM402" s="157"/>
      <c r="AN402" s="157"/>
      <c r="AO402" s="157"/>
      <c r="AP402" s="157"/>
    </row>
    <row r="403">
      <c r="D403" s="191"/>
      <c r="O403" s="191"/>
      <c r="Q403" s="201"/>
      <c r="R403" s="179"/>
      <c r="S403" s="179"/>
      <c r="T403" s="202"/>
      <c r="AP403" s="157"/>
    </row>
    <row r="404">
      <c r="D404" s="191"/>
      <c r="O404" s="191"/>
      <c r="Q404" s="201"/>
      <c r="R404" s="179"/>
      <c r="S404" s="179"/>
      <c r="T404" s="202"/>
      <c r="AP404" s="157"/>
    </row>
    <row r="405">
      <c r="D405" s="191"/>
      <c r="O405" s="191"/>
      <c r="Q405" s="201"/>
      <c r="R405" s="179"/>
      <c r="S405" s="179"/>
      <c r="T405" s="202"/>
      <c r="AP405" s="157"/>
    </row>
    <row r="406">
      <c r="D406" s="191"/>
      <c r="O406" s="191"/>
      <c r="Q406" s="201"/>
      <c r="R406" s="179"/>
      <c r="S406" s="179"/>
      <c r="T406" s="202"/>
      <c r="AP406" s="157"/>
    </row>
    <row r="407">
      <c r="D407" s="191"/>
      <c r="O407" s="191"/>
      <c r="Q407" s="201"/>
      <c r="R407" s="179"/>
      <c r="S407" s="179"/>
      <c r="T407" s="202"/>
      <c r="AN407" s="157"/>
      <c r="AO407" s="157"/>
      <c r="AP407" s="157"/>
    </row>
    <row r="408">
      <c r="D408" s="191"/>
      <c r="O408" s="191"/>
      <c r="Q408" s="201"/>
      <c r="R408" s="179"/>
      <c r="S408" s="179"/>
      <c r="T408" s="202"/>
      <c r="AN408" s="157"/>
      <c r="AO408" s="157"/>
      <c r="AP408" s="157"/>
    </row>
    <row r="409">
      <c r="D409" s="191"/>
      <c r="O409" s="191"/>
      <c r="Q409" s="201"/>
      <c r="R409" s="179"/>
      <c r="S409" s="179"/>
      <c r="T409" s="202"/>
      <c r="AN409" s="157"/>
      <c r="AO409" s="157"/>
      <c r="AP409" s="157"/>
    </row>
    <row r="410">
      <c r="D410" s="191"/>
      <c r="O410" s="191"/>
      <c r="Q410" s="201"/>
      <c r="R410" s="179"/>
      <c r="S410" s="179"/>
      <c r="T410" s="202"/>
      <c r="AN410" s="157"/>
      <c r="AO410" s="157"/>
      <c r="AP410" s="157"/>
    </row>
    <row r="411">
      <c r="D411" s="191"/>
      <c r="O411" s="191"/>
      <c r="Q411" s="201"/>
      <c r="R411" s="179"/>
      <c r="S411" s="179"/>
      <c r="T411" s="202"/>
      <c r="AN411" s="157"/>
      <c r="AO411" s="157"/>
      <c r="AP411" s="157"/>
    </row>
    <row r="412">
      <c r="D412" s="191"/>
      <c r="O412" s="191"/>
      <c r="Q412" s="201"/>
      <c r="R412" s="179"/>
      <c r="S412" s="179"/>
      <c r="T412" s="202"/>
      <c r="AN412" s="157"/>
      <c r="AO412" s="157"/>
      <c r="AP412" s="157"/>
    </row>
    <row r="413" ht="17.25" customHeight="1">
      <c r="A413" s="203"/>
      <c r="B413" s="203"/>
      <c r="C413" s="203"/>
      <c r="D413" s="203"/>
      <c r="E413" s="203"/>
      <c r="F413" s="203"/>
      <c r="G413" s="6"/>
      <c r="H413" s="6"/>
      <c r="I413" s="6"/>
      <c r="J413" s="6"/>
      <c r="K413" s="6"/>
      <c r="L413" s="6"/>
      <c r="M413" s="6"/>
      <c r="N413" s="6"/>
      <c r="O413" s="203"/>
      <c r="P413" s="6"/>
      <c r="Q413" s="204"/>
      <c r="R413" s="205"/>
      <c r="S413" s="205"/>
      <c r="T413" s="206"/>
      <c r="U413" s="6"/>
      <c r="V413" s="6"/>
      <c r="W413" s="6"/>
      <c r="X413" s="6"/>
      <c r="Y413" s="6"/>
      <c r="Z413" s="6"/>
      <c r="AA413" s="6"/>
      <c r="AB413" s="6"/>
      <c r="AC413" s="6"/>
      <c r="AD413" s="6"/>
      <c r="AE413" s="6"/>
      <c r="AF413" s="6"/>
      <c r="AG413" s="6"/>
      <c r="AH413" s="6"/>
      <c r="AI413" s="6"/>
      <c r="AJ413" s="6"/>
      <c r="AK413" s="6"/>
      <c r="AL413" s="6"/>
      <c r="AM413" s="6"/>
      <c r="AN413" s="6"/>
      <c r="AO413" s="6"/>
      <c r="AP413" s="6"/>
    </row>
    <row r="414" ht="17.25" customHeight="1">
      <c r="A414" s="203"/>
      <c r="B414" s="203"/>
      <c r="C414" s="203"/>
      <c r="D414" s="203"/>
      <c r="E414" s="203"/>
      <c r="F414" s="203"/>
      <c r="G414" s="6"/>
      <c r="H414" s="6"/>
      <c r="I414" s="6"/>
      <c r="J414" s="6"/>
      <c r="K414" s="6"/>
      <c r="L414" s="6"/>
      <c r="M414" s="6"/>
      <c r="N414" s="6"/>
      <c r="O414" s="203"/>
      <c r="P414" s="6"/>
      <c r="Q414" s="204"/>
      <c r="R414" s="205"/>
      <c r="S414" s="205"/>
      <c r="T414" s="206"/>
      <c r="U414" s="6"/>
      <c r="V414" s="6"/>
      <c r="W414" s="6"/>
      <c r="X414" s="6"/>
      <c r="Y414" s="6"/>
      <c r="Z414" s="6"/>
      <c r="AA414" s="6"/>
      <c r="AB414" s="6"/>
      <c r="AC414" s="6"/>
      <c r="AD414" s="6"/>
      <c r="AE414" s="6"/>
      <c r="AF414" s="6"/>
      <c r="AG414" s="6"/>
      <c r="AH414" s="6"/>
      <c r="AI414" s="6"/>
      <c r="AJ414" s="6"/>
      <c r="AK414" s="6"/>
      <c r="AL414" s="6"/>
      <c r="AM414" s="6"/>
      <c r="AN414" s="6"/>
      <c r="AO414" s="6"/>
      <c r="AP414" s="6"/>
    </row>
    <row r="415" ht="17.25" customHeight="1">
      <c r="A415" s="203"/>
      <c r="B415" s="203"/>
      <c r="C415" s="203"/>
      <c r="D415" s="203"/>
      <c r="E415" s="203"/>
      <c r="F415" s="203"/>
      <c r="G415" s="6"/>
      <c r="H415" s="6"/>
      <c r="I415" s="6"/>
      <c r="J415" s="6"/>
      <c r="K415" s="6"/>
      <c r="L415" s="6"/>
      <c r="M415" s="6"/>
      <c r="N415" s="6"/>
      <c r="O415" s="203"/>
      <c r="P415" s="6"/>
      <c r="Q415" s="204"/>
      <c r="R415" s="205"/>
      <c r="S415" s="205"/>
      <c r="T415" s="206"/>
      <c r="U415" s="6"/>
      <c r="V415" s="6"/>
      <c r="W415" s="6"/>
      <c r="X415" s="6"/>
      <c r="Y415" s="6"/>
      <c r="Z415" s="6"/>
      <c r="AA415" s="6"/>
      <c r="AB415" s="6"/>
      <c r="AC415" s="6"/>
      <c r="AD415" s="6"/>
      <c r="AE415" s="6"/>
      <c r="AF415" s="6"/>
      <c r="AG415" s="6"/>
      <c r="AH415" s="6"/>
      <c r="AI415" s="6"/>
      <c r="AJ415" s="6"/>
      <c r="AK415" s="6"/>
      <c r="AL415" s="6"/>
      <c r="AM415" s="6"/>
      <c r="AN415" s="6"/>
      <c r="AO415" s="6"/>
      <c r="AP415" s="6"/>
    </row>
    <row r="416" ht="17.25" customHeight="1">
      <c r="A416" s="203"/>
      <c r="B416" s="203"/>
      <c r="C416" s="203"/>
      <c r="D416" s="203"/>
      <c r="E416" s="203"/>
      <c r="F416" s="203"/>
      <c r="G416" s="6"/>
      <c r="H416" s="6"/>
      <c r="I416" s="6"/>
      <c r="J416" s="6"/>
      <c r="K416" s="6"/>
      <c r="L416" s="6"/>
      <c r="M416" s="6"/>
      <c r="N416" s="6"/>
      <c r="O416" s="203"/>
      <c r="P416" s="6"/>
      <c r="Q416" s="204"/>
      <c r="R416" s="205"/>
      <c r="S416" s="205"/>
      <c r="T416" s="206"/>
      <c r="U416" s="6"/>
      <c r="V416" s="6"/>
      <c r="W416" s="6"/>
      <c r="X416" s="6"/>
      <c r="Y416" s="6"/>
      <c r="Z416" s="6"/>
      <c r="AA416" s="6"/>
      <c r="AB416" s="6"/>
      <c r="AC416" s="6"/>
      <c r="AD416" s="6"/>
      <c r="AE416" s="6"/>
      <c r="AF416" s="6"/>
      <c r="AG416" s="6"/>
      <c r="AH416" s="6"/>
      <c r="AI416" s="6"/>
      <c r="AJ416" s="6"/>
      <c r="AK416" s="6"/>
      <c r="AL416" s="6"/>
      <c r="AM416" s="6"/>
      <c r="AN416" s="6"/>
      <c r="AO416" s="6"/>
      <c r="AP416" s="6"/>
    </row>
    <row r="417" ht="17.25" customHeight="1">
      <c r="A417" s="203"/>
      <c r="B417" s="203"/>
      <c r="C417" s="203"/>
      <c r="D417" s="203"/>
      <c r="E417" s="203"/>
      <c r="F417" s="203"/>
      <c r="G417" s="6"/>
      <c r="H417" s="6"/>
      <c r="I417" s="6"/>
      <c r="J417" s="6"/>
      <c r="K417" s="6"/>
      <c r="L417" s="6"/>
      <c r="M417" s="6"/>
      <c r="N417" s="6"/>
      <c r="O417" s="203"/>
      <c r="P417" s="6"/>
      <c r="Q417" s="204"/>
      <c r="R417" s="205"/>
      <c r="S417" s="205"/>
      <c r="T417" s="206"/>
      <c r="U417" s="6"/>
      <c r="V417" s="6"/>
      <c r="W417" s="6"/>
      <c r="X417" s="6"/>
      <c r="Y417" s="6"/>
      <c r="Z417" s="6"/>
      <c r="AA417" s="6"/>
      <c r="AB417" s="6"/>
      <c r="AC417" s="6"/>
      <c r="AD417" s="6"/>
      <c r="AE417" s="6"/>
      <c r="AF417" s="6"/>
      <c r="AG417" s="6"/>
      <c r="AH417" s="6"/>
      <c r="AI417" s="6"/>
      <c r="AJ417" s="6"/>
      <c r="AK417" s="6"/>
      <c r="AL417" s="6"/>
      <c r="AM417" s="6"/>
      <c r="AN417" s="6"/>
      <c r="AO417" s="6"/>
      <c r="AP417" s="6"/>
    </row>
    <row r="418" ht="17.25" customHeight="1">
      <c r="A418" s="203"/>
      <c r="B418" s="203"/>
      <c r="C418" s="203"/>
      <c r="D418" s="203"/>
      <c r="E418" s="203"/>
      <c r="F418" s="203"/>
      <c r="G418" s="6"/>
      <c r="H418" s="6"/>
      <c r="I418" s="6"/>
      <c r="J418" s="6"/>
      <c r="K418" s="6"/>
      <c r="L418" s="6"/>
      <c r="M418" s="6"/>
      <c r="N418" s="6"/>
      <c r="O418" s="203"/>
      <c r="P418" s="6"/>
      <c r="Q418" s="204"/>
      <c r="R418" s="205"/>
      <c r="S418" s="205"/>
      <c r="T418" s="206"/>
      <c r="U418" s="6"/>
      <c r="V418" s="6"/>
      <c r="W418" s="6"/>
      <c r="X418" s="6"/>
      <c r="Y418" s="6"/>
      <c r="Z418" s="6"/>
      <c r="AA418" s="6"/>
      <c r="AB418" s="6"/>
      <c r="AC418" s="6"/>
      <c r="AD418" s="6"/>
      <c r="AE418" s="6"/>
      <c r="AF418" s="6"/>
      <c r="AG418" s="6"/>
      <c r="AH418" s="6"/>
      <c r="AI418" s="6"/>
      <c r="AJ418" s="6"/>
      <c r="AK418" s="6"/>
      <c r="AL418" s="6"/>
      <c r="AM418" s="6"/>
      <c r="AN418" s="6"/>
      <c r="AO418" s="6"/>
      <c r="AP418" s="6"/>
    </row>
    <row r="419" ht="17.25" customHeight="1">
      <c r="A419" s="203"/>
      <c r="B419" s="203"/>
      <c r="C419" s="203"/>
      <c r="D419" s="203"/>
      <c r="E419" s="203"/>
      <c r="F419" s="203"/>
      <c r="G419" s="6"/>
      <c r="H419" s="6"/>
      <c r="I419" s="6"/>
      <c r="J419" s="6"/>
      <c r="K419" s="6"/>
      <c r="L419" s="6"/>
      <c r="M419" s="6"/>
      <c r="N419" s="6"/>
      <c r="O419" s="203"/>
      <c r="P419" s="6"/>
      <c r="Q419" s="204"/>
      <c r="R419" s="205"/>
      <c r="S419" s="205"/>
      <c r="T419" s="206"/>
      <c r="U419" s="6"/>
      <c r="V419" s="6"/>
      <c r="W419" s="6"/>
      <c r="X419" s="6"/>
      <c r="Y419" s="6"/>
      <c r="Z419" s="6"/>
      <c r="AA419" s="6"/>
      <c r="AB419" s="6"/>
      <c r="AC419" s="6"/>
      <c r="AD419" s="6"/>
      <c r="AE419" s="6"/>
      <c r="AF419" s="6"/>
      <c r="AG419" s="6"/>
      <c r="AH419" s="6"/>
      <c r="AI419" s="6"/>
      <c r="AJ419" s="6"/>
      <c r="AK419" s="6"/>
      <c r="AL419" s="6"/>
      <c r="AM419" s="6"/>
      <c r="AN419" s="6"/>
      <c r="AO419" s="6"/>
      <c r="AP419" s="6"/>
    </row>
    <row r="420" ht="17.25" customHeight="1">
      <c r="A420" s="203"/>
      <c r="B420" s="203"/>
      <c r="C420" s="203"/>
      <c r="D420" s="203"/>
      <c r="E420" s="203"/>
      <c r="F420" s="203"/>
      <c r="G420" s="6"/>
      <c r="H420" s="6"/>
      <c r="I420" s="6"/>
      <c r="J420" s="6"/>
      <c r="K420" s="6"/>
      <c r="L420" s="6"/>
      <c r="M420" s="6"/>
      <c r="N420" s="6"/>
      <c r="O420" s="203"/>
      <c r="P420" s="6"/>
      <c r="Q420" s="204"/>
      <c r="R420" s="205"/>
      <c r="S420" s="205"/>
      <c r="T420" s="206"/>
      <c r="U420" s="6"/>
      <c r="V420" s="6"/>
      <c r="W420" s="6"/>
      <c r="X420" s="6"/>
      <c r="Y420" s="6"/>
      <c r="Z420" s="6"/>
      <c r="AA420" s="6"/>
      <c r="AB420" s="6"/>
      <c r="AC420" s="6"/>
      <c r="AD420" s="6"/>
      <c r="AE420" s="6"/>
      <c r="AF420" s="6"/>
      <c r="AG420" s="6"/>
      <c r="AH420" s="6"/>
      <c r="AI420" s="6"/>
      <c r="AJ420" s="6"/>
      <c r="AK420" s="6"/>
      <c r="AL420" s="6"/>
      <c r="AM420" s="6"/>
      <c r="AN420" s="6"/>
      <c r="AO420" s="6"/>
      <c r="AP420" s="6"/>
    </row>
    <row r="421" ht="17.25" customHeight="1">
      <c r="A421" s="203"/>
      <c r="B421" s="203"/>
      <c r="C421" s="203"/>
      <c r="D421" s="203"/>
      <c r="E421" s="203"/>
      <c r="F421" s="203"/>
      <c r="G421" s="6"/>
      <c r="H421" s="6"/>
      <c r="I421" s="6"/>
      <c r="J421" s="6"/>
      <c r="K421" s="6"/>
      <c r="L421" s="6"/>
      <c r="M421" s="6"/>
      <c r="N421" s="6"/>
      <c r="O421" s="203"/>
      <c r="P421" s="6"/>
      <c r="Q421" s="204"/>
      <c r="R421" s="205"/>
      <c r="S421" s="205"/>
      <c r="T421" s="206"/>
      <c r="U421" s="6"/>
      <c r="V421" s="6"/>
      <c r="W421" s="6"/>
      <c r="X421" s="6"/>
      <c r="Y421" s="6"/>
      <c r="Z421" s="6"/>
      <c r="AA421" s="6"/>
      <c r="AB421" s="6"/>
      <c r="AC421" s="6"/>
      <c r="AD421" s="6"/>
      <c r="AE421" s="6"/>
      <c r="AF421" s="6"/>
      <c r="AG421" s="6"/>
      <c r="AH421" s="6"/>
      <c r="AI421" s="6"/>
      <c r="AJ421" s="6"/>
      <c r="AK421" s="6"/>
      <c r="AL421" s="6"/>
      <c r="AM421" s="6"/>
      <c r="AN421" s="6"/>
      <c r="AO421" s="6"/>
      <c r="AP421" s="6"/>
    </row>
    <row r="422" ht="17.25" customHeight="1">
      <c r="A422" s="203"/>
      <c r="B422" s="203"/>
      <c r="C422" s="203"/>
      <c r="D422" s="203"/>
      <c r="E422" s="203"/>
      <c r="F422" s="203"/>
      <c r="G422" s="6"/>
      <c r="H422" s="6"/>
      <c r="I422" s="6"/>
      <c r="J422" s="6"/>
      <c r="K422" s="6"/>
      <c r="L422" s="6"/>
      <c r="M422" s="6"/>
      <c r="N422" s="6"/>
      <c r="O422" s="203"/>
      <c r="P422" s="6"/>
      <c r="Q422" s="204"/>
      <c r="R422" s="205"/>
      <c r="S422" s="205"/>
      <c r="T422" s="206"/>
      <c r="U422" s="6"/>
      <c r="V422" s="6"/>
      <c r="W422" s="6"/>
      <c r="X422" s="6"/>
      <c r="Y422" s="6"/>
      <c r="Z422" s="6"/>
      <c r="AA422" s="6"/>
      <c r="AB422" s="6"/>
      <c r="AC422" s="6"/>
      <c r="AD422" s="6"/>
      <c r="AE422" s="6"/>
      <c r="AF422" s="6"/>
      <c r="AG422" s="6"/>
      <c r="AH422" s="6"/>
      <c r="AI422" s="6"/>
      <c r="AJ422" s="6"/>
      <c r="AK422" s="6"/>
      <c r="AL422" s="6"/>
      <c r="AM422" s="6"/>
      <c r="AN422" s="6"/>
      <c r="AO422" s="6"/>
      <c r="AP422" s="6"/>
    </row>
    <row r="423" ht="17.25" customHeight="1">
      <c r="A423" s="203"/>
      <c r="B423" s="203"/>
      <c r="C423" s="203"/>
      <c r="D423" s="203"/>
      <c r="E423" s="203"/>
      <c r="F423" s="203"/>
      <c r="G423" s="6"/>
      <c r="H423" s="6"/>
      <c r="I423" s="6"/>
      <c r="J423" s="6"/>
      <c r="K423" s="6"/>
      <c r="L423" s="6"/>
      <c r="M423" s="6"/>
      <c r="N423" s="6"/>
      <c r="O423" s="203"/>
      <c r="P423" s="6"/>
      <c r="Q423" s="204"/>
      <c r="R423" s="205"/>
      <c r="S423" s="205"/>
      <c r="T423" s="206"/>
      <c r="U423" s="6"/>
      <c r="V423" s="6"/>
      <c r="W423" s="6"/>
      <c r="X423" s="6"/>
      <c r="Y423" s="6"/>
      <c r="Z423" s="6"/>
      <c r="AA423" s="6"/>
      <c r="AB423" s="6"/>
      <c r="AC423" s="6"/>
      <c r="AD423" s="6"/>
      <c r="AE423" s="6"/>
      <c r="AF423" s="6"/>
      <c r="AG423" s="6"/>
      <c r="AH423" s="6"/>
      <c r="AI423" s="6"/>
      <c r="AJ423" s="6"/>
      <c r="AK423" s="6"/>
      <c r="AL423" s="6"/>
      <c r="AM423" s="6"/>
      <c r="AN423" s="6"/>
      <c r="AO423" s="6"/>
      <c r="AP423" s="6"/>
    </row>
    <row r="424" ht="17.25" customHeight="1">
      <c r="A424" s="203"/>
      <c r="B424" s="203"/>
      <c r="C424" s="203"/>
      <c r="D424" s="203"/>
      <c r="E424" s="203"/>
      <c r="F424" s="203"/>
      <c r="G424" s="6"/>
      <c r="H424" s="6"/>
      <c r="I424" s="6"/>
      <c r="J424" s="6"/>
      <c r="K424" s="6"/>
      <c r="L424" s="6"/>
      <c r="M424" s="6"/>
      <c r="N424" s="6"/>
      <c r="O424" s="203"/>
      <c r="P424" s="6"/>
      <c r="Q424" s="204"/>
      <c r="R424" s="205"/>
      <c r="S424" s="205"/>
      <c r="T424" s="206"/>
      <c r="U424" s="6"/>
      <c r="V424" s="6"/>
      <c r="W424" s="6"/>
      <c r="X424" s="6"/>
      <c r="Y424" s="6"/>
      <c r="Z424" s="6"/>
      <c r="AA424" s="6"/>
      <c r="AB424" s="6"/>
      <c r="AC424" s="6"/>
      <c r="AD424" s="6"/>
      <c r="AE424" s="6"/>
      <c r="AF424" s="6"/>
      <c r="AG424" s="6"/>
      <c r="AH424" s="6"/>
      <c r="AI424" s="6"/>
      <c r="AJ424" s="6"/>
      <c r="AK424" s="6"/>
      <c r="AL424" s="6"/>
      <c r="AM424" s="6"/>
      <c r="AN424" s="6"/>
      <c r="AO424" s="6"/>
      <c r="AP424" s="6"/>
    </row>
    <row r="425" ht="17.25" customHeight="1">
      <c r="A425" s="203"/>
      <c r="B425" s="203"/>
      <c r="C425" s="203"/>
      <c r="D425" s="203"/>
      <c r="E425" s="203"/>
      <c r="F425" s="203"/>
      <c r="G425" s="6"/>
      <c r="H425" s="6"/>
      <c r="I425" s="6"/>
      <c r="J425" s="6"/>
      <c r="K425" s="6"/>
      <c r="L425" s="6"/>
      <c r="M425" s="6"/>
      <c r="N425" s="6"/>
      <c r="O425" s="203"/>
      <c r="P425" s="6"/>
      <c r="Q425" s="204"/>
      <c r="R425" s="205"/>
      <c r="S425" s="205"/>
      <c r="T425" s="206"/>
      <c r="U425" s="6"/>
      <c r="V425" s="6"/>
      <c r="W425" s="6"/>
      <c r="X425" s="6"/>
      <c r="Y425" s="6"/>
      <c r="Z425" s="6"/>
      <c r="AA425" s="6"/>
      <c r="AB425" s="6"/>
      <c r="AC425" s="6"/>
      <c r="AD425" s="6"/>
      <c r="AE425" s="6"/>
      <c r="AF425" s="6"/>
      <c r="AG425" s="6"/>
      <c r="AH425" s="6"/>
      <c r="AI425" s="6"/>
      <c r="AJ425" s="6"/>
      <c r="AK425" s="6"/>
      <c r="AL425" s="6"/>
      <c r="AM425" s="6"/>
      <c r="AN425" s="6"/>
      <c r="AO425" s="6"/>
      <c r="AP425" s="6"/>
    </row>
    <row r="426" ht="17.25" customHeight="1">
      <c r="A426" s="203"/>
      <c r="B426" s="203"/>
      <c r="C426" s="203"/>
      <c r="D426" s="203"/>
      <c r="E426" s="203"/>
      <c r="F426" s="203"/>
      <c r="G426" s="6"/>
      <c r="H426" s="6"/>
      <c r="I426" s="6"/>
      <c r="J426" s="6"/>
      <c r="K426" s="6"/>
      <c r="L426" s="6"/>
      <c r="M426" s="6"/>
      <c r="N426" s="6"/>
      <c r="O426" s="203"/>
      <c r="P426" s="6"/>
      <c r="Q426" s="204"/>
      <c r="R426" s="205"/>
      <c r="S426" s="205"/>
      <c r="T426" s="206"/>
      <c r="U426" s="6"/>
      <c r="V426" s="6"/>
      <c r="W426" s="6"/>
      <c r="X426" s="6"/>
      <c r="Y426" s="6"/>
      <c r="Z426" s="6"/>
      <c r="AA426" s="6"/>
      <c r="AB426" s="6"/>
      <c r="AC426" s="6"/>
      <c r="AD426" s="6"/>
      <c r="AE426" s="6"/>
      <c r="AF426" s="6"/>
      <c r="AG426" s="6"/>
      <c r="AH426" s="6"/>
      <c r="AI426" s="6"/>
      <c r="AJ426" s="6"/>
      <c r="AK426" s="6"/>
      <c r="AL426" s="6"/>
      <c r="AM426" s="6"/>
      <c r="AN426" s="6"/>
      <c r="AO426" s="6"/>
      <c r="AP426" s="6"/>
    </row>
    <row r="427" ht="17.25" customHeight="1">
      <c r="A427" s="203"/>
      <c r="B427" s="203"/>
      <c r="C427" s="203"/>
      <c r="D427" s="203"/>
      <c r="E427" s="203"/>
      <c r="F427" s="203"/>
      <c r="G427" s="6"/>
      <c r="H427" s="6"/>
      <c r="I427" s="6"/>
      <c r="J427" s="6"/>
      <c r="K427" s="6"/>
      <c r="L427" s="6"/>
      <c r="M427" s="6"/>
      <c r="N427" s="6"/>
      <c r="O427" s="203"/>
      <c r="P427" s="6"/>
      <c r="Q427" s="204"/>
      <c r="R427" s="205"/>
      <c r="S427" s="205"/>
      <c r="T427" s="206"/>
      <c r="U427" s="6"/>
      <c r="V427" s="6"/>
      <c r="W427" s="6"/>
      <c r="X427" s="6"/>
      <c r="Y427" s="6"/>
      <c r="Z427" s="6"/>
      <c r="AA427" s="6"/>
      <c r="AB427" s="6"/>
      <c r="AC427" s="6"/>
      <c r="AD427" s="6"/>
      <c r="AE427" s="6"/>
      <c r="AF427" s="6"/>
      <c r="AG427" s="6"/>
      <c r="AH427" s="6"/>
      <c r="AI427" s="6"/>
      <c r="AJ427" s="6"/>
      <c r="AK427" s="6"/>
      <c r="AL427" s="6"/>
      <c r="AM427" s="6"/>
      <c r="AN427" s="6"/>
      <c r="AO427" s="6"/>
      <c r="AP427" s="6"/>
    </row>
    <row r="428" ht="17.25" customHeight="1">
      <c r="A428" s="203"/>
      <c r="B428" s="203"/>
      <c r="C428" s="203"/>
      <c r="D428" s="203"/>
      <c r="E428" s="203"/>
      <c r="F428" s="203"/>
      <c r="G428" s="6"/>
      <c r="H428" s="6"/>
      <c r="I428" s="6"/>
      <c r="J428" s="6"/>
      <c r="K428" s="6"/>
      <c r="L428" s="6"/>
      <c r="M428" s="6"/>
      <c r="N428" s="6"/>
      <c r="O428" s="203"/>
      <c r="P428" s="6"/>
      <c r="Q428" s="204"/>
      <c r="R428" s="205"/>
      <c r="S428" s="205"/>
      <c r="T428" s="206"/>
      <c r="U428" s="6"/>
      <c r="V428" s="6"/>
      <c r="W428" s="6"/>
      <c r="X428" s="6"/>
      <c r="Y428" s="6"/>
      <c r="Z428" s="6"/>
      <c r="AA428" s="6"/>
      <c r="AB428" s="6"/>
      <c r="AC428" s="6"/>
      <c r="AD428" s="6"/>
      <c r="AE428" s="6"/>
      <c r="AF428" s="6"/>
      <c r="AG428" s="6"/>
      <c r="AH428" s="6"/>
      <c r="AI428" s="6"/>
      <c r="AJ428" s="6"/>
      <c r="AK428" s="6"/>
      <c r="AL428" s="6"/>
      <c r="AM428" s="6"/>
      <c r="AN428" s="6"/>
      <c r="AO428" s="6"/>
      <c r="AP428" s="6"/>
    </row>
    <row r="429" ht="17.25" customHeight="1">
      <c r="A429" s="203"/>
      <c r="B429" s="203"/>
      <c r="C429" s="203"/>
      <c r="D429" s="203"/>
      <c r="E429" s="203"/>
      <c r="F429" s="203"/>
      <c r="G429" s="6"/>
      <c r="H429" s="6"/>
      <c r="I429" s="6"/>
      <c r="J429" s="6"/>
      <c r="K429" s="6"/>
      <c r="L429" s="6"/>
      <c r="M429" s="6"/>
      <c r="N429" s="6"/>
      <c r="O429" s="203"/>
      <c r="P429" s="6"/>
      <c r="Q429" s="204"/>
      <c r="R429" s="205"/>
      <c r="S429" s="205"/>
      <c r="T429" s="206"/>
      <c r="U429" s="6"/>
      <c r="V429" s="6"/>
      <c r="W429" s="6"/>
      <c r="X429" s="6"/>
      <c r="Y429" s="6"/>
      <c r="Z429" s="6"/>
      <c r="AA429" s="6"/>
      <c r="AB429" s="6"/>
      <c r="AC429" s="6"/>
      <c r="AD429" s="6"/>
      <c r="AE429" s="6"/>
      <c r="AF429" s="6"/>
      <c r="AG429" s="6"/>
      <c r="AH429" s="6"/>
      <c r="AI429" s="6"/>
      <c r="AJ429" s="6"/>
      <c r="AK429" s="6"/>
      <c r="AL429" s="6"/>
      <c r="AM429" s="6"/>
      <c r="AN429" s="6"/>
      <c r="AO429" s="6"/>
      <c r="AP429" s="6"/>
    </row>
    <row r="430" ht="17.25" customHeight="1">
      <c r="A430" s="203"/>
      <c r="B430" s="203"/>
      <c r="C430" s="203"/>
      <c r="D430" s="203"/>
      <c r="E430" s="203"/>
      <c r="F430" s="203"/>
      <c r="G430" s="6"/>
      <c r="H430" s="6"/>
      <c r="I430" s="6"/>
      <c r="J430" s="6"/>
      <c r="K430" s="6"/>
      <c r="L430" s="6"/>
      <c r="M430" s="6"/>
      <c r="N430" s="6"/>
      <c r="O430" s="203"/>
      <c r="P430" s="6"/>
      <c r="Q430" s="204"/>
      <c r="R430" s="205"/>
      <c r="S430" s="205"/>
      <c r="T430" s="206"/>
      <c r="U430" s="6"/>
      <c r="V430" s="6"/>
      <c r="W430" s="6"/>
      <c r="X430" s="6"/>
      <c r="Y430" s="6"/>
      <c r="Z430" s="6"/>
      <c r="AA430" s="6"/>
      <c r="AB430" s="6"/>
      <c r="AC430" s="6"/>
      <c r="AD430" s="6"/>
      <c r="AE430" s="6"/>
      <c r="AF430" s="6"/>
      <c r="AG430" s="6"/>
      <c r="AH430" s="6"/>
      <c r="AI430" s="6"/>
      <c r="AJ430" s="6"/>
      <c r="AK430" s="6"/>
      <c r="AL430" s="6"/>
      <c r="AM430" s="6"/>
      <c r="AN430" s="6"/>
      <c r="AO430" s="6"/>
      <c r="AP430" s="6"/>
    </row>
    <row r="431" ht="17.25" customHeight="1">
      <c r="A431" s="203"/>
      <c r="B431" s="203"/>
      <c r="C431" s="203"/>
      <c r="D431" s="203"/>
      <c r="E431" s="203"/>
      <c r="F431" s="203"/>
      <c r="G431" s="6"/>
      <c r="H431" s="6"/>
      <c r="I431" s="6"/>
      <c r="J431" s="6"/>
      <c r="K431" s="6"/>
      <c r="L431" s="6"/>
      <c r="M431" s="6"/>
      <c r="N431" s="6"/>
      <c r="O431" s="203"/>
      <c r="P431" s="6"/>
      <c r="Q431" s="204"/>
      <c r="R431" s="205"/>
      <c r="S431" s="205"/>
      <c r="T431" s="206"/>
      <c r="U431" s="6"/>
      <c r="V431" s="6"/>
      <c r="W431" s="6"/>
      <c r="X431" s="6"/>
      <c r="Y431" s="6"/>
      <c r="Z431" s="6"/>
      <c r="AA431" s="6"/>
      <c r="AB431" s="6"/>
      <c r="AC431" s="6"/>
      <c r="AD431" s="6"/>
      <c r="AE431" s="6"/>
      <c r="AF431" s="6"/>
      <c r="AG431" s="6"/>
      <c r="AH431" s="6"/>
      <c r="AI431" s="6"/>
      <c r="AJ431" s="6"/>
      <c r="AK431" s="6"/>
      <c r="AL431" s="6"/>
      <c r="AM431" s="6"/>
      <c r="AN431" s="6"/>
      <c r="AO431" s="6"/>
      <c r="AP431" s="6"/>
    </row>
    <row r="432" ht="17.25" customHeight="1">
      <c r="A432" s="203"/>
      <c r="B432" s="203"/>
      <c r="C432" s="203"/>
      <c r="D432" s="203"/>
      <c r="E432" s="203"/>
      <c r="F432" s="203"/>
      <c r="G432" s="6"/>
      <c r="H432" s="6"/>
      <c r="I432" s="6"/>
      <c r="J432" s="6"/>
      <c r="K432" s="6"/>
      <c r="L432" s="6"/>
      <c r="M432" s="6"/>
      <c r="N432" s="6"/>
      <c r="O432" s="203"/>
      <c r="P432" s="6"/>
      <c r="Q432" s="204"/>
      <c r="R432" s="205"/>
      <c r="S432" s="205"/>
      <c r="T432" s="206"/>
      <c r="U432" s="6"/>
      <c r="V432" s="6"/>
      <c r="W432" s="6"/>
      <c r="X432" s="6"/>
      <c r="Y432" s="6"/>
      <c r="Z432" s="6"/>
      <c r="AA432" s="6"/>
      <c r="AB432" s="6"/>
      <c r="AC432" s="6"/>
      <c r="AD432" s="6"/>
      <c r="AE432" s="6"/>
      <c r="AF432" s="6"/>
      <c r="AG432" s="6"/>
      <c r="AH432" s="6"/>
      <c r="AI432" s="6"/>
      <c r="AJ432" s="6"/>
      <c r="AK432" s="6"/>
      <c r="AL432" s="6"/>
      <c r="AM432" s="6"/>
      <c r="AN432" s="6"/>
      <c r="AO432" s="6"/>
      <c r="AP432" s="6"/>
    </row>
    <row r="433" ht="17.25" customHeight="1">
      <c r="A433" s="203"/>
      <c r="B433" s="203"/>
      <c r="C433" s="203"/>
      <c r="D433" s="203"/>
      <c r="E433" s="203"/>
      <c r="F433" s="203"/>
      <c r="G433" s="6"/>
      <c r="H433" s="6"/>
      <c r="I433" s="6"/>
      <c r="J433" s="6"/>
      <c r="K433" s="6"/>
      <c r="L433" s="6"/>
      <c r="M433" s="6"/>
      <c r="N433" s="6"/>
      <c r="O433" s="203"/>
      <c r="P433" s="6"/>
      <c r="Q433" s="204"/>
      <c r="R433" s="205"/>
      <c r="S433" s="205"/>
      <c r="T433" s="206"/>
      <c r="U433" s="6"/>
      <c r="V433" s="6"/>
      <c r="W433" s="6"/>
      <c r="X433" s="6"/>
      <c r="Y433" s="6"/>
      <c r="Z433" s="6"/>
      <c r="AA433" s="6"/>
      <c r="AB433" s="6"/>
      <c r="AC433" s="6"/>
      <c r="AD433" s="6"/>
      <c r="AE433" s="6"/>
      <c r="AF433" s="6"/>
      <c r="AG433" s="6"/>
      <c r="AH433" s="6"/>
      <c r="AI433" s="6"/>
      <c r="AJ433" s="6"/>
      <c r="AK433" s="6"/>
      <c r="AL433" s="6"/>
      <c r="AM433" s="6"/>
      <c r="AN433" s="6"/>
      <c r="AO433" s="6"/>
      <c r="AP433" s="6"/>
    </row>
    <row r="434" ht="17.25" customHeight="1">
      <c r="A434" s="203"/>
      <c r="B434" s="203"/>
      <c r="C434" s="203"/>
      <c r="D434" s="203"/>
      <c r="E434" s="203"/>
      <c r="F434" s="203"/>
      <c r="G434" s="6"/>
      <c r="H434" s="6"/>
      <c r="I434" s="6"/>
      <c r="J434" s="6"/>
      <c r="K434" s="6"/>
      <c r="L434" s="6"/>
      <c r="M434" s="6"/>
      <c r="N434" s="6"/>
      <c r="O434" s="203"/>
      <c r="P434" s="6"/>
      <c r="Q434" s="204"/>
      <c r="R434" s="205"/>
      <c r="S434" s="205"/>
      <c r="T434" s="206"/>
      <c r="U434" s="6"/>
      <c r="V434" s="6"/>
      <c r="W434" s="6"/>
      <c r="X434" s="6"/>
      <c r="Y434" s="6"/>
      <c r="Z434" s="6"/>
      <c r="AA434" s="6"/>
      <c r="AB434" s="6"/>
      <c r="AC434" s="6"/>
      <c r="AD434" s="6"/>
      <c r="AE434" s="6"/>
      <c r="AF434" s="6"/>
      <c r="AG434" s="6"/>
      <c r="AH434" s="6"/>
      <c r="AI434" s="6"/>
      <c r="AJ434" s="6"/>
      <c r="AK434" s="6"/>
      <c r="AL434" s="6"/>
      <c r="AM434" s="6"/>
      <c r="AN434" s="6"/>
      <c r="AO434" s="6"/>
      <c r="AP434" s="6"/>
    </row>
    <row r="435" ht="17.25" customHeight="1">
      <c r="A435" s="203"/>
      <c r="B435" s="203"/>
      <c r="C435" s="203"/>
      <c r="D435" s="203"/>
      <c r="E435" s="203"/>
      <c r="F435" s="203"/>
      <c r="G435" s="6"/>
      <c r="H435" s="6"/>
      <c r="I435" s="6"/>
      <c r="J435" s="6"/>
      <c r="K435" s="6"/>
      <c r="L435" s="6"/>
      <c r="M435" s="6"/>
      <c r="N435" s="6"/>
      <c r="O435" s="203"/>
      <c r="P435" s="6"/>
      <c r="Q435" s="204"/>
      <c r="R435" s="205"/>
      <c r="S435" s="205"/>
      <c r="T435" s="206"/>
      <c r="U435" s="6"/>
      <c r="V435" s="6"/>
      <c r="W435" s="6"/>
      <c r="X435" s="6"/>
      <c r="Y435" s="6"/>
      <c r="Z435" s="6"/>
      <c r="AA435" s="6"/>
      <c r="AB435" s="6"/>
      <c r="AC435" s="6"/>
      <c r="AD435" s="6"/>
      <c r="AE435" s="6"/>
      <c r="AF435" s="6"/>
      <c r="AG435" s="6"/>
      <c r="AH435" s="6"/>
      <c r="AI435" s="6"/>
      <c r="AJ435" s="6"/>
      <c r="AK435" s="6"/>
      <c r="AL435" s="6"/>
      <c r="AM435" s="6"/>
      <c r="AN435" s="6"/>
      <c r="AO435" s="6"/>
      <c r="AP435" s="6"/>
    </row>
    <row r="436" ht="17.25" customHeight="1">
      <c r="A436" s="203"/>
      <c r="B436" s="203"/>
      <c r="C436" s="203"/>
      <c r="D436" s="203"/>
      <c r="E436" s="203"/>
      <c r="F436" s="203"/>
      <c r="G436" s="6"/>
      <c r="H436" s="6"/>
      <c r="I436" s="6"/>
      <c r="J436" s="6"/>
      <c r="K436" s="6"/>
      <c r="L436" s="6"/>
      <c r="M436" s="6"/>
      <c r="N436" s="6"/>
      <c r="O436" s="203"/>
      <c r="P436" s="6"/>
      <c r="Q436" s="204"/>
      <c r="R436" s="205"/>
      <c r="S436" s="205"/>
      <c r="T436" s="206"/>
      <c r="U436" s="6"/>
      <c r="V436" s="6"/>
      <c r="W436" s="6"/>
      <c r="X436" s="6"/>
      <c r="Y436" s="6"/>
      <c r="Z436" s="6"/>
      <c r="AA436" s="6"/>
      <c r="AB436" s="6"/>
      <c r="AC436" s="6"/>
      <c r="AD436" s="6"/>
      <c r="AE436" s="6"/>
      <c r="AF436" s="6"/>
      <c r="AG436" s="6"/>
      <c r="AH436" s="6"/>
      <c r="AI436" s="6"/>
      <c r="AJ436" s="6"/>
      <c r="AK436" s="6"/>
      <c r="AL436" s="6"/>
      <c r="AM436" s="6"/>
      <c r="AN436" s="6"/>
      <c r="AO436" s="6"/>
      <c r="AP436" s="6"/>
    </row>
    <row r="437" ht="17.25" customHeight="1">
      <c r="A437" s="203"/>
      <c r="B437" s="203"/>
      <c r="C437" s="203"/>
      <c r="D437" s="203"/>
      <c r="E437" s="203"/>
      <c r="F437" s="203"/>
      <c r="G437" s="6"/>
      <c r="H437" s="6"/>
      <c r="I437" s="6"/>
      <c r="J437" s="6"/>
      <c r="K437" s="6"/>
      <c r="L437" s="6"/>
      <c r="M437" s="6"/>
      <c r="N437" s="6"/>
      <c r="O437" s="203"/>
      <c r="P437" s="6"/>
      <c r="Q437" s="204"/>
      <c r="R437" s="205"/>
      <c r="S437" s="205"/>
      <c r="T437" s="206"/>
      <c r="U437" s="6"/>
      <c r="V437" s="6"/>
      <c r="W437" s="6"/>
      <c r="X437" s="6"/>
      <c r="Y437" s="6"/>
      <c r="Z437" s="6"/>
      <c r="AA437" s="6"/>
      <c r="AB437" s="6"/>
      <c r="AC437" s="6"/>
      <c r="AD437" s="6"/>
      <c r="AE437" s="6"/>
      <c r="AF437" s="6"/>
      <c r="AG437" s="6"/>
      <c r="AH437" s="6"/>
      <c r="AI437" s="6"/>
      <c r="AJ437" s="6"/>
      <c r="AK437" s="6"/>
      <c r="AL437" s="6"/>
      <c r="AM437" s="6"/>
      <c r="AN437" s="6"/>
      <c r="AO437" s="6"/>
      <c r="AP437" s="6"/>
    </row>
    <row r="438" ht="17.25" customHeight="1">
      <c r="A438" s="203"/>
      <c r="B438" s="203"/>
      <c r="C438" s="203"/>
      <c r="D438" s="203"/>
      <c r="E438" s="203"/>
      <c r="F438" s="203"/>
      <c r="G438" s="6"/>
      <c r="H438" s="6"/>
      <c r="I438" s="6"/>
      <c r="J438" s="6"/>
      <c r="K438" s="6"/>
      <c r="L438" s="6"/>
      <c r="M438" s="6"/>
      <c r="N438" s="6"/>
      <c r="O438" s="203"/>
      <c r="P438" s="6"/>
      <c r="Q438" s="204"/>
      <c r="R438" s="205"/>
      <c r="S438" s="205"/>
      <c r="T438" s="206"/>
      <c r="U438" s="6"/>
      <c r="V438" s="6"/>
      <c r="W438" s="6"/>
      <c r="X438" s="6"/>
      <c r="Y438" s="6"/>
      <c r="Z438" s="6"/>
      <c r="AA438" s="6"/>
      <c r="AB438" s="6"/>
      <c r="AC438" s="6"/>
      <c r="AD438" s="6"/>
      <c r="AE438" s="6"/>
      <c r="AF438" s="6"/>
      <c r="AG438" s="6"/>
      <c r="AH438" s="6"/>
      <c r="AI438" s="6"/>
      <c r="AJ438" s="6"/>
      <c r="AK438" s="6"/>
      <c r="AL438" s="6"/>
      <c r="AM438" s="6"/>
      <c r="AN438" s="6"/>
      <c r="AO438" s="6"/>
      <c r="AP438" s="6"/>
    </row>
    <row r="439" ht="17.25" customHeight="1">
      <c r="A439" s="203"/>
      <c r="B439" s="203"/>
      <c r="C439" s="203"/>
      <c r="D439" s="203"/>
      <c r="E439" s="203"/>
      <c r="F439" s="203"/>
      <c r="G439" s="6"/>
      <c r="H439" s="6"/>
      <c r="I439" s="6"/>
      <c r="J439" s="6"/>
      <c r="K439" s="6"/>
      <c r="L439" s="6"/>
      <c r="M439" s="6"/>
      <c r="N439" s="6"/>
      <c r="O439" s="203"/>
      <c r="P439" s="6"/>
      <c r="Q439" s="204"/>
      <c r="R439" s="205"/>
      <c r="S439" s="205"/>
      <c r="T439" s="206"/>
      <c r="U439" s="6"/>
      <c r="V439" s="6"/>
      <c r="W439" s="6"/>
      <c r="X439" s="6"/>
      <c r="Y439" s="6"/>
      <c r="Z439" s="6"/>
      <c r="AA439" s="6"/>
      <c r="AB439" s="6"/>
      <c r="AC439" s="6"/>
      <c r="AD439" s="6"/>
      <c r="AE439" s="6"/>
      <c r="AF439" s="6"/>
      <c r="AG439" s="6"/>
      <c r="AH439" s="6"/>
      <c r="AI439" s="6"/>
      <c r="AJ439" s="6"/>
      <c r="AK439" s="6"/>
      <c r="AL439" s="6"/>
      <c r="AM439" s="6"/>
      <c r="AN439" s="6"/>
      <c r="AO439" s="6"/>
      <c r="AP439" s="6"/>
    </row>
    <row r="440" ht="17.25" customHeight="1">
      <c r="A440" s="203"/>
      <c r="B440" s="203"/>
      <c r="C440" s="203"/>
      <c r="D440" s="203"/>
      <c r="E440" s="203"/>
      <c r="F440" s="203"/>
      <c r="G440" s="6"/>
      <c r="H440" s="6"/>
      <c r="I440" s="6"/>
      <c r="J440" s="6"/>
      <c r="K440" s="6"/>
      <c r="L440" s="6"/>
      <c r="M440" s="6"/>
      <c r="N440" s="6"/>
      <c r="O440" s="203"/>
      <c r="P440" s="6"/>
      <c r="Q440" s="204"/>
      <c r="R440" s="205"/>
      <c r="S440" s="205"/>
      <c r="T440" s="206"/>
      <c r="U440" s="6"/>
      <c r="V440" s="6"/>
      <c r="W440" s="6"/>
      <c r="X440" s="6"/>
      <c r="Y440" s="6"/>
      <c r="Z440" s="6"/>
      <c r="AA440" s="6"/>
      <c r="AB440" s="6"/>
      <c r="AC440" s="6"/>
      <c r="AD440" s="6"/>
      <c r="AE440" s="6"/>
      <c r="AF440" s="6"/>
      <c r="AG440" s="6"/>
      <c r="AH440" s="6"/>
      <c r="AI440" s="6"/>
      <c r="AJ440" s="6"/>
      <c r="AK440" s="6"/>
      <c r="AL440" s="6"/>
      <c r="AM440" s="6"/>
      <c r="AN440" s="6"/>
      <c r="AO440" s="6"/>
      <c r="AP440" s="6"/>
    </row>
    <row r="441" ht="17.25" customHeight="1">
      <c r="A441" s="203"/>
      <c r="B441" s="203"/>
      <c r="C441" s="203"/>
      <c r="D441" s="203"/>
      <c r="E441" s="203"/>
      <c r="F441" s="203"/>
      <c r="G441" s="6"/>
      <c r="H441" s="6"/>
      <c r="I441" s="6"/>
      <c r="J441" s="6"/>
      <c r="K441" s="6"/>
      <c r="L441" s="6"/>
      <c r="M441" s="6"/>
      <c r="N441" s="6"/>
      <c r="O441" s="203"/>
      <c r="P441" s="6"/>
      <c r="Q441" s="204"/>
      <c r="R441" s="205"/>
      <c r="S441" s="205"/>
      <c r="T441" s="206"/>
      <c r="U441" s="6"/>
      <c r="V441" s="6"/>
      <c r="W441" s="6"/>
      <c r="X441" s="6"/>
      <c r="Y441" s="6"/>
      <c r="Z441" s="6"/>
      <c r="AA441" s="6"/>
      <c r="AB441" s="6"/>
      <c r="AC441" s="6"/>
      <c r="AD441" s="6"/>
      <c r="AE441" s="6"/>
      <c r="AF441" s="6"/>
      <c r="AG441" s="6"/>
      <c r="AH441" s="6"/>
      <c r="AI441" s="6"/>
      <c r="AJ441" s="6"/>
      <c r="AK441" s="6"/>
      <c r="AL441" s="6"/>
      <c r="AM441" s="6"/>
      <c r="AN441" s="6"/>
      <c r="AO441" s="6"/>
      <c r="AP441" s="6"/>
    </row>
    <row r="442" ht="17.25" customHeight="1">
      <c r="A442" s="203"/>
      <c r="B442" s="203"/>
      <c r="C442" s="203"/>
      <c r="D442" s="203"/>
      <c r="E442" s="203"/>
      <c r="F442" s="203"/>
      <c r="G442" s="6"/>
      <c r="H442" s="6"/>
      <c r="I442" s="6"/>
      <c r="J442" s="6"/>
      <c r="K442" s="6"/>
      <c r="L442" s="6"/>
      <c r="M442" s="6"/>
      <c r="N442" s="6"/>
      <c r="O442" s="203"/>
      <c r="P442" s="6"/>
      <c r="Q442" s="204"/>
      <c r="R442" s="205"/>
      <c r="S442" s="205"/>
      <c r="T442" s="206"/>
      <c r="U442" s="6"/>
      <c r="V442" s="6"/>
      <c r="W442" s="6"/>
      <c r="X442" s="6"/>
      <c r="Y442" s="6"/>
      <c r="Z442" s="6"/>
      <c r="AA442" s="6"/>
      <c r="AB442" s="6"/>
      <c r="AC442" s="6"/>
      <c r="AD442" s="6"/>
      <c r="AE442" s="6"/>
      <c r="AF442" s="6"/>
      <c r="AG442" s="6"/>
      <c r="AH442" s="6"/>
      <c r="AI442" s="6"/>
      <c r="AJ442" s="6"/>
      <c r="AK442" s="6"/>
      <c r="AL442" s="6"/>
      <c r="AM442" s="6"/>
      <c r="AN442" s="6"/>
      <c r="AO442" s="6"/>
      <c r="AP442" s="6"/>
    </row>
    <row r="443" ht="17.25" customHeight="1">
      <c r="A443" s="203"/>
      <c r="B443" s="203"/>
      <c r="C443" s="203"/>
      <c r="D443" s="203"/>
      <c r="E443" s="203"/>
      <c r="F443" s="203"/>
      <c r="G443" s="6"/>
      <c r="H443" s="6"/>
      <c r="I443" s="6"/>
      <c r="J443" s="6"/>
      <c r="K443" s="6"/>
      <c r="L443" s="6"/>
      <c r="M443" s="6"/>
      <c r="N443" s="6"/>
      <c r="O443" s="203"/>
      <c r="P443" s="6"/>
      <c r="Q443" s="204"/>
      <c r="R443" s="205"/>
      <c r="S443" s="205"/>
      <c r="T443" s="206"/>
      <c r="U443" s="6"/>
      <c r="V443" s="6"/>
      <c r="W443" s="6"/>
      <c r="X443" s="6"/>
      <c r="Y443" s="6"/>
      <c r="Z443" s="6"/>
      <c r="AA443" s="6"/>
      <c r="AB443" s="6"/>
      <c r="AC443" s="6"/>
      <c r="AD443" s="6"/>
      <c r="AE443" s="6"/>
      <c r="AF443" s="6"/>
      <c r="AG443" s="6"/>
      <c r="AH443" s="6"/>
      <c r="AI443" s="6"/>
      <c r="AJ443" s="6"/>
      <c r="AK443" s="6"/>
      <c r="AL443" s="6"/>
      <c r="AM443" s="6"/>
      <c r="AN443" s="6"/>
      <c r="AO443" s="6"/>
      <c r="AP443" s="6"/>
    </row>
    <row r="444" ht="17.25" customHeight="1">
      <c r="A444" s="203"/>
      <c r="B444" s="203"/>
      <c r="C444" s="203"/>
      <c r="D444" s="203"/>
      <c r="E444" s="203"/>
      <c r="F444" s="203"/>
      <c r="G444" s="6"/>
      <c r="H444" s="6"/>
      <c r="I444" s="6"/>
      <c r="J444" s="6"/>
      <c r="K444" s="6"/>
      <c r="L444" s="6"/>
      <c r="M444" s="6"/>
      <c r="N444" s="6"/>
      <c r="O444" s="203"/>
      <c r="P444" s="6"/>
      <c r="Q444" s="204"/>
      <c r="R444" s="205"/>
      <c r="S444" s="205"/>
      <c r="T444" s="206"/>
      <c r="U444" s="6"/>
      <c r="V444" s="6"/>
      <c r="W444" s="6"/>
      <c r="X444" s="6"/>
      <c r="Y444" s="6"/>
      <c r="Z444" s="6"/>
      <c r="AA444" s="6"/>
      <c r="AB444" s="6"/>
      <c r="AC444" s="6"/>
      <c r="AD444" s="6"/>
      <c r="AE444" s="6"/>
      <c r="AF444" s="6"/>
      <c r="AG444" s="6"/>
      <c r="AH444" s="6"/>
      <c r="AI444" s="6"/>
      <c r="AJ444" s="6"/>
      <c r="AK444" s="6"/>
      <c r="AL444" s="6"/>
      <c r="AM444" s="6"/>
      <c r="AN444" s="6"/>
      <c r="AO444" s="6"/>
      <c r="AP444" s="6"/>
    </row>
    <row r="445" ht="17.25" customHeight="1">
      <c r="A445" s="203"/>
      <c r="B445" s="203"/>
      <c r="C445" s="203"/>
      <c r="D445" s="203"/>
      <c r="E445" s="203"/>
      <c r="F445" s="203"/>
      <c r="G445" s="6"/>
      <c r="H445" s="6"/>
      <c r="I445" s="6"/>
      <c r="J445" s="6"/>
      <c r="K445" s="6"/>
      <c r="L445" s="6"/>
      <c r="M445" s="6"/>
      <c r="N445" s="6"/>
      <c r="O445" s="203"/>
      <c r="P445" s="6"/>
      <c r="Q445" s="204"/>
      <c r="R445" s="205"/>
      <c r="S445" s="205"/>
      <c r="T445" s="206"/>
      <c r="U445" s="6"/>
      <c r="V445" s="6"/>
      <c r="W445" s="6"/>
      <c r="X445" s="6"/>
      <c r="Y445" s="6"/>
      <c r="Z445" s="6"/>
      <c r="AA445" s="6"/>
      <c r="AB445" s="6"/>
      <c r="AC445" s="6"/>
      <c r="AD445" s="6"/>
      <c r="AE445" s="6"/>
      <c r="AF445" s="6"/>
      <c r="AG445" s="6"/>
      <c r="AH445" s="6"/>
      <c r="AI445" s="6"/>
      <c r="AJ445" s="6"/>
      <c r="AK445" s="6"/>
      <c r="AL445" s="6"/>
      <c r="AM445" s="6"/>
      <c r="AN445" s="6"/>
      <c r="AO445" s="6"/>
      <c r="AP445" s="6"/>
    </row>
    <row r="446" ht="17.25" customHeight="1">
      <c r="A446" s="203"/>
      <c r="B446" s="203"/>
      <c r="C446" s="203"/>
      <c r="D446" s="203"/>
      <c r="E446" s="203"/>
      <c r="F446" s="203"/>
      <c r="G446" s="6"/>
      <c r="H446" s="6"/>
      <c r="I446" s="6"/>
      <c r="J446" s="6"/>
      <c r="K446" s="6"/>
      <c r="L446" s="6"/>
      <c r="M446" s="6"/>
      <c r="N446" s="6"/>
      <c r="O446" s="203"/>
      <c r="P446" s="6"/>
      <c r="Q446" s="204"/>
      <c r="R446" s="205"/>
      <c r="S446" s="205"/>
      <c r="T446" s="206"/>
      <c r="U446" s="6"/>
      <c r="V446" s="6"/>
      <c r="W446" s="6"/>
      <c r="X446" s="6"/>
      <c r="Y446" s="6"/>
      <c r="Z446" s="6"/>
      <c r="AA446" s="6"/>
      <c r="AB446" s="6"/>
      <c r="AC446" s="6"/>
      <c r="AD446" s="6"/>
      <c r="AE446" s="6"/>
      <c r="AF446" s="6"/>
      <c r="AG446" s="6"/>
      <c r="AH446" s="6"/>
      <c r="AI446" s="6"/>
      <c r="AJ446" s="6"/>
      <c r="AK446" s="6"/>
      <c r="AL446" s="6"/>
      <c r="AM446" s="6"/>
      <c r="AN446" s="6"/>
      <c r="AO446" s="6"/>
      <c r="AP446" s="6"/>
    </row>
    <row r="447" ht="17.25" customHeight="1">
      <c r="A447" s="203"/>
      <c r="B447" s="203"/>
      <c r="C447" s="203"/>
      <c r="D447" s="203"/>
      <c r="E447" s="203"/>
      <c r="F447" s="203"/>
      <c r="G447" s="6"/>
      <c r="H447" s="6"/>
      <c r="I447" s="6"/>
      <c r="J447" s="6"/>
      <c r="K447" s="6"/>
      <c r="L447" s="6"/>
      <c r="M447" s="6"/>
      <c r="N447" s="6"/>
      <c r="O447" s="203"/>
      <c r="P447" s="6"/>
      <c r="Q447" s="204"/>
      <c r="R447" s="205"/>
      <c r="S447" s="205"/>
      <c r="T447" s="206"/>
      <c r="U447" s="6"/>
      <c r="V447" s="6"/>
      <c r="W447" s="6"/>
      <c r="X447" s="6"/>
      <c r="Y447" s="6"/>
      <c r="Z447" s="6"/>
      <c r="AA447" s="6"/>
      <c r="AB447" s="6"/>
      <c r="AC447" s="6"/>
      <c r="AD447" s="6"/>
      <c r="AE447" s="6"/>
      <c r="AF447" s="6"/>
      <c r="AG447" s="6"/>
      <c r="AH447" s="6"/>
      <c r="AI447" s="6"/>
      <c r="AJ447" s="6"/>
      <c r="AK447" s="6"/>
      <c r="AL447" s="6"/>
      <c r="AM447" s="6"/>
      <c r="AN447" s="6"/>
      <c r="AO447" s="6"/>
      <c r="AP447" s="6"/>
    </row>
    <row r="448" ht="17.25" customHeight="1">
      <c r="A448" s="203"/>
      <c r="B448" s="203"/>
      <c r="C448" s="203"/>
      <c r="D448" s="203"/>
      <c r="E448" s="203"/>
      <c r="F448" s="203"/>
      <c r="G448" s="6"/>
      <c r="H448" s="6"/>
      <c r="I448" s="6"/>
      <c r="J448" s="6"/>
      <c r="K448" s="6"/>
      <c r="L448" s="6"/>
      <c r="M448" s="6"/>
      <c r="N448" s="6"/>
      <c r="O448" s="203"/>
      <c r="P448" s="6"/>
      <c r="Q448" s="204"/>
      <c r="R448" s="205"/>
      <c r="S448" s="205"/>
      <c r="T448" s="206"/>
      <c r="U448" s="6"/>
      <c r="V448" s="6"/>
      <c r="W448" s="6"/>
      <c r="X448" s="6"/>
      <c r="Y448" s="6"/>
      <c r="Z448" s="6"/>
      <c r="AA448" s="6"/>
      <c r="AB448" s="6"/>
      <c r="AC448" s="6"/>
      <c r="AD448" s="6"/>
      <c r="AE448" s="6"/>
      <c r="AF448" s="6"/>
      <c r="AG448" s="6"/>
      <c r="AH448" s="6"/>
      <c r="AI448" s="6"/>
      <c r="AJ448" s="6"/>
      <c r="AK448" s="6"/>
      <c r="AL448" s="6"/>
      <c r="AM448" s="6"/>
      <c r="AN448" s="6"/>
      <c r="AO448" s="6"/>
      <c r="AP448" s="6"/>
    </row>
    <row r="449" ht="17.25" customHeight="1">
      <c r="A449" s="203"/>
      <c r="B449" s="203"/>
      <c r="C449" s="203"/>
      <c r="D449" s="203"/>
      <c r="E449" s="203"/>
      <c r="F449" s="203"/>
      <c r="G449" s="6"/>
      <c r="H449" s="6"/>
      <c r="I449" s="6"/>
      <c r="J449" s="6"/>
      <c r="K449" s="6"/>
      <c r="L449" s="6"/>
      <c r="M449" s="6"/>
      <c r="N449" s="6"/>
      <c r="O449" s="203"/>
      <c r="P449" s="6"/>
      <c r="Q449" s="204"/>
      <c r="R449" s="205"/>
      <c r="S449" s="205"/>
      <c r="T449" s="206"/>
      <c r="U449" s="6"/>
      <c r="V449" s="6"/>
      <c r="W449" s="6"/>
      <c r="X449" s="6"/>
      <c r="Y449" s="6"/>
      <c r="Z449" s="6"/>
      <c r="AA449" s="6"/>
      <c r="AB449" s="6"/>
      <c r="AC449" s="6"/>
      <c r="AD449" s="6"/>
      <c r="AE449" s="6"/>
      <c r="AF449" s="6"/>
      <c r="AG449" s="6"/>
      <c r="AH449" s="6"/>
      <c r="AI449" s="6"/>
      <c r="AJ449" s="6"/>
      <c r="AK449" s="6"/>
      <c r="AL449" s="6"/>
      <c r="AM449" s="6"/>
      <c r="AN449" s="6"/>
      <c r="AO449" s="6"/>
      <c r="AP449" s="6"/>
    </row>
    <row r="450" ht="17.25" customHeight="1">
      <c r="A450" s="203"/>
      <c r="B450" s="203"/>
      <c r="C450" s="203"/>
      <c r="D450" s="203"/>
      <c r="E450" s="203"/>
      <c r="F450" s="203"/>
      <c r="G450" s="6"/>
      <c r="H450" s="6"/>
      <c r="I450" s="6"/>
      <c r="J450" s="6"/>
      <c r="K450" s="6"/>
      <c r="L450" s="6"/>
      <c r="M450" s="6"/>
      <c r="N450" s="6"/>
      <c r="O450" s="203"/>
      <c r="P450" s="6"/>
      <c r="Q450" s="204"/>
      <c r="R450" s="205"/>
      <c r="S450" s="205"/>
      <c r="T450" s="206"/>
      <c r="U450" s="6"/>
      <c r="V450" s="6"/>
      <c r="W450" s="6"/>
      <c r="X450" s="6"/>
      <c r="Y450" s="6"/>
      <c r="Z450" s="6"/>
      <c r="AA450" s="6"/>
      <c r="AB450" s="6"/>
      <c r="AC450" s="6"/>
      <c r="AD450" s="6"/>
      <c r="AE450" s="6"/>
      <c r="AF450" s="6"/>
      <c r="AG450" s="6"/>
      <c r="AH450" s="6"/>
      <c r="AI450" s="6"/>
      <c r="AJ450" s="6"/>
      <c r="AK450" s="6"/>
      <c r="AL450" s="6"/>
      <c r="AM450" s="6"/>
      <c r="AN450" s="6"/>
      <c r="AO450" s="6"/>
      <c r="AP450" s="6"/>
    </row>
    <row r="451" ht="17.25" customHeight="1">
      <c r="A451" s="203"/>
      <c r="B451" s="203"/>
      <c r="C451" s="203"/>
      <c r="D451" s="203"/>
      <c r="E451" s="203"/>
      <c r="F451" s="203"/>
      <c r="G451" s="6"/>
      <c r="H451" s="6"/>
      <c r="I451" s="6"/>
      <c r="J451" s="6"/>
      <c r="K451" s="6"/>
      <c r="L451" s="6"/>
      <c r="M451" s="6"/>
      <c r="N451" s="6"/>
      <c r="O451" s="203"/>
      <c r="P451" s="6"/>
      <c r="Q451" s="204"/>
      <c r="R451" s="205"/>
      <c r="S451" s="205"/>
      <c r="T451" s="206"/>
      <c r="U451" s="6"/>
      <c r="V451" s="6"/>
      <c r="W451" s="6"/>
      <c r="X451" s="6"/>
      <c r="Y451" s="6"/>
      <c r="Z451" s="6"/>
      <c r="AA451" s="6"/>
      <c r="AB451" s="6"/>
      <c r="AC451" s="6"/>
      <c r="AD451" s="6"/>
      <c r="AE451" s="6"/>
      <c r="AF451" s="6"/>
      <c r="AG451" s="6"/>
      <c r="AH451" s="6"/>
      <c r="AI451" s="6"/>
      <c r="AJ451" s="6"/>
      <c r="AK451" s="6"/>
      <c r="AL451" s="6"/>
      <c r="AM451" s="6"/>
      <c r="AN451" s="6"/>
      <c r="AO451" s="6"/>
      <c r="AP451" s="6"/>
    </row>
    <row r="452" ht="17.25" customHeight="1">
      <c r="A452" s="203"/>
      <c r="B452" s="203"/>
      <c r="C452" s="203"/>
      <c r="D452" s="203"/>
      <c r="E452" s="203"/>
      <c r="F452" s="203"/>
      <c r="G452" s="6"/>
      <c r="H452" s="6"/>
      <c r="I452" s="6"/>
      <c r="J452" s="6"/>
      <c r="K452" s="6"/>
      <c r="L452" s="6"/>
      <c r="M452" s="6"/>
      <c r="N452" s="6"/>
      <c r="O452" s="203"/>
      <c r="P452" s="6"/>
      <c r="Q452" s="204"/>
      <c r="R452" s="205"/>
      <c r="S452" s="205"/>
      <c r="T452" s="206"/>
      <c r="U452" s="6"/>
      <c r="V452" s="6"/>
      <c r="W452" s="6"/>
      <c r="X452" s="6"/>
      <c r="Y452" s="6"/>
      <c r="Z452" s="6"/>
      <c r="AA452" s="6"/>
      <c r="AB452" s="6"/>
      <c r="AC452" s="6"/>
      <c r="AD452" s="6"/>
      <c r="AE452" s="6"/>
      <c r="AF452" s="6"/>
      <c r="AG452" s="6"/>
      <c r="AH452" s="6"/>
      <c r="AI452" s="6"/>
      <c r="AJ452" s="6"/>
      <c r="AK452" s="6"/>
      <c r="AL452" s="6"/>
      <c r="AM452" s="6"/>
      <c r="AN452" s="6"/>
      <c r="AO452" s="6"/>
      <c r="AP452" s="6"/>
    </row>
    <row r="453" ht="17.25" customHeight="1">
      <c r="A453" s="203"/>
      <c r="B453" s="203"/>
      <c r="C453" s="203"/>
      <c r="D453" s="203"/>
      <c r="E453" s="203"/>
      <c r="F453" s="203"/>
      <c r="G453" s="6"/>
      <c r="H453" s="6"/>
      <c r="I453" s="6"/>
      <c r="J453" s="6"/>
      <c r="K453" s="6"/>
      <c r="L453" s="6"/>
      <c r="M453" s="6"/>
      <c r="N453" s="6"/>
      <c r="O453" s="203"/>
      <c r="P453" s="6"/>
      <c r="Q453" s="204"/>
      <c r="R453" s="205"/>
      <c r="S453" s="205"/>
      <c r="T453" s="206"/>
      <c r="U453" s="6"/>
      <c r="V453" s="6"/>
      <c r="W453" s="6"/>
      <c r="X453" s="6"/>
      <c r="Y453" s="6"/>
      <c r="Z453" s="6"/>
      <c r="AA453" s="6"/>
      <c r="AB453" s="6"/>
      <c r="AC453" s="6"/>
      <c r="AD453" s="6"/>
      <c r="AE453" s="6"/>
      <c r="AF453" s="6"/>
      <c r="AG453" s="6"/>
      <c r="AH453" s="6"/>
      <c r="AI453" s="6"/>
      <c r="AJ453" s="6"/>
      <c r="AK453" s="6"/>
      <c r="AL453" s="6"/>
      <c r="AM453" s="6"/>
      <c r="AN453" s="6"/>
      <c r="AO453" s="6"/>
      <c r="AP453" s="6"/>
    </row>
    <row r="454" ht="17.25" customHeight="1">
      <c r="A454" s="203"/>
      <c r="B454" s="203"/>
      <c r="C454" s="203"/>
      <c r="D454" s="203"/>
      <c r="E454" s="203"/>
      <c r="F454" s="203"/>
      <c r="G454" s="6"/>
      <c r="H454" s="6"/>
      <c r="I454" s="6"/>
      <c r="J454" s="6"/>
      <c r="K454" s="6"/>
      <c r="L454" s="6"/>
      <c r="M454" s="6"/>
      <c r="N454" s="6"/>
      <c r="O454" s="203"/>
      <c r="P454" s="6"/>
      <c r="Q454" s="204"/>
      <c r="R454" s="205"/>
      <c r="S454" s="205"/>
      <c r="T454" s="206"/>
      <c r="U454" s="6"/>
      <c r="V454" s="6"/>
      <c r="W454" s="6"/>
      <c r="X454" s="6"/>
      <c r="Y454" s="6"/>
      <c r="Z454" s="6"/>
      <c r="AA454" s="6"/>
      <c r="AB454" s="6"/>
      <c r="AC454" s="6"/>
      <c r="AD454" s="6"/>
      <c r="AE454" s="6"/>
      <c r="AF454" s="6"/>
      <c r="AG454" s="6"/>
      <c r="AH454" s="6"/>
      <c r="AI454" s="6"/>
      <c r="AJ454" s="6"/>
      <c r="AK454" s="6"/>
      <c r="AL454" s="6"/>
      <c r="AM454" s="6"/>
      <c r="AN454" s="6"/>
      <c r="AO454" s="6"/>
      <c r="AP454" s="6"/>
    </row>
    <row r="455" ht="17.25" customHeight="1">
      <c r="A455" s="203"/>
      <c r="B455" s="203"/>
      <c r="C455" s="203"/>
      <c r="D455" s="203"/>
      <c r="E455" s="203"/>
      <c r="F455" s="203"/>
      <c r="G455" s="6"/>
      <c r="H455" s="6"/>
      <c r="I455" s="6"/>
      <c r="J455" s="6"/>
      <c r="K455" s="6"/>
      <c r="L455" s="6"/>
      <c r="M455" s="6"/>
      <c r="N455" s="6"/>
      <c r="O455" s="203"/>
      <c r="P455" s="6"/>
      <c r="Q455" s="204"/>
      <c r="R455" s="205"/>
      <c r="S455" s="205"/>
      <c r="T455" s="206"/>
      <c r="U455" s="6"/>
      <c r="V455" s="6"/>
      <c r="W455" s="6"/>
      <c r="X455" s="6"/>
      <c r="Y455" s="6"/>
      <c r="Z455" s="6"/>
      <c r="AA455" s="6"/>
      <c r="AB455" s="6"/>
      <c r="AC455" s="6"/>
      <c r="AD455" s="6"/>
      <c r="AE455" s="6"/>
      <c r="AF455" s="6"/>
      <c r="AG455" s="6"/>
      <c r="AH455" s="6"/>
      <c r="AI455" s="6"/>
      <c r="AJ455" s="6"/>
      <c r="AK455" s="6"/>
      <c r="AL455" s="6"/>
      <c r="AM455" s="6"/>
      <c r="AN455" s="6"/>
      <c r="AO455" s="6"/>
      <c r="AP455" s="6"/>
    </row>
    <row r="456" ht="17.25" customHeight="1">
      <c r="A456" s="203"/>
      <c r="B456" s="203"/>
      <c r="C456" s="203"/>
      <c r="D456" s="203"/>
      <c r="E456" s="203"/>
      <c r="F456" s="203"/>
      <c r="G456" s="6"/>
      <c r="H456" s="6"/>
      <c r="I456" s="6"/>
      <c r="J456" s="6"/>
      <c r="K456" s="6"/>
      <c r="L456" s="6"/>
      <c r="M456" s="6"/>
      <c r="N456" s="6"/>
      <c r="O456" s="203"/>
      <c r="P456" s="6"/>
      <c r="Q456" s="204"/>
      <c r="R456" s="205"/>
      <c r="S456" s="205"/>
      <c r="T456" s="206"/>
      <c r="U456" s="6"/>
      <c r="V456" s="6"/>
      <c r="W456" s="6"/>
      <c r="X456" s="6"/>
      <c r="Y456" s="6"/>
      <c r="Z456" s="6"/>
      <c r="AA456" s="6"/>
      <c r="AB456" s="6"/>
      <c r="AC456" s="6"/>
      <c r="AD456" s="6"/>
      <c r="AE456" s="6"/>
      <c r="AF456" s="6"/>
      <c r="AG456" s="6"/>
      <c r="AH456" s="6"/>
      <c r="AI456" s="6"/>
      <c r="AJ456" s="6"/>
      <c r="AK456" s="6"/>
      <c r="AL456" s="6"/>
      <c r="AM456" s="6"/>
      <c r="AN456" s="6"/>
      <c r="AO456" s="6"/>
      <c r="AP456" s="6"/>
    </row>
    <row r="457" ht="17.25" customHeight="1">
      <c r="A457" s="203"/>
      <c r="B457" s="203"/>
      <c r="C457" s="203"/>
      <c r="D457" s="203"/>
      <c r="E457" s="203"/>
      <c r="F457" s="203"/>
      <c r="G457" s="6"/>
      <c r="H457" s="6"/>
      <c r="I457" s="6"/>
      <c r="J457" s="6"/>
      <c r="K457" s="6"/>
      <c r="L457" s="6"/>
      <c r="M457" s="6"/>
      <c r="N457" s="6"/>
      <c r="O457" s="203"/>
      <c r="P457" s="6"/>
      <c r="Q457" s="204"/>
      <c r="R457" s="205"/>
      <c r="S457" s="205"/>
      <c r="T457" s="206"/>
      <c r="U457" s="6"/>
      <c r="V457" s="6"/>
      <c r="W457" s="6"/>
      <c r="X457" s="6"/>
      <c r="Y457" s="6"/>
      <c r="Z457" s="6"/>
      <c r="AA457" s="6"/>
      <c r="AB457" s="6"/>
      <c r="AC457" s="6"/>
      <c r="AD457" s="6"/>
      <c r="AE457" s="6"/>
      <c r="AF457" s="6"/>
      <c r="AG457" s="6"/>
      <c r="AH457" s="6"/>
      <c r="AI457" s="6"/>
      <c r="AJ457" s="6"/>
      <c r="AK457" s="6"/>
      <c r="AL457" s="6"/>
      <c r="AM457" s="6"/>
      <c r="AN457" s="6"/>
      <c r="AO457" s="6"/>
      <c r="AP457" s="6"/>
    </row>
    <row r="458" ht="17.25" customHeight="1">
      <c r="A458" s="203"/>
      <c r="B458" s="203"/>
      <c r="C458" s="203"/>
      <c r="D458" s="203"/>
      <c r="E458" s="203"/>
      <c r="F458" s="203"/>
      <c r="G458" s="6"/>
      <c r="H458" s="6"/>
      <c r="I458" s="6"/>
      <c r="J458" s="6"/>
      <c r="K458" s="6"/>
      <c r="L458" s="6"/>
      <c r="M458" s="6"/>
      <c r="N458" s="6"/>
      <c r="O458" s="203"/>
      <c r="P458" s="6"/>
      <c r="Q458" s="204"/>
      <c r="R458" s="205"/>
      <c r="S458" s="205"/>
      <c r="T458" s="206"/>
      <c r="U458" s="6"/>
      <c r="V458" s="6"/>
      <c r="W458" s="6"/>
      <c r="X458" s="6"/>
      <c r="Y458" s="6"/>
      <c r="Z458" s="6"/>
      <c r="AA458" s="6"/>
      <c r="AB458" s="6"/>
      <c r="AC458" s="6"/>
      <c r="AD458" s="6"/>
      <c r="AE458" s="6"/>
      <c r="AF458" s="6"/>
      <c r="AG458" s="6"/>
      <c r="AH458" s="6"/>
      <c r="AI458" s="6"/>
      <c r="AJ458" s="6"/>
      <c r="AK458" s="6"/>
      <c r="AL458" s="6"/>
      <c r="AM458" s="6"/>
      <c r="AN458" s="6"/>
      <c r="AO458" s="6"/>
      <c r="AP458" s="6"/>
    </row>
    <row r="459" ht="17.25" customHeight="1">
      <c r="A459" s="203"/>
      <c r="B459" s="203"/>
      <c r="C459" s="203"/>
      <c r="D459" s="203"/>
      <c r="E459" s="203"/>
      <c r="F459" s="203"/>
      <c r="G459" s="6"/>
      <c r="H459" s="6"/>
      <c r="I459" s="6"/>
      <c r="J459" s="6"/>
      <c r="K459" s="6"/>
      <c r="L459" s="6"/>
      <c r="M459" s="6"/>
      <c r="N459" s="6"/>
      <c r="O459" s="203"/>
      <c r="P459" s="6"/>
      <c r="Q459" s="204"/>
      <c r="R459" s="205"/>
      <c r="S459" s="205"/>
      <c r="T459" s="206"/>
      <c r="U459" s="6"/>
      <c r="V459" s="6"/>
      <c r="W459" s="6"/>
      <c r="X459" s="6"/>
      <c r="Y459" s="6"/>
      <c r="Z459" s="6"/>
      <c r="AA459" s="6"/>
      <c r="AB459" s="6"/>
      <c r="AC459" s="6"/>
      <c r="AD459" s="6"/>
      <c r="AE459" s="6"/>
      <c r="AF459" s="6"/>
      <c r="AG459" s="6"/>
      <c r="AH459" s="6"/>
      <c r="AI459" s="6"/>
      <c r="AJ459" s="6"/>
      <c r="AK459" s="6"/>
      <c r="AL459" s="6"/>
      <c r="AM459" s="6"/>
      <c r="AN459" s="6"/>
      <c r="AO459" s="6"/>
      <c r="AP459" s="6"/>
    </row>
    <row r="460" ht="17.25" customHeight="1">
      <c r="A460" s="203"/>
      <c r="B460" s="203"/>
      <c r="C460" s="203"/>
      <c r="D460" s="203"/>
      <c r="E460" s="203"/>
      <c r="F460" s="203"/>
      <c r="G460" s="6"/>
      <c r="H460" s="6"/>
      <c r="I460" s="6"/>
      <c r="J460" s="6"/>
      <c r="K460" s="6"/>
      <c r="L460" s="6"/>
      <c r="M460" s="6"/>
      <c r="N460" s="6"/>
      <c r="O460" s="203"/>
      <c r="P460" s="6"/>
      <c r="Q460" s="204"/>
      <c r="R460" s="205"/>
      <c r="S460" s="205"/>
      <c r="T460" s="206"/>
      <c r="U460" s="6"/>
      <c r="V460" s="6"/>
      <c r="W460" s="6"/>
      <c r="X460" s="6"/>
      <c r="Y460" s="6"/>
      <c r="Z460" s="6"/>
      <c r="AA460" s="6"/>
      <c r="AB460" s="6"/>
      <c r="AC460" s="6"/>
      <c r="AD460" s="6"/>
      <c r="AE460" s="6"/>
      <c r="AF460" s="6"/>
      <c r="AG460" s="6"/>
      <c r="AH460" s="6"/>
      <c r="AI460" s="6"/>
      <c r="AJ460" s="6"/>
      <c r="AK460" s="6"/>
      <c r="AL460" s="6"/>
      <c r="AM460" s="6"/>
      <c r="AN460" s="6"/>
      <c r="AO460" s="6"/>
      <c r="AP460" s="6"/>
    </row>
    <row r="461" ht="17.25" customHeight="1">
      <c r="A461" s="203"/>
      <c r="B461" s="203"/>
      <c r="C461" s="203"/>
      <c r="D461" s="203"/>
      <c r="E461" s="203"/>
      <c r="F461" s="203"/>
      <c r="G461" s="6"/>
      <c r="H461" s="6"/>
      <c r="I461" s="6"/>
      <c r="J461" s="6"/>
      <c r="K461" s="6"/>
      <c r="L461" s="6"/>
      <c r="M461" s="6"/>
      <c r="N461" s="6"/>
      <c r="O461" s="203"/>
      <c r="P461" s="6"/>
      <c r="Q461" s="204"/>
      <c r="R461" s="205"/>
      <c r="S461" s="205"/>
      <c r="T461" s="206"/>
      <c r="U461" s="6"/>
      <c r="V461" s="6"/>
      <c r="W461" s="6"/>
      <c r="X461" s="6"/>
      <c r="Y461" s="6"/>
      <c r="Z461" s="6"/>
      <c r="AA461" s="6"/>
      <c r="AB461" s="6"/>
      <c r="AC461" s="6"/>
      <c r="AD461" s="6"/>
      <c r="AE461" s="6"/>
      <c r="AF461" s="6"/>
      <c r="AG461" s="6"/>
      <c r="AH461" s="6"/>
      <c r="AI461" s="6"/>
      <c r="AJ461" s="6"/>
      <c r="AK461" s="6"/>
      <c r="AL461" s="6"/>
      <c r="AM461" s="6"/>
      <c r="AN461" s="6"/>
      <c r="AO461" s="6"/>
      <c r="AP461" s="6"/>
    </row>
    <row r="462" ht="17.25" customHeight="1">
      <c r="A462" s="203"/>
      <c r="B462" s="203"/>
      <c r="C462" s="203"/>
      <c r="D462" s="203"/>
      <c r="E462" s="203"/>
      <c r="F462" s="203"/>
      <c r="G462" s="6"/>
      <c r="H462" s="6"/>
      <c r="I462" s="6"/>
      <c r="J462" s="6"/>
      <c r="K462" s="6"/>
      <c r="L462" s="6"/>
      <c r="M462" s="6"/>
      <c r="N462" s="6"/>
      <c r="O462" s="203"/>
      <c r="P462" s="6"/>
      <c r="Q462" s="204"/>
      <c r="R462" s="205"/>
      <c r="S462" s="205"/>
      <c r="T462" s="206"/>
      <c r="U462" s="6"/>
      <c r="V462" s="6"/>
      <c r="W462" s="6"/>
      <c r="X462" s="6"/>
      <c r="Y462" s="6"/>
      <c r="Z462" s="6"/>
      <c r="AA462" s="6"/>
      <c r="AB462" s="6"/>
      <c r="AC462" s="6"/>
      <c r="AD462" s="6"/>
      <c r="AE462" s="6"/>
      <c r="AF462" s="6"/>
      <c r="AG462" s="6"/>
      <c r="AH462" s="6"/>
      <c r="AI462" s="6"/>
      <c r="AJ462" s="6"/>
      <c r="AK462" s="6"/>
      <c r="AL462" s="6"/>
      <c r="AM462" s="6"/>
      <c r="AN462" s="6"/>
      <c r="AO462" s="6"/>
      <c r="AP462" s="6"/>
    </row>
    <row r="463" ht="17.25" customHeight="1">
      <c r="A463" s="203"/>
      <c r="B463" s="203"/>
      <c r="C463" s="203"/>
      <c r="D463" s="203"/>
      <c r="E463" s="203"/>
      <c r="F463" s="203"/>
      <c r="G463" s="6"/>
      <c r="H463" s="6"/>
      <c r="I463" s="6"/>
      <c r="J463" s="6"/>
      <c r="K463" s="6"/>
      <c r="L463" s="6"/>
      <c r="M463" s="6"/>
      <c r="N463" s="6"/>
      <c r="O463" s="203"/>
      <c r="P463" s="6"/>
      <c r="Q463" s="204"/>
      <c r="R463" s="205"/>
      <c r="S463" s="205"/>
      <c r="T463" s="206"/>
      <c r="U463" s="6"/>
      <c r="V463" s="6"/>
      <c r="W463" s="6"/>
      <c r="X463" s="6"/>
      <c r="Y463" s="6"/>
      <c r="Z463" s="6"/>
      <c r="AA463" s="6"/>
      <c r="AB463" s="6"/>
      <c r="AC463" s="6"/>
      <c r="AD463" s="6"/>
      <c r="AE463" s="6"/>
      <c r="AF463" s="6"/>
      <c r="AG463" s="6"/>
      <c r="AH463" s="6"/>
      <c r="AI463" s="6"/>
      <c r="AJ463" s="6"/>
      <c r="AK463" s="6"/>
      <c r="AL463" s="6"/>
      <c r="AM463" s="6"/>
      <c r="AN463" s="6"/>
      <c r="AO463" s="6"/>
      <c r="AP463" s="6"/>
    </row>
    <row r="464" ht="17.25" customHeight="1">
      <c r="A464" s="203"/>
      <c r="B464" s="203"/>
      <c r="C464" s="203"/>
      <c r="D464" s="203"/>
      <c r="E464" s="203"/>
      <c r="F464" s="203"/>
      <c r="G464" s="6"/>
      <c r="H464" s="6"/>
      <c r="I464" s="6"/>
      <c r="J464" s="6"/>
      <c r="K464" s="6"/>
      <c r="L464" s="6"/>
      <c r="M464" s="6"/>
      <c r="N464" s="6"/>
      <c r="O464" s="203"/>
      <c r="P464" s="6"/>
      <c r="Q464" s="204"/>
      <c r="R464" s="205"/>
      <c r="S464" s="205"/>
      <c r="T464" s="206"/>
      <c r="U464" s="6"/>
      <c r="V464" s="6"/>
      <c r="W464" s="6"/>
      <c r="X464" s="6"/>
      <c r="Y464" s="6"/>
      <c r="Z464" s="6"/>
      <c r="AA464" s="6"/>
      <c r="AB464" s="6"/>
      <c r="AC464" s="6"/>
      <c r="AD464" s="6"/>
      <c r="AE464" s="6"/>
      <c r="AF464" s="6"/>
      <c r="AG464" s="6"/>
      <c r="AH464" s="6"/>
      <c r="AI464" s="6"/>
      <c r="AJ464" s="6"/>
      <c r="AK464" s="6"/>
      <c r="AL464" s="6"/>
      <c r="AM464" s="6"/>
      <c r="AN464" s="6"/>
      <c r="AO464" s="6"/>
      <c r="AP464" s="6"/>
    </row>
    <row r="465" ht="17.25" customHeight="1">
      <c r="A465" s="203"/>
      <c r="B465" s="203"/>
      <c r="C465" s="203"/>
      <c r="D465" s="203"/>
      <c r="E465" s="203"/>
      <c r="F465" s="203"/>
      <c r="G465" s="6"/>
      <c r="H465" s="6"/>
      <c r="I465" s="6"/>
      <c r="J465" s="6"/>
      <c r="K465" s="6"/>
      <c r="L465" s="6"/>
      <c r="M465" s="6"/>
      <c r="N465" s="6"/>
      <c r="O465" s="203"/>
      <c r="P465" s="6"/>
      <c r="Q465" s="204"/>
      <c r="R465" s="205"/>
      <c r="S465" s="205"/>
      <c r="T465" s="206"/>
      <c r="U465" s="6"/>
      <c r="V465" s="6"/>
      <c r="W465" s="6"/>
      <c r="X465" s="6"/>
      <c r="Y465" s="6"/>
      <c r="Z465" s="6"/>
      <c r="AA465" s="6"/>
      <c r="AB465" s="6"/>
      <c r="AC465" s="6"/>
      <c r="AD465" s="6"/>
      <c r="AE465" s="6"/>
      <c r="AF465" s="6"/>
      <c r="AG465" s="6"/>
      <c r="AH465" s="6"/>
      <c r="AI465" s="6"/>
      <c r="AJ465" s="6"/>
      <c r="AK465" s="6"/>
      <c r="AL465" s="6"/>
      <c r="AM465" s="6"/>
      <c r="AN465" s="6"/>
      <c r="AO465" s="6"/>
      <c r="AP465" s="6"/>
    </row>
    <row r="466" ht="17.25" customHeight="1">
      <c r="A466" s="203"/>
      <c r="B466" s="203"/>
      <c r="C466" s="203"/>
      <c r="D466" s="203"/>
      <c r="E466" s="203"/>
      <c r="F466" s="203"/>
      <c r="G466" s="6"/>
      <c r="H466" s="6"/>
      <c r="I466" s="6"/>
      <c r="J466" s="6"/>
      <c r="K466" s="6"/>
      <c r="L466" s="6"/>
      <c r="M466" s="6"/>
      <c r="N466" s="6"/>
      <c r="O466" s="203"/>
      <c r="P466" s="6"/>
      <c r="Q466" s="204"/>
      <c r="R466" s="205"/>
      <c r="S466" s="205"/>
      <c r="T466" s="206"/>
      <c r="U466" s="6"/>
      <c r="V466" s="6"/>
      <c r="W466" s="6"/>
      <c r="X466" s="6"/>
      <c r="Y466" s="6"/>
      <c r="Z466" s="6"/>
      <c r="AA466" s="6"/>
      <c r="AB466" s="6"/>
      <c r="AC466" s="6"/>
      <c r="AD466" s="6"/>
      <c r="AE466" s="6"/>
      <c r="AF466" s="6"/>
      <c r="AG466" s="6"/>
      <c r="AH466" s="6"/>
      <c r="AI466" s="6"/>
      <c r="AJ466" s="6"/>
      <c r="AK466" s="6"/>
      <c r="AL466" s="6"/>
      <c r="AM466" s="6"/>
      <c r="AN466" s="6"/>
      <c r="AO466" s="6"/>
      <c r="AP466" s="6"/>
    </row>
    <row r="467" ht="17.25" customHeight="1">
      <c r="A467" s="203"/>
      <c r="B467" s="203"/>
      <c r="C467" s="203"/>
      <c r="D467" s="203"/>
      <c r="E467" s="203"/>
      <c r="F467" s="203"/>
      <c r="G467" s="6"/>
      <c r="H467" s="6"/>
      <c r="I467" s="6"/>
      <c r="J467" s="6"/>
      <c r="K467" s="6"/>
      <c r="L467" s="6"/>
      <c r="M467" s="6"/>
      <c r="N467" s="6"/>
      <c r="O467" s="203"/>
      <c r="P467" s="6"/>
      <c r="Q467" s="204"/>
      <c r="R467" s="205"/>
      <c r="S467" s="205"/>
      <c r="T467" s="206"/>
      <c r="U467" s="6"/>
      <c r="V467" s="6"/>
      <c r="W467" s="6"/>
      <c r="X467" s="6"/>
      <c r="Y467" s="6"/>
      <c r="Z467" s="6"/>
      <c r="AA467" s="6"/>
      <c r="AB467" s="6"/>
      <c r="AC467" s="6"/>
      <c r="AD467" s="6"/>
      <c r="AE467" s="6"/>
      <c r="AF467" s="6"/>
      <c r="AG467" s="6"/>
      <c r="AH467" s="6"/>
      <c r="AI467" s="6"/>
      <c r="AJ467" s="6"/>
      <c r="AK467" s="6"/>
      <c r="AL467" s="6"/>
      <c r="AM467" s="6"/>
      <c r="AN467" s="6"/>
      <c r="AO467" s="6"/>
      <c r="AP467" s="6"/>
    </row>
    <row r="468" ht="17.25" customHeight="1">
      <c r="A468" s="203"/>
      <c r="B468" s="203"/>
      <c r="C468" s="203"/>
      <c r="D468" s="203"/>
      <c r="E468" s="203"/>
      <c r="F468" s="203"/>
      <c r="G468" s="6"/>
      <c r="H468" s="6"/>
      <c r="I468" s="6"/>
      <c r="J468" s="6"/>
      <c r="K468" s="6"/>
      <c r="L468" s="6"/>
      <c r="M468" s="6"/>
      <c r="N468" s="6"/>
      <c r="O468" s="203"/>
      <c r="P468" s="6"/>
      <c r="Q468" s="204"/>
      <c r="R468" s="205"/>
      <c r="S468" s="205"/>
      <c r="T468" s="206"/>
      <c r="U468" s="6"/>
      <c r="V468" s="6"/>
      <c r="W468" s="6"/>
      <c r="X468" s="6"/>
      <c r="Y468" s="6"/>
      <c r="Z468" s="6"/>
      <c r="AA468" s="6"/>
      <c r="AB468" s="6"/>
      <c r="AC468" s="6"/>
      <c r="AD468" s="6"/>
      <c r="AE468" s="6"/>
      <c r="AF468" s="6"/>
      <c r="AG468" s="6"/>
      <c r="AH468" s="6"/>
      <c r="AI468" s="6"/>
      <c r="AJ468" s="6"/>
      <c r="AK468" s="6"/>
      <c r="AL468" s="6"/>
      <c r="AM468" s="6"/>
      <c r="AN468" s="6"/>
      <c r="AO468" s="6"/>
      <c r="AP468" s="6"/>
    </row>
    <row r="469" ht="17.25" customHeight="1">
      <c r="A469" s="203"/>
      <c r="B469" s="203"/>
      <c r="C469" s="203"/>
      <c r="D469" s="203"/>
      <c r="E469" s="203"/>
      <c r="F469" s="203"/>
      <c r="G469" s="6"/>
      <c r="H469" s="6"/>
      <c r="I469" s="6"/>
      <c r="J469" s="6"/>
      <c r="K469" s="6"/>
      <c r="L469" s="6"/>
      <c r="M469" s="6"/>
      <c r="N469" s="6"/>
      <c r="O469" s="203"/>
      <c r="P469" s="6"/>
      <c r="Q469" s="204"/>
      <c r="R469" s="205"/>
      <c r="S469" s="205"/>
      <c r="T469" s="206"/>
      <c r="U469" s="6"/>
      <c r="V469" s="6"/>
      <c r="W469" s="6"/>
      <c r="X469" s="6"/>
      <c r="Y469" s="6"/>
      <c r="Z469" s="6"/>
      <c r="AA469" s="6"/>
      <c r="AB469" s="6"/>
      <c r="AC469" s="6"/>
      <c r="AD469" s="6"/>
      <c r="AE469" s="6"/>
      <c r="AF469" s="6"/>
      <c r="AG469" s="6"/>
      <c r="AH469" s="6"/>
      <c r="AI469" s="6"/>
      <c r="AJ469" s="6"/>
      <c r="AK469" s="6"/>
      <c r="AL469" s="6"/>
      <c r="AM469" s="6"/>
      <c r="AN469" s="6"/>
      <c r="AO469" s="6"/>
      <c r="AP469" s="6"/>
    </row>
    <row r="470" ht="17.25" customHeight="1">
      <c r="A470" s="203"/>
      <c r="B470" s="203"/>
      <c r="C470" s="203"/>
      <c r="D470" s="203"/>
      <c r="E470" s="203"/>
      <c r="F470" s="203"/>
      <c r="G470" s="6"/>
      <c r="H470" s="6"/>
      <c r="I470" s="6"/>
      <c r="J470" s="6"/>
      <c r="K470" s="6"/>
      <c r="L470" s="6"/>
      <c r="M470" s="6"/>
      <c r="N470" s="6"/>
      <c r="O470" s="203"/>
      <c r="P470" s="6"/>
      <c r="Q470" s="204"/>
      <c r="R470" s="205"/>
      <c r="S470" s="205"/>
      <c r="T470" s="206"/>
      <c r="U470" s="6"/>
      <c r="V470" s="6"/>
      <c r="W470" s="6"/>
      <c r="X470" s="6"/>
      <c r="Y470" s="6"/>
      <c r="Z470" s="6"/>
      <c r="AA470" s="6"/>
      <c r="AB470" s="6"/>
      <c r="AC470" s="6"/>
      <c r="AD470" s="6"/>
      <c r="AE470" s="6"/>
      <c r="AF470" s="6"/>
      <c r="AG470" s="6"/>
      <c r="AH470" s="6"/>
      <c r="AI470" s="6"/>
      <c r="AJ470" s="6"/>
      <c r="AK470" s="6"/>
      <c r="AL470" s="6"/>
      <c r="AM470" s="6"/>
      <c r="AN470" s="6"/>
      <c r="AO470" s="6"/>
      <c r="AP470" s="6"/>
    </row>
    <row r="471" ht="17.25" customHeight="1">
      <c r="A471" s="203"/>
      <c r="B471" s="203"/>
      <c r="C471" s="203"/>
      <c r="D471" s="203"/>
      <c r="E471" s="203"/>
      <c r="F471" s="203"/>
      <c r="G471" s="6"/>
      <c r="H471" s="6"/>
      <c r="I471" s="6"/>
      <c r="J471" s="6"/>
      <c r="K471" s="6"/>
      <c r="L471" s="6"/>
      <c r="M471" s="6"/>
      <c r="N471" s="6"/>
      <c r="O471" s="203"/>
      <c r="P471" s="6"/>
      <c r="Q471" s="204"/>
      <c r="R471" s="205"/>
      <c r="S471" s="205"/>
      <c r="T471" s="206"/>
      <c r="U471" s="6"/>
      <c r="V471" s="6"/>
      <c r="W471" s="6"/>
      <c r="X471" s="6"/>
      <c r="Y471" s="6"/>
      <c r="Z471" s="6"/>
      <c r="AA471" s="6"/>
      <c r="AB471" s="6"/>
      <c r="AC471" s="6"/>
      <c r="AD471" s="6"/>
      <c r="AE471" s="6"/>
      <c r="AF471" s="6"/>
      <c r="AG471" s="6"/>
      <c r="AH471" s="6"/>
      <c r="AI471" s="6"/>
      <c r="AJ471" s="6"/>
      <c r="AK471" s="6"/>
      <c r="AL471" s="6"/>
      <c r="AM471" s="6"/>
      <c r="AN471" s="6"/>
      <c r="AO471" s="6"/>
      <c r="AP471" s="6"/>
    </row>
    <row r="472" ht="17.25" customHeight="1">
      <c r="A472" s="203"/>
      <c r="B472" s="203"/>
      <c r="C472" s="203"/>
      <c r="D472" s="203"/>
      <c r="E472" s="203"/>
      <c r="F472" s="203"/>
      <c r="G472" s="6"/>
      <c r="H472" s="6"/>
      <c r="I472" s="6"/>
      <c r="J472" s="6"/>
      <c r="K472" s="6"/>
      <c r="L472" s="6"/>
      <c r="M472" s="6"/>
      <c r="N472" s="6"/>
      <c r="O472" s="203"/>
      <c r="P472" s="6"/>
      <c r="Q472" s="204"/>
      <c r="R472" s="205"/>
      <c r="S472" s="205"/>
      <c r="T472" s="206"/>
      <c r="U472" s="6"/>
      <c r="V472" s="6"/>
      <c r="W472" s="6"/>
      <c r="X472" s="6"/>
      <c r="Y472" s="6"/>
      <c r="Z472" s="6"/>
      <c r="AA472" s="6"/>
      <c r="AB472" s="6"/>
      <c r="AC472" s="6"/>
      <c r="AD472" s="6"/>
      <c r="AE472" s="6"/>
      <c r="AF472" s="6"/>
      <c r="AG472" s="6"/>
      <c r="AH472" s="6"/>
      <c r="AI472" s="6"/>
      <c r="AJ472" s="6"/>
      <c r="AK472" s="6"/>
      <c r="AL472" s="6"/>
      <c r="AM472" s="6"/>
      <c r="AN472" s="6"/>
      <c r="AO472" s="6"/>
      <c r="AP472" s="6"/>
    </row>
    <row r="473" ht="17.25" customHeight="1">
      <c r="A473" s="203"/>
      <c r="B473" s="203"/>
      <c r="C473" s="203"/>
      <c r="D473" s="203"/>
      <c r="E473" s="203"/>
      <c r="F473" s="203"/>
      <c r="G473" s="6"/>
      <c r="H473" s="6"/>
      <c r="I473" s="6"/>
      <c r="J473" s="6"/>
      <c r="K473" s="6"/>
      <c r="L473" s="6"/>
      <c r="M473" s="6"/>
      <c r="N473" s="6"/>
      <c r="O473" s="203"/>
      <c r="P473" s="6"/>
      <c r="Q473" s="204"/>
      <c r="R473" s="205"/>
      <c r="S473" s="205"/>
      <c r="T473" s="206"/>
      <c r="U473" s="6"/>
      <c r="V473" s="6"/>
      <c r="W473" s="6"/>
      <c r="X473" s="6"/>
      <c r="Y473" s="6"/>
      <c r="Z473" s="6"/>
      <c r="AA473" s="6"/>
      <c r="AB473" s="6"/>
      <c r="AC473" s="6"/>
      <c r="AD473" s="6"/>
      <c r="AE473" s="6"/>
      <c r="AF473" s="6"/>
      <c r="AG473" s="6"/>
      <c r="AH473" s="6"/>
      <c r="AI473" s="6"/>
      <c r="AJ473" s="6"/>
      <c r="AK473" s="6"/>
      <c r="AL473" s="6"/>
      <c r="AM473" s="6"/>
      <c r="AN473" s="6"/>
      <c r="AO473" s="6"/>
      <c r="AP473" s="6"/>
    </row>
    <row r="474" ht="17.25" customHeight="1">
      <c r="A474" s="203"/>
      <c r="B474" s="203"/>
      <c r="C474" s="203"/>
      <c r="D474" s="203"/>
      <c r="E474" s="203"/>
      <c r="F474" s="203"/>
      <c r="G474" s="6"/>
      <c r="H474" s="6"/>
      <c r="I474" s="6"/>
      <c r="J474" s="6"/>
      <c r="K474" s="6"/>
      <c r="L474" s="6"/>
      <c r="M474" s="6"/>
      <c r="N474" s="6"/>
      <c r="O474" s="203"/>
      <c r="P474" s="6"/>
      <c r="Q474" s="204"/>
      <c r="R474" s="205"/>
      <c r="S474" s="205"/>
      <c r="T474" s="206"/>
      <c r="U474" s="6"/>
      <c r="V474" s="6"/>
      <c r="W474" s="6"/>
      <c r="X474" s="6"/>
      <c r="Y474" s="6"/>
      <c r="Z474" s="6"/>
      <c r="AA474" s="6"/>
      <c r="AB474" s="6"/>
      <c r="AC474" s="6"/>
      <c r="AD474" s="6"/>
      <c r="AE474" s="6"/>
      <c r="AF474" s="6"/>
      <c r="AG474" s="6"/>
      <c r="AH474" s="6"/>
      <c r="AI474" s="6"/>
      <c r="AJ474" s="6"/>
      <c r="AK474" s="6"/>
      <c r="AL474" s="6"/>
      <c r="AM474" s="6"/>
      <c r="AN474" s="6"/>
      <c r="AO474" s="6"/>
      <c r="AP474" s="6"/>
    </row>
    <row r="475" ht="17.25" customHeight="1">
      <c r="A475" s="203"/>
      <c r="B475" s="203"/>
      <c r="C475" s="203"/>
      <c r="D475" s="203"/>
      <c r="E475" s="203"/>
      <c r="F475" s="203"/>
      <c r="G475" s="6"/>
      <c r="H475" s="6"/>
      <c r="I475" s="6"/>
      <c r="J475" s="6"/>
      <c r="K475" s="6"/>
      <c r="L475" s="6"/>
      <c r="M475" s="6"/>
      <c r="N475" s="6"/>
      <c r="O475" s="203"/>
      <c r="P475" s="6"/>
      <c r="Q475" s="204"/>
      <c r="R475" s="205"/>
      <c r="S475" s="205"/>
      <c r="T475" s="206"/>
      <c r="U475" s="6"/>
      <c r="V475" s="6"/>
      <c r="W475" s="6"/>
      <c r="X475" s="6"/>
      <c r="Y475" s="6"/>
      <c r="Z475" s="6"/>
      <c r="AA475" s="6"/>
      <c r="AB475" s="6"/>
      <c r="AC475" s="6"/>
      <c r="AD475" s="6"/>
      <c r="AE475" s="6"/>
      <c r="AF475" s="6"/>
      <c r="AG475" s="6"/>
      <c r="AH475" s="6"/>
      <c r="AI475" s="6"/>
      <c r="AJ475" s="6"/>
      <c r="AK475" s="6"/>
      <c r="AL475" s="6"/>
      <c r="AM475" s="6"/>
      <c r="AN475" s="6"/>
      <c r="AO475" s="6"/>
      <c r="AP475" s="6"/>
    </row>
    <row r="476" ht="17.25" customHeight="1">
      <c r="A476" s="203"/>
      <c r="B476" s="203"/>
      <c r="C476" s="203"/>
      <c r="D476" s="203"/>
      <c r="E476" s="203"/>
      <c r="F476" s="203"/>
      <c r="G476" s="6"/>
      <c r="H476" s="6"/>
      <c r="I476" s="6"/>
      <c r="J476" s="6"/>
      <c r="K476" s="6"/>
      <c r="L476" s="6"/>
      <c r="M476" s="6"/>
      <c r="N476" s="6"/>
      <c r="O476" s="203"/>
      <c r="P476" s="6"/>
      <c r="Q476" s="204"/>
      <c r="R476" s="205"/>
      <c r="S476" s="205"/>
      <c r="T476" s="206"/>
      <c r="U476" s="6"/>
      <c r="V476" s="6"/>
      <c r="W476" s="6"/>
      <c r="X476" s="6"/>
      <c r="Y476" s="6"/>
      <c r="Z476" s="6"/>
      <c r="AA476" s="6"/>
      <c r="AB476" s="6"/>
      <c r="AC476" s="6"/>
      <c r="AD476" s="6"/>
      <c r="AE476" s="6"/>
      <c r="AF476" s="6"/>
      <c r="AG476" s="6"/>
      <c r="AH476" s="6"/>
      <c r="AI476" s="6"/>
      <c r="AJ476" s="6"/>
      <c r="AK476" s="6"/>
      <c r="AL476" s="6"/>
      <c r="AM476" s="6"/>
      <c r="AN476" s="6"/>
      <c r="AO476" s="6"/>
      <c r="AP476" s="6"/>
    </row>
    <row r="477" ht="17.25" customHeight="1">
      <c r="A477" s="203"/>
      <c r="B477" s="203"/>
      <c r="C477" s="203"/>
      <c r="D477" s="203"/>
      <c r="E477" s="203"/>
      <c r="F477" s="203"/>
      <c r="G477" s="6"/>
      <c r="H477" s="6"/>
      <c r="I477" s="6"/>
      <c r="J477" s="6"/>
      <c r="K477" s="6"/>
      <c r="L477" s="6"/>
      <c r="M477" s="6"/>
      <c r="N477" s="6"/>
      <c r="O477" s="203"/>
      <c r="P477" s="6"/>
      <c r="Q477" s="204"/>
      <c r="R477" s="205"/>
      <c r="S477" s="205"/>
      <c r="T477" s="206"/>
      <c r="U477" s="6"/>
      <c r="V477" s="6"/>
      <c r="W477" s="6"/>
      <c r="X477" s="6"/>
      <c r="Y477" s="6"/>
      <c r="Z477" s="6"/>
      <c r="AA477" s="6"/>
      <c r="AB477" s="6"/>
      <c r="AC477" s="6"/>
      <c r="AD477" s="6"/>
      <c r="AE477" s="6"/>
      <c r="AF477" s="6"/>
      <c r="AG477" s="6"/>
      <c r="AH477" s="6"/>
      <c r="AI477" s="6"/>
      <c r="AJ477" s="6"/>
      <c r="AK477" s="6"/>
      <c r="AL477" s="6"/>
      <c r="AM477" s="6"/>
      <c r="AN477" s="6"/>
      <c r="AO477" s="6"/>
      <c r="AP477" s="6"/>
    </row>
    <row r="478" ht="17.25" customHeight="1">
      <c r="A478" s="203"/>
      <c r="B478" s="203"/>
      <c r="C478" s="203"/>
      <c r="D478" s="203"/>
      <c r="E478" s="203"/>
      <c r="F478" s="203"/>
      <c r="G478" s="6"/>
      <c r="H478" s="6"/>
      <c r="I478" s="6"/>
      <c r="J478" s="6"/>
      <c r="K478" s="6"/>
      <c r="L478" s="6"/>
      <c r="M478" s="6"/>
      <c r="N478" s="6"/>
      <c r="O478" s="203"/>
      <c r="P478" s="6"/>
      <c r="Q478" s="204"/>
      <c r="R478" s="205"/>
      <c r="S478" s="205"/>
      <c r="T478" s="206"/>
      <c r="U478" s="6"/>
      <c r="V478" s="6"/>
      <c r="W478" s="6"/>
      <c r="X478" s="6"/>
      <c r="Y478" s="6"/>
      <c r="Z478" s="6"/>
      <c r="AA478" s="6"/>
      <c r="AB478" s="6"/>
      <c r="AC478" s="6"/>
      <c r="AD478" s="6"/>
      <c r="AE478" s="6"/>
      <c r="AF478" s="6"/>
      <c r="AG478" s="6"/>
      <c r="AH478" s="6"/>
      <c r="AI478" s="6"/>
      <c r="AJ478" s="6"/>
      <c r="AK478" s="6"/>
      <c r="AL478" s="6"/>
      <c r="AM478" s="6"/>
      <c r="AN478" s="6"/>
      <c r="AO478" s="6"/>
      <c r="AP478" s="6"/>
    </row>
    <row r="479" ht="17.25" customHeight="1">
      <c r="A479" s="203"/>
      <c r="B479" s="203"/>
      <c r="C479" s="203"/>
      <c r="D479" s="203"/>
      <c r="E479" s="203"/>
      <c r="F479" s="203"/>
      <c r="G479" s="6"/>
      <c r="H479" s="6"/>
      <c r="I479" s="6"/>
      <c r="J479" s="6"/>
      <c r="K479" s="6"/>
      <c r="L479" s="6"/>
      <c r="M479" s="6"/>
      <c r="N479" s="6"/>
      <c r="O479" s="203"/>
      <c r="P479" s="6"/>
      <c r="Q479" s="204"/>
      <c r="R479" s="205"/>
      <c r="S479" s="205"/>
      <c r="T479" s="206"/>
      <c r="U479" s="6"/>
      <c r="V479" s="6"/>
      <c r="W479" s="6"/>
      <c r="X479" s="6"/>
      <c r="Y479" s="6"/>
      <c r="Z479" s="6"/>
      <c r="AA479" s="6"/>
      <c r="AB479" s="6"/>
      <c r="AC479" s="6"/>
      <c r="AD479" s="6"/>
      <c r="AE479" s="6"/>
      <c r="AF479" s="6"/>
      <c r="AG479" s="6"/>
      <c r="AH479" s="6"/>
      <c r="AI479" s="6"/>
      <c r="AJ479" s="6"/>
      <c r="AK479" s="6"/>
      <c r="AL479" s="6"/>
      <c r="AM479" s="6"/>
      <c r="AN479" s="6"/>
      <c r="AO479" s="6"/>
      <c r="AP479" s="6"/>
    </row>
    <row r="480" ht="17.25" customHeight="1">
      <c r="A480" s="203"/>
      <c r="B480" s="203"/>
      <c r="C480" s="203"/>
      <c r="D480" s="203"/>
      <c r="E480" s="203"/>
      <c r="F480" s="203"/>
      <c r="G480" s="6"/>
      <c r="H480" s="6"/>
      <c r="I480" s="6"/>
      <c r="J480" s="6"/>
      <c r="K480" s="6"/>
      <c r="L480" s="6"/>
      <c r="M480" s="6"/>
      <c r="N480" s="6"/>
      <c r="O480" s="203"/>
      <c r="P480" s="6"/>
      <c r="Q480" s="204"/>
      <c r="R480" s="205"/>
      <c r="S480" s="205"/>
      <c r="T480" s="206"/>
      <c r="U480" s="6"/>
      <c r="V480" s="6"/>
      <c r="W480" s="6"/>
      <c r="X480" s="6"/>
      <c r="Y480" s="6"/>
      <c r="Z480" s="6"/>
      <c r="AA480" s="6"/>
      <c r="AB480" s="6"/>
      <c r="AC480" s="6"/>
      <c r="AD480" s="6"/>
      <c r="AE480" s="6"/>
      <c r="AF480" s="6"/>
      <c r="AG480" s="6"/>
      <c r="AH480" s="6"/>
      <c r="AI480" s="6"/>
      <c r="AJ480" s="6"/>
      <c r="AK480" s="6"/>
      <c r="AL480" s="6"/>
      <c r="AM480" s="6"/>
      <c r="AN480" s="6"/>
      <c r="AO480" s="6"/>
      <c r="AP480" s="6"/>
    </row>
    <row r="481" ht="17.25" customHeight="1">
      <c r="A481" s="203"/>
      <c r="B481" s="203"/>
      <c r="C481" s="203"/>
      <c r="D481" s="203"/>
      <c r="E481" s="203"/>
      <c r="F481" s="203"/>
      <c r="G481" s="6"/>
      <c r="H481" s="6"/>
      <c r="I481" s="6"/>
      <c r="J481" s="6"/>
      <c r="K481" s="6"/>
      <c r="L481" s="6"/>
      <c r="M481" s="6"/>
      <c r="N481" s="6"/>
      <c r="O481" s="203"/>
      <c r="P481" s="6"/>
      <c r="Q481" s="204"/>
      <c r="R481" s="205"/>
      <c r="S481" s="205"/>
      <c r="T481" s="206"/>
      <c r="U481" s="6"/>
      <c r="V481" s="6"/>
      <c r="W481" s="6"/>
      <c r="X481" s="6"/>
      <c r="Y481" s="6"/>
      <c r="Z481" s="6"/>
      <c r="AA481" s="6"/>
      <c r="AB481" s="6"/>
      <c r="AC481" s="6"/>
      <c r="AD481" s="6"/>
      <c r="AE481" s="6"/>
      <c r="AF481" s="6"/>
      <c r="AG481" s="6"/>
      <c r="AH481" s="6"/>
      <c r="AI481" s="6"/>
      <c r="AJ481" s="6"/>
      <c r="AK481" s="6"/>
      <c r="AL481" s="6"/>
      <c r="AM481" s="6"/>
      <c r="AN481" s="6"/>
      <c r="AO481" s="6"/>
      <c r="AP481" s="6"/>
    </row>
    <row r="482" ht="17.25" customHeight="1">
      <c r="A482" s="203"/>
      <c r="B482" s="203"/>
      <c r="C482" s="203"/>
      <c r="D482" s="203"/>
      <c r="E482" s="203"/>
      <c r="F482" s="203"/>
      <c r="G482" s="6"/>
      <c r="H482" s="6"/>
      <c r="I482" s="6"/>
      <c r="J482" s="6"/>
      <c r="K482" s="6"/>
      <c r="L482" s="6"/>
      <c r="M482" s="6"/>
      <c r="N482" s="6"/>
      <c r="O482" s="203"/>
      <c r="P482" s="6"/>
      <c r="Q482" s="204"/>
      <c r="R482" s="205"/>
      <c r="S482" s="205"/>
      <c r="T482" s="206"/>
      <c r="U482" s="6"/>
      <c r="V482" s="6"/>
      <c r="W482" s="6"/>
      <c r="X482" s="6"/>
      <c r="Y482" s="6"/>
      <c r="Z482" s="6"/>
      <c r="AA482" s="6"/>
      <c r="AB482" s="6"/>
      <c r="AC482" s="6"/>
      <c r="AD482" s="6"/>
      <c r="AE482" s="6"/>
      <c r="AF482" s="6"/>
      <c r="AG482" s="6"/>
      <c r="AH482" s="6"/>
      <c r="AI482" s="6"/>
      <c r="AJ482" s="6"/>
      <c r="AK482" s="6"/>
      <c r="AL482" s="6"/>
      <c r="AM482" s="6"/>
      <c r="AN482" s="6"/>
      <c r="AO482" s="6"/>
      <c r="AP482" s="6"/>
    </row>
    <row r="483" ht="17.25" customHeight="1">
      <c r="A483" s="203"/>
      <c r="B483" s="203"/>
      <c r="C483" s="203"/>
      <c r="D483" s="203"/>
      <c r="E483" s="203"/>
      <c r="F483" s="203"/>
      <c r="G483" s="6"/>
      <c r="H483" s="6"/>
      <c r="I483" s="6"/>
      <c r="J483" s="6"/>
      <c r="K483" s="6"/>
      <c r="L483" s="6"/>
      <c r="M483" s="6"/>
      <c r="N483" s="6"/>
      <c r="O483" s="203"/>
      <c r="P483" s="6"/>
      <c r="Q483" s="204"/>
      <c r="R483" s="205"/>
      <c r="S483" s="205"/>
      <c r="T483" s="206"/>
      <c r="U483" s="6"/>
      <c r="V483" s="6"/>
      <c r="W483" s="6"/>
      <c r="X483" s="6"/>
      <c r="Y483" s="6"/>
      <c r="Z483" s="6"/>
      <c r="AA483" s="6"/>
      <c r="AB483" s="6"/>
      <c r="AC483" s="6"/>
      <c r="AD483" s="6"/>
      <c r="AE483" s="6"/>
      <c r="AF483" s="6"/>
      <c r="AG483" s="6"/>
      <c r="AH483" s="6"/>
      <c r="AI483" s="6"/>
      <c r="AJ483" s="6"/>
      <c r="AK483" s="6"/>
      <c r="AL483" s="6"/>
      <c r="AM483" s="6"/>
      <c r="AN483" s="6"/>
      <c r="AO483" s="6"/>
      <c r="AP483" s="6"/>
    </row>
    <row r="484" ht="17.25" customHeight="1">
      <c r="A484" s="203"/>
      <c r="B484" s="203"/>
      <c r="C484" s="203"/>
      <c r="D484" s="203"/>
      <c r="E484" s="203"/>
      <c r="F484" s="203"/>
      <c r="G484" s="6"/>
      <c r="H484" s="6"/>
      <c r="I484" s="6"/>
      <c r="J484" s="6"/>
      <c r="K484" s="6"/>
      <c r="L484" s="6"/>
      <c r="M484" s="6"/>
      <c r="N484" s="6"/>
      <c r="O484" s="203"/>
      <c r="P484" s="6"/>
      <c r="Q484" s="204"/>
      <c r="R484" s="205"/>
      <c r="S484" s="205"/>
      <c r="T484" s="206"/>
      <c r="U484" s="6"/>
      <c r="V484" s="6"/>
      <c r="W484" s="6"/>
      <c r="X484" s="6"/>
      <c r="Y484" s="6"/>
      <c r="Z484" s="6"/>
      <c r="AA484" s="6"/>
      <c r="AB484" s="6"/>
      <c r="AC484" s="6"/>
      <c r="AD484" s="6"/>
      <c r="AE484" s="6"/>
      <c r="AF484" s="6"/>
      <c r="AG484" s="6"/>
      <c r="AH484" s="6"/>
      <c r="AI484" s="6"/>
      <c r="AJ484" s="6"/>
      <c r="AK484" s="6"/>
      <c r="AL484" s="6"/>
      <c r="AM484" s="6"/>
      <c r="AN484" s="6"/>
      <c r="AO484" s="6"/>
      <c r="AP484" s="6"/>
    </row>
    <row r="485" ht="17.25" customHeight="1">
      <c r="A485" s="203"/>
      <c r="B485" s="203"/>
      <c r="C485" s="203"/>
      <c r="D485" s="203"/>
      <c r="E485" s="203"/>
      <c r="F485" s="203"/>
      <c r="G485" s="6"/>
      <c r="H485" s="6"/>
      <c r="I485" s="6"/>
      <c r="J485" s="6"/>
      <c r="K485" s="6"/>
      <c r="L485" s="6"/>
      <c r="M485" s="6"/>
      <c r="N485" s="6"/>
      <c r="O485" s="203"/>
      <c r="P485" s="6"/>
      <c r="Q485" s="204"/>
      <c r="R485" s="205"/>
      <c r="S485" s="205"/>
      <c r="T485" s="206"/>
      <c r="U485" s="6"/>
      <c r="V485" s="6"/>
      <c r="W485" s="6"/>
      <c r="X485" s="6"/>
      <c r="Y485" s="6"/>
      <c r="Z485" s="6"/>
      <c r="AA485" s="6"/>
      <c r="AB485" s="6"/>
      <c r="AC485" s="6"/>
      <c r="AD485" s="6"/>
      <c r="AE485" s="6"/>
      <c r="AF485" s="6"/>
      <c r="AG485" s="6"/>
      <c r="AH485" s="6"/>
      <c r="AI485" s="6"/>
      <c r="AJ485" s="6"/>
      <c r="AK485" s="6"/>
      <c r="AL485" s="6"/>
      <c r="AM485" s="6"/>
      <c r="AN485" s="6"/>
      <c r="AO485" s="6"/>
      <c r="AP485" s="6"/>
    </row>
    <row r="486" ht="17.25" customHeight="1">
      <c r="A486" s="203"/>
      <c r="B486" s="203"/>
      <c r="C486" s="203"/>
      <c r="D486" s="203"/>
      <c r="E486" s="203"/>
      <c r="F486" s="203"/>
      <c r="G486" s="6"/>
      <c r="H486" s="6"/>
      <c r="I486" s="6"/>
      <c r="J486" s="6"/>
      <c r="K486" s="6"/>
      <c r="L486" s="6"/>
      <c r="M486" s="6"/>
      <c r="N486" s="6"/>
      <c r="O486" s="203"/>
      <c r="P486" s="6"/>
      <c r="Q486" s="204"/>
      <c r="R486" s="205"/>
      <c r="S486" s="205"/>
      <c r="T486" s="206"/>
      <c r="U486" s="6"/>
      <c r="V486" s="6"/>
      <c r="W486" s="6"/>
      <c r="X486" s="6"/>
      <c r="Y486" s="6"/>
      <c r="Z486" s="6"/>
      <c r="AA486" s="6"/>
      <c r="AB486" s="6"/>
      <c r="AC486" s="6"/>
      <c r="AD486" s="6"/>
      <c r="AE486" s="6"/>
      <c r="AF486" s="6"/>
      <c r="AG486" s="6"/>
      <c r="AH486" s="6"/>
      <c r="AI486" s="6"/>
      <c r="AJ486" s="6"/>
      <c r="AK486" s="6"/>
      <c r="AL486" s="6"/>
      <c r="AM486" s="6"/>
      <c r="AN486" s="6"/>
      <c r="AO486" s="6"/>
      <c r="AP486" s="6"/>
    </row>
    <row r="487" ht="17.25" customHeight="1">
      <c r="A487" s="203"/>
      <c r="B487" s="203"/>
      <c r="C487" s="203"/>
      <c r="D487" s="203"/>
      <c r="E487" s="203"/>
      <c r="F487" s="203"/>
      <c r="G487" s="6"/>
      <c r="H487" s="6"/>
      <c r="I487" s="6"/>
      <c r="J487" s="6"/>
      <c r="K487" s="6"/>
      <c r="L487" s="6"/>
      <c r="M487" s="6"/>
      <c r="N487" s="6"/>
      <c r="O487" s="203"/>
      <c r="P487" s="6"/>
      <c r="Q487" s="204"/>
      <c r="R487" s="205"/>
      <c r="S487" s="205"/>
      <c r="T487" s="206"/>
      <c r="U487" s="6"/>
      <c r="V487" s="6"/>
      <c r="W487" s="6"/>
      <c r="X487" s="6"/>
      <c r="Y487" s="6"/>
      <c r="Z487" s="6"/>
      <c r="AA487" s="6"/>
      <c r="AB487" s="6"/>
      <c r="AC487" s="6"/>
      <c r="AD487" s="6"/>
      <c r="AE487" s="6"/>
      <c r="AF487" s="6"/>
      <c r="AG487" s="6"/>
      <c r="AH487" s="6"/>
      <c r="AI487" s="6"/>
      <c r="AJ487" s="6"/>
      <c r="AK487" s="6"/>
      <c r="AL487" s="6"/>
      <c r="AM487" s="6"/>
      <c r="AN487" s="6"/>
      <c r="AO487" s="6"/>
      <c r="AP487" s="6"/>
    </row>
    <row r="488" ht="17.25" customHeight="1">
      <c r="A488" s="203"/>
      <c r="B488" s="203"/>
      <c r="C488" s="203"/>
      <c r="D488" s="203"/>
      <c r="E488" s="203"/>
      <c r="F488" s="203"/>
      <c r="G488" s="6"/>
      <c r="H488" s="6"/>
      <c r="I488" s="6"/>
      <c r="J488" s="6"/>
      <c r="K488" s="6"/>
      <c r="L488" s="6"/>
      <c r="M488" s="6"/>
      <c r="N488" s="6"/>
      <c r="O488" s="203"/>
      <c r="P488" s="6"/>
      <c r="Q488" s="204"/>
      <c r="R488" s="205"/>
      <c r="S488" s="205"/>
      <c r="T488" s="206"/>
      <c r="U488" s="6"/>
      <c r="V488" s="6"/>
      <c r="W488" s="6"/>
      <c r="X488" s="6"/>
      <c r="Y488" s="6"/>
      <c r="Z488" s="6"/>
      <c r="AA488" s="6"/>
      <c r="AB488" s="6"/>
      <c r="AC488" s="6"/>
      <c r="AD488" s="6"/>
      <c r="AE488" s="6"/>
      <c r="AF488" s="6"/>
      <c r="AG488" s="6"/>
      <c r="AH488" s="6"/>
      <c r="AI488" s="6"/>
      <c r="AJ488" s="6"/>
      <c r="AK488" s="6"/>
      <c r="AL488" s="6"/>
      <c r="AM488" s="6"/>
      <c r="AN488" s="6"/>
      <c r="AO488" s="6"/>
      <c r="AP488" s="6"/>
    </row>
    <row r="489" ht="17.25" customHeight="1">
      <c r="A489" s="203"/>
      <c r="B489" s="203"/>
      <c r="C489" s="203"/>
      <c r="D489" s="203"/>
      <c r="E489" s="203"/>
      <c r="F489" s="203"/>
      <c r="G489" s="6"/>
      <c r="H489" s="6"/>
      <c r="I489" s="6"/>
      <c r="J489" s="6"/>
      <c r="K489" s="6"/>
      <c r="L489" s="6"/>
      <c r="M489" s="6"/>
      <c r="N489" s="6"/>
      <c r="O489" s="203"/>
      <c r="P489" s="6"/>
      <c r="Q489" s="204"/>
      <c r="R489" s="205"/>
      <c r="S489" s="205"/>
      <c r="T489" s="206"/>
      <c r="U489" s="6"/>
      <c r="V489" s="6"/>
      <c r="W489" s="6"/>
      <c r="X489" s="6"/>
      <c r="Y489" s="6"/>
      <c r="Z489" s="6"/>
      <c r="AA489" s="6"/>
      <c r="AB489" s="6"/>
      <c r="AC489" s="6"/>
      <c r="AD489" s="6"/>
      <c r="AE489" s="6"/>
      <c r="AF489" s="6"/>
      <c r="AG489" s="6"/>
      <c r="AH489" s="6"/>
      <c r="AI489" s="6"/>
      <c r="AJ489" s="6"/>
      <c r="AK489" s="6"/>
      <c r="AL489" s="6"/>
      <c r="AM489" s="6"/>
      <c r="AN489" s="6"/>
      <c r="AO489" s="6"/>
      <c r="AP489" s="6"/>
    </row>
    <row r="490" ht="17.25" customHeight="1">
      <c r="A490" s="203"/>
      <c r="B490" s="203"/>
      <c r="C490" s="203"/>
      <c r="D490" s="203"/>
      <c r="E490" s="203"/>
      <c r="F490" s="203"/>
      <c r="G490" s="6"/>
      <c r="H490" s="6"/>
      <c r="I490" s="6"/>
      <c r="J490" s="6"/>
      <c r="K490" s="6"/>
      <c r="L490" s="6"/>
      <c r="M490" s="6"/>
      <c r="N490" s="6"/>
      <c r="O490" s="203"/>
      <c r="P490" s="6"/>
      <c r="Q490" s="204"/>
      <c r="R490" s="205"/>
      <c r="S490" s="205"/>
      <c r="T490" s="206"/>
      <c r="U490" s="6"/>
      <c r="V490" s="6"/>
      <c r="W490" s="6"/>
      <c r="X490" s="6"/>
      <c r="Y490" s="6"/>
      <c r="Z490" s="6"/>
      <c r="AA490" s="6"/>
      <c r="AB490" s="6"/>
      <c r="AC490" s="6"/>
      <c r="AD490" s="6"/>
      <c r="AE490" s="6"/>
      <c r="AF490" s="6"/>
      <c r="AG490" s="6"/>
      <c r="AH490" s="6"/>
      <c r="AI490" s="6"/>
      <c r="AJ490" s="6"/>
      <c r="AK490" s="6"/>
      <c r="AL490" s="6"/>
      <c r="AM490" s="6"/>
      <c r="AN490" s="6"/>
      <c r="AO490" s="6"/>
      <c r="AP490" s="6"/>
    </row>
    <row r="491" ht="17.25" customHeight="1">
      <c r="A491" s="203"/>
      <c r="B491" s="203"/>
      <c r="C491" s="203"/>
      <c r="D491" s="203"/>
      <c r="E491" s="203"/>
      <c r="F491" s="203"/>
      <c r="G491" s="6"/>
      <c r="H491" s="6"/>
      <c r="I491" s="6"/>
      <c r="J491" s="6"/>
      <c r="K491" s="6"/>
      <c r="L491" s="6"/>
      <c r="M491" s="6"/>
      <c r="N491" s="6"/>
      <c r="O491" s="203"/>
      <c r="P491" s="6"/>
      <c r="Q491" s="204"/>
      <c r="R491" s="205"/>
      <c r="S491" s="205"/>
      <c r="T491" s="206"/>
      <c r="U491" s="6"/>
      <c r="V491" s="6"/>
      <c r="W491" s="6"/>
      <c r="X491" s="6"/>
      <c r="Y491" s="6"/>
      <c r="Z491" s="6"/>
      <c r="AA491" s="6"/>
      <c r="AB491" s="6"/>
      <c r="AC491" s="6"/>
      <c r="AD491" s="6"/>
      <c r="AE491" s="6"/>
      <c r="AF491" s="6"/>
      <c r="AG491" s="6"/>
      <c r="AH491" s="6"/>
      <c r="AI491" s="6"/>
      <c r="AJ491" s="6"/>
      <c r="AK491" s="6"/>
      <c r="AL491" s="6"/>
      <c r="AM491" s="6"/>
      <c r="AN491" s="6"/>
      <c r="AO491" s="6"/>
      <c r="AP491" s="6"/>
    </row>
    <row r="492" ht="17.25" customHeight="1">
      <c r="A492" s="203"/>
      <c r="B492" s="203"/>
      <c r="C492" s="203"/>
      <c r="D492" s="203"/>
      <c r="E492" s="203"/>
      <c r="F492" s="203"/>
      <c r="G492" s="6"/>
      <c r="H492" s="6"/>
      <c r="I492" s="6"/>
      <c r="J492" s="6"/>
      <c r="K492" s="6"/>
      <c r="L492" s="6"/>
      <c r="M492" s="6"/>
      <c r="N492" s="6"/>
      <c r="O492" s="203"/>
      <c r="P492" s="6"/>
      <c r="Q492" s="204"/>
      <c r="R492" s="205"/>
      <c r="S492" s="205"/>
      <c r="T492" s="206"/>
      <c r="U492" s="6"/>
      <c r="V492" s="6"/>
      <c r="W492" s="6"/>
      <c r="X492" s="6"/>
      <c r="Y492" s="6"/>
      <c r="Z492" s="6"/>
      <c r="AA492" s="6"/>
      <c r="AB492" s="6"/>
      <c r="AC492" s="6"/>
      <c r="AD492" s="6"/>
      <c r="AE492" s="6"/>
      <c r="AF492" s="6"/>
      <c r="AG492" s="6"/>
      <c r="AH492" s="6"/>
      <c r="AI492" s="6"/>
      <c r="AJ492" s="6"/>
      <c r="AK492" s="6"/>
      <c r="AL492" s="6"/>
      <c r="AM492" s="6"/>
      <c r="AN492" s="6"/>
      <c r="AO492" s="6"/>
      <c r="AP492" s="6"/>
    </row>
    <row r="493" ht="17.25" customHeight="1">
      <c r="A493" s="203"/>
      <c r="B493" s="203"/>
      <c r="C493" s="203"/>
      <c r="D493" s="203"/>
      <c r="E493" s="203"/>
      <c r="F493" s="203"/>
      <c r="G493" s="6"/>
      <c r="H493" s="6"/>
      <c r="I493" s="6"/>
      <c r="J493" s="6"/>
      <c r="K493" s="6"/>
      <c r="L493" s="6"/>
      <c r="M493" s="6"/>
      <c r="N493" s="6"/>
      <c r="O493" s="203"/>
      <c r="P493" s="6"/>
      <c r="Q493" s="204"/>
      <c r="R493" s="205"/>
      <c r="S493" s="205"/>
      <c r="T493" s="206"/>
      <c r="U493" s="6"/>
      <c r="V493" s="6"/>
      <c r="W493" s="6"/>
      <c r="X493" s="6"/>
      <c r="Y493" s="6"/>
      <c r="Z493" s="6"/>
      <c r="AA493" s="6"/>
      <c r="AB493" s="6"/>
      <c r="AC493" s="6"/>
      <c r="AD493" s="6"/>
      <c r="AE493" s="6"/>
      <c r="AF493" s="6"/>
      <c r="AG493" s="6"/>
      <c r="AH493" s="6"/>
      <c r="AI493" s="6"/>
      <c r="AJ493" s="6"/>
      <c r="AK493" s="6"/>
      <c r="AL493" s="6"/>
      <c r="AM493" s="6"/>
      <c r="AN493" s="6"/>
      <c r="AO493" s="6"/>
      <c r="AP493" s="6"/>
    </row>
    <row r="494" ht="17.25" customHeight="1">
      <c r="A494" s="203"/>
      <c r="B494" s="203"/>
      <c r="C494" s="203"/>
      <c r="D494" s="203"/>
      <c r="E494" s="203"/>
      <c r="F494" s="203"/>
      <c r="G494" s="6"/>
      <c r="H494" s="6"/>
      <c r="I494" s="6"/>
      <c r="J494" s="6"/>
      <c r="K494" s="6"/>
      <c r="L494" s="6"/>
      <c r="M494" s="6"/>
      <c r="N494" s="6"/>
      <c r="O494" s="203"/>
      <c r="P494" s="6"/>
      <c r="Q494" s="204"/>
      <c r="R494" s="205"/>
      <c r="S494" s="205"/>
      <c r="T494" s="206"/>
      <c r="U494" s="6"/>
      <c r="V494" s="6"/>
      <c r="W494" s="6"/>
      <c r="X494" s="6"/>
      <c r="Y494" s="6"/>
      <c r="Z494" s="6"/>
      <c r="AA494" s="6"/>
      <c r="AB494" s="6"/>
      <c r="AC494" s="6"/>
      <c r="AD494" s="6"/>
      <c r="AE494" s="6"/>
      <c r="AF494" s="6"/>
      <c r="AG494" s="6"/>
      <c r="AH494" s="6"/>
      <c r="AI494" s="6"/>
      <c r="AJ494" s="6"/>
      <c r="AK494" s="6"/>
      <c r="AL494" s="6"/>
      <c r="AM494" s="6"/>
      <c r="AN494" s="6"/>
      <c r="AO494" s="6"/>
      <c r="AP494" s="6"/>
    </row>
    <row r="495" ht="17.25" customHeight="1">
      <c r="A495" s="203"/>
      <c r="B495" s="203"/>
      <c r="C495" s="203"/>
      <c r="D495" s="203"/>
      <c r="E495" s="203"/>
      <c r="F495" s="203"/>
      <c r="G495" s="6"/>
      <c r="H495" s="6"/>
      <c r="I495" s="6"/>
      <c r="J495" s="6"/>
      <c r="K495" s="6"/>
      <c r="L495" s="6"/>
      <c r="M495" s="6"/>
      <c r="N495" s="6"/>
      <c r="O495" s="203"/>
      <c r="P495" s="6"/>
      <c r="Q495" s="204"/>
      <c r="R495" s="205"/>
      <c r="S495" s="205"/>
      <c r="T495" s="206"/>
      <c r="U495" s="6"/>
      <c r="V495" s="6"/>
      <c r="W495" s="6"/>
      <c r="X495" s="6"/>
      <c r="Y495" s="6"/>
      <c r="Z495" s="6"/>
      <c r="AA495" s="6"/>
      <c r="AB495" s="6"/>
      <c r="AC495" s="6"/>
      <c r="AD495" s="6"/>
      <c r="AE495" s="6"/>
      <c r="AF495" s="6"/>
      <c r="AG495" s="6"/>
      <c r="AH495" s="6"/>
      <c r="AI495" s="6"/>
      <c r="AJ495" s="6"/>
      <c r="AK495" s="6"/>
      <c r="AL495" s="6"/>
      <c r="AM495" s="6"/>
      <c r="AN495" s="6"/>
      <c r="AO495" s="6"/>
      <c r="AP495" s="6"/>
    </row>
    <row r="496" ht="17.25" customHeight="1">
      <c r="A496" s="203"/>
      <c r="B496" s="203"/>
      <c r="C496" s="203"/>
      <c r="D496" s="203"/>
      <c r="E496" s="203"/>
      <c r="F496" s="203"/>
      <c r="G496" s="6"/>
      <c r="H496" s="6"/>
      <c r="I496" s="6"/>
      <c r="J496" s="6"/>
      <c r="K496" s="6"/>
      <c r="L496" s="6"/>
      <c r="M496" s="6"/>
      <c r="N496" s="6"/>
      <c r="O496" s="203"/>
      <c r="P496" s="6"/>
      <c r="Q496" s="204"/>
      <c r="R496" s="205"/>
      <c r="S496" s="205"/>
      <c r="T496" s="206"/>
      <c r="U496" s="6"/>
      <c r="V496" s="6"/>
      <c r="W496" s="6"/>
      <c r="X496" s="6"/>
      <c r="Y496" s="6"/>
      <c r="Z496" s="6"/>
      <c r="AA496" s="6"/>
      <c r="AB496" s="6"/>
      <c r="AC496" s="6"/>
      <c r="AD496" s="6"/>
      <c r="AE496" s="6"/>
      <c r="AF496" s="6"/>
      <c r="AG496" s="6"/>
      <c r="AH496" s="6"/>
      <c r="AI496" s="6"/>
      <c r="AJ496" s="6"/>
      <c r="AK496" s="6"/>
      <c r="AL496" s="6"/>
      <c r="AM496" s="6"/>
      <c r="AN496" s="6"/>
      <c r="AO496" s="6"/>
      <c r="AP496" s="6"/>
    </row>
    <row r="497" ht="17.25" customHeight="1">
      <c r="A497" s="203"/>
      <c r="B497" s="203"/>
      <c r="C497" s="203"/>
      <c r="D497" s="203"/>
      <c r="E497" s="203"/>
      <c r="F497" s="203"/>
      <c r="G497" s="6"/>
      <c r="H497" s="6"/>
      <c r="I497" s="6"/>
      <c r="J497" s="6"/>
      <c r="K497" s="6"/>
      <c r="L497" s="6"/>
      <c r="M497" s="6"/>
      <c r="N497" s="6"/>
      <c r="O497" s="203"/>
      <c r="P497" s="6"/>
      <c r="Q497" s="204"/>
      <c r="R497" s="205"/>
      <c r="S497" s="205"/>
      <c r="T497" s="206"/>
      <c r="U497" s="6"/>
      <c r="V497" s="6"/>
      <c r="W497" s="6"/>
      <c r="X497" s="6"/>
      <c r="Y497" s="6"/>
      <c r="Z497" s="6"/>
      <c r="AA497" s="6"/>
      <c r="AB497" s="6"/>
      <c r="AC497" s="6"/>
      <c r="AD497" s="6"/>
      <c r="AE497" s="6"/>
      <c r="AF497" s="6"/>
      <c r="AG497" s="6"/>
      <c r="AH497" s="6"/>
      <c r="AI497" s="6"/>
      <c r="AJ497" s="6"/>
      <c r="AK497" s="6"/>
      <c r="AL497" s="6"/>
      <c r="AM497" s="6"/>
      <c r="AN497" s="6"/>
      <c r="AO497" s="6"/>
      <c r="AP497" s="6"/>
    </row>
    <row r="498" ht="17.25" customHeight="1">
      <c r="A498" s="203"/>
      <c r="B498" s="203"/>
      <c r="C498" s="203"/>
      <c r="D498" s="203"/>
      <c r="E498" s="203"/>
      <c r="F498" s="203"/>
      <c r="G498" s="6"/>
      <c r="H498" s="6"/>
      <c r="I498" s="6"/>
      <c r="J498" s="6"/>
      <c r="K498" s="6"/>
      <c r="L498" s="6"/>
      <c r="M498" s="6"/>
      <c r="N498" s="6"/>
      <c r="O498" s="203"/>
      <c r="P498" s="6"/>
      <c r="Q498" s="204"/>
      <c r="R498" s="205"/>
      <c r="S498" s="205"/>
      <c r="T498" s="206"/>
      <c r="U498" s="6"/>
      <c r="V498" s="6"/>
      <c r="W498" s="6"/>
      <c r="X498" s="6"/>
      <c r="Y498" s="6"/>
      <c r="Z498" s="6"/>
      <c r="AA498" s="6"/>
      <c r="AB498" s="6"/>
      <c r="AC498" s="6"/>
      <c r="AD498" s="6"/>
      <c r="AE498" s="6"/>
      <c r="AF498" s="6"/>
      <c r="AG498" s="6"/>
      <c r="AH498" s="6"/>
      <c r="AI498" s="6"/>
      <c r="AJ498" s="6"/>
      <c r="AK498" s="6"/>
      <c r="AL498" s="6"/>
      <c r="AM498" s="6"/>
      <c r="AN498" s="6"/>
      <c r="AO498" s="6"/>
      <c r="AP498" s="6"/>
    </row>
    <row r="499" ht="17.25" customHeight="1">
      <c r="A499" s="203"/>
      <c r="B499" s="203"/>
      <c r="C499" s="203"/>
      <c r="D499" s="203"/>
      <c r="E499" s="203"/>
      <c r="F499" s="203"/>
      <c r="G499" s="6"/>
      <c r="H499" s="6"/>
      <c r="I499" s="6"/>
      <c r="J499" s="6"/>
      <c r="K499" s="6"/>
      <c r="L499" s="6"/>
      <c r="M499" s="6"/>
      <c r="N499" s="6"/>
      <c r="O499" s="203"/>
      <c r="P499" s="6"/>
      <c r="Q499" s="204"/>
      <c r="R499" s="205"/>
      <c r="S499" s="205"/>
      <c r="T499" s="206"/>
      <c r="U499" s="6"/>
      <c r="V499" s="6"/>
      <c r="W499" s="6"/>
      <c r="X499" s="6"/>
      <c r="Y499" s="6"/>
      <c r="Z499" s="6"/>
      <c r="AA499" s="6"/>
      <c r="AB499" s="6"/>
      <c r="AC499" s="6"/>
      <c r="AD499" s="6"/>
      <c r="AE499" s="6"/>
      <c r="AF499" s="6"/>
      <c r="AG499" s="6"/>
      <c r="AH499" s="6"/>
      <c r="AI499" s="6"/>
      <c r="AJ499" s="6"/>
      <c r="AK499" s="6"/>
      <c r="AL499" s="6"/>
      <c r="AM499" s="6"/>
      <c r="AN499" s="6"/>
      <c r="AO499" s="6"/>
      <c r="AP499" s="6"/>
    </row>
    <row r="500" ht="17.25" customHeight="1">
      <c r="A500" s="203"/>
      <c r="B500" s="203"/>
      <c r="C500" s="203"/>
      <c r="D500" s="203"/>
      <c r="E500" s="203"/>
      <c r="F500" s="203"/>
      <c r="G500" s="6"/>
      <c r="H500" s="6"/>
      <c r="I500" s="6"/>
      <c r="J500" s="6"/>
      <c r="K500" s="6"/>
      <c r="L500" s="6"/>
      <c r="M500" s="6"/>
      <c r="N500" s="6"/>
      <c r="O500" s="203"/>
      <c r="P500" s="6"/>
      <c r="Q500" s="204"/>
      <c r="R500" s="205"/>
      <c r="S500" s="205"/>
      <c r="T500" s="206"/>
      <c r="U500" s="6"/>
      <c r="V500" s="6"/>
      <c r="W500" s="6"/>
      <c r="X500" s="6"/>
      <c r="Y500" s="6"/>
      <c r="Z500" s="6"/>
      <c r="AA500" s="6"/>
      <c r="AB500" s="6"/>
      <c r="AC500" s="6"/>
      <c r="AD500" s="6"/>
      <c r="AE500" s="6"/>
      <c r="AF500" s="6"/>
      <c r="AG500" s="6"/>
      <c r="AH500" s="6"/>
      <c r="AI500" s="6"/>
      <c r="AJ500" s="6"/>
      <c r="AK500" s="6"/>
      <c r="AL500" s="6"/>
      <c r="AM500" s="6"/>
      <c r="AN500" s="6"/>
      <c r="AO500" s="6"/>
      <c r="AP500" s="6"/>
    </row>
    <row r="501" ht="17.25" customHeight="1">
      <c r="A501" s="203"/>
      <c r="B501" s="203"/>
      <c r="C501" s="203"/>
      <c r="D501" s="203"/>
      <c r="E501" s="203"/>
      <c r="F501" s="203"/>
      <c r="G501" s="6"/>
      <c r="H501" s="6"/>
      <c r="I501" s="6"/>
      <c r="J501" s="6"/>
      <c r="K501" s="6"/>
      <c r="L501" s="6"/>
      <c r="M501" s="6"/>
      <c r="N501" s="6"/>
      <c r="O501" s="203"/>
      <c r="P501" s="6"/>
      <c r="Q501" s="204"/>
      <c r="R501" s="205"/>
      <c r="S501" s="205"/>
      <c r="T501" s="206"/>
      <c r="U501" s="6"/>
      <c r="V501" s="6"/>
      <c r="W501" s="6"/>
      <c r="X501" s="6"/>
      <c r="Y501" s="6"/>
      <c r="Z501" s="6"/>
      <c r="AA501" s="6"/>
      <c r="AB501" s="6"/>
      <c r="AC501" s="6"/>
      <c r="AD501" s="6"/>
      <c r="AE501" s="6"/>
      <c r="AF501" s="6"/>
      <c r="AG501" s="6"/>
      <c r="AH501" s="6"/>
      <c r="AI501" s="6"/>
      <c r="AJ501" s="6"/>
      <c r="AK501" s="6"/>
      <c r="AL501" s="6"/>
      <c r="AM501" s="6"/>
      <c r="AN501" s="6"/>
      <c r="AO501" s="6"/>
      <c r="AP501" s="6"/>
    </row>
    <row r="502" ht="17.25" customHeight="1">
      <c r="A502" s="203"/>
      <c r="B502" s="203"/>
      <c r="C502" s="203"/>
      <c r="D502" s="203"/>
      <c r="E502" s="203"/>
      <c r="F502" s="203"/>
      <c r="G502" s="6"/>
      <c r="H502" s="6"/>
      <c r="I502" s="6"/>
      <c r="J502" s="6"/>
      <c r="K502" s="6"/>
      <c r="L502" s="6"/>
      <c r="M502" s="6"/>
      <c r="N502" s="6"/>
      <c r="O502" s="203"/>
      <c r="P502" s="6"/>
      <c r="Q502" s="204"/>
      <c r="R502" s="205"/>
      <c r="S502" s="205"/>
      <c r="T502" s="206"/>
      <c r="U502" s="6"/>
      <c r="V502" s="6"/>
      <c r="W502" s="6"/>
      <c r="X502" s="6"/>
      <c r="Y502" s="6"/>
      <c r="Z502" s="6"/>
      <c r="AA502" s="6"/>
      <c r="AB502" s="6"/>
      <c r="AC502" s="6"/>
      <c r="AD502" s="6"/>
      <c r="AE502" s="6"/>
      <c r="AF502" s="6"/>
      <c r="AG502" s="6"/>
      <c r="AH502" s="6"/>
      <c r="AI502" s="6"/>
      <c r="AJ502" s="6"/>
      <c r="AK502" s="6"/>
      <c r="AL502" s="6"/>
      <c r="AM502" s="6"/>
      <c r="AN502" s="6"/>
      <c r="AO502" s="6"/>
      <c r="AP502" s="6"/>
    </row>
    <row r="503" ht="17.25" customHeight="1">
      <c r="A503" s="203"/>
      <c r="B503" s="203"/>
      <c r="C503" s="203"/>
      <c r="D503" s="203"/>
      <c r="E503" s="203"/>
      <c r="F503" s="203"/>
      <c r="G503" s="6"/>
      <c r="H503" s="6"/>
      <c r="I503" s="6"/>
      <c r="J503" s="6"/>
      <c r="K503" s="6"/>
      <c r="L503" s="6"/>
      <c r="M503" s="6"/>
      <c r="N503" s="6"/>
      <c r="O503" s="203"/>
      <c r="P503" s="6"/>
      <c r="Q503" s="204"/>
      <c r="R503" s="205"/>
      <c r="S503" s="205"/>
      <c r="T503" s="206"/>
      <c r="U503" s="6"/>
      <c r="V503" s="6"/>
      <c r="W503" s="6"/>
      <c r="X503" s="6"/>
      <c r="Y503" s="6"/>
      <c r="Z503" s="6"/>
      <c r="AA503" s="6"/>
      <c r="AB503" s="6"/>
      <c r="AC503" s="6"/>
      <c r="AD503" s="6"/>
      <c r="AE503" s="6"/>
      <c r="AF503" s="6"/>
      <c r="AG503" s="6"/>
      <c r="AH503" s="6"/>
      <c r="AI503" s="6"/>
      <c r="AJ503" s="6"/>
      <c r="AK503" s="6"/>
      <c r="AL503" s="6"/>
      <c r="AM503" s="6"/>
      <c r="AN503" s="6"/>
      <c r="AO503" s="6"/>
      <c r="AP503" s="6"/>
    </row>
    <row r="504" ht="17.25" customHeight="1">
      <c r="A504" s="203"/>
      <c r="B504" s="203"/>
      <c r="C504" s="203"/>
      <c r="D504" s="203"/>
      <c r="E504" s="203"/>
      <c r="F504" s="203"/>
      <c r="G504" s="6"/>
      <c r="H504" s="6"/>
      <c r="I504" s="6"/>
      <c r="J504" s="6"/>
      <c r="K504" s="6"/>
      <c r="L504" s="6"/>
      <c r="M504" s="6"/>
      <c r="N504" s="6"/>
      <c r="O504" s="203"/>
      <c r="P504" s="6"/>
      <c r="Q504" s="204"/>
      <c r="R504" s="205"/>
      <c r="S504" s="205"/>
      <c r="T504" s="206"/>
      <c r="U504" s="6"/>
      <c r="V504" s="6"/>
      <c r="W504" s="6"/>
      <c r="X504" s="6"/>
      <c r="Y504" s="6"/>
      <c r="Z504" s="6"/>
      <c r="AA504" s="6"/>
      <c r="AB504" s="6"/>
      <c r="AC504" s="6"/>
      <c r="AD504" s="6"/>
      <c r="AE504" s="6"/>
      <c r="AF504" s="6"/>
      <c r="AG504" s="6"/>
      <c r="AH504" s="6"/>
      <c r="AI504" s="6"/>
      <c r="AJ504" s="6"/>
      <c r="AK504" s="6"/>
      <c r="AL504" s="6"/>
      <c r="AM504" s="6"/>
      <c r="AN504" s="6"/>
      <c r="AO504" s="6"/>
      <c r="AP504" s="6"/>
    </row>
    <row r="505" ht="17.25" customHeight="1">
      <c r="A505" s="203"/>
      <c r="B505" s="203"/>
      <c r="C505" s="203"/>
      <c r="D505" s="203"/>
      <c r="E505" s="203"/>
      <c r="F505" s="203"/>
      <c r="G505" s="6"/>
      <c r="H505" s="6"/>
      <c r="I505" s="6"/>
      <c r="J505" s="6"/>
      <c r="K505" s="6"/>
      <c r="L505" s="6"/>
      <c r="M505" s="6"/>
      <c r="N505" s="6"/>
      <c r="O505" s="203"/>
      <c r="P505" s="6"/>
      <c r="Q505" s="204"/>
      <c r="R505" s="205"/>
      <c r="S505" s="205"/>
      <c r="T505" s="206"/>
      <c r="U505" s="6"/>
      <c r="V505" s="6"/>
      <c r="W505" s="6"/>
      <c r="X505" s="6"/>
      <c r="Y505" s="6"/>
      <c r="Z505" s="6"/>
      <c r="AA505" s="6"/>
      <c r="AB505" s="6"/>
      <c r="AC505" s="6"/>
      <c r="AD505" s="6"/>
      <c r="AE505" s="6"/>
      <c r="AF505" s="6"/>
      <c r="AG505" s="6"/>
      <c r="AH505" s="6"/>
      <c r="AI505" s="6"/>
      <c r="AJ505" s="6"/>
      <c r="AK505" s="6"/>
      <c r="AL505" s="6"/>
      <c r="AM505" s="6"/>
      <c r="AN505" s="6"/>
      <c r="AO505" s="6"/>
      <c r="AP505" s="6"/>
    </row>
    <row r="506" ht="17.25" customHeight="1">
      <c r="A506" s="203"/>
      <c r="B506" s="203"/>
      <c r="C506" s="203"/>
      <c r="D506" s="203"/>
      <c r="E506" s="203"/>
      <c r="F506" s="203"/>
      <c r="G506" s="6"/>
      <c r="H506" s="6"/>
      <c r="I506" s="6"/>
      <c r="J506" s="6"/>
      <c r="K506" s="6"/>
      <c r="L506" s="6"/>
      <c r="M506" s="6"/>
      <c r="N506" s="6"/>
      <c r="O506" s="203"/>
      <c r="P506" s="6"/>
      <c r="Q506" s="204"/>
      <c r="R506" s="205"/>
      <c r="S506" s="205"/>
      <c r="T506" s="206"/>
      <c r="U506" s="6"/>
      <c r="V506" s="6"/>
      <c r="W506" s="6"/>
      <c r="X506" s="6"/>
      <c r="Y506" s="6"/>
      <c r="Z506" s="6"/>
      <c r="AA506" s="6"/>
      <c r="AB506" s="6"/>
      <c r="AC506" s="6"/>
      <c r="AD506" s="6"/>
      <c r="AE506" s="6"/>
      <c r="AF506" s="6"/>
      <c r="AG506" s="6"/>
      <c r="AH506" s="6"/>
      <c r="AI506" s="6"/>
      <c r="AJ506" s="6"/>
      <c r="AK506" s="6"/>
      <c r="AL506" s="6"/>
      <c r="AM506" s="6"/>
      <c r="AN506" s="6"/>
      <c r="AO506" s="6"/>
      <c r="AP506" s="6"/>
    </row>
    <row r="507" ht="17.25" customHeight="1">
      <c r="A507" s="203"/>
      <c r="B507" s="203"/>
      <c r="C507" s="203"/>
      <c r="D507" s="203"/>
      <c r="E507" s="203"/>
      <c r="F507" s="203"/>
      <c r="G507" s="6"/>
      <c r="H507" s="6"/>
      <c r="I507" s="6"/>
      <c r="J507" s="6"/>
      <c r="K507" s="6"/>
      <c r="L507" s="6"/>
      <c r="M507" s="6"/>
      <c r="N507" s="6"/>
      <c r="O507" s="203"/>
      <c r="P507" s="6"/>
      <c r="Q507" s="204"/>
      <c r="R507" s="205"/>
      <c r="S507" s="205"/>
      <c r="T507" s="206"/>
      <c r="U507" s="6"/>
      <c r="V507" s="6"/>
      <c r="W507" s="6"/>
      <c r="X507" s="6"/>
      <c r="Y507" s="6"/>
      <c r="Z507" s="6"/>
      <c r="AA507" s="6"/>
      <c r="AB507" s="6"/>
      <c r="AC507" s="6"/>
      <c r="AD507" s="6"/>
      <c r="AE507" s="6"/>
      <c r="AF507" s="6"/>
      <c r="AG507" s="6"/>
      <c r="AH507" s="6"/>
      <c r="AI507" s="6"/>
      <c r="AJ507" s="6"/>
      <c r="AK507" s="6"/>
      <c r="AL507" s="6"/>
      <c r="AM507" s="6"/>
      <c r="AN507" s="6"/>
      <c r="AO507" s="6"/>
      <c r="AP507" s="6"/>
    </row>
    <row r="508" ht="17.25" customHeight="1">
      <c r="A508" s="203"/>
      <c r="B508" s="203"/>
      <c r="C508" s="203"/>
      <c r="D508" s="203"/>
      <c r="E508" s="203"/>
      <c r="F508" s="203"/>
      <c r="G508" s="6"/>
      <c r="H508" s="6"/>
      <c r="I508" s="6"/>
      <c r="J508" s="6"/>
      <c r="K508" s="6"/>
      <c r="L508" s="6"/>
      <c r="M508" s="6"/>
      <c r="N508" s="6"/>
      <c r="O508" s="203"/>
      <c r="P508" s="6"/>
      <c r="Q508" s="204"/>
      <c r="R508" s="205"/>
      <c r="S508" s="205"/>
      <c r="T508" s="206"/>
      <c r="U508" s="6"/>
      <c r="V508" s="6"/>
      <c r="W508" s="6"/>
      <c r="X508" s="6"/>
      <c r="Y508" s="6"/>
      <c r="Z508" s="6"/>
      <c r="AA508" s="6"/>
      <c r="AB508" s="6"/>
      <c r="AC508" s="6"/>
      <c r="AD508" s="6"/>
      <c r="AE508" s="6"/>
      <c r="AF508" s="6"/>
      <c r="AG508" s="6"/>
      <c r="AH508" s="6"/>
      <c r="AI508" s="6"/>
      <c r="AJ508" s="6"/>
      <c r="AK508" s="6"/>
      <c r="AL508" s="6"/>
      <c r="AM508" s="6"/>
      <c r="AN508" s="6"/>
      <c r="AO508" s="6"/>
      <c r="AP508" s="6"/>
    </row>
    <row r="509" ht="17.25" customHeight="1">
      <c r="A509" s="203"/>
      <c r="B509" s="203"/>
      <c r="C509" s="203"/>
      <c r="D509" s="203"/>
      <c r="E509" s="203"/>
      <c r="F509" s="203"/>
      <c r="G509" s="6"/>
      <c r="H509" s="6"/>
      <c r="I509" s="6"/>
      <c r="J509" s="6"/>
      <c r="K509" s="6"/>
      <c r="L509" s="6"/>
      <c r="M509" s="6"/>
      <c r="N509" s="6"/>
      <c r="O509" s="203"/>
      <c r="P509" s="6"/>
      <c r="Q509" s="204"/>
      <c r="R509" s="205"/>
      <c r="S509" s="205"/>
      <c r="T509" s="206"/>
      <c r="U509" s="6"/>
      <c r="V509" s="6"/>
      <c r="W509" s="6"/>
      <c r="X509" s="6"/>
      <c r="Y509" s="6"/>
      <c r="Z509" s="6"/>
      <c r="AA509" s="6"/>
      <c r="AB509" s="6"/>
      <c r="AC509" s="6"/>
      <c r="AD509" s="6"/>
      <c r="AE509" s="6"/>
      <c r="AF509" s="6"/>
      <c r="AG509" s="6"/>
      <c r="AH509" s="6"/>
      <c r="AI509" s="6"/>
      <c r="AJ509" s="6"/>
      <c r="AK509" s="6"/>
      <c r="AL509" s="6"/>
      <c r="AM509" s="6"/>
      <c r="AN509" s="6"/>
      <c r="AO509" s="6"/>
      <c r="AP509" s="6"/>
    </row>
    <row r="510" ht="17.25" customHeight="1">
      <c r="A510" s="203"/>
      <c r="B510" s="203"/>
      <c r="C510" s="203"/>
      <c r="D510" s="203"/>
      <c r="E510" s="203"/>
      <c r="F510" s="203"/>
      <c r="G510" s="6"/>
      <c r="H510" s="6"/>
      <c r="I510" s="6"/>
      <c r="J510" s="6"/>
      <c r="K510" s="6"/>
      <c r="L510" s="6"/>
      <c r="M510" s="6"/>
      <c r="N510" s="6"/>
      <c r="O510" s="203"/>
      <c r="P510" s="6"/>
      <c r="Q510" s="204"/>
      <c r="R510" s="205"/>
      <c r="S510" s="205"/>
      <c r="T510" s="206"/>
      <c r="U510" s="6"/>
      <c r="V510" s="6"/>
      <c r="W510" s="6"/>
      <c r="X510" s="6"/>
      <c r="Y510" s="6"/>
      <c r="Z510" s="6"/>
      <c r="AA510" s="6"/>
      <c r="AB510" s="6"/>
      <c r="AC510" s="6"/>
      <c r="AD510" s="6"/>
      <c r="AE510" s="6"/>
      <c r="AF510" s="6"/>
      <c r="AG510" s="6"/>
      <c r="AH510" s="6"/>
      <c r="AI510" s="6"/>
      <c r="AJ510" s="6"/>
      <c r="AK510" s="6"/>
      <c r="AL510" s="6"/>
      <c r="AM510" s="6"/>
      <c r="AN510" s="6"/>
      <c r="AO510" s="6"/>
      <c r="AP510" s="6"/>
    </row>
    <row r="511" ht="17.25" customHeight="1">
      <c r="A511" s="203"/>
      <c r="B511" s="203"/>
      <c r="C511" s="203"/>
      <c r="D511" s="203"/>
      <c r="E511" s="203"/>
      <c r="F511" s="203"/>
      <c r="G511" s="6"/>
      <c r="H511" s="6"/>
      <c r="I511" s="6"/>
      <c r="J511" s="6"/>
      <c r="K511" s="6"/>
      <c r="L511" s="6"/>
      <c r="M511" s="6"/>
      <c r="N511" s="6"/>
      <c r="O511" s="203"/>
      <c r="P511" s="6"/>
      <c r="Q511" s="204"/>
      <c r="R511" s="205"/>
      <c r="S511" s="205"/>
      <c r="T511" s="206"/>
      <c r="U511" s="6"/>
      <c r="V511" s="6"/>
      <c r="W511" s="6"/>
      <c r="X511" s="6"/>
      <c r="Y511" s="6"/>
      <c r="Z511" s="6"/>
      <c r="AA511" s="6"/>
      <c r="AB511" s="6"/>
      <c r="AC511" s="6"/>
      <c r="AD511" s="6"/>
      <c r="AE511" s="6"/>
      <c r="AF511" s="6"/>
      <c r="AG511" s="6"/>
      <c r="AH511" s="6"/>
      <c r="AI511" s="6"/>
      <c r="AJ511" s="6"/>
      <c r="AK511" s="6"/>
      <c r="AL511" s="6"/>
      <c r="AM511" s="6"/>
      <c r="AN511" s="6"/>
      <c r="AO511" s="6"/>
      <c r="AP511" s="6"/>
    </row>
    <row r="512" ht="17.25" customHeight="1">
      <c r="A512" s="203"/>
      <c r="B512" s="203"/>
      <c r="C512" s="203"/>
      <c r="D512" s="203"/>
      <c r="E512" s="203"/>
      <c r="F512" s="203"/>
      <c r="G512" s="6"/>
      <c r="H512" s="6"/>
      <c r="I512" s="6"/>
      <c r="J512" s="6"/>
      <c r="K512" s="6"/>
      <c r="L512" s="6"/>
      <c r="M512" s="6"/>
      <c r="N512" s="6"/>
      <c r="O512" s="203"/>
      <c r="P512" s="6"/>
      <c r="Q512" s="204"/>
      <c r="R512" s="205"/>
      <c r="S512" s="205"/>
      <c r="T512" s="206"/>
      <c r="U512" s="6"/>
      <c r="V512" s="6"/>
      <c r="W512" s="6"/>
      <c r="X512" s="6"/>
      <c r="Y512" s="6"/>
      <c r="Z512" s="6"/>
      <c r="AA512" s="6"/>
      <c r="AB512" s="6"/>
      <c r="AC512" s="6"/>
      <c r="AD512" s="6"/>
      <c r="AE512" s="6"/>
      <c r="AF512" s="6"/>
      <c r="AG512" s="6"/>
      <c r="AH512" s="6"/>
      <c r="AI512" s="6"/>
      <c r="AJ512" s="6"/>
      <c r="AK512" s="6"/>
      <c r="AL512" s="6"/>
      <c r="AM512" s="6"/>
      <c r="AN512" s="6"/>
      <c r="AO512" s="6"/>
      <c r="AP512" s="6"/>
    </row>
    <row r="513" ht="17.25" customHeight="1">
      <c r="A513" s="203"/>
      <c r="B513" s="203"/>
      <c r="C513" s="203"/>
      <c r="D513" s="203"/>
      <c r="E513" s="203"/>
      <c r="F513" s="203"/>
      <c r="G513" s="6"/>
      <c r="H513" s="6"/>
      <c r="I513" s="6"/>
      <c r="J513" s="6"/>
      <c r="K513" s="6"/>
      <c r="L513" s="6"/>
      <c r="M513" s="6"/>
      <c r="N513" s="6"/>
      <c r="O513" s="203"/>
      <c r="P513" s="6"/>
      <c r="Q513" s="204"/>
      <c r="R513" s="205"/>
      <c r="S513" s="205"/>
      <c r="T513" s="206"/>
      <c r="U513" s="6"/>
      <c r="V513" s="6"/>
      <c r="W513" s="6"/>
      <c r="X513" s="6"/>
      <c r="Y513" s="6"/>
      <c r="Z513" s="6"/>
      <c r="AA513" s="6"/>
      <c r="AB513" s="6"/>
      <c r="AC513" s="6"/>
      <c r="AD513" s="6"/>
      <c r="AE513" s="6"/>
      <c r="AF513" s="6"/>
      <c r="AG513" s="6"/>
      <c r="AH513" s="6"/>
      <c r="AI513" s="6"/>
      <c r="AJ513" s="6"/>
      <c r="AK513" s="6"/>
      <c r="AL513" s="6"/>
      <c r="AM513" s="6"/>
      <c r="AN513" s="6"/>
      <c r="AO513" s="6"/>
      <c r="AP513" s="6"/>
    </row>
    <row r="514" ht="17.25" customHeight="1">
      <c r="A514" s="203"/>
      <c r="B514" s="203"/>
      <c r="C514" s="203"/>
      <c r="D514" s="203"/>
      <c r="E514" s="203"/>
      <c r="F514" s="203"/>
      <c r="G514" s="6"/>
      <c r="H514" s="6"/>
      <c r="I514" s="6"/>
      <c r="J514" s="6"/>
      <c r="K514" s="6"/>
      <c r="L514" s="6"/>
      <c r="M514" s="6"/>
      <c r="N514" s="6"/>
      <c r="O514" s="203"/>
      <c r="P514" s="6"/>
      <c r="Q514" s="204"/>
      <c r="R514" s="205"/>
      <c r="S514" s="205"/>
      <c r="T514" s="206"/>
      <c r="U514" s="6"/>
      <c r="V514" s="6"/>
      <c r="W514" s="6"/>
      <c r="X514" s="6"/>
      <c r="Y514" s="6"/>
      <c r="Z514" s="6"/>
      <c r="AA514" s="6"/>
      <c r="AB514" s="6"/>
      <c r="AC514" s="6"/>
      <c r="AD514" s="6"/>
      <c r="AE514" s="6"/>
      <c r="AF514" s="6"/>
      <c r="AG514" s="6"/>
      <c r="AH514" s="6"/>
      <c r="AI514" s="6"/>
      <c r="AJ514" s="6"/>
      <c r="AK514" s="6"/>
      <c r="AL514" s="6"/>
      <c r="AM514" s="6"/>
      <c r="AN514" s="6"/>
      <c r="AO514" s="6"/>
      <c r="AP514" s="6"/>
    </row>
    <row r="515" ht="17.25" customHeight="1">
      <c r="A515" s="203"/>
      <c r="B515" s="203"/>
      <c r="C515" s="203"/>
      <c r="D515" s="203"/>
      <c r="E515" s="203"/>
      <c r="F515" s="203"/>
      <c r="G515" s="6"/>
      <c r="H515" s="6"/>
      <c r="I515" s="6"/>
      <c r="J515" s="6"/>
      <c r="K515" s="6"/>
      <c r="L515" s="6"/>
      <c r="M515" s="6"/>
      <c r="N515" s="6"/>
      <c r="O515" s="203"/>
      <c r="P515" s="6"/>
      <c r="Q515" s="204"/>
      <c r="R515" s="205"/>
      <c r="S515" s="205"/>
      <c r="T515" s="206"/>
      <c r="U515" s="6"/>
      <c r="V515" s="6"/>
      <c r="W515" s="6"/>
      <c r="X515" s="6"/>
      <c r="Y515" s="6"/>
      <c r="Z515" s="6"/>
      <c r="AA515" s="6"/>
      <c r="AB515" s="6"/>
      <c r="AC515" s="6"/>
      <c r="AD515" s="6"/>
      <c r="AE515" s="6"/>
      <c r="AF515" s="6"/>
      <c r="AG515" s="6"/>
      <c r="AH515" s="6"/>
      <c r="AI515" s="6"/>
      <c r="AJ515" s="6"/>
      <c r="AK515" s="6"/>
      <c r="AL515" s="6"/>
      <c r="AM515" s="6"/>
      <c r="AN515" s="6"/>
      <c r="AO515" s="6"/>
      <c r="AP515" s="6"/>
    </row>
    <row r="516" ht="17.25" customHeight="1">
      <c r="A516" s="203"/>
      <c r="B516" s="203"/>
      <c r="C516" s="203"/>
      <c r="D516" s="203"/>
      <c r="E516" s="203"/>
      <c r="F516" s="203"/>
      <c r="G516" s="6"/>
      <c r="H516" s="6"/>
      <c r="I516" s="6"/>
      <c r="J516" s="6"/>
      <c r="K516" s="6"/>
      <c r="L516" s="6"/>
      <c r="M516" s="6"/>
      <c r="N516" s="6"/>
      <c r="O516" s="203"/>
      <c r="P516" s="6"/>
      <c r="Q516" s="204"/>
      <c r="R516" s="205"/>
      <c r="S516" s="205"/>
      <c r="T516" s="206"/>
      <c r="U516" s="6"/>
      <c r="V516" s="6"/>
      <c r="W516" s="6"/>
      <c r="X516" s="6"/>
      <c r="Y516" s="6"/>
      <c r="Z516" s="6"/>
      <c r="AA516" s="6"/>
      <c r="AB516" s="6"/>
      <c r="AC516" s="6"/>
      <c r="AD516" s="6"/>
      <c r="AE516" s="6"/>
      <c r="AF516" s="6"/>
      <c r="AG516" s="6"/>
      <c r="AH516" s="6"/>
      <c r="AI516" s="6"/>
      <c r="AJ516" s="6"/>
      <c r="AK516" s="6"/>
      <c r="AL516" s="6"/>
      <c r="AM516" s="6"/>
      <c r="AN516" s="6"/>
      <c r="AO516" s="6"/>
      <c r="AP516" s="6"/>
    </row>
    <row r="517" ht="17.25" customHeight="1">
      <c r="A517" s="203"/>
      <c r="B517" s="203"/>
      <c r="C517" s="203"/>
      <c r="D517" s="203"/>
      <c r="E517" s="203"/>
      <c r="F517" s="203"/>
      <c r="G517" s="6"/>
      <c r="H517" s="6"/>
      <c r="I517" s="6"/>
      <c r="J517" s="6"/>
      <c r="K517" s="6"/>
      <c r="L517" s="6"/>
      <c r="M517" s="6"/>
      <c r="N517" s="6"/>
      <c r="O517" s="203"/>
      <c r="P517" s="6"/>
      <c r="Q517" s="204"/>
      <c r="R517" s="205"/>
      <c r="S517" s="205"/>
      <c r="T517" s="206"/>
      <c r="U517" s="6"/>
      <c r="V517" s="6"/>
      <c r="W517" s="6"/>
      <c r="X517" s="6"/>
      <c r="Y517" s="6"/>
      <c r="Z517" s="6"/>
      <c r="AA517" s="6"/>
      <c r="AB517" s="6"/>
      <c r="AC517" s="6"/>
      <c r="AD517" s="6"/>
      <c r="AE517" s="6"/>
      <c r="AF517" s="6"/>
      <c r="AG517" s="6"/>
      <c r="AH517" s="6"/>
      <c r="AI517" s="6"/>
      <c r="AJ517" s="6"/>
      <c r="AK517" s="6"/>
      <c r="AL517" s="6"/>
      <c r="AM517" s="6"/>
      <c r="AN517" s="6"/>
      <c r="AO517" s="6"/>
      <c r="AP517" s="6"/>
    </row>
    <row r="518" ht="17.25" customHeight="1">
      <c r="A518" s="203"/>
      <c r="B518" s="203"/>
      <c r="C518" s="203"/>
      <c r="D518" s="203"/>
      <c r="E518" s="203"/>
      <c r="F518" s="203"/>
      <c r="G518" s="6"/>
      <c r="H518" s="6"/>
      <c r="I518" s="6"/>
      <c r="J518" s="6"/>
      <c r="K518" s="6"/>
      <c r="L518" s="6"/>
      <c r="M518" s="6"/>
      <c r="N518" s="6"/>
      <c r="O518" s="203"/>
      <c r="P518" s="6"/>
      <c r="Q518" s="204"/>
      <c r="R518" s="205"/>
      <c r="S518" s="205"/>
      <c r="T518" s="206"/>
      <c r="U518" s="6"/>
      <c r="V518" s="6"/>
      <c r="W518" s="6"/>
      <c r="X518" s="6"/>
      <c r="Y518" s="6"/>
      <c r="Z518" s="6"/>
      <c r="AA518" s="6"/>
      <c r="AB518" s="6"/>
      <c r="AC518" s="6"/>
      <c r="AD518" s="6"/>
      <c r="AE518" s="6"/>
      <c r="AF518" s="6"/>
      <c r="AG518" s="6"/>
      <c r="AH518" s="6"/>
      <c r="AI518" s="6"/>
      <c r="AJ518" s="6"/>
      <c r="AK518" s="6"/>
      <c r="AL518" s="6"/>
      <c r="AM518" s="6"/>
      <c r="AN518" s="6"/>
      <c r="AO518" s="6"/>
      <c r="AP518" s="6"/>
    </row>
    <row r="519" ht="17.25" customHeight="1">
      <c r="A519" s="203"/>
      <c r="B519" s="203"/>
      <c r="C519" s="203"/>
      <c r="D519" s="203"/>
      <c r="E519" s="203"/>
      <c r="F519" s="203"/>
      <c r="G519" s="6"/>
      <c r="H519" s="6"/>
      <c r="I519" s="6"/>
      <c r="J519" s="6"/>
      <c r="K519" s="6"/>
      <c r="L519" s="6"/>
      <c r="M519" s="6"/>
      <c r="N519" s="6"/>
      <c r="O519" s="203"/>
      <c r="P519" s="6"/>
      <c r="Q519" s="204"/>
      <c r="R519" s="205"/>
      <c r="S519" s="205"/>
      <c r="T519" s="206"/>
      <c r="U519" s="6"/>
      <c r="V519" s="6"/>
      <c r="W519" s="6"/>
      <c r="X519" s="6"/>
      <c r="Y519" s="6"/>
      <c r="Z519" s="6"/>
      <c r="AA519" s="6"/>
      <c r="AB519" s="6"/>
      <c r="AC519" s="6"/>
      <c r="AD519" s="6"/>
      <c r="AE519" s="6"/>
      <c r="AF519" s="6"/>
      <c r="AG519" s="6"/>
      <c r="AH519" s="6"/>
      <c r="AI519" s="6"/>
      <c r="AJ519" s="6"/>
      <c r="AK519" s="6"/>
      <c r="AL519" s="6"/>
      <c r="AM519" s="6"/>
      <c r="AN519" s="6"/>
      <c r="AO519" s="6"/>
      <c r="AP519" s="6"/>
    </row>
    <row r="520" ht="17.25" customHeight="1">
      <c r="A520" s="203"/>
      <c r="B520" s="203"/>
      <c r="C520" s="203"/>
      <c r="D520" s="203"/>
      <c r="E520" s="203"/>
      <c r="F520" s="203"/>
      <c r="G520" s="6"/>
      <c r="H520" s="6"/>
      <c r="I520" s="6"/>
      <c r="J520" s="6"/>
      <c r="K520" s="6"/>
      <c r="L520" s="6"/>
      <c r="M520" s="6"/>
      <c r="N520" s="6"/>
      <c r="O520" s="203"/>
      <c r="P520" s="6"/>
      <c r="Q520" s="204"/>
      <c r="R520" s="205"/>
      <c r="S520" s="205"/>
      <c r="T520" s="206"/>
      <c r="U520" s="6"/>
      <c r="V520" s="6"/>
      <c r="W520" s="6"/>
      <c r="X520" s="6"/>
      <c r="Y520" s="6"/>
      <c r="Z520" s="6"/>
      <c r="AA520" s="6"/>
      <c r="AB520" s="6"/>
      <c r="AC520" s="6"/>
      <c r="AD520" s="6"/>
      <c r="AE520" s="6"/>
      <c r="AF520" s="6"/>
      <c r="AG520" s="6"/>
      <c r="AH520" s="6"/>
      <c r="AI520" s="6"/>
      <c r="AJ520" s="6"/>
      <c r="AK520" s="6"/>
      <c r="AL520" s="6"/>
      <c r="AM520" s="6"/>
      <c r="AN520" s="6"/>
      <c r="AO520" s="6"/>
      <c r="AP520" s="6"/>
    </row>
    <row r="521" ht="17.25" customHeight="1">
      <c r="A521" s="203"/>
      <c r="B521" s="203"/>
      <c r="C521" s="203"/>
      <c r="D521" s="203"/>
      <c r="E521" s="203"/>
      <c r="F521" s="203"/>
      <c r="G521" s="6"/>
      <c r="H521" s="6"/>
      <c r="I521" s="6"/>
      <c r="J521" s="6"/>
      <c r="K521" s="6"/>
      <c r="L521" s="6"/>
      <c r="M521" s="6"/>
      <c r="N521" s="6"/>
      <c r="O521" s="203"/>
      <c r="P521" s="6"/>
      <c r="Q521" s="204"/>
      <c r="R521" s="205"/>
      <c r="S521" s="205"/>
      <c r="T521" s="206"/>
      <c r="U521" s="6"/>
      <c r="V521" s="6"/>
      <c r="W521" s="6"/>
      <c r="X521" s="6"/>
      <c r="Y521" s="6"/>
      <c r="Z521" s="6"/>
      <c r="AA521" s="6"/>
      <c r="AB521" s="6"/>
      <c r="AC521" s="6"/>
      <c r="AD521" s="6"/>
      <c r="AE521" s="6"/>
      <c r="AF521" s="6"/>
      <c r="AG521" s="6"/>
      <c r="AH521" s="6"/>
      <c r="AI521" s="6"/>
      <c r="AJ521" s="6"/>
      <c r="AK521" s="6"/>
      <c r="AL521" s="6"/>
      <c r="AM521" s="6"/>
      <c r="AN521" s="6"/>
      <c r="AO521" s="6"/>
      <c r="AP521" s="6"/>
    </row>
    <row r="522" ht="17.25" customHeight="1">
      <c r="A522" s="203"/>
      <c r="B522" s="203"/>
      <c r="C522" s="203"/>
      <c r="D522" s="203"/>
      <c r="E522" s="203"/>
      <c r="F522" s="203"/>
      <c r="G522" s="6"/>
      <c r="H522" s="6"/>
      <c r="I522" s="6"/>
      <c r="J522" s="6"/>
      <c r="K522" s="6"/>
      <c r="L522" s="6"/>
      <c r="M522" s="6"/>
      <c r="N522" s="6"/>
      <c r="O522" s="203"/>
      <c r="P522" s="6"/>
      <c r="Q522" s="204"/>
      <c r="R522" s="205"/>
      <c r="S522" s="205"/>
      <c r="T522" s="206"/>
      <c r="U522" s="6"/>
      <c r="V522" s="6"/>
      <c r="W522" s="6"/>
      <c r="X522" s="6"/>
      <c r="Y522" s="6"/>
      <c r="Z522" s="6"/>
      <c r="AA522" s="6"/>
      <c r="AB522" s="6"/>
      <c r="AC522" s="6"/>
      <c r="AD522" s="6"/>
      <c r="AE522" s="6"/>
      <c r="AF522" s="6"/>
      <c r="AG522" s="6"/>
      <c r="AH522" s="6"/>
      <c r="AI522" s="6"/>
      <c r="AJ522" s="6"/>
      <c r="AK522" s="6"/>
      <c r="AL522" s="6"/>
      <c r="AM522" s="6"/>
      <c r="AN522" s="6"/>
      <c r="AO522" s="6"/>
      <c r="AP522" s="6"/>
    </row>
    <row r="523" ht="17.25" customHeight="1">
      <c r="A523" s="203"/>
      <c r="B523" s="203"/>
      <c r="C523" s="203"/>
      <c r="D523" s="203"/>
      <c r="E523" s="203"/>
      <c r="F523" s="203"/>
      <c r="G523" s="6"/>
      <c r="H523" s="6"/>
      <c r="I523" s="6"/>
      <c r="J523" s="6"/>
      <c r="K523" s="6"/>
      <c r="L523" s="6"/>
      <c r="M523" s="6"/>
      <c r="N523" s="6"/>
      <c r="O523" s="203"/>
      <c r="P523" s="6"/>
      <c r="Q523" s="204"/>
      <c r="R523" s="205"/>
      <c r="S523" s="205"/>
      <c r="T523" s="206"/>
      <c r="U523" s="6"/>
      <c r="V523" s="6"/>
      <c r="W523" s="6"/>
      <c r="X523" s="6"/>
      <c r="Y523" s="6"/>
      <c r="Z523" s="6"/>
      <c r="AA523" s="6"/>
      <c r="AB523" s="6"/>
      <c r="AC523" s="6"/>
      <c r="AD523" s="6"/>
      <c r="AE523" s="6"/>
      <c r="AF523" s="6"/>
      <c r="AG523" s="6"/>
      <c r="AH523" s="6"/>
      <c r="AI523" s="6"/>
      <c r="AJ523" s="6"/>
      <c r="AK523" s="6"/>
      <c r="AL523" s="6"/>
      <c r="AM523" s="6"/>
      <c r="AN523" s="6"/>
      <c r="AO523" s="6"/>
      <c r="AP523" s="6"/>
    </row>
    <row r="524" ht="17.25" customHeight="1">
      <c r="A524" s="203"/>
      <c r="B524" s="203"/>
      <c r="C524" s="203"/>
      <c r="D524" s="203"/>
      <c r="E524" s="203"/>
      <c r="F524" s="203"/>
      <c r="G524" s="6"/>
      <c r="H524" s="6"/>
      <c r="I524" s="6"/>
      <c r="J524" s="6"/>
      <c r="K524" s="6"/>
      <c r="L524" s="6"/>
      <c r="M524" s="6"/>
      <c r="N524" s="6"/>
      <c r="O524" s="203"/>
      <c r="P524" s="6"/>
      <c r="Q524" s="204"/>
      <c r="R524" s="205"/>
      <c r="S524" s="205"/>
      <c r="T524" s="206"/>
      <c r="U524" s="6"/>
      <c r="V524" s="6"/>
      <c r="W524" s="6"/>
      <c r="X524" s="6"/>
      <c r="Y524" s="6"/>
      <c r="Z524" s="6"/>
      <c r="AA524" s="6"/>
      <c r="AB524" s="6"/>
      <c r="AC524" s="6"/>
      <c r="AD524" s="6"/>
      <c r="AE524" s="6"/>
      <c r="AF524" s="6"/>
      <c r="AG524" s="6"/>
      <c r="AH524" s="6"/>
      <c r="AI524" s="6"/>
      <c r="AJ524" s="6"/>
      <c r="AK524" s="6"/>
      <c r="AL524" s="6"/>
      <c r="AM524" s="6"/>
      <c r="AN524" s="6"/>
      <c r="AO524" s="6"/>
      <c r="AP524" s="6"/>
    </row>
    <row r="525" ht="17.25" customHeight="1">
      <c r="A525" s="203"/>
      <c r="B525" s="203"/>
      <c r="C525" s="203"/>
      <c r="D525" s="203"/>
      <c r="E525" s="203"/>
      <c r="F525" s="203"/>
      <c r="G525" s="6"/>
      <c r="H525" s="6"/>
      <c r="I525" s="6"/>
      <c r="J525" s="6"/>
      <c r="K525" s="6"/>
      <c r="L525" s="6"/>
      <c r="M525" s="6"/>
      <c r="N525" s="6"/>
      <c r="O525" s="203"/>
      <c r="P525" s="6"/>
      <c r="Q525" s="204"/>
      <c r="R525" s="205"/>
      <c r="S525" s="205"/>
      <c r="T525" s="206"/>
      <c r="U525" s="6"/>
      <c r="V525" s="6"/>
      <c r="W525" s="6"/>
      <c r="X525" s="6"/>
      <c r="Y525" s="6"/>
      <c r="Z525" s="6"/>
      <c r="AA525" s="6"/>
      <c r="AB525" s="6"/>
      <c r="AC525" s="6"/>
      <c r="AD525" s="6"/>
      <c r="AE525" s="6"/>
      <c r="AF525" s="6"/>
      <c r="AG525" s="6"/>
      <c r="AH525" s="6"/>
      <c r="AI525" s="6"/>
      <c r="AJ525" s="6"/>
      <c r="AK525" s="6"/>
      <c r="AL525" s="6"/>
      <c r="AM525" s="6"/>
      <c r="AN525" s="6"/>
      <c r="AO525" s="6"/>
      <c r="AP525" s="6"/>
    </row>
    <row r="526" ht="17.25" customHeight="1">
      <c r="A526" s="203"/>
      <c r="B526" s="203"/>
      <c r="C526" s="203"/>
      <c r="D526" s="203"/>
      <c r="E526" s="203"/>
      <c r="F526" s="203"/>
      <c r="G526" s="6"/>
      <c r="H526" s="6"/>
      <c r="I526" s="6"/>
      <c r="J526" s="6"/>
      <c r="K526" s="6"/>
      <c r="L526" s="6"/>
      <c r="M526" s="6"/>
      <c r="N526" s="6"/>
      <c r="O526" s="203"/>
      <c r="P526" s="6"/>
      <c r="Q526" s="204"/>
      <c r="R526" s="205"/>
      <c r="S526" s="205"/>
      <c r="T526" s="206"/>
      <c r="U526" s="6"/>
      <c r="V526" s="6"/>
      <c r="W526" s="6"/>
      <c r="X526" s="6"/>
      <c r="Y526" s="6"/>
      <c r="Z526" s="6"/>
      <c r="AA526" s="6"/>
      <c r="AB526" s="6"/>
      <c r="AC526" s="6"/>
      <c r="AD526" s="6"/>
      <c r="AE526" s="6"/>
      <c r="AF526" s="6"/>
      <c r="AG526" s="6"/>
      <c r="AH526" s="6"/>
      <c r="AI526" s="6"/>
      <c r="AJ526" s="6"/>
      <c r="AK526" s="6"/>
      <c r="AL526" s="6"/>
      <c r="AM526" s="6"/>
      <c r="AN526" s="6"/>
      <c r="AO526" s="6"/>
      <c r="AP526" s="6"/>
    </row>
    <row r="527" ht="17.25" customHeight="1">
      <c r="A527" s="203"/>
      <c r="B527" s="203"/>
      <c r="C527" s="203"/>
      <c r="D527" s="203"/>
      <c r="E527" s="203"/>
      <c r="F527" s="203"/>
      <c r="G527" s="6"/>
      <c r="H527" s="6"/>
      <c r="I527" s="6"/>
      <c r="J527" s="6"/>
      <c r="K527" s="6"/>
      <c r="L527" s="6"/>
      <c r="M527" s="6"/>
      <c r="N527" s="6"/>
      <c r="O527" s="203"/>
      <c r="P527" s="6"/>
      <c r="Q527" s="204"/>
      <c r="R527" s="205"/>
      <c r="S527" s="205"/>
      <c r="T527" s="206"/>
      <c r="U527" s="6"/>
      <c r="V527" s="6"/>
      <c r="W527" s="6"/>
      <c r="X527" s="6"/>
      <c r="Y527" s="6"/>
      <c r="Z527" s="6"/>
      <c r="AA527" s="6"/>
      <c r="AB527" s="6"/>
      <c r="AC527" s="6"/>
      <c r="AD527" s="6"/>
      <c r="AE527" s="6"/>
      <c r="AF527" s="6"/>
      <c r="AG527" s="6"/>
      <c r="AH527" s="6"/>
      <c r="AI527" s="6"/>
      <c r="AJ527" s="6"/>
      <c r="AK527" s="6"/>
      <c r="AL527" s="6"/>
      <c r="AM527" s="6"/>
      <c r="AN527" s="6"/>
      <c r="AO527" s="6"/>
      <c r="AP527" s="6"/>
    </row>
    <row r="528" ht="17.25" customHeight="1">
      <c r="A528" s="203"/>
      <c r="B528" s="203"/>
      <c r="C528" s="203"/>
      <c r="D528" s="203"/>
      <c r="E528" s="203"/>
      <c r="F528" s="203"/>
      <c r="G528" s="6"/>
      <c r="H528" s="6"/>
      <c r="I528" s="6"/>
      <c r="J528" s="6"/>
      <c r="K528" s="6"/>
      <c r="L528" s="6"/>
      <c r="M528" s="6"/>
      <c r="N528" s="6"/>
      <c r="O528" s="203"/>
      <c r="P528" s="6"/>
      <c r="Q528" s="204"/>
      <c r="R528" s="205"/>
      <c r="S528" s="205"/>
      <c r="T528" s="206"/>
      <c r="U528" s="6"/>
      <c r="V528" s="6"/>
      <c r="W528" s="6"/>
      <c r="X528" s="6"/>
      <c r="Y528" s="6"/>
      <c r="Z528" s="6"/>
      <c r="AA528" s="6"/>
      <c r="AB528" s="6"/>
      <c r="AC528" s="6"/>
      <c r="AD528" s="6"/>
      <c r="AE528" s="6"/>
      <c r="AF528" s="6"/>
      <c r="AG528" s="6"/>
      <c r="AH528" s="6"/>
      <c r="AI528" s="6"/>
      <c r="AJ528" s="6"/>
      <c r="AK528" s="6"/>
      <c r="AL528" s="6"/>
      <c r="AM528" s="6"/>
      <c r="AN528" s="6"/>
      <c r="AO528" s="6"/>
      <c r="AP528" s="6"/>
    </row>
    <row r="529" ht="17.25" customHeight="1">
      <c r="A529" s="203"/>
      <c r="B529" s="203"/>
      <c r="C529" s="203"/>
      <c r="D529" s="203"/>
      <c r="E529" s="203"/>
      <c r="F529" s="203"/>
      <c r="G529" s="6"/>
      <c r="H529" s="6"/>
      <c r="I529" s="6"/>
      <c r="J529" s="6"/>
      <c r="K529" s="6"/>
      <c r="L529" s="6"/>
      <c r="M529" s="6"/>
      <c r="N529" s="6"/>
      <c r="O529" s="203"/>
      <c r="P529" s="6"/>
      <c r="Q529" s="204"/>
      <c r="R529" s="205"/>
      <c r="S529" s="205"/>
      <c r="T529" s="206"/>
      <c r="U529" s="6"/>
      <c r="V529" s="6"/>
      <c r="W529" s="6"/>
      <c r="X529" s="6"/>
      <c r="Y529" s="6"/>
      <c r="Z529" s="6"/>
      <c r="AA529" s="6"/>
      <c r="AB529" s="6"/>
      <c r="AC529" s="6"/>
      <c r="AD529" s="6"/>
      <c r="AE529" s="6"/>
      <c r="AF529" s="6"/>
      <c r="AG529" s="6"/>
      <c r="AH529" s="6"/>
      <c r="AI529" s="6"/>
      <c r="AJ529" s="6"/>
      <c r="AK529" s="6"/>
      <c r="AL529" s="6"/>
      <c r="AM529" s="6"/>
      <c r="AN529" s="6"/>
      <c r="AO529" s="6"/>
      <c r="AP529" s="6"/>
    </row>
    <row r="530" ht="17.25" customHeight="1">
      <c r="A530" s="203"/>
      <c r="B530" s="203"/>
      <c r="C530" s="203"/>
      <c r="D530" s="203"/>
      <c r="E530" s="203"/>
      <c r="F530" s="203"/>
      <c r="G530" s="6"/>
      <c r="H530" s="6"/>
      <c r="I530" s="6"/>
      <c r="J530" s="6"/>
      <c r="K530" s="6"/>
      <c r="L530" s="6"/>
      <c r="M530" s="6"/>
      <c r="N530" s="6"/>
      <c r="O530" s="203"/>
      <c r="P530" s="6"/>
      <c r="Q530" s="204"/>
      <c r="R530" s="205"/>
      <c r="S530" s="205"/>
      <c r="T530" s="206"/>
      <c r="U530" s="6"/>
      <c r="V530" s="6"/>
      <c r="W530" s="6"/>
      <c r="X530" s="6"/>
      <c r="Y530" s="6"/>
      <c r="Z530" s="6"/>
      <c r="AA530" s="6"/>
      <c r="AB530" s="6"/>
      <c r="AC530" s="6"/>
      <c r="AD530" s="6"/>
      <c r="AE530" s="6"/>
      <c r="AF530" s="6"/>
      <c r="AG530" s="6"/>
      <c r="AH530" s="6"/>
      <c r="AI530" s="6"/>
      <c r="AJ530" s="6"/>
      <c r="AK530" s="6"/>
      <c r="AL530" s="6"/>
      <c r="AM530" s="6"/>
      <c r="AN530" s="6"/>
      <c r="AO530" s="6"/>
      <c r="AP530" s="6"/>
    </row>
    <row r="531" ht="17.25" customHeight="1">
      <c r="A531" s="203"/>
      <c r="B531" s="203"/>
      <c r="C531" s="203"/>
      <c r="D531" s="203"/>
      <c r="E531" s="203"/>
      <c r="F531" s="203"/>
      <c r="G531" s="6"/>
      <c r="H531" s="6"/>
      <c r="I531" s="6"/>
      <c r="J531" s="6"/>
      <c r="K531" s="6"/>
      <c r="L531" s="6"/>
      <c r="M531" s="6"/>
      <c r="N531" s="6"/>
      <c r="O531" s="203"/>
      <c r="P531" s="6"/>
      <c r="Q531" s="204"/>
      <c r="R531" s="205"/>
      <c r="S531" s="205"/>
      <c r="T531" s="206"/>
      <c r="U531" s="6"/>
      <c r="V531" s="6"/>
      <c r="W531" s="6"/>
      <c r="X531" s="6"/>
      <c r="Y531" s="6"/>
      <c r="Z531" s="6"/>
      <c r="AA531" s="6"/>
      <c r="AB531" s="6"/>
      <c r="AC531" s="6"/>
      <c r="AD531" s="6"/>
      <c r="AE531" s="6"/>
      <c r="AF531" s="6"/>
      <c r="AG531" s="6"/>
      <c r="AH531" s="6"/>
      <c r="AI531" s="6"/>
      <c r="AJ531" s="6"/>
      <c r="AK531" s="6"/>
      <c r="AL531" s="6"/>
      <c r="AM531" s="6"/>
      <c r="AN531" s="6"/>
      <c r="AO531" s="6"/>
      <c r="AP531" s="6"/>
    </row>
    <row r="532" ht="17.25" customHeight="1">
      <c r="A532" s="203"/>
      <c r="B532" s="203"/>
      <c r="C532" s="203"/>
      <c r="D532" s="203"/>
      <c r="E532" s="203"/>
      <c r="F532" s="203"/>
      <c r="G532" s="6"/>
      <c r="H532" s="6"/>
      <c r="I532" s="6"/>
      <c r="J532" s="6"/>
      <c r="K532" s="6"/>
      <c r="L532" s="6"/>
      <c r="M532" s="6"/>
      <c r="N532" s="6"/>
      <c r="O532" s="203"/>
      <c r="P532" s="6"/>
      <c r="Q532" s="204"/>
      <c r="R532" s="205"/>
      <c r="S532" s="205"/>
      <c r="T532" s="206"/>
      <c r="U532" s="6"/>
      <c r="V532" s="6"/>
      <c r="W532" s="6"/>
      <c r="X532" s="6"/>
      <c r="Y532" s="6"/>
      <c r="Z532" s="6"/>
      <c r="AA532" s="6"/>
      <c r="AB532" s="6"/>
      <c r="AC532" s="6"/>
      <c r="AD532" s="6"/>
      <c r="AE532" s="6"/>
      <c r="AF532" s="6"/>
      <c r="AG532" s="6"/>
      <c r="AH532" s="6"/>
      <c r="AI532" s="6"/>
      <c r="AJ532" s="6"/>
      <c r="AK532" s="6"/>
      <c r="AL532" s="6"/>
      <c r="AM532" s="6"/>
      <c r="AN532" s="6"/>
      <c r="AO532" s="6"/>
      <c r="AP532" s="6"/>
    </row>
    <row r="533" ht="17.25" customHeight="1">
      <c r="A533" s="203"/>
      <c r="B533" s="203"/>
      <c r="C533" s="203"/>
      <c r="D533" s="203"/>
      <c r="E533" s="203"/>
      <c r="F533" s="203"/>
      <c r="G533" s="6"/>
      <c r="H533" s="6"/>
      <c r="I533" s="6"/>
      <c r="J533" s="6"/>
      <c r="K533" s="6"/>
      <c r="L533" s="6"/>
      <c r="M533" s="6"/>
      <c r="N533" s="6"/>
      <c r="O533" s="203"/>
      <c r="P533" s="6"/>
      <c r="Q533" s="204"/>
      <c r="R533" s="205"/>
      <c r="S533" s="205"/>
      <c r="T533" s="206"/>
      <c r="U533" s="6"/>
      <c r="V533" s="6"/>
      <c r="W533" s="6"/>
      <c r="X533" s="6"/>
      <c r="Y533" s="6"/>
      <c r="Z533" s="6"/>
      <c r="AA533" s="6"/>
      <c r="AB533" s="6"/>
      <c r="AC533" s="6"/>
      <c r="AD533" s="6"/>
      <c r="AE533" s="6"/>
      <c r="AF533" s="6"/>
      <c r="AG533" s="6"/>
      <c r="AH533" s="6"/>
      <c r="AI533" s="6"/>
      <c r="AJ533" s="6"/>
      <c r="AK533" s="6"/>
      <c r="AL533" s="6"/>
      <c r="AM533" s="6"/>
      <c r="AN533" s="6"/>
      <c r="AO533" s="6"/>
      <c r="AP533" s="6"/>
    </row>
    <row r="534" ht="17.25" customHeight="1">
      <c r="A534" s="203"/>
      <c r="B534" s="203"/>
      <c r="C534" s="203"/>
      <c r="D534" s="203"/>
      <c r="E534" s="203"/>
      <c r="F534" s="203"/>
      <c r="G534" s="6"/>
      <c r="H534" s="6"/>
      <c r="I534" s="6"/>
      <c r="J534" s="6"/>
      <c r="K534" s="6"/>
      <c r="L534" s="6"/>
      <c r="M534" s="6"/>
      <c r="N534" s="6"/>
      <c r="O534" s="203"/>
      <c r="P534" s="6"/>
      <c r="Q534" s="204"/>
      <c r="R534" s="205"/>
      <c r="S534" s="205"/>
      <c r="T534" s="206"/>
      <c r="U534" s="6"/>
      <c r="V534" s="6"/>
      <c r="W534" s="6"/>
      <c r="X534" s="6"/>
      <c r="Y534" s="6"/>
      <c r="Z534" s="6"/>
      <c r="AA534" s="6"/>
      <c r="AB534" s="6"/>
      <c r="AC534" s="6"/>
      <c r="AD534" s="6"/>
      <c r="AE534" s="6"/>
      <c r="AF534" s="6"/>
      <c r="AG534" s="6"/>
      <c r="AH534" s="6"/>
      <c r="AI534" s="6"/>
      <c r="AJ534" s="6"/>
      <c r="AK534" s="6"/>
      <c r="AL534" s="6"/>
      <c r="AM534" s="6"/>
      <c r="AN534" s="6"/>
      <c r="AO534" s="6"/>
      <c r="AP534" s="6"/>
    </row>
    <row r="535" ht="17.25" customHeight="1">
      <c r="A535" s="203"/>
      <c r="B535" s="203"/>
      <c r="C535" s="203"/>
      <c r="D535" s="203"/>
      <c r="E535" s="203"/>
      <c r="F535" s="203"/>
      <c r="G535" s="6"/>
      <c r="H535" s="6"/>
      <c r="I535" s="6"/>
      <c r="J535" s="6"/>
      <c r="K535" s="6"/>
      <c r="L535" s="6"/>
      <c r="M535" s="6"/>
      <c r="N535" s="6"/>
      <c r="O535" s="203"/>
      <c r="P535" s="6"/>
      <c r="Q535" s="204"/>
      <c r="R535" s="205"/>
      <c r="S535" s="205"/>
      <c r="T535" s="206"/>
      <c r="U535" s="6"/>
      <c r="V535" s="6"/>
      <c r="W535" s="6"/>
      <c r="X535" s="6"/>
      <c r="Y535" s="6"/>
      <c r="Z535" s="6"/>
      <c r="AA535" s="6"/>
      <c r="AB535" s="6"/>
      <c r="AC535" s="6"/>
      <c r="AD535" s="6"/>
      <c r="AE535" s="6"/>
      <c r="AF535" s="6"/>
      <c r="AG535" s="6"/>
      <c r="AH535" s="6"/>
      <c r="AI535" s="6"/>
      <c r="AJ535" s="6"/>
      <c r="AK535" s="6"/>
      <c r="AL535" s="6"/>
      <c r="AM535" s="6"/>
      <c r="AN535" s="6"/>
      <c r="AO535" s="6"/>
      <c r="AP535" s="6"/>
    </row>
    <row r="536" ht="17.25" customHeight="1">
      <c r="A536" s="203"/>
      <c r="B536" s="203"/>
      <c r="C536" s="203"/>
      <c r="D536" s="203"/>
      <c r="E536" s="203"/>
      <c r="F536" s="203"/>
      <c r="G536" s="6"/>
      <c r="H536" s="6"/>
      <c r="I536" s="6"/>
      <c r="J536" s="6"/>
      <c r="K536" s="6"/>
      <c r="L536" s="6"/>
      <c r="M536" s="6"/>
      <c r="N536" s="6"/>
      <c r="O536" s="203"/>
      <c r="P536" s="6"/>
      <c r="Q536" s="204"/>
      <c r="R536" s="205"/>
      <c r="S536" s="205"/>
      <c r="T536" s="206"/>
      <c r="U536" s="6"/>
      <c r="V536" s="6"/>
      <c r="W536" s="6"/>
      <c r="X536" s="6"/>
      <c r="Y536" s="6"/>
      <c r="Z536" s="6"/>
      <c r="AA536" s="6"/>
      <c r="AB536" s="6"/>
      <c r="AC536" s="6"/>
      <c r="AD536" s="6"/>
      <c r="AE536" s="6"/>
      <c r="AF536" s="6"/>
      <c r="AG536" s="6"/>
      <c r="AH536" s="6"/>
      <c r="AI536" s="6"/>
      <c r="AJ536" s="6"/>
      <c r="AK536" s="6"/>
      <c r="AL536" s="6"/>
      <c r="AM536" s="6"/>
      <c r="AN536" s="6"/>
      <c r="AO536" s="6"/>
      <c r="AP536" s="6"/>
    </row>
    <row r="537" ht="17.25" customHeight="1">
      <c r="A537" s="203"/>
      <c r="B537" s="203"/>
      <c r="C537" s="203"/>
      <c r="D537" s="203"/>
      <c r="E537" s="203"/>
      <c r="F537" s="203"/>
      <c r="G537" s="6"/>
      <c r="H537" s="6"/>
      <c r="I537" s="6"/>
      <c r="J537" s="6"/>
      <c r="K537" s="6"/>
      <c r="L537" s="6"/>
      <c r="M537" s="6"/>
      <c r="N537" s="6"/>
      <c r="O537" s="203"/>
      <c r="P537" s="6"/>
      <c r="Q537" s="204"/>
      <c r="R537" s="205"/>
      <c r="S537" s="205"/>
      <c r="T537" s="206"/>
      <c r="U537" s="6"/>
      <c r="V537" s="6"/>
      <c r="W537" s="6"/>
      <c r="X537" s="6"/>
      <c r="Y537" s="6"/>
      <c r="Z537" s="6"/>
      <c r="AA537" s="6"/>
      <c r="AB537" s="6"/>
      <c r="AC537" s="6"/>
      <c r="AD537" s="6"/>
      <c r="AE537" s="6"/>
      <c r="AF537" s="6"/>
      <c r="AG537" s="6"/>
      <c r="AH537" s="6"/>
      <c r="AI537" s="6"/>
      <c r="AJ537" s="6"/>
      <c r="AK537" s="6"/>
      <c r="AL537" s="6"/>
      <c r="AM537" s="6"/>
      <c r="AN537" s="6"/>
      <c r="AO537" s="6"/>
      <c r="AP537" s="6"/>
    </row>
    <row r="538" ht="17.25" customHeight="1">
      <c r="A538" s="203"/>
      <c r="B538" s="203"/>
      <c r="C538" s="203"/>
      <c r="D538" s="203"/>
      <c r="E538" s="203"/>
      <c r="F538" s="203"/>
      <c r="G538" s="6"/>
      <c r="H538" s="6"/>
      <c r="I538" s="6"/>
      <c r="J538" s="6"/>
      <c r="K538" s="6"/>
      <c r="L538" s="6"/>
      <c r="M538" s="6"/>
      <c r="N538" s="6"/>
      <c r="O538" s="203"/>
      <c r="P538" s="6"/>
      <c r="Q538" s="204"/>
      <c r="R538" s="205"/>
      <c r="S538" s="205"/>
      <c r="T538" s="206"/>
      <c r="U538" s="6"/>
      <c r="V538" s="6"/>
      <c r="W538" s="6"/>
      <c r="X538" s="6"/>
      <c r="Y538" s="6"/>
      <c r="Z538" s="6"/>
      <c r="AA538" s="6"/>
      <c r="AB538" s="6"/>
      <c r="AC538" s="6"/>
      <c r="AD538" s="6"/>
      <c r="AE538" s="6"/>
      <c r="AF538" s="6"/>
      <c r="AG538" s="6"/>
      <c r="AH538" s="6"/>
      <c r="AI538" s="6"/>
      <c r="AJ538" s="6"/>
      <c r="AK538" s="6"/>
      <c r="AL538" s="6"/>
      <c r="AM538" s="6"/>
      <c r="AN538" s="6"/>
      <c r="AO538" s="6"/>
      <c r="AP538" s="6"/>
    </row>
    <row r="539" ht="17.25" customHeight="1">
      <c r="A539" s="203"/>
      <c r="B539" s="203"/>
      <c r="C539" s="203"/>
      <c r="D539" s="203"/>
      <c r="E539" s="203"/>
      <c r="F539" s="203"/>
      <c r="G539" s="6"/>
      <c r="H539" s="6"/>
      <c r="I539" s="6"/>
      <c r="J539" s="6"/>
      <c r="K539" s="6"/>
      <c r="L539" s="6"/>
      <c r="M539" s="6"/>
      <c r="N539" s="6"/>
      <c r="O539" s="203"/>
      <c r="P539" s="6"/>
      <c r="Q539" s="204"/>
      <c r="R539" s="205"/>
      <c r="S539" s="205"/>
      <c r="T539" s="206"/>
      <c r="U539" s="6"/>
      <c r="V539" s="6"/>
      <c r="W539" s="6"/>
      <c r="X539" s="6"/>
      <c r="Y539" s="6"/>
      <c r="Z539" s="6"/>
      <c r="AA539" s="6"/>
      <c r="AB539" s="6"/>
      <c r="AC539" s="6"/>
      <c r="AD539" s="6"/>
      <c r="AE539" s="6"/>
      <c r="AF539" s="6"/>
      <c r="AG539" s="6"/>
      <c r="AH539" s="6"/>
      <c r="AI539" s="6"/>
      <c r="AJ539" s="6"/>
      <c r="AK539" s="6"/>
      <c r="AL539" s="6"/>
      <c r="AM539" s="6"/>
      <c r="AN539" s="6"/>
      <c r="AO539" s="6"/>
      <c r="AP539" s="6"/>
    </row>
    <row r="540" ht="17.25" customHeight="1">
      <c r="A540" s="203"/>
      <c r="B540" s="203"/>
      <c r="C540" s="203"/>
      <c r="D540" s="203"/>
      <c r="E540" s="203"/>
      <c r="F540" s="203"/>
      <c r="G540" s="6"/>
      <c r="H540" s="6"/>
      <c r="I540" s="6"/>
      <c r="J540" s="6"/>
      <c r="K540" s="6"/>
      <c r="L540" s="6"/>
      <c r="M540" s="6"/>
      <c r="N540" s="6"/>
      <c r="O540" s="203"/>
      <c r="P540" s="6"/>
      <c r="Q540" s="204"/>
      <c r="R540" s="205"/>
      <c r="S540" s="205"/>
      <c r="T540" s="206"/>
      <c r="U540" s="6"/>
      <c r="V540" s="6"/>
      <c r="W540" s="6"/>
      <c r="X540" s="6"/>
      <c r="Y540" s="6"/>
      <c r="Z540" s="6"/>
      <c r="AA540" s="6"/>
      <c r="AB540" s="6"/>
      <c r="AC540" s="6"/>
      <c r="AD540" s="6"/>
      <c r="AE540" s="6"/>
      <c r="AF540" s="6"/>
      <c r="AG540" s="6"/>
      <c r="AH540" s="6"/>
      <c r="AI540" s="6"/>
      <c r="AJ540" s="6"/>
      <c r="AK540" s="6"/>
      <c r="AL540" s="6"/>
      <c r="AM540" s="6"/>
      <c r="AN540" s="6"/>
      <c r="AO540" s="6"/>
      <c r="AP540" s="6"/>
    </row>
    <row r="541" ht="17.25" customHeight="1">
      <c r="A541" s="203"/>
      <c r="B541" s="203"/>
      <c r="C541" s="203"/>
      <c r="D541" s="203"/>
      <c r="E541" s="203"/>
      <c r="F541" s="203"/>
      <c r="G541" s="6"/>
      <c r="H541" s="6"/>
      <c r="I541" s="6"/>
      <c r="J541" s="6"/>
      <c r="K541" s="6"/>
      <c r="L541" s="6"/>
      <c r="M541" s="6"/>
      <c r="N541" s="6"/>
      <c r="O541" s="203"/>
      <c r="P541" s="6"/>
      <c r="Q541" s="204"/>
      <c r="R541" s="205"/>
      <c r="S541" s="205"/>
      <c r="T541" s="206"/>
      <c r="U541" s="6"/>
      <c r="V541" s="6"/>
      <c r="W541" s="6"/>
      <c r="X541" s="6"/>
      <c r="Y541" s="6"/>
      <c r="Z541" s="6"/>
      <c r="AA541" s="6"/>
      <c r="AB541" s="6"/>
      <c r="AC541" s="6"/>
      <c r="AD541" s="6"/>
      <c r="AE541" s="6"/>
      <c r="AF541" s="6"/>
      <c r="AG541" s="6"/>
      <c r="AH541" s="6"/>
      <c r="AI541" s="6"/>
      <c r="AJ541" s="6"/>
      <c r="AK541" s="6"/>
      <c r="AL541" s="6"/>
      <c r="AM541" s="6"/>
      <c r="AN541" s="6"/>
      <c r="AO541" s="6"/>
      <c r="AP541" s="6"/>
    </row>
    <row r="542" ht="17.25" customHeight="1">
      <c r="A542" s="203"/>
      <c r="B542" s="203"/>
      <c r="C542" s="203"/>
      <c r="D542" s="203"/>
      <c r="E542" s="203"/>
      <c r="F542" s="203"/>
      <c r="G542" s="6"/>
      <c r="H542" s="6"/>
      <c r="I542" s="6"/>
      <c r="J542" s="6"/>
      <c r="K542" s="6"/>
      <c r="L542" s="6"/>
      <c r="M542" s="6"/>
      <c r="N542" s="6"/>
      <c r="O542" s="203"/>
      <c r="P542" s="6"/>
      <c r="Q542" s="204"/>
      <c r="R542" s="205"/>
      <c r="S542" s="205"/>
      <c r="T542" s="206"/>
      <c r="U542" s="6"/>
      <c r="V542" s="6"/>
      <c r="W542" s="6"/>
      <c r="X542" s="6"/>
      <c r="Y542" s="6"/>
      <c r="Z542" s="6"/>
      <c r="AA542" s="6"/>
      <c r="AB542" s="6"/>
      <c r="AC542" s="6"/>
      <c r="AD542" s="6"/>
      <c r="AE542" s="6"/>
      <c r="AF542" s="6"/>
      <c r="AG542" s="6"/>
      <c r="AH542" s="6"/>
      <c r="AI542" s="6"/>
      <c r="AJ542" s="6"/>
      <c r="AK542" s="6"/>
      <c r="AL542" s="6"/>
      <c r="AM542" s="6"/>
      <c r="AN542" s="6"/>
      <c r="AO542" s="6"/>
      <c r="AP542" s="6"/>
    </row>
    <row r="543" ht="17.25" customHeight="1">
      <c r="A543" s="203"/>
      <c r="B543" s="203"/>
      <c r="C543" s="203"/>
      <c r="D543" s="203"/>
      <c r="E543" s="203"/>
      <c r="F543" s="203"/>
      <c r="G543" s="6"/>
      <c r="H543" s="6"/>
      <c r="I543" s="6"/>
      <c r="J543" s="6"/>
      <c r="K543" s="6"/>
      <c r="L543" s="6"/>
      <c r="M543" s="6"/>
      <c r="N543" s="6"/>
      <c r="O543" s="203"/>
      <c r="P543" s="6"/>
      <c r="Q543" s="204"/>
      <c r="R543" s="205"/>
      <c r="S543" s="205"/>
      <c r="T543" s="206"/>
      <c r="U543" s="6"/>
      <c r="V543" s="6"/>
      <c r="W543" s="6"/>
      <c r="X543" s="6"/>
      <c r="Y543" s="6"/>
      <c r="Z543" s="6"/>
      <c r="AA543" s="6"/>
      <c r="AB543" s="6"/>
      <c r="AC543" s="6"/>
      <c r="AD543" s="6"/>
      <c r="AE543" s="6"/>
      <c r="AF543" s="6"/>
      <c r="AG543" s="6"/>
      <c r="AH543" s="6"/>
      <c r="AI543" s="6"/>
      <c r="AJ543" s="6"/>
      <c r="AK543" s="6"/>
      <c r="AL543" s="6"/>
      <c r="AM543" s="6"/>
      <c r="AN543" s="6"/>
      <c r="AO543" s="6"/>
      <c r="AP543" s="6"/>
    </row>
    <row r="544" ht="17.25" customHeight="1">
      <c r="A544" s="203"/>
      <c r="B544" s="203"/>
      <c r="C544" s="203"/>
      <c r="D544" s="203"/>
      <c r="E544" s="203"/>
      <c r="F544" s="203"/>
      <c r="G544" s="6"/>
      <c r="H544" s="6"/>
      <c r="I544" s="6"/>
      <c r="J544" s="6"/>
      <c r="K544" s="6"/>
      <c r="L544" s="6"/>
      <c r="M544" s="6"/>
      <c r="N544" s="6"/>
      <c r="O544" s="203"/>
      <c r="P544" s="6"/>
      <c r="Q544" s="204"/>
      <c r="R544" s="205"/>
      <c r="S544" s="205"/>
      <c r="T544" s="206"/>
      <c r="U544" s="6"/>
      <c r="V544" s="6"/>
      <c r="W544" s="6"/>
      <c r="X544" s="6"/>
      <c r="Y544" s="6"/>
      <c r="Z544" s="6"/>
      <c r="AA544" s="6"/>
      <c r="AB544" s="6"/>
      <c r="AC544" s="6"/>
      <c r="AD544" s="6"/>
      <c r="AE544" s="6"/>
      <c r="AF544" s="6"/>
      <c r="AG544" s="6"/>
      <c r="AH544" s="6"/>
      <c r="AI544" s="6"/>
      <c r="AJ544" s="6"/>
      <c r="AK544" s="6"/>
      <c r="AL544" s="6"/>
      <c r="AM544" s="6"/>
      <c r="AN544" s="6"/>
      <c r="AO544" s="6"/>
      <c r="AP544" s="6"/>
    </row>
    <row r="545" ht="17.25" customHeight="1">
      <c r="A545" s="203"/>
      <c r="B545" s="203"/>
      <c r="C545" s="203"/>
      <c r="D545" s="203"/>
      <c r="E545" s="203"/>
      <c r="F545" s="203"/>
      <c r="G545" s="6"/>
      <c r="H545" s="6"/>
      <c r="I545" s="6"/>
      <c r="J545" s="6"/>
      <c r="K545" s="6"/>
      <c r="L545" s="6"/>
      <c r="M545" s="6"/>
      <c r="N545" s="6"/>
      <c r="O545" s="203"/>
      <c r="P545" s="6"/>
      <c r="Q545" s="204"/>
      <c r="R545" s="205"/>
      <c r="S545" s="205"/>
      <c r="T545" s="206"/>
      <c r="U545" s="6"/>
      <c r="V545" s="6"/>
      <c r="W545" s="6"/>
      <c r="X545" s="6"/>
      <c r="Y545" s="6"/>
      <c r="Z545" s="6"/>
      <c r="AA545" s="6"/>
      <c r="AB545" s="6"/>
      <c r="AC545" s="6"/>
      <c r="AD545" s="6"/>
      <c r="AE545" s="6"/>
      <c r="AF545" s="6"/>
      <c r="AG545" s="6"/>
      <c r="AH545" s="6"/>
      <c r="AI545" s="6"/>
      <c r="AJ545" s="6"/>
      <c r="AK545" s="6"/>
      <c r="AL545" s="6"/>
      <c r="AM545" s="6"/>
      <c r="AN545" s="6"/>
      <c r="AO545" s="6"/>
      <c r="AP545" s="6"/>
    </row>
    <row r="546" ht="17.25" customHeight="1">
      <c r="A546" s="203"/>
      <c r="B546" s="203"/>
      <c r="C546" s="203"/>
      <c r="D546" s="203"/>
      <c r="E546" s="203"/>
      <c r="F546" s="203"/>
      <c r="G546" s="6"/>
      <c r="H546" s="6"/>
      <c r="I546" s="6"/>
      <c r="J546" s="6"/>
      <c r="K546" s="6"/>
      <c r="L546" s="6"/>
      <c r="M546" s="6"/>
      <c r="N546" s="6"/>
      <c r="O546" s="203"/>
      <c r="P546" s="6"/>
      <c r="Q546" s="204"/>
      <c r="R546" s="205"/>
      <c r="S546" s="205"/>
      <c r="T546" s="206"/>
      <c r="U546" s="6"/>
      <c r="V546" s="6"/>
      <c r="W546" s="6"/>
      <c r="X546" s="6"/>
      <c r="Y546" s="6"/>
      <c r="Z546" s="6"/>
      <c r="AA546" s="6"/>
      <c r="AB546" s="6"/>
      <c r="AC546" s="6"/>
      <c r="AD546" s="6"/>
      <c r="AE546" s="6"/>
      <c r="AF546" s="6"/>
      <c r="AG546" s="6"/>
      <c r="AH546" s="6"/>
      <c r="AI546" s="6"/>
      <c r="AJ546" s="6"/>
      <c r="AK546" s="6"/>
      <c r="AL546" s="6"/>
      <c r="AM546" s="6"/>
      <c r="AN546" s="6"/>
      <c r="AO546" s="6"/>
      <c r="AP546" s="6"/>
    </row>
    <row r="547" ht="17.25" customHeight="1">
      <c r="A547" s="203"/>
      <c r="B547" s="203"/>
      <c r="C547" s="203"/>
      <c r="D547" s="203"/>
      <c r="E547" s="203"/>
      <c r="F547" s="203"/>
      <c r="G547" s="6"/>
      <c r="H547" s="6"/>
      <c r="I547" s="6"/>
      <c r="J547" s="6"/>
      <c r="K547" s="6"/>
      <c r="L547" s="6"/>
      <c r="M547" s="6"/>
      <c r="N547" s="6"/>
      <c r="O547" s="203"/>
      <c r="P547" s="6"/>
      <c r="Q547" s="204"/>
      <c r="R547" s="205"/>
      <c r="S547" s="205"/>
      <c r="T547" s="206"/>
      <c r="U547" s="6"/>
      <c r="V547" s="6"/>
      <c r="W547" s="6"/>
      <c r="X547" s="6"/>
      <c r="Y547" s="6"/>
      <c r="Z547" s="6"/>
      <c r="AA547" s="6"/>
      <c r="AB547" s="6"/>
      <c r="AC547" s="6"/>
      <c r="AD547" s="6"/>
      <c r="AE547" s="6"/>
      <c r="AF547" s="6"/>
      <c r="AG547" s="6"/>
      <c r="AH547" s="6"/>
      <c r="AI547" s="6"/>
      <c r="AJ547" s="6"/>
      <c r="AK547" s="6"/>
      <c r="AL547" s="6"/>
      <c r="AM547" s="6"/>
      <c r="AN547" s="6"/>
      <c r="AO547" s="6"/>
      <c r="AP547" s="6"/>
    </row>
    <row r="548" ht="17.25" customHeight="1">
      <c r="A548" s="203"/>
      <c r="B548" s="203"/>
      <c r="C548" s="203"/>
      <c r="D548" s="203"/>
      <c r="E548" s="203"/>
      <c r="F548" s="203"/>
      <c r="G548" s="6"/>
      <c r="H548" s="6"/>
      <c r="I548" s="6"/>
      <c r="J548" s="6"/>
      <c r="K548" s="6"/>
      <c r="L548" s="6"/>
      <c r="M548" s="6"/>
      <c r="N548" s="6"/>
      <c r="O548" s="203"/>
      <c r="P548" s="6"/>
      <c r="Q548" s="204"/>
      <c r="R548" s="205"/>
      <c r="S548" s="205"/>
      <c r="T548" s="206"/>
      <c r="U548" s="6"/>
      <c r="V548" s="6"/>
      <c r="W548" s="6"/>
      <c r="X548" s="6"/>
      <c r="Y548" s="6"/>
      <c r="Z548" s="6"/>
      <c r="AA548" s="6"/>
      <c r="AB548" s="6"/>
      <c r="AC548" s="6"/>
      <c r="AD548" s="6"/>
      <c r="AE548" s="6"/>
      <c r="AF548" s="6"/>
      <c r="AG548" s="6"/>
      <c r="AH548" s="6"/>
      <c r="AI548" s="6"/>
      <c r="AJ548" s="6"/>
      <c r="AK548" s="6"/>
      <c r="AL548" s="6"/>
      <c r="AM548" s="6"/>
      <c r="AN548" s="6"/>
      <c r="AO548" s="6"/>
      <c r="AP548" s="6"/>
    </row>
    <row r="549" ht="17.25" customHeight="1">
      <c r="A549" s="203"/>
      <c r="B549" s="203"/>
      <c r="C549" s="203"/>
      <c r="D549" s="203"/>
      <c r="E549" s="203"/>
      <c r="F549" s="203"/>
      <c r="G549" s="6"/>
      <c r="H549" s="6"/>
      <c r="I549" s="6"/>
      <c r="J549" s="6"/>
      <c r="K549" s="6"/>
      <c r="L549" s="6"/>
      <c r="M549" s="6"/>
      <c r="N549" s="6"/>
      <c r="O549" s="203"/>
      <c r="P549" s="6"/>
      <c r="Q549" s="204"/>
      <c r="R549" s="205"/>
      <c r="S549" s="205"/>
      <c r="T549" s="206"/>
      <c r="U549" s="6"/>
      <c r="V549" s="6"/>
      <c r="W549" s="6"/>
      <c r="X549" s="6"/>
      <c r="Y549" s="6"/>
      <c r="Z549" s="6"/>
      <c r="AA549" s="6"/>
      <c r="AB549" s="6"/>
      <c r="AC549" s="6"/>
      <c r="AD549" s="6"/>
      <c r="AE549" s="6"/>
      <c r="AF549" s="6"/>
      <c r="AG549" s="6"/>
      <c r="AH549" s="6"/>
      <c r="AI549" s="6"/>
      <c r="AJ549" s="6"/>
      <c r="AK549" s="6"/>
      <c r="AL549" s="6"/>
      <c r="AM549" s="6"/>
      <c r="AN549" s="6"/>
      <c r="AO549" s="6"/>
      <c r="AP549" s="6"/>
    </row>
    <row r="550" ht="17.25" customHeight="1">
      <c r="A550" s="203"/>
      <c r="B550" s="203"/>
      <c r="C550" s="203"/>
      <c r="D550" s="203"/>
      <c r="E550" s="203"/>
      <c r="F550" s="203"/>
      <c r="G550" s="6"/>
      <c r="H550" s="6"/>
      <c r="I550" s="6"/>
      <c r="J550" s="6"/>
      <c r="K550" s="6"/>
      <c r="L550" s="6"/>
      <c r="M550" s="6"/>
      <c r="N550" s="6"/>
      <c r="O550" s="203"/>
      <c r="P550" s="6"/>
      <c r="Q550" s="204"/>
      <c r="R550" s="205"/>
      <c r="S550" s="205"/>
      <c r="T550" s="206"/>
      <c r="U550" s="6"/>
      <c r="V550" s="6"/>
      <c r="W550" s="6"/>
      <c r="X550" s="6"/>
      <c r="Y550" s="6"/>
      <c r="Z550" s="6"/>
      <c r="AA550" s="6"/>
      <c r="AB550" s="6"/>
      <c r="AC550" s="6"/>
      <c r="AD550" s="6"/>
      <c r="AE550" s="6"/>
      <c r="AF550" s="6"/>
      <c r="AG550" s="6"/>
      <c r="AH550" s="6"/>
      <c r="AI550" s="6"/>
      <c r="AJ550" s="6"/>
      <c r="AK550" s="6"/>
      <c r="AL550" s="6"/>
      <c r="AM550" s="6"/>
      <c r="AN550" s="6"/>
      <c r="AO550" s="6"/>
      <c r="AP550" s="6"/>
    </row>
    <row r="551" ht="17.25" customHeight="1">
      <c r="A551" s="203"/>
      <c r="B551" s="203"/>
      <c r="C551" s="203"/>
      <c r="D551" s="203"/>
      <c r="E551" s="203"/>
      <c r="F551" s="203"/>
      <c r="G551" s="6"/>
      <c r="H551" s="6"/>
      <c r="I551" s="6"/>
      <c r="J551" s="6"/>
      <c r="K551" s="6"/>
      <c r="L551" s="6"/>
      <c r="M551" s="6"/>
      <c r="N551" s="6"/>
      <c r="O551" s="203"/>
      <c r="P551" s="6"/>
      <c r="Q551" s="204"/>
      <c r="R551" s="205"/>
      <c r="S551" s="205"/>
      <c r="T551" s="206"/>
      <c r="U551" s="6"/>
      <c r="V551" s="6"/>
      <c r="W551" s="6"/>
      <c r="X551" s="6"/>
      <c r="Y551" s="6"/>
      <c r="Z551" s="6"/>
      <c r="AA551" s="6"/>
      <c r="AB551" s="6"/>
      <c r="AC551" s="6"/>
      <c r="AD551" s="6"/>
      <c r="AE551" s="6"/>
      <c r="AF551" s="6"/>
      <c r="AG551" s="6"/>
      <c r="AH551" s="6"/>
      <c r="AI551" s="6"/>
      <c r="AJ551" s="6"/>
      <c r="AK551" s="6"/>
      <c r="AL551" s="6"/>
      <c r="AM551" s="6"/>
      <c r="AN551" s="6"/>
      <c r="AO551" s="6"/>
      <c r="AP551" s="6"/>
    </row>
    <row r="552" ht="17.25" customHeight="1">
      <c r="A552" s="203"/>
      <c r="B552" s="203"/>
      <c r="C552" s="203"/>
      <c r="D552" s="203"/>
      <c r="E552" s="203"/>
      <c r="F552" s="203"/>
      <c r="G552" s="6"/>
      <c r="H552" s="6"/>
      <c r="I552" s="6"/>
      <c r="J552" s="6"/>
      <c r="K552" s="6"/>
      <c r="L552" s="6"/>
      <c r="M552" s="6"/>
      <c r="N552" s="6"/>
      <c r="O552" s="203"/>
      <c r="P552" s="6"/>
      <c r="Q552" s="204"/>
      <c r="R552" s="205"/>
      <c r="S552" s="205"/>
      <c r="T552" s="206"/>
      <c r="U552" s="6"/>
      <c r="V552" s="6"/>
      <c r="W552" s="6"/>
      <c r="X552" s="6"/>
      <c r="Y552" s="6"/>
      <c r="Z552" s="6"/>
      <c r="AA552" s="6"/>
      <c r="AB552" s="6"/>
      <c r="AC552" s="6"/>
      <c r="AD552" s="6"/>
      <c r="AE552" s="6"/>
      <c r="AF552" s="6"/>
      <c r="AG552" s="6"/>
      <c r="AH552" s="6"/>
      <c r="AI552" s="6"/>
      <c r="AJ552" s="6"/>
      <c r="AK552" s="6"/>
      <c r="AL552" s="6"/>
      <c r="AM552" s="6"/>
      <c r="AN552" s="6"/>
      <c r="AO552" s="6"/>
      <c r="AP552" s="6"/>
    </row>
    <row r="553" ht="17.25" customHeight="1">
      <c r="A553" s="203"/>
      <c r="B553" s="203"/>
      <c r="C553" s="203"/>
      <c r="D553" s="203"/>
      <c r="E553" s="203"/>
      <c r="F553" s="203"/>
      <c r="G553" s="6"/>
      <c r="H553" s="6"/>
      <c r="I553" s="6"/>
      <c r="J553" s="6"/>
      <c r="K553" s="6"/>
      <c r="L553" s="6"/>
      <c r="M553" s="6"/>
      <c r="N553" s="6"/>
      <c r="O553" s="203"/>
      <c r="P553" s="6"/>
      <c r="Q553" s="204"/>
      <c r="R553" s="205"/>
      <c r="S553" s="205"/>
      <c r="T553" s="206"/>
      <c r="U553" s="6"/>
      <c r="V553" s="6"/>
      <c r="W553" s="6"/>
      <c r="X553" s="6"/>
      <c r="Y553" s="6"/>
      <c r="Z553" s="6"/>
      <c r="AA553" s="6"/>
      <c r="AB553" s="6"/>
      <c r="AC553" s="6"/>
      <c r="AD553" s="6"/>
      <c r="AE553" s="6"/>
      <c r="AF553" s="6"/>
      <c r="AG553" s="6"/>
      <c r="AH553" s="6"/>
      <c r="AI553" s="6"/>
      <c r="AJ553" s="6"/>
      <c r="AK553" s="6"/>
      <c r="AL553" s="6"/>
      <c r="AM553" s="6"/>
      <c r="AN553" s="6"/>
      <c r="AO553" s="6"/>
      <c r="AP553" s="6"/>
    </row>
    <row r="554" ht="17.25" customHeight="1">
      <c r="A554" s="203"/>
      <c r="B554" s="203"/>
      <c r="C554" s="203"/>
      <c r="D554" s="203"/>
      <c r="E554" s="203"/>
      <c r="F554" s="203"/>
      <c r="G554" s="6"/>
      <c r="H554" s="6"/>
      <c r="I554" s="6"/>
      <c r="J554" s="6"/>
      <c r="K554" s="6"/>
      <c r="L554" s="6"/>
      <c r="M554" s="6"/>
      <c r="N554" s="6"/>
      <c r="O554" s="203"/>
      <c r="P554" s="6"/>
      <c r="Q554" s="204"/>
      <c r="R554" s="205"/>
      <c r="S554" s="205"/>
      <c r="T554" s="206"/>
      <c r="U554" s="6"/>
      <c r="V554" s="6"/>
      <c r="W554" s="6"/>
      <c r="X554" s="6"/>
      <c r="Y554" s="6"/>
      <c r="Z554" s="6"/>
      <c r="AA554" s="6"/>
      <c r="AB554" s="6"/>
      <c r="AC554" s="6"/>
      <c r="AD554" s="6"/>
      <c r="AE554" s="6"/>
      <c r="AF554" s="6"/>
      <c r="AG554" s="6"/>
      <c r="AH554" s="6"/>
      <c r="AI554" s="6"/>
      <c r="AJ554" s="6"/>
      <c r="AK554" s="6"/>
      <c r="AL554" s="6"/>
      <c r="AM554" s="6"/>
      <c r="AN554" s="6"/>
      <c r="AO554" s="6"/>
      <c r="AP554" s="6"/>
    </row>
    <row r="555" ht="17.25" customHeight="1">
      <c r="A555" s="203"/>
      <c r="B555" s="203"/>
      <c r="C555" s="203"/>
      <c r="D555" s="203"/>
      <c r="E555" s="203"/>
      <c r="F555" s="203"/>
      <c r="G555" s="6"/>
      <c r="H555" s="6"/>
      <c r="I555" s="6"/>
      <c r="J555" s="6"/>
      <c r="K555" s="6"/>
      <c r="L555" s="6"/>
      <c r="M555" s="6"/>
      <c r="N555" s="6"/>
      <c r="O555" s="203"/>
      <c r="P555" s="6"/>
      <c r="Q555" s="204"/>
      <c r="R555" s="205"/>
      <c r="S555" s="205"/>
      <c r="T555" s="206"/>
      <c r="U555" s="6"/>
      <c r="V555" s="6"/>
      <c r="W555" s="6"/>
      <c r="X555" s="6"/>
      <c r="Y555" s="6"/>
      <c r="Z555" s="6"/>
      <c r="AA555" s="6"/>
      <c r="AB555" s="6"/>
      <c r="AC555" s="6"/>
      <c r="AD555" s="6"/>
      <c r="AE555" s="6"/>
      <c r="AF555" s="6"/>
      <c r="AG555" s="6"/>
      <c r="AH555" s="6"/>
      <c r="AI555" s="6"/>
      <c r="AJ555" s="6"/>
      <c r="AK555" s="6"/>
      <c r="AL555" s="6"/>
      <c r="AM555" s="6"/>
      <c r="AN555" s="6"/>
      <c r="AO555" s="6"/>
      <c r="AP555" s="6"/>
    </row>
    <row r="556" ht="17.25" customHeight="1">
      <c r="A556" s="203"/>
      <c r="B556" s="203"/>
      <c r="C556" s="203"/>
      <c r="D556" s="203"/>
      <c r="E556" s="203"/>
      <c r="F556" s="203"/>
      <c r="G556" s="6"/>
      <c r="H556" s="6"/>
      <c r="I556" s="6"/>
      <c r="J556" s="6"/>
      <c r="K556" s="6"/>
      <c r="L556" s="6"/>
      <c r="M556" s="6"/>
      <c r="N556" s="6"/>
      <c r="O556" s="203"/>
      <c r="P556" s="6"/>
      <c r="Q556" s="204"/>
      <c r="R556" s="205"/>
      <c r="S556" s="205"/>
      <c r="T556" s="206"/>
      <c r="U556" s="6"/>
      <c r="V556" s="6"/>
      <c r="W556" s="6"/>
      <c r="X556" s="6"/>
      <c r="Y556" s="6"/>
      <c r="Z556" s="6"/>
      <c r="AA556" s="6"/>
      <c r="AB556" s="6"/>
      <c r="AC556" s="6"/>
      <c r="AD556" s="6"/>
      <c r="AE556" s="6"/>
      <c r="AF556" s="6"/>
      <c r="AG556" s="6"/>
      <c r="AH556" s="6"/>
      <c r="AI556" s="6"/>
      <c r="AJ556" s="6"/>
      <c r="AK556" s="6"/>
      <c r="AL556" s="6"/>
      <c r="AM556" s="6"/>
      <c r="AN556" s="6"/>
      <c r="AO556" s="6"/>
      <c r="AP556" s="6"/>
    </row>
    <row r="557" ht="17.25" customHeight="1">
      <c r="A557" s="203"/>
      <c r="B557" s="203"/>
      <c r="C557" s="203"/>
      <c r="D557" s="203"/>
      <c r="E557" s="203"/>
      <c r="F557" s="203"/>
      <c r="G557" s="6"/>
      <c r="H557" s="6"/>
      <c r="I557" s="6"/>
      <c r="J557" s="6"/>
      <c r="K557" s="6"/>
      <c r="L557" s="6"/>
      <c r="M557" s="6"/>
      <c r="N557" s="6"/>
      <c r="O557" s="203"/>
      <c r="P557" s="6"/>
      <c r="Q557" s="204"/>
      <c r="R557" s="205"/>
      <c r="S557" s="205"/>
      <c r="T557" s="206"/>
      <c r="U557" s="6"/>
      <c r="V557" s="6"/>
      <c r="W557" s="6"/>
      <c r="X557" s="6"/>
      <c r="Y557" s="6"/>
      <c r="Z557" s="6"/>
      <c r="AA557" s="6"/>
      <c r="AB557" s="6"/>
      <c r="AC557" s="6"/>
      <c r="AD557" s="6"/>
      <c r="AE557" s="6"/>
      <c r="AF557" s="6"/>
      <c r="AG557" s="6"/>
      <c r="AH557" s="6"/>
      <c r="AI557" s="6"/>
      <c r="AJ557" s="6"/>
      <c r="AK557" s="6"/>
      <c r="AL557" s="6"/>
      <c r="AM557" s="6"/>
      <c r="AN557" s="6"/>
      <c r="AO557" s="6"/>
      <c r="AP557" s="6"/>
    </row>
    <row r="558" ht="17.25" customHeight="1">
      <c r="A558" s="203"/>
      <c r="B558" s="203"/>
      <c r="C558" s="203"/>
      <c r="D558" s="203"/>
      <c r="E558" s="203"/>
      <c r="F558" s="203"/>
      <c r="G558" s="6"/>
      <c r="H558" s="6"/>
      <c r="I558" s="6"/>
      <c r="J558" s="6"/>
      <c r="K558" s="6"/>
      <c r="L558" s="6"/>
      <c r="M558" s="6"/>
      <c r="N558" s="6"/>
      <c r="O558" s="203"/>
      <c r="P558" s="6"/>
      <c r="Q558" s="204"/>
      <c r="R558" s="205"/>
      <c r="S558" s="205"/>
      <c r="T558" s="206"/>
      <c r="U558" s="6"/>
      <c r="V558" s="6"/>
      <c r="W558" s="6"/>
      <c r="X558" s="6"/>
      <c r="Y558" s="6"/>
      <c r="Z558" s="6"/>
      <c r="AA558" s="6"/>
      <c r="AB558" s="6"/>
      <c r="AC558" s="6"/>
      <c r="AD558" s="6"/>
      <c r="AE558" s="6"/>
      <c r="AF558" s="6"/>
      <c r="AG558" s="6"/>
      <c r="AH558" s="6"/>
      <c r="AI558" s="6"/>
      <c r="AJ558" s="6"/>
      <c r="AK558" s="6"/>
      <c r="AL558" s="6"/>
      <c r="AM558" s="6"/>
      <c r="AN558" s="6"/>
      <c r="AO558" s="6"/>
      <c r="AP558" s="6"/>
    </row>
    <row r="559" ht="17.25" customHeight="1">
      <c r="A559" s="203"/>
      <c r="B559" s="203"/>
      <c r="C559" s="203"/>
      <c r="D559" s="203"/>
      <c r="E559" s="203"/>
      <c r="F559" s="203"/>
      <c r="G559" s="6"/>
      <c r="H559" s="6"/>
      <c r="I559" s="6"/>
      <c r="J559" s="6"/>
      <c r="K559" s="6"/>
      <c r="L559" s="6"/>
      <c r="M559" s="6"/>
      <c r="N559" s="6"/>
      <c r="O559" s="203"/>
      <c r="P559" s="6"/>
      <c r="Q559" s="204"/>
      <c r="R559" s="205"/>
      <c r="S559" s="205"/>
      <c r="T559" s="206"/>
      <c r="U559" s="6"/>
      <c r="V559" s="6"/>
      <c r="W559" s="6"/>
      <c r="X559" s="6"/>
      <c r="Y559" s="6"/>
      <c r="Z559" s="6"/>
      <c r="AA559" s="6"/>
      <c r="AB559" s="6"/>
      <c r="AC559" s="6"/>
      <c r="AD559" s="6"/>
      <c r="AE559" s="6"/>
      <c r="AF559" s="6"/>
      <c r="AG559" s="6"/>
      <c r="AH559" s="6"/>
      <c r="AI559" s="6"/>
      <c r="AJ559" s="6"/>
      <c r="AK559" s="6"/>
      <c r="AL559" s="6"/>
      <c r="AM559" s="6"/>
      <c r="AN559" s="6"/>
      <c r="AO559" s="6"/>
      <c r="AP559" s="6"/>
    </row>
    <row r="560" ht="17.25" customHeight="1">
      <c r="A560" s="203"/>
      <c r="B560" s="203"/>
      <c r="C560" s="203"/>
      <c r="D560" s="203"/>
      <c r="E560" s="203"/>
      <c r="F560" s="203"/>
      <c r="G560" s="6"/>
      <c r="H560" s="6"/>
      <c r="I560" s="6"/>
      <c r="J560" s="6"/>
      <c r="K560" s="6"/>
      <c r="L560" s="6"/>
      <c r="M560" s="6"/>
      <c r="N560" s="6"/>
      <c r="O560" s="203"/>
      <c r="P560" s="6"/>
      <c r="Q560" s="204"/>
      <c r="R560" s="205"/>
      <c r="S560" s="205"/>
      <c r="T560" s="206"/>
      <c r="U560" s="6"/>
      <c r="V560" s="6"/>
      <c r="W560" s="6"/>
      <c r="X560" s="6"/>
      <c r="Y560" s="6"/>
      <c r="Z560" s="6"/>
      <c r="AA560" s="6"/>
      <c r="AB560" s="6"/>
      <c r="AC560" s="6"/>
      <c r="AD560" s="6"/>
      <c r="AE560" s="6"/>
      <c r="AF560" s="6"/>
      <c r="AG560" s="6"/>
      <c r="AH560" s="6"/>
      <c r="AI560" s="6"/>
      <c r="AJ560" s="6"/>
      <c r="AK560" s="6"/>
      <c r="AL560" s="6"/>
      <c r="AM560" s="6"/>
      <c r="AN560" s="6"/>
      <c r="AO560" s="6"/>
      <c r="AP560" s="6"/>
    </row>
    <row r="561" ht="17.25" customHeight="1">
      <c r="A561" s="203"/>
      <c r="B561" s="203"/>
      <c r="C561" s="203"/>
      <c r="D561" s="203"/>
      <c r="E561" s="203"/>
      <c r="F561" s="203"/>
      <c r="G561" s="6"/>
      <c r="H561" s="6"/>
      <c r="I561" s="6"/>
      <c r="J561" s="6"/>
      <c r="K561" s="6"/>
      <c r="L561" s="6"/>
      <c r="M561" s="6"/>
      <c r="N561" s="6"/>
      <c r="O561" s="203"/>
      <c r="P561" s="6"/>
      <c r="Q561" s="204"/>
      <c r="R561" s="205"/>
      <c r="S561" s="205"/>
      <c r="T561" s="206"/>
      <c r="U561" s="6"/>
      <c r="V561" s="6"/>
      <c r="W561" s="6"/>
      <c r="X561" s="6"/>
      <c r="Y561" s="6"/>
      <c r="Z561" s="6"/>
      <c r="AA561" s="6"/>
      <c r="AB561" s="6"/>
      <c r="AC561" s="6"/>
      <c r="AD561" s="6"/>
      <c r="AE561" s="6"/>
      <c r="AF561" s="6"/>
      <c r="AG561" s="6"/>
      <c r="AH561" s="6"/>
      <c r="AI561" s="6"/>
      <c r="AJ561" s="6"/>
      <c r="AK561" s="6"/>
      <c r="AL561" s="6"/>
      <c r="AM561" s="6"/>
      <c r="AN561" s="6"/>
      <c r="AO561" s="6"/>
      <c r="AP561" s="6"/>
    </row>
    <row r="562" ht="17.25" customHeight="1">
      <c r="A562" s="203"/>
      <c r="B562" s="203"/>
      <c r="C562" s="203"/>
      <c r="D562" s="203"/>
      <c r="E562" s="203"/>
      <c r="F562" s="203"/>
      <c r="G562" s="6"/>
      <c r="H562" s="6"/>
      <c r="I562" s="6"/>
      <c r="J562" s="6"/>
      <c r="K562" s="6"/>
      <c r="L562" s="6"/>
      <c r="M562" s="6"/>
      <c r="N562" s="6"/>
      <c r="O562" s="203"/>
      <c r="P562" s="6"/>
      <c r="Q562" s="204"/>
      <c r="R562" s="205"/>
      <c r="S562" s="205"/>
      <c r="T562" s="206"/>
      <c r="U562" s="6"/>
      <c r="V562" s="6"/>
      <c r="W562" s="6"/>
      <c r="X562" s="6"/>
      <c r="Y562" s="6"/>
      <c r="Z562" s="6"/>
      <c r="AA562" s="6"/>
      <c r="AB562" s="6"/>
      <c r="AC562" s="6"/>
      <c r="AD562" s="6"/>
      <c r="AE562" s="6"/>
      <c r="AF562" s="6"/>
      <c r="AG562" s="6"/>
      <c r="AH562" s="6"/>
      <c r="AI562" s="6"/>
      <c r="AJ562" s="6"/>
      <c r="AK562" s="6"/>
      <c r="AL562" s="6"/>
      <c r="AM562" s="6"/>
      <c r="AN562" s="6"/>
      <c r="AO562" s="6"/>
      <c r="AP562" s="6"/>
    </row>
    <row r="563" ht="17.25" customHeight="1">
      <c r="A563" s="203"/>
      <c r="B563" s="203"/>
      <c r="C563" s="203"/>
      <c r="D563" s="203"/>
      <c r="E563" s="203"/>
      <c r="F563" s="203"/>
      <c r="G563" s="6"/>
      <c r="H563" s="6"/>
      <c r="I563" s="6"/>
      <c r="J563" s="6"/>
      <c r="K563" s="6"/>
      <c r="L563" s="6"/>
      <c r="M563" s="6"/>
      <c r="N563" s="6"/>
      <c r="O563" s="203"/>
      <c r="P563" s="6"/>
      <c r="Q563" s="204"/>
      <c r="R563" s="205"/>
      <c r="S563" s="205"/>
      <c r="T563" s="206"/>
      <c r="U563" s="6"/>
      <c r="V563" s="6"/>
      <c r="W563" s="6"/>
      <c r="X563" s="6"/>
      <c r="Y563" s="6"/>
      <c r="Z563" s="6"/>
      <c r="AA563" s="6"/>
      <c r="AB563" s="6"/>
      <c r="AC563" s="6"/>
      <c r="AD563" s="6"/>
      <c r="AE563" s="6"/>
      <c r="AF563" s="6"/>
      <c r="AG563" s="6"/>
      <c r="AH563" s="6"/>
      <c r="AI563" s="6"/>
      <c r="AJ563" s="6"/>
      <c r="AK563" s="6"/>
      <c r="AL563" s="6"/>
      <c r="AM563" s="6"/>
      <c r="AN563" s="6"/>
      <c r="AO563" s="6"/>
      <c r="AP563" s="6"/>
    </row>
    <row r="564" ht="17.25" customHeight="1">
      <c r="A564" s="203"/>
      <c r="B564" s="203"/>
      <c r="C564" s="203"/>
      <c r="D564" s="203"/>
      <c r="E564" s="203"/>
      <c r="F564" s="203"/>
      <c r="G564" s="6"/>
      <c r="H564" s="6"/>
      <c r="I564" s="6"/>
      <c r="J564" s="6"/>
      <c r="K564" s="6"/>
      <c r="L564" s="6"/>
      <c r="M564" s="6"/>
      <c r="N564" s="6"/>
      <c r="O564" s="203"/>
      <c r="P564" s="6"/>
      <c r="Q564" s="204"/>
      <c r="R564" s="205"/>
      <c r="S564" s="205"/>
      <c r="T564" s="206"/>
      <c r="U564" s="6"/>
      <c r="V564" s="6"/>
      <c r="W564" s="6"/>
      <c r="X564" s="6"/>
      <c r="Y564" s="6"/>
      <c r="Z564" s="6"/>
      <c r="AA564" s="6"/>
      <c r="AB564" s="6"/>
      <c r="AC564" s="6"/>
      <c r="AD564" s="6"/>
      <c r="AE564" s="6"/>
      <c r="AF564" s="6"/>
      <c r="AG564" s="6"/>
      <c r="AH564" s="6"/>
      <c r="AI564" s="6"/>
      <c r="AJ564" s="6"/>
      <c r="AK564" s="6"/>
      <c r="AL564" s="6"/>
      <c r="AM564" s="6"/>
      <c r="AN564" s="6"/>
      <c r="AO564" s="6"/>
      <c r="AP564" s="6"/>
    </row>
    <row r="565" ht="17.25" customHeight="1">
      <c r="A565" s="203"/>
      <c r="B565" s="203"/>
      <c r="C565" s="203"/>
      <c r="D565" s="203"/>
      <c r="E565" s="203"/>
      <c r="F565" s="203"/>
      <c r="G565" s="6"/>
      <c r="H565" s="6"/>
      <c r="I565" s="6"/>
      <c r="J565" s="6"/>
      <c r="K565" s="6"/>
      <c r="L565" s="6"/>
      <c r="M565" s="6"/>
      <c r="N565" s="6"/>
      <c r="O565" s="203"/>
      <c r="P565" s="6"/>
      <c r="Q565" s="204"/>
      <c r="R565" s="205"/>
      <c r="S565" s="205"/>
      <c r="T565" s="206"/>
      <c r="U565" s="6"/>
      <c r="V565" s="6"/>
      <c r="W565" s="6"/>
      <c r="X565" s="6"/>
      <c r="Y565" s="6"/>
      <c r="Z565" s="6"/>
      <c r="AA565" s="6"/>
      <c r="AB565" s="6"/>
      <c r="AC565" s="6"/>
      <c r="AD565" s="6"/>
      <c r="AE565" s="6"/>
      <c r="AF565" s="6"/>
      <c r="AG565" s="6"/>
      <c r="AH565" s="6"/>
      <c r="AI565" s="6"/>
      <c r="AJ565" s="6"/>
      <c r="AK565" s="6"/>
      <c r="AL565" s="6"/>
      <c r="AM565" s="6"/>
      <c r="AN565" s="6"/>
      <c r="AO565" s="6"/>
      <c r="AP565" s="6"/>
    </row>
    <row r="566" ht="17.25" customHeight="1">
      <c r="A566" s="203"/>
      <c r="B566" s="203"/>
      <c r="C566" s="203"/>
      <c r="D566" s="203"/>
      <c r="E566" s="203"/>
      <c r="F566" s="203"/>
      <c r="G566" s="6"/>
      <c r="H566" s="6"/>
      <c r="I566" s="6"/>
      <c r="J566" s="6"/>
      <c r="K566" s="6"/>
      <c r="L566" s="6"/>
      <c r="M566" s="6"/>
      <c r="N566" s="6"/>
      <c r="O566" s="203"/>
      <c r="P566" s="6"/>
      <c r="Q566" s="204"/>
      <c r="R566" s="205"/>
      <c r="S566" s="205"/>
      <c r="T566" s="206"/>
      <c r="U566" s="6"/>
      <c r="V566" s="6"/>
      <c r="W566" s="6"/>
      <c r="X566" s="6"/>
      <c r="Y566" s="6"/>
      <c r="Z566" s="6"/>
      <c r="AA566" s="6"/>
      <c r="AB566" s="6"/>
      <c r="AC566" s="6"/>
      <c r="AD566" s="6"/>
      <c r="AE566" s="6"/>
      <c r="AF566" s="6"/>
      <c r="AG566" s="6"/>
      <c r="AH566" s="6"/>
      <c r="AI566" s="6"/>
      <c r="AJ566" s="6"/>
      <c r="AK566" s="6"/>
      <c r="AL566" s="6"/>
      <c r="AM566" s="6"/>
      <c r="AN566" s="6"/>
      <c r="AO566" s="6"/>
      <c r="AP566" s="6"/>
    </row>
    <row r="567" ht="17.25" customHeight="1">
      <c r="A567" s="203"/>
      <c r="B567" s="203"/>
      <c r="C567" s="203"/>
      <c r="D567" s="203"/>
      <c r="E567" s="203"/>
      <c r="F567" s="203"/>
      <c r="G567" s="6"/>
      <c r="H567" s="6"/>
      <c r="I567" s="6"/>
      <c r="J567" s="6"/>
      <c r="K567" s="6"/>
      <c r="L567" s="6"/>
      <c r="M567" s="6"/>
      <c r="N567" s="6"/>
      <c r="O567" s="203"/>
      <c r="P567" s="6"/>
      <c r="Q567" s="204"/>
      <c r="R567" s="205"/>
      <c r="S567" s="205"/>
      <c r="T567" s="206"/>
      <c r="U567" s="6"/>
      <c r="V567" s="6"/>
      <c r="W567" s="6"/>
      <c r="X567" s="6"/>
      <c r="Y567" s="6"/>
      <c r="Z567" s="6"/>
      <c r="AA567" s="6"/>
      <c r="AB567" s="6"/>
      <c r="AC567" s="6"/>
      <c r="AD567" s="6"/>
      <c r="AE567" s="6"/>
      <c r="AF567" s="6"/>
      <c r="AG567" s="6"/>
      <c r="AH567" s="6"/>
      <c r="AI567" s="6"/>
      <c r="AJ567" s="6"/>
      <c r="AK567" s="6"/>
      <c r="AL567" s="6"/>
      <c r="AM567" s="6"/>
      <c r="AN567" s="6"/>
      <c r="AO567" s="6"/>
      <c r="AP567" s="6"/>
    </row>
    <row r="568" ht="17.25" customHeight="1">
      <c r="A568" s="203"/>
      <c r="B568" s="203"/>
      <c r="C568" s="203"/>
      <c r="D568" s="203"/>
      <c r="E568" s="203"/>
      <c r="F568" s="203"/>
      <c r="G568" s="6"/>
      <c r="H568" s="6"/>
      <c r="I568" s="6"/>
      <c r="J568" s="6"/>
      <c r="K568" s="6"/>
      <c r="L568" s="6"/>
      <c r="M568" s="6"/>
      <c r="N568" s="6"/>
      <c r="O568" s="203"/>
      <c r="P568" s="6"/>
      <c r="Q568" s="204"/>
      <c r="R568" s="205"/>
      <c r="S568" s="205"/>
      <c r="T568" s="206"/>
      <c r="U568" s="6"/>
      <c r="V568" s="6"/>
      <c r="W568" s="6"/>
      <c r="X568" s="6"/>
      <c r="Y568" s="6"/>
      <c r="Z568" s="6"/>
      <c r="AA568" s="6"/>
      <c r="AB568" s="6"/>
      <c r="AC568" s="6"/>
      <c r="AD568" s="6"/>
      <c r="AE568" s="6"/>
      <c r="AF568" s="6"/>
      <c r="AG568" s="6"/>
      <c r="AH568" s="6"/>
      <c r="AI568" s="6"/>
      <c r="AJ568" s="6"/>
      <c r="AK568" s="6"/>
      <c r="AL568" s="6"/>
      <c r="AM568" s="6"/>
      <c r="AN568" s="6"/>
      <c r="AO568" s="6"/>
      <c r="AP568" s="6"/>
    </row>
    <row r="569" ht="17.25" customHeight="1">
      <c r="A569" s="203"/>
      <c r="B569" s="203"/>
      <c r="C569" s="203"/>
      <c r="D569" s="203"/>
      <c r="E569" s="203"/>
      <c r="F569" s="203"/>
      <c r="G569" s="6"/>
      <c r="H569" s="6"/>
      <c r="I569" s="6"/>
      <c r="J569" s="6"/>
      <c r="K569" s="6"/>
      <c r="L569" s="6"/>
      <c r="M569" s="6"/>
      <c r="N569" s="6"/>
      <c r="O569" s="203"/>
      <c r="P569" s="6"/>
      <c r="Q569" s="204"/>
      <c r="R569" s="205"/>
      <c r="S569" s="205"/>
      <c r="T569" s="206"/>
      <c r="U569" s="6"/>
      <c r="V569" s="6"/>
      <c r="W569" s="6"/>
      <c r="X569" s="6"/>
      <c r="Y569" s="6"/>
      <c r="Z569" s="6"/>
      <c r="AA569" s="6"/>
      <c r="AB569" s="6"/>
      <c r="AC569" s="6"/>
      <c r="AD569" s="6"/>
      <c r="AE569" s="6"/>
      <c r="AF569" s="6"/>
      <c r="AG569" s="6"/>
      <c r="AH569" s="6"/>
      <c r="AI569" s="6"/>
      <c r="AJ569" s="6"/>
      <c r="AK569" s="6"/>
      <c r="AL569" s="6"/>
      <c r="AM569" s="6"/>
      <c r="AN569" s="6"/>
      <c r="AO569" s="6"/>
      <c r="AP569" s="6"/>
    </row>
    <row r="570" ht="17.25" customHeight="1">
      <c r="A570" s="203"/>
      <c r="B570" s="203"/>
      <c r="C570" s="203"/>
      <c r="D570" s="203"/>
      <c r="E570" s="203"/>
      <c r="F570" s="203"/>
      <c r="G570" s="6"/>
      <c r="H570" s="6"/>
      <c r="I570" s="6"/>
      <c r="J570" s="6"/>
      <c r="K570" s="6"/>
      <c r="L570" s="6"/>
      <c r="M570" s="6"/>
      <c r="N570" s="6"/>
      <c r="O570" s="203"/>
      <c r="P570" s="6"/>
      <c r="Q570" s="204"/>
      <c r="R570" s="205"/>
      <c r="S570" s="205"/>
      <c r="T570" s="206"/>
      <c r="U570" s="6"/>
      <c r="V570" s="6"/>
      <c r="W570" s="6"/>
      <c r="X570" s="6"/>
      <c r="Y570" s="6"/>
      <c r="Z570" s="6"/>
      <c r="AA570" s="6"/>
      <c r="AB570" s="6"/>
      <c r="AC570" s="6"/>
      <c r="AD570" s="6"/>
      <c r="AE570" s="6"/>
      <c r="AF570" s="6"/>
      <c r="AG570" s="6"/>
      <c r="AH570" s="6"/>
      <c r="AI570" s="6"/>
      <c r="AJ570" s="6"/>
      <c r="AK570" s="6"/>
      <c r="AL570" s="6"/>
      <c r="AM570" s="6"/>
      <c r="AN570" s="6"/>
      <c r="AO570" s="6"/>
      <c r="AP570" s="6"/>
    </row>
    <row r="571" ht="17.25" customHeight="1">
      <c r="A571" s="203"/>
      <c r="B571" s="203"/>
      <c r="C571" s="203"/>
      <c r="D571" s="203"/>
      <c r="E571" s="203"/>
      <c r="F571" s="203"/>
      <c r="G571" s="6"/>
      <c r="H571" s="6"/>
      <c r="I571" s="6"/>
      <c r="J571" s="6"/>
      <c r="K571" s="6"/>
      <c r="L571" s="6"/>
      <c r="M571" s="6"/>
      <c r="N571" s="6"/>
      <c r="O571" s="203"/>
      <c r="P571" s="6"/>
      <c r="Q571" s="204"/>
      <c r="R571" s="205"/>
      <c r="S571" s="205"/>
      <c r="T571" s="206"/>
      <c r="U571" s="6"/>
      <c r="V571" s="6"/>
      <c r="W571" s="6"/>
      <c r="X571" s="6"/>
      <c r="Y571" s="6"/>
      <c r="Z571" s="6"/>
      <c r="AA571" s="6"/>
      <c r="AB571" s="6"/>
      <c r="AC571" s="6"/>
      <c r="AD571" s="6"/>
      <c r="AE571" s="6"/>
      <c r="AF571" s="6"/>
      <c r="AG571" s="6"/>
      <c r="AH571" s="6"/>
      <c r="AI571" s="6"/>
      <c r="AJ571" s="6"/>
      <c r="AK571" s="6"/>
      <c r="AL571" s="6"/>
      <c r="AM571" s="6"/>
      <c r="AN571" s="6"/>
      <c r="AO571" s="6"/>
      <c r="AP571" s="6"/>
    </row>
    <row r="572" ht="17.25" customHeight="1">
      <c r="A572" s="203"/>
      <c r="B572" s="203"/>
      <c r="C572" s="203"/>
      <c r="D572" s="203"/>
      <c r="E572" s="203"/>
      <c r="F572" s="203"/>
      <c r="G572" s="6"/>
      <c r="H572" s="6"/>
      <c r="I572" s="6"/>
      <c r="J572" s="6"/>
      <c r="K572" s="6"/>
      <c r="L572" s="6"/>
      <c r="M572" s="6"/>
      <c r="N572" s="6"/>
      <c r="O572" s="203"/>
      <c r="P572" s="6"/>
      <c r="Q572" s="204"/>
      <c r="R572" s="205"/>
      <c r="S572" s="205"/>
      <c r="T572" s="206"/>
      <c r="U572" s="6"/>
      <c r="V572" s="6"/>
      <c r="W572" s="6"/>
      <c r="X572" s="6"/>
      <c r="Y572" s="6"/>
      <c r="Z572" s="6"/>
      <c r="AA572" s="6"/>
      <c r="AB572" s="6"/>
      <c r="AC572" s="6"/>
      <c r="AD572" s="6"/>
      <c r="AE572" s="6"/>
      <c r="AF572" s="6"/>
      <c r="AG572" s="6"/>
      <c r="AH572" s="6"/>
      <c r="AI572" s="6"/>
      <c r="AJ572" s="6"/>
      <c r="AK572" s="6"/>
      <c r="AL572" s="6"/>
      <c r="AM572" s="6"/>
      <c r="AN572" s="6"/>
      <c r="AO572" s="6"/>
      <c r="AP572" s="6"/>
    </row>
    <row r="573" ht="17.25" customHeight="1">
      <c r="A573" s="203"/>
      <c r="B573" s="203"/>
      <c r="C573" s="203"/>
      <c r="D573" s="203"/>
      <c r="E573" s="203"/>
      <c r="F573" s="203"/>
      <c r="G573" s="6"/>
      <c r="H573" s="6"/>
      <c r="I573" s="6"/>
      <c r="J573" s="6"/>
      <c r="K573" s="6"/>
      <c r="L573" s="6"/>
      <c r="M573" s="6"/>
      <c r="N573" s="6"/>
      <c r="O573" s="203"/>
      <c r="P573" s="6"/>
      <c r="Q573" s="204"/>
      <c r="R573" s="205"/>
      <c r="S573" s="205"/>
      <c r="T573" s="206"/>
      <c r="U573" s="6"/>
      <c r="V573" s="6"/>
      <c r="W573" s="6"/>
      <c r="X573" s="6"/>
      <c r="Y573" s="6"/>
      <c r="Z573" s="6"/>
      <c r="AA573" s="6"/>
      <c r="AB573" s="6"/>
      <c r="AC573" s="6"/>
      <c r="AD573" s="6"/>
      <c r="AE573" s="6"/>
      <c r="AF573" s="6"/>
      <c r="AG573" s="6"/>
      <c r="AH573" s="6"/>
      <c r="AI573" s="6"/>
      <c r="AJ573" s="6"/>
      <c r="AK573" s="6"/>
      <c r="AL573" s="6"/>
      <c r="AM573" s="6"/>
      <c r="AN573" s="6"/>
      <c r="AO573" s="6"/>
      <c r="AP573" s="6"/>
    </row>
    <row r="574" ht="17.25" customHeight="1">
      <c r="A574" s="203"/>
      <c r="B574" s="203"/>
      <c r="C574" s="203"/>
      <c r="D574" s="203"/>
      <c r="E574" s="203"/>
      <c r="F574" s="203"/>
      <c r="G574" s="6"/>
      <c r="H574" s="6"/>
      <c r="I574" s="6"/>
      <c r="J574" s="6"/>
      <c r="K574" s="6"/>
      <c r="L574" s="6"/>
      <c r="M574" s="6"/>
      <c r="N574" s="6"/>
      <c r="O574" s="203"/>
      <c r="P574" s="6"/>
      <c r="Q574" s="204"/>
      <c r="R574" s="205"/>
      <c r="S574" s="205"/>
      <c r="T574" s="206"/>
      <c r="U574" s="6"/>
      <c r="V574" s="6"/>
      <c r="W574" s="6"/>
      <c r="X574" s="6"/>
      <c r="Y574" s="6"/>
      <c r="Z574" s="6"/>
      <c r="AA574" s="6"/>
      <c r="AB574" s="6"/>
      <c r="AC574" s="6"/>
      <c r="AD574" s="6"/>
      <c r="AE574" s="6"/>
      <c r="AF574" s="6"/>
      <c r="AG574" s="6"/>
      <c r="AH574" s="6"/>
      <c r="AI574" s="6"/>
      <c r="AJ574" s="6"/>
      <c r="AK574" s="6"/>
      <c r="AL574" s="6"/>
      <c r="AM574" s="6"/>
      <c r="AN574" s="6"/>
      <c r="AO574" s="6"/>
      <c r="AP574" s="6"/>
    </row>
    <row r="575" ht="17.25" customHeight="1">
      <c r="A575" s="203"/>
      <c r="B575" s="203"/>
      <c r="C575" s="203"/>
      <c r="D575" s="203"/>
      <c r="E575" s="203"/>
      <c r="F575" s="203"/>
      <c r="G575" s="6"/>
      <c r="H575" s="6"/>
      <c r="I575" s="6"/>
      <c r="J575" s="6"/>
      <c r="K575" s="6"/>
      <c r="L575" s="6"/>
      <c r="M575" s="6"/>
      <c r="N575" s="6"/>
      <c r="O575" s="203"/>
      <c r="P575" s="6"/>
      <c r="Q575" s="204"/>
      <c r="R575" s="205"/>
      <c r="S575" s="205"/>
      <c r="T575" s="206"/>
      <c r="U575" s="6"/>
      <c r="V575" s="6"/>
      <c r="W575" s="6"/>
      <c r="X575" s="6"/>
      <c r="Y575" s="6"/>
      <c r="Z575" s="6"/>
      <c r="AA575" s="6"/>
      <c r="AB575" s="6"/>
      <c r="AC575" s="6"/>
      <c r="AD575" s="6"/>
      <c r="AE575" s="6"/>
      <c r="AF575" s="6"/>
      <c r="AG575" s="6"/>
      <c r="AH575" s="6"/>
      <c r="AI575" s="6"/>
      <c r="AJ575" s="6"/>
      <c r="AK575" s="6"/>
      <c r="AL575" s="6"/>
      <c r="AM575" s="6"/>
      <c r="AN575" s="6"/>
      <c r="AO575" s="6"/>
      <c r="AP575" s="6"/>
    </row>
    <row r="576" ht="17.25" customHeight="1">
      <c r="A576" s="203"/>
      <c r="B576" s="203"/>
      <c r="C576" s="203"/>
      <c r="D576" s="203"/>
      <c r="E576" s="203"/>
      <c r="F576" s="203"/>
      <c r="G576" s="6"/>
      <c r="H576" s="6"/>
      <c r="I576" s="6"/>
      <c r="J576" s="6"/>
      <c r="K576" s="6"/>
      <c r="L576" s="6"/>
      <c r="M576" s="6"/>
      <c r="N576" s="6"/>
      <c r="O576" s="203"/>
      <c r="P576" s="6"/>
      <c r="Q576" s="204"/>
      <c r="R576" s="205"/>
      <c r="S576" s="205"/>
      <c r="T576" s="206"/>
      <c r="U576" s="6"/>
      <c r="V576" s="6"/>
      <c r="W576" s="6"/>
      <c r="X576" s="6"/>
      <c r="Y576" s="6"/>
      <c r="Z576" s="6"/>
      <c r="AA576" s="6"/>
      <c r="AB576" s="6"/>
      <c r="AC576" s="6"/>
      <c r="AD576" s="6"/>
      <c r="AE576" s="6"/>
      <c r="AF576" s="6"/>
      <c r="AG576" s="6"/>
      <c r="AH576" s="6"/>
      <c r="AI576" s="6"/>
      <c r="AJ576" s="6"/>
      <c r="AK576" s="6"/>
      <c r="AL576" s="6"/>
      <c r="AM576" s="6"/>
      <c r="AN576" s="6"/>
      <c r="AO576" s="6"/>
      <c r="AP576" s="6"/>
    </row>
    <row r="577" ht="17.25" customHeight="1">
      <c r="A577" s="203"/>
      <c r="B577" s="203"/>
      <c r="C577" s="203"/>
      <c r="D577" s="203"/>
      <c r="E577" s="203"/>
      <c r="F577" s="203"/>
      <c r="G577" s="6"/>
      <c r="H577" s="6"/>
      <c r="I577" s="6"/>
      <c r="J577" s="6"/>
      <c r="K577" s="6"/>
      <c r="L577" s="6"/>
      <c r="M577" s="6"/>
      <c r="N577" s="6"/>
      <c r="O577" s="203"/>
      <c r="P577" s="6"/>
      <c r="Q577" s="204"/>
      <c r="R577" s="205"/>
      <c r="S577" s="205"/>
      <c r="T577" s="206"/>
      <c r="U577" s="6"/>
      <c r="V577" s="6"/>
      <c r="W577" s="6"/>
      <c r="X577" s="6"/>
      <c r="Y577" s="6"/>
      <c r="Z577" s="6"/>
      <c r="AA577" s="6"/>
      <c r="AB577" s="6"/>
      <c r="AC577" s="6"/>
      <c r="AD577" s="6"/>
      <c r="AE577" s="6"/>
      <c r="AF577" s="6"/>
      <c r="AG577" s="6"/>
      <c r="AH577" s="6"/>
      <c r="AI577" s="6"/>
      <c r="AJ577" s="6"/>
      <c r="AK577" s="6"/>
      <c r="AL577" s="6"/>
      <c r="AM577" s="6"/>
      <c r="AN577" s="6"/>
      <c r="AO577" s="6"/>
      <c r="AP577" s="6"/>
    </row>
    <row r="578" ht="17.25" customHeight="1">
      <c r="A578" s="203"/>
      <c r="B578" s="203"/>
      <c r="C578" s="203"/>
      <c r="D578" s="203"/>
      <c r="E578" s="203"/>
      <c r="F578" s="203"/>
      <c r="G578" s="6"/>
      <c r="H578" s="6"/>
      <c r="I578" s="6"/>
      <c r="J578" s="6"/>
      <c r="K578" s="6"/>
      <c r="L578" s="6"/>
      <c r="M578" s="6"/>
      <c r="N578" s="6"/>
      <c r="O578" s="203"/>
      <c r="P578" s="6"/>
      <c r="Q578" s="204"/>
      <c r="R578" s="205"/>
      <c r="S578" s="205"/>
      <c r="T578" s="206"/>
      <c r="U578" s="6"/>
      <c r="V578" s="6"/>
      <c r="W578" s="6"/>
      <c r="X578" s="6"/>
      <c r="Y578" s="6"/>
      <c r="Z578" s="6"/>
      <c r="AA578" s="6"/>
      <c r="AB578" s="6"/>
      <c r="AC578" s="6"/>
      <c r="AD578" s="6"/>
      <c r="AE578" s="6"/>
      <c r="AF578" s="6"/>
      <c r="AG578" s="6"/>
      <c r="AH578" s="6"/>
      <c r="AI578" s="6"/>
      <c r="AJ578" s="6"/>
      <c r="AK578" s="6"/>
      <c r="AL578" s="6"/>
      <c r="AM578" s="6"/>
      <c r="AN578" s="6"/>
      <c r="AO578" s="6"/>
      <c r="AP578" s="6"/>
    </row>
    <row r="579" ht="17.25" customHeight="1">
      <c r="A579" s="203"/>
      <c r="B579" s="203"/>
      <c r="C579" s="203"/>
      <c r="D579" s="203"/>
      <c r="E579" s="203"/>
      <c r="F579" s="203"/>
      <c r="G579" s="6"/>
      <c r="H579" s="6"/>
      <c r="I579" s="6"/>
      <c r="J579" s="6"/>
      <c r="K579" s="6"/>
      <c r="L579" s="6"/>
      <c r="M579" s="6"/>
      <c r="N579" s="6"/>
      <c r="O579" s="203"/>
      <c r="P579" s="6"/>
      <c r="Q579" s="204"/>
      <c r="R579" s="205"/>
      <c r="S579" s="205"/>
      <c r="T579" s="206"/>
      <c r="U579" s="6"/>
      <c r="V579" s="6"/>
      <c r="W579" s="6"/>
      <c r="X579" s="6"/>
      <c r="Y579" s="6"/>
      <c r="Z579" s="6"/>
      <c r="AA579" s="6"/>
      <c r="AB579" s="6"/>
      <c r="AC579" s="6"/>
      <c r="AD579" s="6"/>
      <c r="AE579" s="6"/>
      <c r="AF579" s="6"/>
      <c r="AG579" s="6"/>
      <c r="AH579" s="6"/>
      <c r="AI579" s="6"/>
      <c r="AJ579" s="6"/>
      <c r="AK579" s="6"/>
      <c r="AL579" s="6"/>
      <c r="AM579" s="6"/>
      <c r="AN579" s="6"/>
      <c r="AO579" s="6"/>
      <c r="AP579" s="6"/>
    </row>
    <row r="580" ht="17.25" customHeight="1">
      <c r="A580" s="203"/>
      <c r="B580" s="203"/>
      <c r="C580" s="203"/>
      <c r="D580" s="203"/>
      <c r="E580" s="203"/>
      <c r="F580" s="203"/>
      <c r="G580" s="6"/>
      <c r="H580" s="6"/>
      <c r="I580" s="6"/>
      <c r="J580" s="6"/>
      <c r="K580" s="6"/>
      <c r="L580" s="6"/>
      <c r="M580" s="6"/>
      <c r="N580" s="6"/>
      <c r="O580" s="203"/>
      <c r="P580" s="6"/>
      <c r="Q580" s="204"/>
      <c r="R580" s="205"/>
      <c r="S580" s="205"/>
      <c r="T580" s="206"/>
      <c r="U580" s="6"/>
      <c r="V580" s="6"/>
      <c r="W580" s="6"/>
      <c r="X580" s="6"/>
      <c r="Y580" s="6"/>
      <c r="Z580" s="6"/>
      <c r="AA580" s="6"/>
      <c r="AB580" s="6"/>
      <c r="AC580" s="6"/>
      <c r="AD580" s="6"/>
      <c r="AE580" s="6"/>
      <c r="AF580" s="6"/>
      <c r="AG580" s="6"/>
      <c r="AH580" s="6"/>
      <c r="AI580" s="6"/>
      <c r="AJ580" s="6"/>
      <c r="AK580" s="6"/>
      <c r="AL580" s="6"/>
      <c r="AM580" s="6"/>
      <c r="AN580" s="6"/>
      <c r="AO580" s="6"/>
      <c r="AP580" s="6"/>
    </row>
    <row r="581" ht="17.25" customHeight="1">
      <c r="A581" s="203"/>
      <c r="B581" s="203"/>
      <c r="C581" s="203"/>
      <c r="D581" s="203"/>
      <c r="E581" s="203"/>
      <c r="F581" s="203"/>
      <c r="G581" s="6"/>
      <c r="H581" s="6"/>
      <c r="I581" s="6"/>
      <c r="J581" s="6"/>
      <c r="K581" s="6"/>
      <c r="L581" s="6"/>
      <c r="M581" s="6"/>
      <c r="N581" s="6"/>
      <c r="O581" s="203"/>
      <c r="P581" s="6"/>
      <c r="Q581" s="204"/>
      <c r="R581" s="205"/>
      <c r="S581" s="205"/>
      <c r="T581" s="206"/>
      <c r="U581" s="6"/>
      <c r="V581" s="6"/>
      <c r="W581" s="6"/>
      <c r="X581" s="6"/>
      <c r="Y581" s="6"/>
      <c r="Z581" s="6"/>
      <c r="AA581" s="6"/>
      <c r="AB581" s="6"/>
      <c r="AC581" s="6"/>
      <c r="AD581" s="6"/>
      <c r="AE581" s="6"/>
      <c r="AF581" s="6"/>
      <c r="AG581" s="6"/>
      <c r="AH581" s="6"/>
      <c r="AI581" s="6"/>
      <c r="AJ581" s="6"/>
      <c r="AK581" s="6"/>
      <c r="AL581" s="6"/>
      <c r="AM581" s="6"/>
      <c r="AN581" s="6"/>
      <c r="AO581" s="6"/>
      <c r="AP581" s="6"/>
    </row>
    <row r="582" ht="17.25" customHeight="1">
      <c r="A582" s="203"/>
      <c r="B582" s="203"/>
      <c r="C582" s="203"/>
      <c r="D582" s="203"/>
      <c r="E582" s="203"/>
      <c r="F582" s="203"/>
      <c r="G582" s="6"/>
      <c r="H582" s="6"/>
      <c r="I582" s="6"/>
      <c r="J582" s="6"/>
      <c r="K582" s="6"/>
      <c r="L582" s="6"/>
      <c r="M582" s="6"/>
      <c r="N582" s="6"/>
      <c r="O582" s="203"/>
      <c r="P582" s="6"/>
      <c r="Q582" s="204"/>
      <c r="R582" s="205"/>
      <c r="S582" s="205"/>
      <c r="T582" s="206"/>
      <c r="U582" s="6"/>
      <c r="V582" s="6"/>
      <c r="W582" s="6"/>
      <c r="X582" s="6"/>
      <c r="Y582" s="6"/>
      <c r="Z582" s="6"/>
      <c r="AA582" s="6"/>
      <c r="AB582" s="6"/>
      <c r="AC582" s="6"/>
      <c r="AD582" s="6"/>
      <c r="AE582" s="6"/>
      <c r="AF582" s="6"/>
      <c r="AG582" s="6"/>
      <c r="AH582" s="6"/>
      <c r="AI582" s="6"/>
      <c r="AJ582" s="6"/>
      <c r="AK582" s="6"/>
      <c r="AL582" s="6"/>
      <c r="AM582" s="6"/>
      <c r="AN582" s="6"/>
      <c r="AO582" s="6"/>
      <c r="AP582" s="6"/>
    </row>
    <row r="583" ht="17.25" customHeight="1">
      <c r="A583" s="203"/>
      <c r="B583" s="203"/>
      <c r="C583" s="203"/>
      <c r="D583" s="203"/>
      <c r="E583" s="203"/>
      <c r="F583" s="203"/>
      <c r="G583" s="6"/>
      <c r="H583" s="6"/>
      <c r="I583" s="6"/>
      <c r="J583" s="6"/>
      <c r="K583" s="6"/>
      <c r="L583" s="6"/>
      <c r="M583" s="6"/>
      <c r="N583" s="6"/>
      <c r="O583" s="203"/>
      <c r="P583" s="6"/>
      <c r="Q583" s="204"/>
      <c r="R583" s="205"/>
      <c r="S583" s="205"/>
      <c r="T583" s="206"/>
      <c r="U583" s="6"/>
      <c r="V583" s="6"/>
      <c r="W583" s="6"/>
      <c r="X583" s="6"/>
      <c r="Y583" s="6"/>
      <c r="Z583" s="6"/>
      <c r="AA583" s="6"/>
      <c r="AB583" s="6"/>
      <c r="AC583" s="6"/>
      <c r="AD583" s="6"/>
      <c r="AE583" s="6"/>
      <c r="AF583" s="6"/>
      <c r="AG583" s="6"/>
      <c r="AH583" s="6"/>
      <c r="AI583" s="6"/>
      <c r="AJ583" s="6"/>
      <c r="AK583" s="6"/>
      <c r="AL583" s="6"/>
      <c r="AM583" s="6"/>
      <c r="AN583" s="6"/>
      <c r="AO583" s="6"/>
      <c r="AP583" s="6"/>
    </row>
    <row r="584" ht="17.25" customHeight="1">
      <c r="A584" s="203"/>
      <c r="B584" s="203"/>
      <c r="C584" s="203"/>
      <c r="D584" s="203"/>
      <c r="E584" s="203"/>
      <c r="F584" s="203"/>
      <c r="G584" s="6"/>
      <c r="H584" s="6"/>
      <c r="I584" s="6"/>
      <c r="J584" s="6"/>
      <c r="K584" s="6"/>
      <c r="L584" s="6"/>
      <c r="M584" s="6"/>
      <c r="N584" s="6"/>
      <c r="O584" s="203"/>
      <c r="P584" s="6"/>
      <c r="Q584" s="204"/>
      <c r="R584" s="205"/>
      <c r="S584" s="205"/>
      <c r="T584" s="206"/>
      <c r="U584" s="6"/>
      <c r="V584" s="6"/>
      <c r="W584" s="6"/>
      <c r="X584" s="6"/>
      <c r="Y584" s="6"/>
      <c r="Z584" s="6"/>
      <c r="AA584" s="6"/>
      <c r="AB584" s="6"/>
      <c r="AC584" s="6"/>
      <c r="AD584" s="6"/>
      <c r="AE584" s="6"/>
      <c r="AF584" s="6"/>
      <c r="AG584" s="6"/>
      <c r="AH584" s="6"/>
      <c r="AI584" s="6"/>
      <c r="AJ584" s="6"/>
      <c r="AK584" s="6"/>
      <c r="AL584" s="6"/>
      <c r="AM584" s="6"/>
      <c r="AN584" s="6"/>
      <c r="AO584" s="6"/>
      <c r="AP584" s="6"/>
    </row>
    <row r="585" ht="17.25" customHeight="1">
      <c r="A585" s="203"/>
      <c r="B585" s="203"/>
      <c r="C585" s="203"/>
      <c r="D585" s="203"/>
      <c r="E585" s="203"/>
      <c r="F585" s="203"/>
      <c r="G585" s="6"/>
      <c r="H585" s="6"/>
      <c r="I585" s="6"/>
      <c r="J585" s="6"/>
      <c r="K585" s="6"/>
      <c r="L585" s="6"/>
      <c r="M585" s="6"/>
      <c r="N585" s="6"/>
      <c r="O585" s="203"/>
      <c r="P585" s="6"/>
      <c r="Q585" s="204"/>
      <c r="R585" s="205"/>
      <c r="S585" s="205"/>
      <c r="T585" s="206"/>
      <c r="U585" s="6"/>
      <c r="V585" s="6"/>
      <c r="W585" s="6"/>
      <c r="X585" s="6"/>
      <c r="Y585" s="6"/>
      <c r="Z585" s="6"/>
      <c r="AA585" s="6"/>
      <c r="AB585" s="6"/>
      <c r="AC585" s="6"/>
      <c r="AD585" s="6"/>
      <c r="AE585" s="6"/>
      <c r="AF585" s="6"/>
      <c r="AG585" s="6"/>
      <c r="AH585" s="6"/>
      <c r="AI585" s="6"/>
      <c r="AJ585" s="6"/>
      <c r="AK585" s="6"/>
      <c r="AL585" s="6"/>
      <c r="AM585" s="6"/>
      <c r="AN585" s="6"/>
      <c r="AO585" s="6"/>
      <c r="AP585" s="6"/>
    </row>
    <row r="586" ht="17.25" customHeight="1">
      <c r="A586" s="203"/>
      <c r="B586" s="203"/>
      <c r="C586" s="203"/>
      <c r="D586" s="203"/>
      <c r="E586" s="203"/>
      <c r="F586" s="203"/>
      <c r="G586" s="6"/>
      <c r="H586" s="6"/>
      <c r="I586" s="6"/>
      <c r="J586" s="6"/>
      <c r="K586" s="6"/>
      <c r="L586" s="6"/>
      <c r="M586" s="6"/>
      <c r="N586" s="6"/>
      <c r="O586" s="203"/>
      <c r="P586" s="6"/>
      <c r="Q586" s="204"/>
      <c r="R586" s="205"/>
      <c r="S586" s="205"/>
      <c r="T586" s="206"/>
      <c r="U586" s="6"/>
      <c r="V586" s="6"/>
      <c r="W586" s="6"/>
      <c r="X586" s="6"/>
      <c r="Y586" s="6"/>
      <c r="Z586" s="6"/>
      <c r="AA586" s="6"/>
      <c r="AB586" s="6"/>
      <c r="AC586" s="6"/>
      <c r="AD586" s="6"/>
      <c r="AE586" s="6"/>
      <c r="AF586" s="6"/>
      <c r="AG586" s="6"/>
      <c r="AH586" s="6"/>
      <c r="AI586" s="6"/>
      <c r="AJ586" s="6"/>
      <c r="AK586" s="6"/>
      <c r="AL586" s="6"/>
      <c r="AM586" s="6"/>
      <c r="AN586" s="6"/>
      <c r="AO586" s="6"/>
      <c r="AP586" s="6"/>
    </row>
    <row r="587" ht="17.25" customHeight="1">
      <c r="A587" s="203"/>
      <c r="B587" s="203"/>
      <c r="C587" s="203"/>
      <c r="D587" s="203"/>
      <c r="E587" s="203"/>
      <c r="F587" s="203"/>
      <c r="G587" s="6"/>
      <c r="H587" s="6"/>
      <c r="I587" s="6"/>
      <c r="J587" s="6"/>
      <c r="K587" s="6"/>
      <c r="L587" s="6"/>
      <c r="M587" s="6"/>
      <c r="N587" s="6"/>
      <c r="O587" s="203"/>
      <c r="P587" s="6"/>
      <c r="Q587" s="204"/>
      <c r="R587" s="205"/>
      <c r="S587" s="205"/>
      <c r="T587" s="206"/>
      <c r="U587" s="6"/>
      <c r="V587" s="6"/>
      <c r="W587" s="6"/>
      <c r="X587" s="6"/>
      <c r="Y587" s="6"/>
      <c r="Z587" s="6"/>
      <c r="AA587" s="6"/>
      <c r="AB587" s="6"/>
      <c r="AC587" s="6"/>
      <c r="AD587" s="6"/>
      <c r="AE587" s="6"/>
      <c r="AF587" s="6"/>
      <c r="AG587" s="6"/>
      <c r="AH587" s="6"/>
      <c r="AI587" s="6"/>
      <c r="AJ587" s="6"/>
      <c r="AK587" s="6"/>
      <c r="AL587" s="6"/>
      <c r="AM587" s="6"/>
      <c r="AN587" s="6"/>
      <c r="AO587" s="6"/>
      <c r="AP587" s="6"/>
    </row>
    <row r="588" ht="17.25" customHeight="1">
      <c r="A588" s="203"/>
      <c r="B588" s="203"/>
      <c r="C588" s="203"/>
      <c r="D588" s="203"/>
      <c r="E588" s="203"/>
      <c r="F588" s="203"/>
      <c r="G588" s="6"/>
      <c r="H588" s="6"/>
      <c r="I588" s="6"/>
      <c r="J588" s="6"/>
      <c r="K588" s="6"/>
      <c r="L588" s="6"/>
      <c r="M588" s="6"/>
      <c r="N588" s="6"/>
      <c r="O588" s="203"/>
      <c r="P588" s="6"/>
      <c r="Q588" s="204"/>
      <c r="R588" s="205"/>
      <c r="S588" s="205"/>
      <c r="T588" s="206"/>
      <c r="U588" s="6"/>
      <c r="V588" s="6"/>
      <c r="W588" s="6"/>
      <c r="X588" s="6"/>
      <c r="Y588" s="6"/>
      <c r="Z588" s="6"/>
      <c r="AA588" s="6"/>
      <c r="AB588" s="6"/>
      <c r="AC588" s="6"/>
      <c r="AD588" s="6"/>
      <c r="AE588" s="6"/>
      <c r="AF588" s="6"/>
      <c r="AG588" s="6"/>
      <c r="AH588" s="6"/>
      <c r="AI588" s="6"/>
      <c r="AJ588" s="6"/>
      <c r="AK588" s="6"/>
      <c r="AL588" s="6"/>
      <c r="AM588" s="6"/>
      <c r="AN588" s="6"/>
      <c r="AO588" s="6"/>
      <c r="AP588" s="6"/>
    </row>
    <row r="589" ht="17.25" customHeight="1">
      <c r="A589" s="203"/>
      <c r="B589" s="203"/>
      <c r="C589" s="203"/>
      <c r="D589" s="203"/>
      <c r="E589" s="203"/>
      <c r="F589" s="203"/>
      <c r="G589" s="6"/>
      <c r="H589" s="6"/>
      <c r="I589" s="6"/>
      <c r="J589" s="6"/>
      <c r="K589" s="6"/>
      <c r="L589" s="6"/>
      <c r="M589" s="6"/>
      <c r="N589" s="6"/>
      <c r="O589" s="203"/>
      <c r="P589" s="6"/>
      <c r="Q589" s="204"/>
      <c r="R589" s="205"/>
      <c r="S589" s="205"/>
      <c r="T589" s="206"/>
      <c r="U589" s="6"/>
      <c r="V589" s="6"/>
      <c r="W589" s="6"/>
      <c r="X589" s="6"/>
      <c r="Y589" s="6"/>
      <c r="Z589" s="6"/>
      <c r="AA589" s="6"/>
      <c r="AB589" s="6"/>
      <c r="AC589" s="6"/>
      <c r="AD589" s="6"/>
      <c r="AE589" s="6"/>
      <c r="AF589" s="6"/>
      <c r="AG589" s="6"/>
      <c r="AH589" s="6"/>
      <c r="AI589" s="6"/>
      <c r="AJ589" s="6"/>
      <c r="AK589" s="6"/>
      <c r="AL589" s="6"/>
      <c r="AM589" s="6"/>
      <c r="AN589" s="6"/>
      <c r="AO589" s="6"/>
      <c r="AP589" s="6"/>
    </row>
    <row r="590" ht="17.25" customHeight="1">
      <c r="A590" s="203"/>
      <c r="B590" s="203"/>
      <c r="C590" s="203"/>
      <c r="D590" s="203"/>
      <c r="E590" s="203"/>
      <c r="F590" s="203"/>
      <c r="G590" s="6"/>
      <c r="H590" s="6"/>
      <c r="I590" s="6"/>
      <c r="J590" s="6"/>
      <c r="K590" s="6"/>
      <c r="L590" s="6"/>
      <c r="M590" s="6"/>
      <c r="N590" s="6"/>
      <c r="O590" s="203"/>
      <c r="P590" s="6"/>
      <c r="Q590" s="204"/>
      <c r="R590" s="205"/>
      <c r="S590" s="205"/>
      <c r="T590" s="206"/>
      <c r="U590" s="6"/>
      <c r="V590" s="6"/>
      <c r="W590" s="6"/>
      <c r="X590" s="6"/>
      <c r="Y590" s="6"/>
      <c r="Z590" s="6"/>
      <c r="AA590" s="6"/>
      <c r="AB590" s="6"/>
      <c r="AC590" s="6"/>
      <c r="AD590" s="6"/>
      <c r="AE590" s="6"/>
      <c r="AF590" s="6"/>
      <c r="AG590" s="6"/>
      <c r="AH590" s="6"/>
      <c r="AI590" s="6"/>
      <c r="AJ590" s="6"/>
      <c r="AK590" s="6"/>
      <c r="AL590" s="6"/>
      <c r="AM590" s="6"/>
      <c r="AN590" s="6"/>
      <c r="AO590" s="6"/>
      <c r="AP590" s="6"/>
    </row>
    <row r="591" ht="15.75" customHeight="1">
      <c r="A591" s="158"/>
      <c r="B591" s="158"/>
      <c r="C591" s="158"/>
      <c r="D591" s="158"/>
      <c r="E591" s="158"/>
      <c r="F591" s="158"/>
      <c r="G591" s="148"/>
      <c r="H591" s="148"/>
      <c r="I591" s="148"/>
      <c r="J591" s="148"/>
      <c r="K591" s="148"/>
      <c r="L591" s="148"/>
      <c r="M591" s="148"/>
      <c r="N591" s="148"/>
      <c r="O591" s="158"/>
      <c r="P591" s="148"/>
      <c r="Q591" s="207"/>
      <c r="R591" s="208"/>
      <c r="S591" s="208"/>
      <c r="T591" s="202"/>
    </row>
    <row r="592" ht="15.75" customHeight="1">
      <c r="A592" s="158"/>
      <c r="B592" s="158"/>
      <c r="C592" s="158"/>
      <c r="D592" s="158"/>
      <c r="E592" s="158"/>
      <c r="F592" s="158"/>
      <c r="G592" s="148"/>
      <c r="H592" s="148"/>
      <c r="I592" s="148"/>
      <c r="J592" s="148"/>
      <c r="K592" s="148"/>
      <c r="L592" s="148"/>
      <c r="M592" s="148"/>
      <c r="N592" s="148"/>
      <c r="O592" s="158"/>
      <c r="P592" s="148"/>
      <c r="Q592" s="207"/>
      <c r="R592" s="208"/>
      <c r="S592" s="208"/>
      <c r="T592" s="202"/>
    </row>
    <row r="593" ht="15.75" customHeight="1">
      <c r="A593" s="158"/>
      <c r="B593" s="158"/>
      <c r="C593" s="158"/>
      <c r="D593" s="158"/>
      <c r="E593" s="158"/>
      <c r="F593" s="158"/>
      <c r="G593" s="148"/>
      <c r="H593" s="148"/>
      <c r="I593" s="148"/>
      <c r="J593" s="148"/>
      <c r="K593" s="148"/>
      <c r="L593" s="148"/>
      <c r="M593" s="148"/>
      <c r="N593" s="148"/>
      <c r="O593" s="158"/>
      <c r="P593" s="148"/>
      <c r="Q593" s="207"/>
      <c r="R593" s="208"/>
      <c r="S593" s="208"/>
      <c r="T593" s="202"/>
    </row>
    <row r="594" ht="15.75" customHeight="1">
      <c r="A594" s="158"/>
      <c r="B594" s="158"/>
      <c r="C594" s="158"/>
      <c r="D594" s="158"/>
      <c r="E594" s="158"/>
      <c r="F594" s="158"/>
      <c r="G594" s="148"/>
      <c r="H594" s="148"/>
      <c r="I594" s="148"/>
      <c r="J594" s="148"/>
      <c r="K594" s="148"/>
      <c r="L594" s="148"/>
      <c r="M594" s="148"/>
      <c r="N594" s="148"/>
      <c r="O594" s="158"/>
      <c r="P594" s="148"/>
      <c r="Q594" s="207"/>
      <c r="R594" s="208"/>
      <c r="S594" s="208"/>
      <c r="T594" s="202"/>
    </row>
    <row r="595" ht="15.75" customHeight="1">
      <c r="A595" s="158"/>
      <c r="B595" s="158"/>
      <c r="C595" s="158"/>
      <c r="D595" s="158"/>
      <c r="E595" s="158"/>
      <c r="F595" s="158"/>
      <c r="G595" s="148"/>
      <c r="H595" s="148"/>
      <c r="I595" s="148"/>
      <c r="J595" s="148"/>
      <c r="K595" s="148"/>
      <c r="L595" s="148"/>
      <c r="M595" s="148"/>
      <c r="N595" s="148"/>
      <c r="O595" s="158"/>
      <c r="P595" s="148"/>
      <c r="Q595" s="207"/>
      <c r="R595" s="208"/>
      <c r="S595" s="208"/>
      <c r="T595" s="202"/>
    </row>
    <row r="596" ht="15.75" customHeight="1">
      <c r="A596" s="158"/>
      <c r="B596" s="158"/>
      <c r="C596" s="158"/>
      <c r="D596" s="158"/>
      <c r="E596" s="158"/>
      <c r="F596" s="158"/>
      <c r="G596" s="148"/>
      <c r="H596" s="148"/>
      <c r="I596" s="148"/>
      <c r="J596" s="148"/>
      <c r="K596" s="148"/>
      <c r="L596" s="148"/>
      <c r="M596" s="148"/>
      <c r="N596" s="148"/>
      <c r="O596" s="158"/>
      <c r="P596" s="148"/>
      <c r="Q596" s="207"/>
      <c r="R596" s="208"/>
      <c r="S596" s="208"/>
      <c r="T596" s="202"/>
    </row>
    <row r="597" ht="15.75" customHeight="1">
      <c r="A597" s="158"/>
      <c r="B597" s="158"/>
      <c r="C597" s="158"/>
      <c r="D597" s="158"/>
      <c r="E597" s="158"/>
      <c r="F597" s="158"/>
      <c r="G597" s="148"/>
      <c r="H597" s="148"/>
      <c r="I597" s="148"/>
      <c r="J597" s="148"/>
      <c r="K597" s="148"/>
      <c r="L597" s="148"/>
      <c r="M597" s="148"/>
      <c r="N597" s="148"/>
      <c r="O597" s="158"/>
      <c r="P597" s="148"/>
      <c r="Q597" s="207"/>
      <c r="R597" s="208"/>
      <c r="S597" s="208"/>
      <c r="T597" s="202"/>
    </row>
    <row r="598" ht="15.75" customHeight="1">
      <c r="A598" s="158"/>
      <c r="B598" s="158"/>
      <c r="C598" s="158"/>
      <c r="D598" s="158"/>
      <c r="E598" s="158"/>
      <c r="F598" s="158"/>
      <c r="G598" s="148"/>
      <c r="H598" s="148"/>
      <c r="I598" s="148"/>
      <c r="J598" s="148"/>
      <c r="K598" s="148"/>
      <c r="L598" s="148"/>
      <c r="M598" s="148"/>
      <c r="N598" s="148"/>
      <c r="O598" s="158"/>
      <c r="P598" s="148"/>
      <c r="Q598" s="207"/>
      <c r="R598" s="208"/>
      <c r="S598" s="208"/>
      <c r="T598" s="202"/>
    </row>
    <row r="599" ht="15.75" customHeight="1">
      <c r="A599" s="158"/>
      <c r="B599" s="158"/>
      <c r="C599" s="158"/>
      <c r="D599" s="158"/>
      <c r="E599" s="158"/>
      <c r="F599" s="158"/>
      <c r="G599" s="148"/>
      <c r="H599" s="148"/>
      <c r="I599" s="148"/>
      <c r="J599" s="148"/>
      <c r="K599" s="148"/>
      <c r="L599" s="148"/>
      <c r="M599" s="148"/>
      <c r="N599" s="148"/>
      <c r="O599" s="158"/>
      <c r="P599" s="148"/>
      <c r="Q599" s="207"/>
      <c r="R599" s="208"/>
      <c r="S599" s="208"/>
      <c r="T599" s="202"/>
    </row>
    <row r="600" ht="15.75" customHeight="1">
      <c r="A600" s="158"/>
      <c r="B600" s="158"/>
      <c r="C600" s="158"/>
      <c r="D600" s="158"/>
      <c r="E600" s="158"/>
      <c r="F600" s="158"/>
      <c r="G600" s="148"/>
      <c r="H600" s="148"/>
      <c r="I600" s="148"/>
      <c r="J600" s="148"/>
      <c r="K600" s="148"/>
      <c r="L600" s="148"/>
      <c r="M600" s="148"/>
      <c r="N600" s="148"/>
      <c r="O600" s="158"/>
      <c r="P600" s="148"/>
      <c r="Q600" s="207"/>
      <c r="R600" s="208"/>
      <c r="S600" s="208"/>
      <c r="T600" s="202"/>
    </row>
    <row r="601" ht="15.75" customHeight="1">
      <c r="A601" s="158"/>
      <c r="B601" s="158"/>
      <c r="C601" s="158"/>
      <c r="D601" s="158"/>
      <c r="E601" s="158"/>
      <c r="F601" s="158"/>
      <c r="G601" s="148"/>
      <c r="H601" s="148"/>
      <c r="I601" s="148"/>
      <c r="J601" s="148"/>
      <c r="K601" s="148"/>
      <c r="L601" s="148"/>
      <c r="M601" s="148"/>
      <c r="N601" s="148"/>
      <c r="O601" s="158"/>
      <c r="P601" s="148"/>
      <c r="Q601" s="207"/>
      <c r="R601" s="208"/>
      <c r="S601" s="208"/>
      <c r="T601" s="202"/>
    </row>
    <row r="602" ht="15.75" customHeight="1">
      <c r="A602" s="158"/>
      <c r="B602" s="158"/>
      <c r="C602" s="158"/>
      <c r="D602" s="158"/>
      <c r="E602" s="158"/>
      <c r="F602" s="158"/>
      <c r="G602" s="148"/>
      <c r="H602" s="148"/>
      <c r="I602" s="148"/>
      <c r="J602" s="148"/>
      <c r="K602" s="148"/>
      <c r="L602" s="148"/>
      <c r="M602" s="148"/>
      <c r="N602" s="148"/>
      <c r="O602" s="158"/>
      <c r="P602" s="148"/>
      <c r="Q602" s="207"/>
      <c r="R602" s="208"/>
      <c r="S602" s="208"/>
      <c r="T602" s="202"/>
    </row>
    <row r="603" ht="15.75" customHeight="1">
      <c r="A603" s="158"/>
      <c r="B603" s="158"/>
      <c r="C603" s="158"/>
      <c r="D603" s="158"/>
      <c r="E603" s="158"/>
      <c r="F603" s="158"/>
      <c r="G603" s="148"/>
      <c r="H603" s="148"/>
      <c r="I603" s="148"/>
      <c r="J603" s="148"/>
      <c r="K603" s="148"/>
      <c r="L603" s="148"/>
      <c r="M603" s="148"/>
      <c r="N603" s="148"/>
      <c r="O603" s="158"/>
      <c r="P603" s="148"/>
      <c r="Q603" s="207"/>
      <c r="R603" s="208"/>
      <c r="S603" s="208"/>
      <c r="T603" s="202"/>
    </row>
    <row r="604" ht="15.75" customHeight="1">
      <c r="A604" s="158"/>
      <c r="B604" s="158"/>
      <c r="C604" s="158"/>
      <c r="D604" s="158"/>
      <c r="E604" s="158"/>
      <c r="F604" s="158"/>
      <c r="G604" s="148"/>
      <c r="H604" s="148"/>
      <c r="I604" s="148"/>
      <c r="J604" s="148"/>
      <c r="K604" s="148"/>
      <c r="L604" s="148"/>
      <c r="M604" s="148"/>
      <c r="N604" s="148"/>
      <c r="O604" s="158"/>
      <c r="P604" s="148"/>
      <c r="Q604" s="207"/>
      <c r="R604" s="208"/>
      <c r="S604" s="208"/>
      <c r="T604" s="202"/>
    </row>
    <row r="605" ht="15.75" customHeight="1">
      <c r="A605" s="158"/>
      <c r="B605" s="158"/>
      <c r="C605" s="158"/>
      <c r="D605" s="158"/>
      <c r="E605" s="158"/>
      <c r="F605" s="158"/>
      <c r="G605" s="148"/>
      <c r="H605" s="148"/>
      <c r="I605" s="148"/>
      <c r="J605" s="148"/>
      <c r="K605" s="148"/>
      <c r="L605" s="148"/>
      <c r="M605" s="148"/>
      <c r="N605" s="148"/>
      <c r="O605" s="158"/>
      <c r="P605" s="148"/>
      <c r="Q605" s="207"/>
      <c r="R605" s="208"/>
      <c r="S605" s="208"/>
      <c r="T605" s="202"/>
    </row>
    <row r="606" ht="15.75" customHeight="1">
      <c r="A606" s="158"/>
      <c r="B606" s="158"/>
      <c r="C606" s="158"/>
      <c r="D606" s="158"/>
      <c r="E606" s="158"/>
      <c r="F606" s="158"/>
      <c r="G606" s="148"/>
      <c r="H606" s="148"/>
      <c r="I606" s="148"/>
      <c r="J606" s="148"/>
      <c r="K606" s="148"/>
      <c r="L606" s="148"/>
      <c r="M606" s="148"/>
      <c r="N606" s="148"/>
      <c r="O606" s="158"/>
      <c r="P606" s="148"/>
      <c r="Q606" s="207"/>
      <c r="R606" s="208"/>
      <c r="S606" s="208"/>
      <c r="T606" s="202"/>
    </row>
    <row r="607" ht="15.75" customHeight="1">
      <c r="A607" s="158"/>
      <c r="B607" s="158"/>
      <c r="C607" s="158"/>
      <c r="D607" s="158"/>
      <c r="E607" s="158"/>
      <c r="F607" s="158"/>
      <c r="G607" s="148"/>
      <c r="H607" s="148"/>
      <c r="I607" s="148"/>
      <c r="J607" s="148"/>
      <c r="K607" s="148"/>
      <c r="L607" s="148"/>
      <c r="M607" s="148"/>
      <c r="N607" s="148"/>
      <c r="O607" s="158"/>
      <c r="P607" s="148"/>
      <c r="Q607" s="207"/>
      <c r="R607" s="208"/>
      <c r="S607" s="208"/>
      <c r="T607" s="202"/>
    </row>
    <row r="608" ht="15.75" customHeight="1">
      <c r="A608" s="158"/>
      <c r="B608" s="158"/>
      <c r="C608" s="158"/>
      <c r="D608" s="158"/>
      <c r="E608" s="158"/>
      <c r="F608" s="158"/>
      <c r="G608" s="148"/>
      <c r="H608" s="148"/>
      <c r="I608" s="148"/>
      <c r="J608" s="148"/>
      <c r="K608" s="148"/>
      <c r="L608" s="148"/>
      <c r="M608" s="148"/>
      <c r="N608" s="148"/>
      <c r="O608" s="158"/>
      <c r="P608" s="148"/>
      <c r="Q608" s="207"/>
      <c r="R608" s="208"/>
      <c r="S608" s="208"/>
      <c r="T608" s="202"/>
    </row>
    <row r="609" ht="15.75" customHeight="1">
      <c r="A609" s="158"/>
      <c r="B609" s="158"/>
      <c r="C609" s="158"/>
      <c r="D609" s="158"/>
      <c r="E609" s="158"/>
      <c r="F609" s="158"/>
      <c r="G609" s="148"/>
      <c r="H609" s="148"/>
      <c r="I609" s="148"/>
      <c r="J609" s="148"/>
      <c r="K609" s="148"/>
      <c r="L609" s="148"/>
      <c r="M609" s="148"/>
      <c r="N609" s="148"/>
      <c r="O609" s="158"/>
      <c r="P609" s="148"/>
      <c r="Q609" s="207"/>
      <c r="R609" s="208"/>
      <c r="S609" s="208"/>
      <c r="T609" s="202"/>
    </row>
    <row r="610" ht="15.75" customHeight="1">
      <c r="A610" s="158"/>
      <c r="B610" s="158"/>
      <c r="C610" s="158"/>
      <c r="D610" s="158"/>
      <c r="E610" s="158"/>
      <c r="F610" s="158"/>
      <c r="G610" s="148"/>
      <c r="H610" s="148"/>
      <c r="I610" s="148"/>
      <c r="J610" s="148"/>
      <c r="K610" s="148"/>
      <c r="L610" s="148"/>
      <c r="M610" s="148"/>
      <c r="N610" s="148"/>
      <c r="O610" s="158"/>
      <c r="P610" s="148"/>
      <c r="Q610" s="207"/>
      <c r="R610" s="208"/>
      <c r="S610" s="208"/>
      <c r="T610" s="202"/>
    </row>
    <row r="611" ht="15.75" customHeight="1">
      <c r="A611" s="158"/>
      <c r="B611" s="158"/>
      <c r="C611" s="158"/>
      <c r="D611" s="158"/>
      <c r="E611" s="158"/>
      <c r="F611" s="158"/>
      <c r="G611" s="148"/>
      <c r="H611" s="148"/>
      <c r="I611" s="148"/>
      <c r="J611" s="148"/>
      <c r="K611" s="148"/>
      <c r="L611" s="148"/>
      <c r="M611" s="148"/>
      <c r="N611" s="148"/>
      <c r="O611" s="158"/>
      <c r="P611" s="148"/>
      <c r="Q611" s="207"/>
      <c r="R611" s="208"/>
      <c r="S611" s="208"/>
      <c r="T611" s="202"/>
    </row>
    <row r="612" ht="15.75" customHeight="1">
      <c r="A612" s="158"/>
      <c r="B612" s="158"/>
      <c r="C612" s="158"/>
      <c r="D612" s="158"/>
      <c r="E612" s="158"/>
      <c r="F612" s="158"/>
      <c r="G612" s="148"/>
      <c r="H612" s="148"/>
      <c r="I612" s="148"/>
      <c r="J612" s="148"/>
      <c r="K612" s="148"/>
      <c r="L612" s="148"/>
      <c r="M612" s="148"/>
      <c r="N612" s="148"/>
      <c r="O612" s="158"/>
      <c r="P612" s="148"/>
      <c r="Q612" s="207"/>
      <c r="R612" s="208"/>
      <c r="S612" s="208"/>
      <c r="T612" s="202"/>
    </row>
    <row r="613" ht="15.75" customHeight="1">
      <c r="A613" s="158"/>
      <c r="B613" s="158"/>
      <c r="C613" s="158"/>
      <c r="D613" s="158"/>
      <c r="E613" s="158"/>
      <c r="F613" s="158"/>
      <c r="G613" s="148"/>
      <c r="H613" s="148"/>
      <c r="I613" s="148"/>
      <c r="J613" s="148"/>
      <c r="K613" s="148"/>
      <c r="L613" s="148"/>
      <c r="M613" s="148"/>
      <c r="N613" s="148"/>
      <c r="O613" s="158"/>
      <c r="P613" s="148"/>
      <c r="Q613" s="207"/>
      <c r="R613" s="208"/>
      <c r="S613" s="208"/>
      <c r="T613" s="202"/>
    </row>
    <row r="614" ht="15.75" customHeight="1">
      <c r="A614" s="158"/>
      <c r="B614" s="158"/>
      <c r="C614" s="158"/>
      <c r="D614" s="158"/>
      <c r="E614" s="158"/>
      <c r="F614" s="158"/>
      <c r="G614" s="148"/>
      <c r="H614" s="148"/>
      <c r="I614" s="148"/>
      <c r="J614" s="148"/>
      <c r="K614" s="148"/>
      <c r="L614" s="148"/>
      <c r="M614" s="148"/>
      <c r="N614" s="148"/>
      <c r="O614" s="158"/>
      <c r="P614" s="148"/>
      <c r="Q614" s="207"/>
      <c r="R614" s="208"/>
      <c r="S614" s="208"/>
      <c r="T614" s="202"/>
    </row>
    <row r="615" ht="15.75" customHeight="1">
      <c r="A615" s="158"/>
      <c r="B615" s="158"/>
      <c r="C615" s="158"/>
      <c r="D615" s="158"/>
      <c r="E615" s="158"/>
      <c r="F615" s="158"/>
      <c r="G615" s="148"/>
      <c r="H615" s="148"/>
      <c r="I615" s="148"/>
      <c r="J615" s="148"/>
      <c r="K615" s="148"/>
      <c r="L615" s="148"/>
      <c r="M615" s="148"/>
      <c r="N615" s="148"/>
      <c r="O615" s="158"/>
      <c r="P615" s="148"/>
      <c r="Q615" s="207"/>
      <c r="R615" s="208"/>
      <c r="S615" s="208"/>
      <c r="T615" s="202"/>
    </row>
    <row r="616" ht="15.75" customHeight="1">
      <c r="A616" s="158"/>
      <c r="B616" s="158"/>
      <c r="C616" s="158"/>
      <c r="D616" s="158"/>
      <c r="E616" s="158"/>
      <c r="F616" s="158"/>
      <c r="G616" s="148"/>
      <c r="H616" s="148"/>
      <c r="I616" s="148"/>
      <c r="J616" s="148"/>
      <c r="K616" s="148"/>
      <c r="L616" s="148"/>
      <c r="M616" s="148"/>
      <c r="N616" s="148"/>
      <c r="O616" s="158"/>
      <c r="P616" s="148"/>
      <c r="Q616" s="207"/>
      <c r="R616" s="208"/>
      <c r="S616" s="208"/>
      <c r="T616" s="202"/>
    </row>
    <row r="617" ht="15.75" customHeight="1">
      <c r="A617" s="158"/>
      <c r="B617" s="158"/>
      <c r="C617" s="158"/>
      <c r="D617" s="158"/>
      <c r="E617" s="158"/>
      <c r="F617" s="158"/>
      <c r="G617" s="148"/>
      <c r="H617" s="148"/>
      <c r="I617" s="148"/>
      <c r="J617" s="148"/>
      <c r="K617" s="148"/>
      <c r="L617" s="148"/>
      <c r="M617" s="148"/>
      <c r="N617" s="148"/>
      <c r="O617" s="158"/>
      <c r="P617" s="148"/>
      <c r="Q617" s="207"/>
      <c r="R617" s="208"/>
      <c r="S617" s="208"/>
      <c r="T617" s="202"/>
    </row>
    <row r="618" ht="15.75" customHeight="1">
      <c r="A618" s="158"/>
      <c r="B618" s="158"/>
      <c r="C618" s="158"/>
      <c r="D618" s="158"/>
      <c r="E618" s="158"/>
      <c r="F618" s="158"/>
      <c r="G618" s="148"/>
      <c r="H618" s="148"/>
      <c r="I618" s="148"/>
      <c r="J618" s="148"/>
      <c r="K618" s="148"/>
      <c r="L618" s="148"/>
      <c r="M618" s="148"/>
      <c r="N618" s="148"/>
      <c r="O618" s="158"/>
      <c r="P618" s="148"/>
      <c r="Q618" s="207"/>
      <c r="R618" s="208"/>
      <c r="S618" s="208"/>
      <c r="T618" s="202"/>
    </row>
    <row r="619" ht="15.75" customHeight="1">
      <c r="A619" s="158"/>
      <c r="B619" s="158"/>
      <c r="C619" s="158"/>
      <c r="D619" s="158"/>
      <c r="E619" s="158"/>
      <c r="F619" s="158"/>
      <c r="G619" s="148"/>
      <c r="H619" s="148"/>
      <c r="I619" s="148"/>
      <c r="J619" s="148"/>
      <c r="K619" s="148"/>
      <c r="L619" s="148"/>
      <c r="M619" s="148"/>
      <c r="N619" s="148"/>
      <c r="O619" s="158"/>
      <c r="P619" s="148"/>
      <c r="Q619" s="207"/>
      <c r="R619" s="208"/>
      <c r="S619" s="208"/>
      <c r="T619" s="202"/>
    </row>
    <row r="620" ht="15.75" customHeight="1">
      <c r="A620" s="158"/>
      <c r="B620" s="158"/>
      <c r="C620" s="158"/>
      <c r="D620" s="158"/>
      <c r="E620" s="158"/>
      <c r="F620" s="158"/>
      <c r="G620" s="148"/>
      <c r="H620" s="148"/>
      <c r="I620" s="148"/>
      <c r="J620" s="148"/>
      <c r="K620" s="148"/>
      <c r="L620" s="148"/>
      <c r="M620" s="148"/>
      <c r="N620" s="148"/>
      <c r="O620" s="158"/>
      <c r="P620" s="148"/>
      <c r="Q620" s="207"/>
      <c r="R620" s="208"/>
      <c r="S620" s="208"/>
      <c r="T620" s="202"/>
    </row>
    <row r="621" ht="15.75" customHeight="1">
      <c r="A621" s="158"/>
      <c r="B621" s="158"/>
      <c r="C621" s="158"/>
      <c r="D621" s="158"/>
      <c r="E621" s="158"/>
      <c r="F621" s="158"/>
      <c r="G621" s="148"/>
      <c r="H621" s="148"/>
      <c r="I621" s="148"/>
      <c r="J621" s="148"/>
      <c r="K621" s="148"/>
      <c r="L621" s="148"/>
      <c r="M621" s="148"/>
      <c r="N621" s="148"/>
      <c r="O621" s="158"/>
      <c r="P621" s="148"/>
      <c r="Q621" s="207"/>
      <c r="R621" s="208"/>
      <c r="S621" s="208"/>
      <c r="T621" s="202"/>
    </row>
    <row r="622" ht="15.75" customHeight="1">
      <c r="A622" s="158"/>
      <c r="B622" s="158"/>
      <c r="C622" s="158"/>
      <c r="D622" s="158"/>
      <c r="E622" s="158"/>
      <c r="F622" s="158"/>
      <c r="G622" s="148"/>
      <c r="H622" s="148"/>
      <c r="I622" s="148"/>
      <c r="J622" s="148"/>
      <c r="K622" s="148"/>
      <c r="L622" s="148"/>
      <c r="M622" s="148"/>
      <c r="N622" s="148"/>
      <c r="O622" s="158"/>
      <c r="P622" s="148"/>
      <c r="Q622" s="207"/>
      <c r="R622" s="208"/>
      <c r="S622" s="208"/>
      <c r="T622" s="202"/>
    </row>
    <row r="623" ht="15.75" customHeight="1">
      <c r="A623" s="158"/>
      <c r="B623" s="158"/>
      <c r="C623" s="158"/>
      <c r="D623" s="158"/>
      <c r="E623" s="158"/>
      <c r="F623" s="158"/>
      <c r="G623" s="148"/>
      <c r="H623" s="148"/>
      <c r="I623" s="148"/>
      <c r="J623" s="148"/>
      <c r="K623" s="148"/>
      <c r="L623" s="148"/>
      <c r="M623" s="148"/>
      <c r="N623" s="148"/>
      <c r="O623" s="158"/>
      <c r="P623" s="148"/>
      <c r="Q623" s="207"/>
      <c r="R623" s="208"/>
      <c r="S623" s="208"/>
      <c r="T623" s="202"/>
    </row>
    <row r="624" ht="15.75" customHeight="1">
      <c r="A624" s="158"/>
      <c r="B624" s="158"/>
      <c r="C624" s="158"/>
      <c r="D624" s="158"/>
      <c r="E624" s="158"/>
      <c r="F624" s="158"/>
      <c r="G624" s="148"/>
      <c r="H624" s="148"/>
      <c r="I624" s="148"/>
      <c r="J624" s="148"/>
      <c r="K624" s="148"/>
      <c r="L624" s="148"/>
      <c r="M624" s="148"/>
      <c r="N624" s="148"/>
      <c r="O624" s="158"/>
      <c r="P624" s="148"/>
      <c r="Q624" s="207"/>
      <c r="R624" s="208"/>
      <c r="S624" s="208"/>
      <c r="T624" s="202"/>
    </row>
    <row r="625" ht="15.75" customHeight="1">
      <c r="A625" s="158"/>
      <c r="B625" s="158"/>
      <c r="C625" s="158"/>
      <c r="D625" s="158"/>
      <c r="E625" s="158"/>
      <c r="F625" s="158"/>
      <c r="G625" s="148"/>
      <c r="H625" s="148"/>
      <c r="I625" s="148"/>
      <c r="J625" s="148"/>
      <c r="K625" s="148"/>
      <c r="L625" s="148"/>
      <c r="M625" s="148"/>
      <c r="N625" s="148"/>
      <c r="O625" s="158"/>
      <c r="P625" s="148"/>
      <c r="Q625" s="207"/>
      <c r="R625" s="208"/>
      <c r="S625" s="208"/>
      <c r="T625" s="202"/>
    </row>
    <row r="626" ht="15.75" customHeight="1">
      <c r="A626" s="158"/>
      <c r="B626" s="158"/>
      <c r="C626" s="158"/>
      <c r="D626" s="158"/>
      <c r="E626" s="158"/>
      <c r="F626" s="158"/>
      <c r="G626" s="148"/>
      <c r="H626" s="148"/>
      <c r="I626" s="148"/>
      <c r="J626" s="148"/>
      <c r="K626" s="148"/>
      <c r="L626" s="148"/>
      <c r="M626" s="148"/>
      <c r="N626" s="148"/>
      <c r="O626" s="158"/>
      <c r="P626" s="148"/>
      <c r="Q626" s="207"/>
      <c r="R626" s="208"/>
      <c r="S626" s="208"/>
      <c r="T626" s="202"/>
    </row>
    <row r="627" ht="15.75" customHeight="1">
      <c r="A627" s="158"/>
      <c r="B627" s="158"/>
      <c r="C627" s="158"/>
      <c r="D627" s="158"/>
      <c r="E627" s="158"/>
      <c r="F627" s="158"/>
      <c r="G627" s="148"/>
      <c r="H627" s="148"/>
      <c r="I627" s="148"/>
      <c r="J627" s="148"/>
      <c r="K627" s="148"/>
      <c r="L627" s="148"/>
      <c r="M627" s="148"/>
      <c r="N627" s="148"/>
      <c r="O627" s="158"/>
      <c r="P627" s="148"/>
      <c r="Q627" s="207"/>
      <c r="R627" s="208"/>
      <c r="S627" s="208"/>
      <c r="T627" s="202"/>
    </row>
    <row r="628" ht="15.75" customHeight="1">
      <c r="A628" s="158"/>
      <c r="B628" s="158"/>
      <c r="C628" s="158"/>
      <c r="D628" s="158"/>
      <c r="E628" s="158"/>
      <c r="F628" s="158"/>
      <c r="G628" s="148"/>
      <c r="H628" s="148"/>
      <c r="I628" s="148"/>
      <c r="J628" s="148"/>
      <c r="K628" s="148"/>
      <c r="L628" s="148"/>
      <c r="M628" s="148"/>
      <c r="N628" s="148"/>
      <c r="O628" s="158"/>
      <c r="P628" s="148"/>
      <c r="Q628" s="207"/>
      <c r="R628" s="208"/>
      <c r="S628" s="208"/>
      <c r="T628" s="202"/>
    </row>
    <row r="629" ht="15.75" customHeight="1">
      <c r="A629" s="158"/>
      <c r="B629" s="158"/>
      <c r="C629" s="158"/>
      <c r="D629" s="158"/>
      <c r="E629" s="158"/>
      <c r="F629" s="158"/>
      <c r="G629" s="148"/>
      <c r="H629" s="148"/>
      <c r="I629" s="148"/>
      <c r="J629" s="148"/>
      <c r="K629" s="148"/>
      <c r="L629" s="148"/>
      <c r="M629" s="148"/>
      <c r="N629" s="148"/>
      <c r="O629" s="158"/>
      <c r="P629" s="148"/>
      <c r="Q629" s="207"/>
      <c r="R629" s="208"/>
      <c r="S629" s="208"/>
      <c r="T629" s="202"/>
    </row>
    <row r="630" ht="15.75" customHeight="1">
      <c r="A630" s="158"/>
      <c r="B630" s="158"/>
      <c r="C630" s="158"/>
      <c r="D630" s="158"/>
      <c r="E630" s="158"/>
      <c r="F630" s="158"/>
      <c r="G630" s="148"/>
      <c r="H630" s="148"/>
      <c r="I630" s="148"/>
      <c r="J630" s="148"/>
      <c r="K630" s="148"/>
      <c r="L630" s="148"/>
      <c r="M630" s="148"/>
      <c r="N630" s="148"/>
      <c r="O630" s="158"/>
      <c r="P630" s="148"/>
      <c r="Q630" s="207"/>
      <c r="R630" s="208"/>
      <c r="S630" s="208"/>
      <c r="T630" s="202"/>
    </row>
    <row r="631" ht="15.75" customHeight="1">
      <c r="A631" s="158"/>
      <c r="B631" s="158"/>
      <c r="C631" s="158"/>
      <c r="D631" s="158"/>
      <c r="E631" s="158"/>
      <c r="F631" s="158"/>
      <c r="G631" s="148"/>
      <c r="H631" s="148"/>
      <c r="I631" s="148"/>
      <c r="J631" s="148"/>
      <c r="K631" s="148"/>
      <c r="L631" s="148"/>
      <c r="M631" s="148"/>
      <c r="N631" s="148"/>
      <c r="O631" s="158"/>
      <c r="P631" s="148"/>
      <c r="Q631" s="207"/>
      <c r="R631" s="208"/>
      <c r="S631" s="208"/>
      <c r="T631" s="202"/>
    </row>
    <row r="632" ht="15.75" customHeight="1">
      <c r="A632" s="158"/>
      <c r="B632" s="158"/>
      <c r="C632" s="158"/>
      <c r="D632" s="158"/>
      <c r="E632" s="158"/>
      <c r="F632" s="158"/>
      <c r="G632" s="148"/>
      <c r="H632" s="148"/>
      <c r="I632" s="148"/>
      <c r="J632" s="148"/>
      <c r="K632" s="148"/>
      <c r="L632" s="148"/>
      <c r="M632" s="148"/>
      <c r="N632" s="148"/>
      <c r="O632" s="158"/>
      <c r="P632" s="148"/>
      <c r="Q632" s="207"/>
      <c r="R632" s="208"/>
      <c r="S632" s="208"/>
      <c r="T632" s="202"/>
    </row>
    <row r="633" ht="15.75" customHeight="1">
      <c r="A633" s="158"/>
      <c r="B633" s="158"/>
      <c r="C633" s="158"/>
      <c r="D633" s="158"/>
      <c r="E633" s="158"/>
      <c r="F633" s="158"/>
      <c r="G633" s="148"/>
      <c r="H633" s="148"/>
      <c r="I633" s="148"/>
      <c r="J633" s="148"/>
      <c r="K633" s="148"/>
      <c r="L633" s="148"/>
      <c r="M633" s="148"/>
      <c r="N633" s="148"/>
      <c r="O633" s="158"/>
      <c r="P633" s="148"/>
      <c r="Q633" s="207"/>
      <c r="R633" s="208"/>
      <c r="S633" s="208"/>
      <c r="T633" s="202"/>
    </row>
    <row r="634" ht="15.75" customHeight="1">
      <c r="A634" s="158"/>
      <c r="B634" s="158"/>
      <c r="C634" s="158"/>
      <c r="D634" s="158"/>
      <c r="E634" s="158"/>
      <c r="F634" s="158"/>
      <c r="G634" s="148"/>
      <c r="H634" s="148"/>
      <c r="I634" s="148"/>
      <c r="J634" s="148"/>
      <c r="K634" s="148"/>
      <c r="L634" s="148"/>
      <c r="M634" s="148"/>
      <c r="N634" s="148"/>
      <c r="O634" s="158"/>
      <c r="P634" s="148"/>
      <c r="Q634" s="207"/>
      <c r="R634" s="208"/>
      <c r="S634" s="208"/>
      <c r="T634" s="202"/>
    </row>
    <row r="635" ht="15.75" customHeight="1">
      <c r="A635" s="158"/>
      <c r="B635" s="158"/>
      <c r="C635" s="158"/>
      <c r="D635" s="158"/>
      <c r="E635" s="158"/>
      <c r="F635" s="158"/>
      <c r="G635" s="148"/>
      <c r="H635" s="148"/>
      <c r="I635" s="148"/>
      <c r="J635" s="148"/>
      <c r="K635" s="148"/>
      <c r="L635" s="148"/>
      <c r="M635" s="148"/>
      <c r="N635" s="148"/>
      <c r="O635" s="158"/>
      <c r="P635" s="148"/>
      <c r="Q635" s="207"/>
      <c r="R635" s="208"/>
      <c r="S635" s="208"/>
      <c r="T635" s="202"/>
    </row>
    <row r="636" ht="15.75" customHeight="1">
      <c r="A636" s="158"/>
      <c r="B636" s="158"/>
      <c r="C636" s="158"/>
      <c r="D636" s="158"/>
      <c r="E636" s="158"/>
      <c r="F636" s="158"/>
      <c r="G636" s="148"/>
      <c r="H636" s="148"/>
      <c r="I636" s="148"/>
      <c r="J636" s="148"/>
      <c r="K636" s="148"/>
      <c r="L636" s="148"/>
      <c r="M636" s="148"/>
      <c r="N636" s="148"/>
      <c r="O636" s="158"/>
      <c r="P636" s="148"/>
      <c r="Q636" s="207"/>
      <c r="R636" s="208"/>
      <c r="S636" s="208"/>
      <c r="T636" s="202"/>
    </row>
    <row r="637" ht="15.75" customHeight="1">
      <c r="A637" s="158"/>
      <c r="B637" s="158"/>
      <c r="C637" s="158"/>
      <c r="D637" s="158"/>
      <c r="E637" s="158"/>
      <c r="F637" s="158"/>
      <c r="G637" s="148"/>
      <c r="H637" s="148"/>
      <c r="I637" s="148"/>
      <c r="J637" s="148"/>
      <c r="K637" s="148"/>
      <c r="L637" s="148"/>
      <c r="M637" s="148"/>
      <c r="N637" s="148"/>
      <c r="O637" s="158"/>
      <c r="P637" s="148"/>
      <c r="Q637" s="207"/>
      <c r="R637" s="208"/>
      <c r="S637" s="208"/>
      <c r="T637" s="202"/>
    </row>
    <row r="638" ht="15.75" customHeight="1">
      <c r="A638" s="158"/>
      <c r="B638" s="158"/>
      <c r="C638" s="158"/>
      <c r="D638" s="158"/>
      <c r="E638" s="158"/>
      <c r="F638" s="158"/>
      <c r="G638" s="148"/>
      <c r="H638" s="148"/>
      <c r="I638" s="148"/>
      <c r="J638" s="148"/>
      <c r="K638" s="148"/>
      <c r="L638" s="148"/>
      <c r="M638" s="148"/>
      <c r="N638" s="148"/>
      <c r="O638" s="158"/>
      <c r="P638" s="148"/>
      <c r="Q638" s="207"/>
      <c r="R638" s="208"/>
      <c r="S638" s="208"/>
      <c r="T638" s="202"/>
    </row>
    <row r="639" ht="15.75" customHeight="1">
      <c r="A639" s="158"/>
      <c r="B639" s="158"/>
      <c r="C639" s="158"/>
      <c r="D639" s="158"/>
      <c r="E639" s="158"/>
      <c r="F639" s="158"/>
      <c r="G639" s="148"/>
      <c r="H639" s="148"/>
      <c r="I639" s="148"/>
      <c r="J639" s="148"/>
      <c r="K639" s="148"/>
      <c r="L639" s="148"/>
      <c r="M639" s="148"/>
      <c r="N639" s="148"/>
      <c r="O639" s="158"/>
      <c r="P639" s="148"/>
      <c r="Q639" s="207"/>
      <c r="R639" s="208"/>
      <c r="S639" s="208"/>
      <c r="T639" s="202"/>
    </row>
    <row r="640" ht="15.75" customHeight="1">
      <c r="A640" s="158"/>
      <c r="B640" s="158"/>
      <c r="C640" s="158"/>
      <c r="D640" s="158"/>
      <c r="E640" s="158"/>
      <c r="F640" s="158"/>
      <c r="G640" s="148"/>
      <c r="H640" s="148"/>
      <c r="I640" s="148"/>
      <c r="J640" s="148"/>
      <c r="K640" s="148"/>
      <c r="L640" s="148"/>
      <c r="M640" s="148"/>
      <c r="N640" s="148"/>
      <c r="O640" s="158"/>
      <c r="P640" s="148"/>
      <c r="Q640" s="207"/>
      <c r="R640" s="208"/>
      <c r="S640" s="208"/>
      <c r="T640" s="202"/>
    </row>
    <row r="641" ht="15.75" customHeight="1">
      <c r="A641" s="158"/>
      <c r="B641" s="158"/>
      <c r="C641" s="158"/>
      <c r="D641" s="158"/>
      <c r="E641" s="158"/>
      <c r="F641" s="158"/>
      <c r="G641" s="148"/>
      <c r="H641" s="148"/>
      <c r="I641" s="148"/>
      <c r="J641" s="148"/>
      <c r="K641" s="148"/>
      <c r="L641" s="148"/>
      <c r="M641" s="148"/>
      <c r="N641" s="148"/>
      <c r="O641" s="158"/>
      <c r="P641" s="148"/>
      <c r="Q641" s="207"/>
      <c r="R641" s="208"/>
      <c r="S641" s="208"/>
      <c r="T641" s="202"/>
    </row>
    <row r="642" ht="15.75" customHeight="1">
      <c r="A642" s="158"/>
      <c r="B642" s="158"/>
      <c r="C642" s="158"/>
      <c r="D642" s="158"/>
      <c r="E642" s="158"/>
      <c r="F642" s="158"/>
      <c r="G642" s="148"/>
      <c r="H642" s="148"/>
      <c r="I642" s="148"/>
      <c r="J642" s="148"/>
      <c r="K642" s="148"/>
      <c r="L642" s="148"/>
      <c r="M642" s="148"/>
      <c r="N642" s="148"/>
      <c r="O642" s="158"/>
      <c r="P642" s="148"/>
      <c r="Q642" s="207"/>
      <c r="R642" s="208"/>
      <c r="S642" s="208"/>
      <c r="T642" s="202"/>
    </row>
    <row r="643" ht="15.75" customHeight="1">
      <c r="A643" s="158"/>
      <c r="B643" s="158"/>
      <c r="C643" s="158"/>
      <c r="D643" s="158"/>
      <c r="E643" s="158"/>
      <c r="F643" s="158"/>
      <c r="G643" s="148"/>
      <c r="H643" s="148"/>
      <c r="I643" s="148"/>
      <c r="J643" s="148"/>
      <c r="K643" s="148"/>
      <c r="L643" s="148"/>
      <c r="M643" s="148"/>
      <c r="N643" s="148"/>
      <c r="O643" s="158"/>
      <c r="P643" s="148"/>
      <c r="Q643" s="207"/>
      <c r="R643" s="208"/>
      <c r="S643" s="208"/>
      <c r="T643" s="202"/>
    </row>
    <row r="644" ht="15.75" customHeight="1">
      <c r="A644" s="158"/>
      <c r="B644" s="158"/>
      <c r="C644" s="158"/>
      <c r="D644" s="158"/>
      <c r="E644" s="158"/>
      <c r="F644" s="158"/>
      <c r="G644" s="148"/>
      <c r="H644" s="148"/>
      <c r="I644" s="148"/>
      <c r="J644" s="148"/>
      <c r="K644" s="148"/>
      <c r="L644" s="148"/>
      <c r="M644" s="148"/>
      <c r="N644" s="148"/>
      <c r="O644" s="158"/>
      <c r="P644" s="148"/>
      <c r="Q644" s="207"/>
      <c r="R644" s="208"/>
      <c r="S644" s="208"/>
      <c r="T644" s="202"/>
    </row>
    <row r="645" ht="15.75" customHeight="1">
      <c r="A645" s="158"/>
      <c r="B645" s="158"/>
      <c r="C645" s="158"/>
      <c r="D645" s="158"/>
      <c r="E645" s="158"/>
      <c r="F645" s="158"/>
      <c r="G645" s="148"/>
      <c r="H645" s="148"/>
      <c r="I645" s="148"/>
      <c r="J645" s="148"/>
      <c r="K645" s="148"/>
      <c r="L645" s="148"/>
      <c r="M645" s="148"/>
      <c r="N645" s="148"/>
      <c r="O645" s="158"/>
      <c r="P645" s="148"/>
      <c r="Q645" s="207"/>
      <c r="R645" s="208"/>
      <c r="S645" s="208"/>
      <c r="T645" s="202"/>
    </row>
    <row r="646" ht="15.75" customHeight="1">
      <c r="A646" s="158"/>
      <c r="B646" s="158"/>
      <c r="C646" s="158"/>
      <c r="D646" s="158"/>
      <c r="E646" s="158"/>
      <c r="F646" s="158"/>
      <c r="G646" s="148"/>
      <c r="H646" s="148"/>
      <c r="I646" s="148"/>
      <c r="J646" s="148"/>
      <c r="K646" s="148"/>
      <c r="L646" s="148"/>
      <c r="M646" s="148"/>
      <c r="N646" s="148"/>
      <c r="O646" s="158"/>
      <c r="P646" s="148"/>
      <c r="Q646" s="207"/>
      <c r="R646" s="208"/>
      <c r="S646" s="208"/>
      <c r="T646" s="202"/>
    </row>
    <row r="647" ht="15.75" customHeight="1">
      <c r="A647" s="158"/>
      <c r="B647" s="158"/>
      <c r="C647" s="158"/>
      <c r="D647" s="158"/>
      <c r="E647" s="158"/>
      <c r="F647" s="158"/>
      <c r="G647" s="148"/>
      <c r="H647" s="148"/>
      <c r="I647" s="148"/>
      <c r="J647" s="148"/>
      <c r="K647" s="148"/>
      <c r="L647" s="148"/>
      <c r="M647" s="148"/>
      <c r="N647" s="148"/>
      <c r="O647" s="158"/>
      <c r="P647" s="148"/>
      <c r="Q647" s="207"/>
      <c r="R647" s="208"/>
      <c r="S647" s="208"/>
      <c r="T647" s="202"/>
    </row>
    <row r="648" ht="15.75" customHeight="1">
      <c r="A648" s="158"/>
      <c r="B648" s="158"/>
      <c r="C648" s="158"/>
      <c r="D648" s="158"/>
      <c r="E648" s="158"/>
      <c r="F648" s="158"/>
      <c r="G648" s="148"/>
      <c r="H648" s="148"/>
      <c r="I648" s="148"/>
      <c r="J648" s="148"/>
      <c r="K648" s="148"/>
      <c r="L648" s="148"/>
      <c r="M648" s="148"/>
      <c r="N648" s="148"/>
      <c r="O648" s="158"/>
      <c r="P648" s="148"/>
      <c r="Q648" s="207"/>
      <c r="R648" s="208"/>
      <c r="S648" s="208"/>
      <c r="T648" s="202"/>
    </row>
    <row r="649" ht="15.75" customHeight="1">
      <c r="A649" s="158"/>
      <c r="B649" s="158"/>
      <c r="C649" s="158"/>
      <c r="D649" s="158"/>
      <c r="E649" s="158"/>
      <c r="F649" s="158"/>
      <c r="G649" s="148"/>
      <c r="H649" s="148"/>
      <c r="I649" s="148"/>
      <c r="J649" s="148"/>
      <c r="K649" s="148"/>
      <c r="L649" s="148"/>
      <c r="M649" s="148"/>
      <c r="N649" s="148"/>
      <c r="O649" s="158"/>
      <c r="P649" s="148"/>
      <c r="Q649" s="207"/>
      <c r="R649" s="208"/>
      <c r="S649" s="208"/>
      <c r="T649" s="202"/>
    </row>
    <row r="650" ht="15.75" customHeight="1">
      <c r="A650" s="158"/>
      <c r="B650" s="158"/>
      <c r="C650" s="158"/>
      <c r="D650" s="158"/>
      <c r="E650" s="158"/>
      <c r="F650" s="158"/>
      <c r="G650" s="148"/>
      <c r="H650" s="148"/>
      <c r="I650" s="148"/>
      <c r="J650" s="148"/>
      <c r="K650" s="148"/>
      <c r="L650" s="148"/>
      <c r="M650" s="148"/>
      <c r="N650" s="148"/>
      <c r="O650" s="158"/>
      <c r="P650" s="148"/>
      <c r="Q650" s="207"/>
      <c r="R650" s="208"/>
      <c r="S650" s="208"/>
      <c r="T650" s="202"/>
    </row>
    <row r="651" ht="15.75" customHeight="1">
      <c r="A651" s="158"/>
      <c r="B651" s="158"/>
      <c r="C651" s="158"/>
      <c r="D651" s="158"/>
      <c r="E651" s="158"/>
      <c r="F651" s="158"/>
      <c r="G651" s="148"/>
      <c r="H651" s="148"/>
      <c r="I651" s="148"/>
      <c r="J651" s="148"/>
      <c r="K651" s="148"/>
      <c r="L651" s="148"/>
      <c r="M651" s="148"/>
      <c r="N651" s="148"/>
      <c r="O651" s="158"/>
      <c r="P651" s="148"/>
      <c r="Q651" s="207"/>
      <c r="R651" s="208"/>
      <c r="S651" s="208"/>
      <c r="T651" s="202"/>
    </row>
    <row r="652" ht="15.75" customHeight="1">
      <c r="A652" s="158"/>
      <c r="B652" s="158"/>
      <c r="C652" s="158"/>
      <c r="D652" s="158"/>
      <c r="E652" s="158"/>
      <c r="F652" s="158"/>
      <c r="G652" s="148"/>
      <c r="H652" s="148"/>
      <c r="I652" s="148"/>
      <c r="J652" s="148"/>
      <c r="K652" s="148"/>
      <c r="L652" s="148"/>
      <c r="M652" s="148"/>
      <c r="N652" s="148"/>
      <c r="O652" s="158"/>
      <c r="P652" s="148"/>
      <c r="Q652" s="207"/>
      <c r="R652" s="208"/>
      <c r="S652" s="208"/>
      <c r="T652" s="202"/>
    </row>
    <row r="653" ht="15.75" customHeight="1">
      <c r="A653" s="158"/>
      <c r="B653" s="158"/>
      <c r="C653" s="158"/>
      <c r="D653" s="158"/>
      <c r="E653" s="158"/>
      <c r="F653" s="158"/>
      <c r="G653" s="148"/>
      <c r="H653" s="148"/>
      <c r="I653" s="148"/>
      <c r="J653" s="148"/>
      <c r="K653" s="148"/>
      <c r="L653" s="148"/>
      <c r="M653" s="148"/>
      <c r="N653" s="148"/>
      <c r="O653" s="158"/>
      <c r="P653" s="148"/>
      <c r="Q653" s="207"/>
      <c r="R653" s="208"/>
      <c r="S653" s="208"/>
      <c r="T653" s="202"/>
    </row>
    <row r="654" ht="15.75" customHeight="1">
      <c r="A654" s="158"/>
      <c r="B654" s="158"/>
      <c r="C654" s="158"/>
      <c r="D654" s="158"/>
      <c r="E654" s="158"/>
      <c r="F654" s="158"/>
      <c r="G654" s="148"/>
      <c r="H654" s="148"/>
      <c r="I654" s="148"/>
      <c r="J654" s="148"/>
      <c r="K654" s="148"/>
      <c r="L654" s="148"/>
      <c r="M654" s="148"/>
      <c r="N654" s="148"/>
      <c r="O654" s="158"/>
      <c r="P654" s="148"/>
      <c r="Q654" s="207"/>
      <c r="R654" s="208"/>
      <c r="S654" s="208"/>
      <c r="T654" s="202"/>
    </row>
    <row r="655" ht="15.75" customHeight="1">
      <c r="A655" s="158"/>
      <c r="B655" s="158"/>
      <c r="C655" s="158"/>
      <c r="D655" s="158"/>
      <c r="E655" s="158"/>
      <c r="F655" s="158"/>
      <c r="G655" s="148"/>
      <c r="H655" s="148"/>
      <c r="I655" s="148"/>
      <c r="J655" s="148"/>
      <c r="K655" s="148"/>
      <c r="L655" s="148"/>
      <c r="M655" s="148"/>
      <c r="N655" s="148"/>
      <c r="O655" s="158"/>
      <c r="P655" s="148"/>
      <c r="Q655" s="207"/>
      <c r="R655" s="208"/>
      <c r="S655" s="208"/>
      <c r="T655" s="202"/>
    </row>
    <row r="656" ht="15.75" customHeight="1">
      <c r="A656" s="158"/>
      <c r="B656" s="158"/>
      <c r="C656" s="158"/>
      <c r="D656" s="158"/>
      <c r="E656" s="158"/>
      <c r="F656" s="158"/>
      <c r="G656" s="148"/>
      <c r="H656" s="148"/>
      <c r="I656" s="148"/>
      <c r="J656" s="148"/>
      <c r="K656" s="148"/>
      <c r="L656" s="148"/>
      <c r="M656" s="148"/>
      <c r="N656" s="148"/>
      <c r="O656" s="158"/>
      <c r="P656" s="148"/>
      <c r="Q656" s="207"/>
      <c r="R656" s="208"/>
      <c r="S656" s="208"/>
      <c r="T656" s="202"/>
    </row>
    <row r="657" ht="15.75" customHeight="1">
      <c r="A657" s="158"/>
      <c r="B657" s="158"/>
      <c r="C657" s="158"/>
      <c r="D657" s="158"/>
      <c r="E657" s="158"/>
      <c r="F657" s="158"/>
      <c r="G657" s="148"/>
      <c r="H657" s="148"/>
      <c r="I657" s="148"/>
      <c r="J657" s="148"/>
      <c r="K657" s="148"/>
      <c r="L657" s="148"/>
      <c r="M657" s="148"/>
      <c r="N657" s="148"/>
      <c r="O657" s="158"/>
      <c r="P657" s="148"/>
      <c r="Q657" s="207"/>
      <c r="R657" s="208"/>
      <c r="S657" s="208"/>
      <c r="T657" s="202"/>
    </row>
    <row r="658" ht="15.75" customHeight="1">
      <c r="A658" s="158"/>
      <c r="B658" s="158"/>
      <c r="C658" s="158"/>
      <c r="D658" s="158"/>
      <c r="E658" s="158"/>
      <c r="F658" s="158"/>
      <c r="G658" s="148"/>
      <c r="H658" s="148"/>
      <c r="I658" s="148"/>
      <c r="J658" s="148"/>
      <c r="K658" s="148"/>
      <c r="L658" s="148"/>
      <c r="M658" s="148"/>
      <c r="N658" s="148"/>
      <c r="O658" s="158"/>
      <c r="P658" s="148"/>
      <c r="Q658" s="207"/>
      <c r="R658" s="208"/>
      <c r="S658" s="208"/>
      <c r="T658" s="202"/>
    </row>
    <row r="659" ht="15.75" customHeight="1">
      <c r="A659" s="158"/>
      <c r="B659" s="158"/>
      <c r="C659" s="158"/>
      <c r="D659" s="158"/>
      <c r="E659" s="158"/>
      <c r="F659" s="158"/>
      <c r="G659" s="148"/>
      <c r="H659" s="148"/>
      <c r="I659" s="148"/>
      <c r="J659" s="148"/>
      <c r="K659" s="148"/>
      <c r="L659" s="148"/>
      <c r="M659" s="148"/>
      <c r="N659" s="148"/>
      <c r="O659" s="158"/>
      <c r="P659" s="148"/>
      <c r="Q659" s="207"/>
      <c r="R659" s="208"/>
      <c r="S659" s="208"/>
      <c r="T659" s="202"/>
    </row>
    <row r="660" ht="15.75" customHeight="1">
      <c r="A660" s="158"/>
      <c r="B660" s="158"/>
      <c r="C660" s="158"/>
      <c r="D660" s="158"/>
      <c r="E660" s="158"/>
      <c r="F660" s="158"/>
      <c r="G660" s="148"/>
      <c r="H660" s="148"/>
      <c r="I660" s="148"/>
      <c r="J660" s="148"/>
      <c r="K660" s="148"/>
      <c r="L660" s="148"/>
      <c r="M660" s="148"/>
      <c r="N660" s="148"/>
      <c r="O660" s="158"/>
      <c r="P660" s="148"/>
      <c r="Q660" s="207"/>
      <c r="R660" s="208"/>
      <c r="S660" s="208"/>
      <c r="T660" s="202"/>
    </row>
    <row r="661" ht="15.75" customHeight="1">
      <c r="A661" s="158"/>
      <c r="B661" s="158"/>
      <c r="C661" s="158"/>
      <c r="D661" s="158"/>
      <c r="E661" s="158"/>
      <c r="F661" s="158"/>
      <c r="G661" s="148"/>
      <c r="H661" s="148"/>
      <c r="I661" s="148"/>
      <c r="J661" s="148"/>
      <c r="K661" s="148"/>
      <c r="L661" s="148"/>
      <c r="M661" s="148"/>
      <c r="N661" s="148"/>
      <c r="O661" s="158"/>
      <c r="P661" s="148"/>
      <c r="Q661" s="207"/>
      <c r="R661" s="208"/>
      <c r="S661" s="208"/>
      <c r="T661" s="202"/>
    </row>
    <row r="662" ht="15.75" customHeight="1">
      <c r="A662" s="158"/>
      <c r="B662" s="158"/>
      <c r="C662" s="158"/>
      <c r="D662" s="158"/>
      <c r="E662" s="158"/>
      <c r="F662" s="158"/>
      <c r="G662" s="148"/>
      <c r="H662" s="148"/>
      <c r="I662" s="148"/>
      <c r="J662" s="148"/>
      <c r="K662" s="148"/>
      <c r="L662" s="148"/>
      <c r="M662" s="148"/>
      <c r="N662" s="148"/>
      <c r="O662" s="158"/>
      <c r="P662" s="148"/>
      <c r="Q662" s="207"/>
      <c r="R662" s="208"/>
      <c r="S662" s="208"/>
      <c r="T662" s="202"/>
    </row>
    <row r="663" ht="15.75" customHeight="1">
      <c r="A663" s="158"/>
      <c r="B663" s="158"/>
      <c r="C663" s="158"/>
      <c r="D663" s="158"/>
      <c r="E663" s="158"/>
      <c r="F663" s="158"/>
      <c r="G663" s="148"/>
      <c r="H663" s="148"/>
      <c r="I663" s="148"/>
      <c r="J663" s="148"/>
      <c r="K663" s="148"/>
      <c r="L663" s="148"/>
      <c r="M663" s="148"/>
      <c r="N663" s="148"/>
      <c r="O663" s="158"/>
      <c r="P663" s="148"/>
      <c r="Q663" s="207"/>
      <c r="R663" s="208"/>
      <c r="S663" s="208"/>
      <c r="T663" s="202"/>
    </row>
    <row r="664" ht="15.75" customHeight="1">
      <c r="A664" s="158"/>
      <c r="B664" s="158"/>
      <c r="C664" s="158"/>
      <c r="D664" s="158"/>
      <c r="E664" s="158"/>
      <c r="F664" s="158"/>
      <c r="G664" s="148"/>
      <c r="H664" s="148"/>
      <c r="I664" s="148"/>
      <c r="J664" s="148"/>
      <c r="K664" s="148"/>
      <c r="L664" s="148"/>
      <c r="M664" s="148"/>
      <c r="N664" s="148"/>
      <c r="O664" s="158"/>
      <c r="P664" s="148"/>
      <c r="Q664" s="207"/>
      <c r="R664" s="208"/>
      <c r="S664" s="208"/>
      <c r="T664" s="202"/>
    </row>
    <row r="665" ht="15.75" customHeight="1">
      <c r="A665" s="158"/>
      <c r="B665" s="158"/>
      <c r="C665" s="158"/>
      <c r="D665" s="158"/>
      <c r="E665" s="158"/>
      <c r="F665" s="158"/>
      <c r="G665" s="148"/>
      <c r="H665" s="148"/>
      <c r="I665" s="148"/>
      <c r="J665" s="148"/>
      <c r="K665" s="148"/>
      <c r="L665" s="148"/>
      <c r="M665" s="148"/>
      <c r="N665" s="148"/>
      <c r="O665" s="158"/>
      <c r="P665" s="148"/>
      <c r="Q665" s="207"/>
      <c r="R665" s="208"/>
      <c r="S665" s="208"/>
      <c r="T665" s="202"/>
    </row>
    <row r="666" ht="15.75" customHeight="1">
      <c r="A666" s="158"/>
      <c r="B666" s="158"/>
      <c r="C666" s="158"/>
      <c r="D666" s="158"/>
      <c r="E666" s="158"/>
      <c r="F666" s="158"/>
      <c r="G666" s="148"/>
      <c r="H666" s="148"/>
      <c r="I666" s="148"/>
      <c r="J666" s="148"/>
      <c r="K666" s="148"/>
      <c r="L666" s="148"/>
      <c r="M666" s="148"/>
      <c r="N666" s="148"/>
      <c r="O666" s="158"/>
      <c r="P666" s="148"/>
      <c r="Q666" s="207"/>
      <c r="R666" s="208"/>
      <c r="S666" s="208"/>
      <c r="T666" s="202"/>
    </row>
    <row r="667" ht="15.75" customHeight="1">
      <c r="A667" s="158"/>
      <c r="B667" s="158"/>
      <c r="C667" s="158"/>
      <c r="D667" s="158"/>
      <c r="E667" s="158"/>
      <c r="F667" s="158"/>
      <c r="G667" s="148"/>
      <c r="H667" s="148"/>
      <c r="I667" s="148"/>
      <c r="J667" s="148"/>
      <c r="K667" s="148"/>
      <c r="L667" s="148"/>
      <c r="M667" s="148"/>
      <c r="N667" s="148"/>
      <c r="O667" s="158"/>
      <c r="P667" s="148"/>
      <c r="Q667" s="207"/>
      <c r="R667" s="208"/>
      <c r="S667" s="208"/>
      <c r="T667" s="202"/>
    </row>
    <row r="668" ht="15.75" customHeight="1">
      <c r="A668" s="158"/>
      <c r="B668" s="158"/>
      <c r="C668" s="158"/>
      <c r="D668" s="158"/>
      <c r="E668" s="158"/>
      <c r="F668" s="158"/>
      <c r="G668" s="148"/>
      <c r="H668" s="148"/>
      <c r="I668" s="148"/>
      <c r="J668" s="148"/>
      <c r="K668" s="148"/>
      <c r="L668" s="148"/>
      <c r="M668" s="148"/>
      <c r="N668" s="148"/>
      <c r="O668" s="158"/>
      <c r="P668" s="148"/>
      <c r="Q668" s="207"/>
      <c r="R668" s="208"/>
      <c r="S668" s="208"/>
      <c r="T668" s="202"/>
    </row>
    <row r="669" ht="15.75" customHeight="1">
      <c r="A669" s="158"/>
      <c r="B669" s="158"/>
      <c r="C669" s="158"/>
      <c r="D669" s="158"/>
      <c r="E669" s="158"/>
      <c r="F669" s="158"/>
      <c r="G669" s="148"/>
      <c r="H669" s="148"/>
      <c r="I669" s="148"/>
      <c r="J669" s="148"/>
      <c r="K669" s="148"/>
      <c r="L669" s="148"/>
      <c r="M669" s="148"/>
      <c r="N669" s="148"/>
      <c r="O669" s="158"/>
      <c r="P669" s="148"/>
      <c r="Q669" s="207"/>
      <c r="R669" s="208"/>
      <c r="S669" s="208"/>
      <c r="T669" s="202"/>
    </row>
    <row r="670" ht="15.75" customHeight="1">
      <c r="A670" s="158"/>
      <c r="B670" s="158"/>
      <c r="C670" s="158"/>
      <c r="D670" s="158"/>
      <c r="E670" s="158"/>
      <c r="F670" s="158"/>
      <c r="G670" s="148"/>
      <c r="H670" s="148"/>
      <c r="I670" s="148"/>
      <c r="J670" s="148"/>
      <c r="K670" s="148"/>
      <c r="L670" s="148"/>
      <c r="M670" s="148"/>
      <c r="N670" s="148"/>
      <c r="O670" s="158"/>
      <c r="P670" s="148"/>
      <c r="Q670" s="207"/>
      <c r="R670" s="208"/>
      <c r="S670" s="208"/>
      <c r="T670" s="202"/>
    </row>
    <row r="671" ht="15.75" customHeight="1">
      <c r="A671" s="158"/>
      <c r="B671" s="158"/>
      <c r="C671" s="158"/>
      <c r="D671" s="158"/>
      <c r="E671" s="158"/>
      <c r="F671" s="158"/>
      <c r="G671" s="148"/>
      <c r="H671" s="148"/>
      <c r="I671" s="148"/>
      <c r="J671" s="148"/>
      <c r="K671" s="148"/>
      <c r="L671" s="148"/>
      <c r="M671" s="148"/>
      <c r="N671" s="148"/>
      <c r="O671" s="158"/>
      <c r="P671" s="148"/>
      <c r="Q671" s="207"/>
      <c r="R671" s="208"/>
      <c r="S671" s="208"/>
      <c r="T671" s="202"/>
    </row>
    <row r="672" ht="15.75" customHeight="1">
      <c r="A672" s="158"/>
      <c r="B672" s="158"/>
      <c r="C672" s="158"/>
      <c r="D672" s="158"/>
      <c r="E672" s="158"/>
      <c r="F672" s="158"/>
      <c r="G672" s="148"/>
      <c r="H672" s="148"/>
      <c r="I672" s="148"/>
      <c r="J672" s="148"/>
      <c r="K672" s="148"/>
      <c r="L672" s="148"/>
      <c r="M672" s="148"/>
      <c r="N672" s="148"/>
      <c r="O672" s="158"/>
      <c r="P672" s="148"/>
      <c r="Q672" s="207"/>
      <c r="R672" s="208"/>
      <c r="S672" s="208"/>
      <c r="T672" s="202"/>
    </row>
    <row r="673" ht="15.75" customHeight="1">
      <c r="A673" s="158"/>
      <c r="B673" s="158"/>
      <c r="C673" s="158"/>
      <c r="D673" s="158"/>
      <c r="E673" s="158"/>
      <c r="F673" s="158"/>
      <c r="G673" s="148"/>
      <c r="H673" s="148"/>
      <c r="I673" s="148"/>
      <c r="J673" s="148"/>
      <c r="K673" s="148"/>
      <c r="L673" s="148"/>
      <c r="M673" s="148"/>
      <c r="N673" s="148"/>
      <c r="O673" s="158"/>
      <c r="P673" s="148"/>
      <c r="Q673" s="207"/>
      <c r="R673" s="208"/>
      <c r="S673" s="208"/>
      <c r="T673" s="202"/>
    </row>
    <row r="674" ht="15.75" customHeight="1">
      <c r="A674" s="158"/>
      <c r="B674" s="158"/>
      <c r="C674" s="158"/>
      <c r="D674" s="158"/>
      <c r="E674" s="158"/>
      <c r="F674" s="158"/>
      <c r="G674" s="148"/>
      <c r="H674" s="148"/>
      <c r="I674" s="148"/>
      <c r="J674" s="148"/>
      <c r="K674" s="148"/>
      <c r="L674" s="148"/>
      <c r="M674" s="148"/>
      <c r="N674" s="148"/>
      <c r="O674" s="158"/>
      <c r="P674" s="148"/>
      <c r="Q674" s="207"/>
      <c r="R674" s="208"/>
      <c r="S674" s="208"/>
      <c r="T674" s="202"/>
    </row>
    <row r="675" ht="15.75" customHeight="1">
      <c r="A675" s="158"/>
      <c r="B675" s="158"/>
      <c r="C675" s="158"/>
      <c r="D675" s="158"/>
      <c r="E675" s="158"/>
      <c r="F675" s="158"/>
      <c r="G675" s="148"/>
      <c r="H675" s="148"/>
      <c r="I675" s="148"/>
      <c r="J675" s="148"/>
      <c r="K675" s="148"/>
      <c r="L675" s="148"/>
      <c r="M675" s="148"/>
      <c r="N675" s="148"/>
      <c r="O675" s="158"/>
      <c r="P675" s="148"/>
      <c r="Q675" s="207"/>
      <c r="R675" s="208"/>
      <c r="S675" s="208"/>
      <c r="T675" s="202"/>
    </row>
    <row r="676" ht="15.75" customHeight="1">
      <c r="A676" s="158"/>
      <c r="B676" s="158"/>
      <c r="C676" s="158"/>
      <c r="D676" s="158"/>
      <c r="E676" s="158"/>
      <c r="F676" s="158"/>
      <c r="G676" s="148"/>
      <c r="H676" s="148"/>
      <c r="I676" s="148"/>
      <c r="J676" s="148"/>
      <c r="K676" s="148"/>
      <c r="L676" s="148"/>
      <c r="M676" s="148"/>
      <c r="N676" s="148"/>
      <c r="O676" s="158"/>
      <c r="P676" s="148"/>
      <c r="Q676" s="207"/>
      <c r="R676" s="208"/>
      <c r="S676" s="208"/>
      <c r="T676" s="202"/>
    </row>
    <row r="677" ht="15.75" customHeight="1">
      <c r="A677" s="158"/>
      <c r="B677" s="158"/>
      <c r="C677" s="158"/>
      <c r="D677" s="158"/>
      <c r="E677" s="158"/>
      <c r="F677" s="158"/>
      <c r="G677" s="148"/>
      <c r="H677" s="148"/>
      <c r="I677" s="148"/>
      <c r="J677" s="148"/>
      <c r="K677" s="148"/>
      <c r="L677" s="148"/>
      <c r="M677" s="148"/>
      <c r="N677" s="148"/>
      <c r="O677" s="158"/>
      <c r="P677" s="148"/>
      <c r="Q677" s="207"/>
      <c r="R677" s="208"/>
      <c r="S677" s="208"/>
      <c r="T677" s="202"/>
    </row>
    <row r="678" ht="15.75" customHeight="1">
      <c r="A678" s="158"/>
      <c r="B678" s="158"/>
      <c r="C678" s="158"/>
      <c r="D678" s="158"/>
      <c r="E678" s="158"/>
      <c r="F678" s="158"/>
      <c r="G678" s="148"/>
      <c r="H678" s="148"/>
      <c r="I678" s="148"/>
      <c r="J678" s="148"/>
      <c r="K678" s="148"/>
      <c r="L678" s="148"/>
      <c r="M678" s="148"/>
      <c r="N678" s="148"/>
      <c r="O678" s="158"/>
      <c r="P678" s="148"/>
      <c r="Q678" s="207"/>
      <c r="R678" s="208"/>
      <c r="S678" s="208"/>
      <c r="T678" s="202"/>
    </row>
    <row r="679" ht="15.75" customHeight="1">
      <c r="A679" s="158"/>
      <c r="B679" s="158"/>
      <c r="C679" s="158"/>
      <c r="D679" s="158"/>
      <c r="E679" s="158"/>
      <c r="F679" s="158"/>
      <c r="G679" s="148"/>
      <c r="H679" s="148"/>
      <c r="I679" s="148"/>
      <c r="J679" s="148"/>
      <c r="K679" s="148"/>
      <c r="L679" s="148"/>
      <c r="M679" s="148"/>
      <c r="N679" s="148"/>
      <c r="O679" s="158"/>
      <c r="P679" s="148"/>
      <c r="Q679" s="207"/>
      <c r="R679" s="208"/>
      <c r="S679" s="208"/>
      <c r="T679" s="202"/>
    </row>
    <row r="680" ht="15.75" customHeight="1">
      <c r="A680" s="158"/>
      <c r="B680" s="158"/>
      <c r="C680" s="158"/>
      <c r="D680" s="158"/>
      <c r="E680" s="158"/>
      <c r="F680" s="158"/>
      <c r="G680" s="148"/>
      <c r="H680" s="148"/>
      <c r="I680" s="148"/>
      <c r="J680" s="148"/>
      <c r="K680" s="148"/>
      <c r="L680" s="148"/>
      <c r="M680" s="148"/>
      <c r="N680" s="148"/>
      <c r="O680" s="158"/>
      <c r="P680" s="148"/>
      <c r="Q680" s="207"/>
      <c r="R680" s="208"/>
      <c r="S680" s="208"/>
      <c r="T680" s="202"/>
    </row>
    <row r="681" ht="15.75" customHeight="1">
      <c r="A681" s="158"/>
      <c r="B681" s="158"/>
      <c r="C681" s="158"/>
      <c r="D681" s="158"/>
      <c r="E681" s="158"/>
      <c r="F681" s="158"/>
      <c r="G681" s="148"/>
      <c r="H681" s="148"/>
      <c r="I681" s="148"/>
      <c r="J681" s="148"/>
      <c r="K681" s="148"/>
      <c r="L681" s="148"/>
      <c r="M681" s="148"/>
      <c r="N681" s="148"/>
      <c r="O681" s="158"/>
      <c r="P681" s="148"/>
      <c r="Q681" s="207"/>
      <c r="R681" s="208"/>
      <c r="S681" s="208"/>
      <c r="T681" s="202"/>
    </row>
    <row r="682" ht="15.75" customHeight="1">
      <c r="A682" s="158"/>
      <c r="B682" s="158"/>
      <c r="C682" s="158"/>
      <c r="D682" s="158"/>
      <c r="E682" s="158"/>
      <c r="F682" s="158"/>
      <c r="G682" s="148"/>
      <c r="H682" s="148"/>
      <c r="I682" s="148"/>
      <c r="J682" s="148"/>
      <c r="K682" s="148"/>
      <c r="L682" s="148"/>
      <c r="M682" s="148"/>
      <c r="N682" s="148"/>
      <c r="O682" s="158"/>
      <c r="P682" s="148"/>
      <c r="Q682" s="207"/>
      <c r="R682" s="208"/>
      <c r="S682" s="208"/>
      <c r="T682" s="202"/>
    </row>
    <row r="683" ht="15.75" customHeight="1">
      <c r="A683" s="158"/>
      <c r="B683" s="158"/>
      <c r="C683" s="158"/>
      <c r="D683" s="158"/>
      <c r="E683" s="158"/>
      <c r="F683" s="158"/>
      <c r="G683" s="148"/>
      <c r="H683" s="148"/>
      <c r="I683" s="148"/>
      <c r="J683" s="148"/>
      <c r="K683" s="148"/>
      <c r="L683" s="148"/>
      <c r="M683" s="148"/>
      <c r="N683" s="148"/>
      <c r="O683" s="158"/>
      <c r="P683" s="148"/>
      <c r="Q683" s="207"/>
      <c r="R683" s="208"/>
      <c r="S683" s="208"/>
      <c r="T683" s="202"/>
    </row>
    <row r="684" ht="15.75" customHeight="1">
      <c r="A684" s="158"/>
      <c r="B684" s="158"/>
      <c r="C684" s="158"/>
      <c r="D684" s="158"/>
      <c r="E684" s="158"/>
      <c r="F684" s="158"/>
      <c r="G684" s="148"/>
      <c r="H684" s="148"/>
      <c r="I684" s="148"/>
      <c r="J684" s="148"/>
      <c r="K684" s="148"/>
      <c r="L684" s="148"/>
      <c r="M684" s="148"/>
      <c r="N684" s="148"/>
      <c r="O684" s="158"/>
      <c r="P684" s="148"/>
      <c r="Q684" s="207"/>
      <c r="R684" s="208"/>
      <c r="S684" s="208"/>
      <c r="T684" s="202"/>
    </row>
    <row r="685" ht="15.75" customHeight="1">
      <c r="A685" s="158"/>
      <c r="B685" s="158"/>
      <c r="C685" s="158"/>
      <c r="D685" s="158"/>
      <c r="E685" s="158"/>
      <c r="F685" s="158"/>
      <c r="G685" s="148"/>
      <c r="H685" s="148"/>
      <c r="I685" s="148"/>
      <c r="J685" s="148"/>
      <c r="K685" s="148"/>
      <c r="L685" s="148"/>
      <c r="M685" s="148"/>
      <c r="N685" s="148"/>
      <c r="O685" s="158"/>
      <c r="P685" s="148"/>
      <c r="Q685" s="207"/>
      <c r="R685" s="208"/>
      <c r="S685" s="208"/>
      <c r="T685" s="202"/>
    </row>
    <row r="686" ht="15.75" customHeight="1">
      <c r="A686" s="158"/>
      <c r="B686" s="158"/>
      <c r="C686" s="158"/>
      <c r="D686" s="158"/>
      <c r="E686" s="158"/>
      <c r="F686" s="158"/>
      <c r="G686" s="148"/>
      <c r="H686" s="148"/>
      <c r="I686" s="148"/>
      <c r="J686" s="148"/>
      <c r="K686" s="148"/>
      <c r="L686" s="148"/>
      <c r="M686" s="148"/>
      <c r="N686" s="148"/>
      <c r="O686" s="158"/>
      <c r="P686" s="148"/>
      <c r="Q686" s="207"/>
      <c r="R686" s="208"/>
      <c r="S686" s="208"/>
      <c r="T686" s="202"/>
    </row>
    <row r="687" ht="15.75" customHeight="1">
      <c r="A687" s="158"/>
      <c r="B687" s="158"/>
      <c r="C687" s="158"/>
      <c r="D687" s="158"/>
      <c r="E687" s="158"/>
      <c r="F687" s="158"/>
      <c r="G687" s="148"/>
      <c r="H687" s="148"/>
      <c r="I687" s="148"/>
      <c r="J687" s="148"/>
      <c r="K687" s="148"/>
      <c r="L687" s="148"/>
      <c r="M687" s="148"/>
      <c r="N687" s="148"/>
      <c r="O687" s="158"/>
      <c r="P687" s="148"/>
      <c r="Q687" s="207"/>
      <c r="R687" s="208"/>
      <c r="S687" s="208"/>
      <c r="T687" s="202"/>
    </row>
    <row r="688" ht="15.75" customHeight="1">
      <c r="A688" s="158"/>
      <c r="B688" s="158"/>
      <c r="C688" s="158"/>
      <c r="D688" s="158"/>
      <c r="E688" s="158"/>
      <c r="F688" s="158"/>
      <c r="G688" s="148"/>
      <c r="H688" s="148"/>
      <c r="I688" s="148"/>
      <c r="J688" s="148"/>
      <c r="K688" s="148"/>
      <c r="L688" s="148"/>
      <c r="M688" s="148"/>
      <c r="N688" s="148"/>
      <c r="O688" s="158"/>
      <c r="P688" s="148"/>
      <c r="Q688" s="207"/>
      <c r="R688" s="208"/>
      <c r="S688" s="208"/>
      <c r="T688" s="202"/>
    </row>
    <row r="689" ht="15.75" customHeight="1">
      <c r="A689" s="158"/>
      <c r="B689" s="158"/>
      <c r="C689" s="158"/>
      <c r="D689" s="158"/>
      <c r="E689" s="158"/>
      <c r="F689" s="158"/>
      <c r="G689" s="148"/>
      <c r="H689" s="148"/>
      <c r="I689" s="148"/>
      <c r="J689" s="148"/>
      <c r="K689" s="148"/>
      <c r="L689" s="148"/>
      <c r="M689" s="148"/>
      <c r="N689" s="148"/>
      <c r="O689" s="158"/>
      <c r="P689" s="148"/>
      <c r="Q689" s="207"/>
      <c r="R689" s="208"/>
      <c r="S689" s="208"/>
      <c r="T689" s="202"/>
    </row>
    <row r="690" ht="15.75" customHeight="1">
      <c r="A690" s="158"/>
      <c r="B690" s="158"/>
      <c r="C690" s="158"/>
      <c r="D690" s="158"/>
      <c r="E690" s="158"/>
      <c r="F690" s="158"/>
      <c r="G690" s="148"/>
      <c r="H690" s="148"/>
      <c r="I690" s="148"/>
      <c r="J690" s="148"/>
      <c r="K690" s="148"/>
      <c r="L690" s="148"/>
      <c r="M690" s="148"/>
      <c r="N690" s="148"/>
      <c r="O690" s="158"/>
      <c r="P690" s="148"/>
      <c r="Q690" s="207"/>
      <c r="R690" s="208"/>
      <c r="S690" s="208"/>
      <c r="T690" s="202"/>
    </row>
    <row r="691" ht="15.75" customHeight="1">
      <c r="A691" s="158"/>
      <c r="B691" s="158"/>
      <c r="C691" s="158"/>
      <c r="D691" s="158"/>
      <c r="E691" s="158"/>
      <c r="F691" s="158"/>
      <c r="G691" s="148"/>
      <c r="H691" s="148"/>
      <c r="I691" s="148"/>
      <c r="J691" s="148"/>
      <c r="K691" s="148"/>
      <c r="L691" s="148"/>
      <c r="M691" s="148"/>
      <c r="N691" s="148"/>
      <c r="O691" s="158"/>
      <c r="P691" s="148"/>
      <c r="Q691" s="207"/>
      <c r="R691" s="208"/>
      <c r="S691" s="208"/>
      <c r="T691" s="202"/>
    </row>
    <row r="692" ht="15.75" customHeight="1">
      <c r="A692" s="158"/>
      <c r="B692" s="158"/>
      <c r="C692" s="158"/>
      <c r="D692" s="158"/>
      <c r="E692" s="158"/>
      <c r="F692" s="158"/>
      <c r="G692" s="148"/>
      <c r="H692" s="148"/>
      <c r="I692" s="148"/>
      <c r="J692" s="148"/>
      <c r="K692" s="148"/>
      <c r="L692" s="148"/>
      <c r="M692" s="148"/>
      <c r="N692" s="148"/>
      <c r="O692" s="158"/>
      <c r="P692" s="148"/>
      <c r="Q692" s="207"/>
      <c r="R692" s="208"/>
      <c r="S692" s="208"/>
      <c r="T692" s="202"/>
    </row>
    <row r="693" ht="15.75" customHeight="1">
      <c r="A693" s="158"/>
      <c r="B693" s="158"/>
      <c r="C693" s="158"/>
      <c r="D693" s="158"/>
      <c r="E693" s="158"/>
      <c r="F693" s="158"/>
      <c r="G693" s="148"/>
      <c r="H693" s="148"/>
      <c r="I693" s="148"/>
      <c r="J693" s="148"/>
      <c r="K693" s="148"/>
      <c r="L693" s="148"/>
      <c r="M693" s="148"/>
      <c r="N693" s="148"/>
      <c r="O693" s="158"/>
      <c r="P693" s="148"/>
      <c r="Q693" s="207"/>
      <c r="R693" s="208"/>
      <c r="S693" s="208"/>
      <c r="T693" s="202"/>
    </row>
    <row r="694" ht="15.75" customHeight="1">
      <c r="A694" s="158"/>
      <c r="B694" s="158"/>
      <c r="C694" s="158"/>
      <c r="D694" s="158"/>
      <c r="E694" s="158"/>
      <c r="F694" s="158"/>
      <c r="G694" s="148"/>
      <c r="H694" s="148"/>
      <c r="I694" s="148"/>
      <c r="J694" s="148"/>
      <c r="K694" s="148"/>
      <c r="L694" s="148"/>
      <c r="M694" s="148"/>
      <c r="N694" s="148"/>
      <c r="O694" s="158"/>
      <c r="P694" s="148"/>
      <c r="Q694" s="207"/>
      <c r="R694" s="208"/>
      <c r="S694" s="208"/>
      <c r="T694" s="202"/>
    </row>
    <row r="695" ht="15.75" customHeight="1">
      <c r="A695" s="158"/>
      <c r="B695" s="158"/>
      <c r="C695" s="158"/>
      <c r="D695" s="158"/>
      <c r="E695" s="158"/>
      <c r="F695" s="158"/>
      <c r="G695" s="148"/>
      <c r="H695" s="148"/>
      <c r="I695" s="148"/>
      <c r="J695" s="148"/>
      <c r="K695" s="148"/>
      <c r="L695" s="148"/>
      <c r="M695" s="148"/>
      <c r="N695" s="148"/>
      <c r="O695" s="158"/>
      <c r="P695" s="148"/>
      <c r="Q695" s="207"/>
      <c r="R695" s="208"/>
      <c r="S695" s="208"/>
      <c r="T695" s="202"/>
    </row>
    <row r="696" ht="15.75" customHeight="1">
      <c r="A696" s="158"/>
      <c r="B696" s="158"/>
      <c r="C696" s="158"/>
      <c r="D696" s="158"/>
      <c r="E696" s="158"/>
      <c r="F696" s="158"/>
      <c r="G696" s="148"/>
      <c r="H696" s="148"/>
      <c r="I696" s="148"/>
      <c r="J696" s="148"/>
      <c r="K696" s="148"/>
      <c r="L696" s="148"/>
      <c r="M696" s="148"/>
      <c r="N696" s="148"/>
      <c r="O696" s="158"/>
      <c r="P696" s="148"/>
      <c r="Q696" s="207"/>
      <c r="R696" s="208"/>
      <c r="S696" s="208"/>
      <c r="T696" s="202"/>
    </row>
    <row r="697" ht="15.75" customHeight="1">
      <c r="A697" s="158"/>
      <c r="B697" s="158"/>
      <c r="C697" s="158"/>
      <c r="D697" s="158"/>
      <c r="E697" s="158"/>
      <c r="F697" s="158"/>
      <c r="G697" s="148"/>
      <c r="H697" s="148"/>
      <c r="I697" s="148"/>
      <c r="J697" s="148"/>
      <c r="K697" s="148"/>
      <c r="L697" s="148"/>
      <c r="M697" s="148"/>
      <c r="N697" s="148"/>
      <c r="O697" s="158"/>
      <c r="P697" s="148"/>
      <c r="Q697" s="207"/>
      <c r="R697" s="208"/>
      <c r="S697" s="208"/>
      <c r="T697" s="202"/>
    </row>
    <row r="698" ht="15.75" customHeight="1">
      <c r="A698" s="158"/>
      <c r="B698" s="158"/>
      <c r="C698" s="158"/>
      <c r="D698" s="158"/>
      <c r="E698" s="158"/>
      <c r="F698" s="158"/>
      <c r="G698" s="148"/>
      <c r="H698" s="148"/>
      <c r="I698" s="148"/>
      <c r="J698" s="148"/>
      <c r="K698" s="148"/>
      <c r="L698" s="148"/>
      <c r="M698" s="148"/>
      <c r="N698" s="148"/>
      <c r="O698" s="158"/>
      <c r="P698" s="148"/>
      <c r="Q698" s="207"/>
      <c r="R698" s="208"/>
      <c r="S698" s="208"/>
      <c r="T698" s="202"/>
    </row>
    <row r="699" ht="15.75" customHeight="1">
      <c r="A699" s="158"/>
      <c r="B699" s="158"/>
      <c r="C699" s="158"/>
      <c r="D699" s="158"/>
      <c r="E699" s="158"/>
      <c r="F699" s="158"/>
      <c r="G699" s="148"/>
      <c r="H699" s="148"/>
      <c r="I699" s="148"/>
      <c r="J699" s="148"/>
      <c r="K699" s="148"/>
      <c r="L699" s="148"/>
      <c r="M699" s="148"/>
      <c r="N699" s="148"/>
      <c r="O699" s="158"/>
      <c r="P699" s="148"/>
      <c r="Q699" s="207"/>
      <c r="R699" s="208"/>
      <c r="S699" s="208"/>
      <c r="T699" s="202"/>
    </row>
    <row r="700" ht="15.75" customHeight="1">
      <c r="A700" s="158"/>
      <c r="B700" s="158"/>
      <c r="C700" s="158"/>
      <c r="D700" s="158"/>
      <c r="E700" s="158"/>
      <c r="F700" s="158"/>
      <c r="G700" s="148"/>
      <c r="H700" s="148"/>
      <c r="I700" s="148"/>
      <c r="J700" s="148"/>
      <c r="K700" s="148"/>
      <c r="L700" s="148"/>
      <c r="M700" s="148"/>
      <c r="N700" s="148"/>
      <c r="O700" s="158"/>
      <c r="P700" s="148"/>
      <c r="Q700" s="207"/>
      <c r="R700" s="208"/>
      <c r="S700" s="208"/>
      <c r="T700" s="202"/>
    </row>
    <row r="701" ht="15.75" customHeight="1">
      <c r="A701" s="158"/>
      <c r="B701" s="158"/>
      <c r="C701" s="158"/>
      <c r="D701" s="158"/>
      <c r="E701" s="158"/>
      <c r="F701" s="158"/>
      <c r="G701" s="148"/>
      <c r="H701" s="148"/>
      <c r="I701" s="148"/>
      <c r="J701" s="148"/>
      <c r="K701" s="148"/>
      <c r="L701" s="148"/>
      <c r="M701" s="148"/>
      <c r="N701" s="148"/>
      <c r="O701" s="158"/>
      <c r="P701" s="148"/>
      <c r="Q701" s="207"/>
      <c r="R701" s="208"/>
      <c r="S701" s="208"/>
      <c r="T701" s="202"/>
    </row>
    <row r="702" ht="15.75" customHeight="1">
      <c r="A702" s="158"/>
      <c r="B702" s="158"/>
      <c r="C702" s="158"/>
      <c r="D702" s="158"/>
      <c r="E702" s="158"/>
      <c r="F702" s="158"/>
      <c r="G702" s="148"/>
      <c r="H702" s="148"/>
      <c r="I702" s="148"/>
      <c r="J702" s="148"/>
      <c r="K702" s="148"/>
      <c r="L702" s="148"/>
      <c r="M702" s="148"/>
      <c r="N702" s="148"/>
      <c r="O702" s="158"/>
      <c r="P702" s="148"/>
      <c r="Q702" s="207"/>
      <c r="R702" s="208"/>
      <c r="S702" s="208"/>
      <c r="T702" s="202"/>
    </row>
    <row r="703" ht="15.75" customHeight="1">
      <c r="A703" s="158"/>
      <c r="B703" s="158"/>
      <c r="C703" s="158"/>
      <c r="D703" s="158"/>
      <c r="E703" s="158"/>
      <c r="F703" s="158"/>
      <c r="G703" s="148"/>
      <c r="H703" s="148"/>
      <c r="I703" s="148"/>
      <c r="J703" s="148"/>
      <c r="K703" s="148"/>
      <c r="L703" s="148"/>
      <c r="M703" s="148"/>
      <c r="N703" s="148"/>
      <c r="O703" s="158"/>
      <c r="P703" s="148"/>
      <c r="Q703" s="207"/>
      <c r="R703" s="208"/>
      <c r="S703" s="208"/>
      <c r="T703" s="202"/>
    </row>
    <row r="704" ht="15.75" customHeight="1">
      <c r="A704" s="158"/>
      <c r="B704" s="158"/>
      <c r="C704" s="158"/>
      <c r="D704" s="158"/>
      <c r="E704" s="158"/>
      <c r="F704" s="158"/>
      <c r="G704" s="148"/>
      <c r="H704" s="148"/>
      <c r="I704" s="148"/>
      <c r="J704" s="148"/>
      <c r="K704" s="148"/>
      <c r="L704" s="148"/>
      <c r="M704" s="148"/>
      <c r="N704" s="148"/>
      <c r="O704" s="158"/>
      <c r="P704" s="148"/>
      <c r="Q704" s="207"/>
      <c r="R704" s="208"/>
      <c r="S704" s="208"/>
      <c r="T704" s="202"/>
    </row>
    <row r="705" ht="15.75" customHeight="1">
      <c r="A705" s="158"/>
      <c r="B705" s="158"/>
      <c r="C705" s="158"/>
      <c r="D705" s="158"/>
      <c r="E705" s="158"/>
      <c r="F705" s="158"/>
      <c r="G705" s="148"/>
      <c r="H705" s="148"/>
      <c r="I705" s="148"/>
      <c r="J705" s="148"/>
      <c r="K705" s="148"/>
      <c r="L705" s="148"/>
      <c r="M705" s="148"/>
      <c r="N705" s="148"/>
      <c r="O705" s="158"/>
      <c r="P705" s="148"/>
      <c r="Q705" s="207"/>
      <c r="R705" s="208"/>
      <c r="S705" s="208"/>
      <c r="T705" s="202"/>
    </row>
    <row r="706" ht="15.75" customHeight="1">
      <c r="A706" s="158"/>
      <c r="B706" s="158"/>
      <c r="C706" s="158"/>
      <c r="D706" s="158"/>
      <c r="E706" s="158"/>
      <c r="F706" s="158"/>
      <c r="G706" s="148"/>
      <c r="H706" s="148"/>
      <c r="I706" s="148"/>
      <c r="J706" s="148"/>
      <c r="K706" s="148"/>
      <c r="L706" s="148"/>
      <c r="M706" s="148"/>
      <c r="N706" s="148"/>
      <c r="O706" s="158"/>
      <c r="P706" s="148"/>
      <c r="Q706" s="207"/>
      <c r="R706" s="208"/>
      <c r="S706" s="208"/>
      <c r="T706" s="202"/>
    </row>
    <row r="707" ht="15.75" customHeight="1">
      <c r="A707" s="158"/>
      <c r="B707" s="158"/>
      <c r="C707" s="158"/>
      <c r="D707" s="158"/>
      <c r="E707" s="158"/>
      <c r="F707" s="158"/>
      <c r="G707" s="148"/>
      <c r="H707" s="148"/>
      <c r="I707" s="148"/>
      <c r="J707" s="148"/>
      <c r="K707" s="148"/>
      <c r="L707" s="148"/>
      <c r="M707" s="148"/>
      <c r="N707" s="148"/>
      <c r="O707" s="158"/>
      <c r="P707" s="148"/>
      <c r="Q707" s="207"/>
      <c r="R707" s="208"/>
      <c r="S707" s="208"/>
      <c r="T707" s="202"/>
    </row>
    <row r="708" ht="15.75" customHeight="1">
      <c r="A708" s="158"/>
      <c r="B708" s="158"/>
      <c r="C708" s="158"/>
      <c r="D708" s="158"/>
      <c r="E708" s="158"/>
      <c r="F708" s="158"/>
      <c r="G708" s="148"/>
      <c r="H708" s="148"/>
      <c r="I708" s="148"/>
      <c r="J708" s="148"/>
      <c r="K708" s="148"/>
      <c r="L708" s="148"/>
      <c r="M708" s="148"/>
      <c r="N708" s="148"/>
      <c r="O708" s="158"/>
      <c r="P708" s="148"/>
      <c r="Q708" s="207"/>
      <c r="R708" s="208"/>
      <c r="S708" s="208"/>
      <c r="T708" s="202"/>
    </row>
    <row r="709" ht="15.75" customHeight="1">
      <c r="A709" s="158"/>
      <c r="B709" s="158"/>
      <c r="C709" s="158"/>
      <c r="D709" s="158"/>
      <c r="E709" s="158"/>
      <c r="F709" s="158"/>
      <c r="G709" s="148"/>
      <c r="H709" s="148"/>
      <c r="I709" s="148"/>
      <c r="J709" s="148"/>
      <c r="K709" s="148"/>
      <c r="L709" s="148"/>
      <c r="M709" s="148"/>
      <c r="N709" s="148"/>
      <c r="O709" s="158"/>
      <c r="P709" s="148"/>
      <c r="Q709" s="207"/>
      <c r="R709" s="208"/>
      <c r="S709" s="208"/>
      <c r="T709" s="202"/>
    </row>
    <row r="710" ht="15.75" customHeight="1">
      <c r="A710" s="158"/>
      <c r="B710" s="158"/>
      <c r="C710" s="158"/>
      <c r="D710" s="158"/>
      <c r="E710" s="158"/>
      <c r="F710" s="158"/>
      <c r="G710" s="148"/>
      <c r="H710" s="148"/>
      <c r="I710" s="148"/>
      <c r="J710" s="148"/>
      <c r="K710" s="148"/>
      <c r="L710" s="148"/>
      <c r="M710" s="148"/>
      <c r="N710" s="148"/>
      <c r="O710" s="158"/>
      <c r="P710" s="148"/>
      <c r="Q710" s="207"/>
      <c r="R710" s="208"/>
      <c r="S710" s="208"/>
      <c r="T710" s="202"/>
    </row>
    <row r="711" ht="15.75" customHeight="1">
      <c r="A711" s="158"/>
      <c r="B711" s="158"/>
      <c r="C711" s="158"/>
      <c r="D711" s="158"/>
      <c r="E711" s="158"/>
      <c r="F711" s="158"/>
      <c r="G711" s="148"/>
      <c r="H711" s="148"/>
      <c r="I711" s="148"/>
      <c r="J711" s="148"/>
      <c r="K711" s="148"/>
      <c r="L711" s="148"/>
      <c r="M711" s="148"/>
      <c r="N711" s="148"/>
      <c r="O711" s="158"/>
      <c r="P711" s="148"/>
      <c r="Q711" s="207"/>
      <c r="R711" s="208"/>
      <c r="S711" s="208"/>
      <c r="T711" s="202"/>
    </row>
    <row r="712" ht="15.75" customHeight="1">
      <c r="A712" s="158"/>
      <c r="B712" s="158"/>
      <c r="C712" s="158"/>
      <c r="D712" s="158"/>
      <c r="E712" s="158"/>
      <c r="F712" s="158"/>
      <c r="G712" s="148"/>
      <c r="H712" s="148"/>
      <c r="I712" s="148"/>
      <c r="J712" s="148"/>
      <c r="K712" s="148"/>
      <c r="L712" s="148"/>
      <c r="M712" s="148"/>
      <c r="N712" s="148"/>
      <c r="O712" s="158"/>
      <c r="P712" s="148"/>
      <c r="Q712" s="207"/>
      <c r="R712" s="208"/>
      <c r="S712" s="208"/>
      <c r="T712" s="202"/>
    </row>
    <row r="713" ht="15.75" customHeight="1">
      <c r="A713" s="158"/>
      <c r="B713" s="158"/>
      <c r="C713" s="158"/>
      <c r="D713" s="158"/>
      <c r="E713" s="158"/>
      <c r="F713" s="158"/>
      <c r="G713" s="148"/>
      <c r="H713" s="148"/>
      <c r="I713" s="148"/>
      <c r="J713" s="148"/>
      <c r="K713" s="148"/>
      <c r="L713" s="148"/>
      <c r="M713" s="148"/>
      <c r="N713" s="148"/>
      <c r="O713" s="158"/>
      <c r="P713" s="148"/>
      <c r="Q713" s="207"/>
      <c r="R713" s="208"/>
      <c r="S713" s="208"/>
      <c r="T713" s="202"/>
    </row>
    <row r="714" ht="15.75" customHeight="1">
      <c r="A714" s="158"/>
      <c r="B714" s="158"/>
      <c r="C714" s="158"/>
      <c r="D714" s="158"/>
      <c r="E714" s="158"/>
      <c r="F714" s="158"/>
      <c r="G714" s="148"/>
      <c r="H714" s="148"/>
      <c r="I714" s="148"/>
      <c r="J714" s="148"/>
      <c r="K714" s="148"/>
      <c r="L714" s="148"/>
      <c r="M714" s="148"/>
      <c r="N714" s="148"/>
      <c r="O714" s="158"/>
      <c r="P714" s="148"/>
      <c r="Q714" s="207"/>
      <c r="R714" s="208"/>
      <c r="S714" s="208"/>
      <c r="T714" s="202"/>
    </row>
    <row r="715" ht="15.75" customHeight="1">
      <c r="A715" s="158"/>
      <c r="B715" s="158"/>
      <c r="C715" s="158"/>
      <c r="D715" s="158"/>
      <c r="E715" s="158"/>
      <c r="F715" s="158"/>
      <c r="G715" s="148"/>
      <c r="H715" s="148"/>
      <c r="I715" s="148"/>
      <c r="J715" s="148"/>
      <c r="K715" s="148"/>
      <c r="L715" s="148"/>
      <c r="M715" s="148"/>
      <c r="N715" s="148"/>
      <c r="O715" s="158"/>
      <c r="P715" s="148"/>
      <c r="Q715" s="207"/>
      <c r="R715" s="208"/>
      <c r="S715" s="208"/>
      <c r="T715" s="202"/>
    </row>
    <row r="716" ht="15.75" customHeight="1">
      <c r="A716" s="158"/>
      <c r="B716" s="158"/>
      <c r="C716" s="158"/>
      <c r="D716" s="158"/>
      <c r="E716" s="158"/>
      <c r="F716" s="158"/>
      <c r="G716" s="148"/>
      <c r="H716" s="148"/>
      <c r="I716" s="148"/>
      <c r="J716" s="148"/>
      <c r="K716" s="148"/>
      <c r="L716" s="148"/>
      <c r="M716" s="148"/>
      <c r="N716" s="148"/>
      <c r="O716" s="158"/>
      <c r="P716" s="148"/>
      <c r="Q716" s="207"/>
      <c r="R716" s="208"/>
      <c r="S716" s="208"/>
      <c r="T716" s="202"/>
    </row>
    <row r="717" ht="15.75" customHeight="1">
      <c r="A717" s="158"/>
      <c r="B717" s="158"/>
      <c r="C717" s="158"/>
      <c r="D717" s="158"/>
      <c r="E717" s="158"/>
      <c r="F717" s="158"/>
      <c r="G717" s="148"/>
      <c r="H717" s="148"/>
      <c r="I717" s="148"/>
      <c r="J717" s="148"/>
      <c r="K717" s="148"/>
      <c r="L717" s="148"/>
      <c r="M717" s="148"/>
      <c r="N717" s="148"/>
      <c r="O717" s="158"/>
      <c r="P717" s="148"/>
      <c r="Q717" s="207"/>
      <c r="R717" s="208"/>
      <c r="S717" s="208"/>
      <c r="T717" s="202"/>
    </row>
    <row r="718" ht="15.75" customHeight="1">
      <c r="A718" s="158"/>
      <c r="B718" s="158"/>
      <c r="C718" s="158"/>
      <c r="D718" s="158"/>
      <c r="E718" s="158"/>
      <c r="F718" s="158"/>
      <c r="G718" s="148"/>
      <c r="H718" s="148"/>
      <c r="I718" s="148"/>
      <c r="J718" s="148"/>
      <c r="K718" s="148"/>
      <c r="L718" s="148"/>
      <c r="M718" s="148"/>
      <c r="N718" s="148"/>
      <c r="O718" s="158"/>
      <c r="P718" s="148"/>
      <c r="Q718" s="207"/>
      <c r="R718" s="208"/>
      <c r="S718" s="208"/>
      <c r="T718" s="202"/>
    </row>
    <row r="719" ht="15.75" customHeight="1">
      <c r="A719" s="158"/>
      <c r="B719" s="158"/>
      <c r="C719" s="158"/>
      <c r="D719" s="158"/>
      <c r="E719" s="158"/>
      <c r="F719" s="158"/>
      <c r="G719" s="148"/>
      <c r="H719" s="148"/>
      <c r="I719" s="148"/>
      <c r="J719" s="148"/>
      <c r="K719" s="148"/>
      <c r="L719" s="148"/>
      <c r="M719" s="148"/>
      <c r="N719" s="148"/>
      <c r="O719" s="158"/>
      <c r="P719" s="148"/>
      <c r="Q719" s="207"/>
      <c r="R719" s="208"/>
      <c r="S719" s="208"/>
      <c r="T719" s="202"/>
    </row>
    <row r="720" ht="15.75" customHeight="1">
      <c r="A720" s="158"/>
      <c r="B720" s="158"/>
      <c r="C720" s="158"/>
      <c r="D720" s="158"/>
      <c r="E720" s="158"/>
      <c r="F720" s="158"/>
      <c r="G720" s="148"/>
      <c r="H720" s="148"/>
      <c r="I720" s="148"/>
      <c r="J720" s="148"/>
      <c r="K720" s="148"/>
      <c r="L720" s="148"/>
      <c r="M720" s="148"/>
      <c r="N720" s="148"/>
      <c r="O720" s="158"/>
      <c r="P720" s="148"/>
      <c r="Q720" s="207"/>
      <c r="R720" s="208"/>
      <c r="S720" s="208"/>
      <c r="T720" s="202"/>
    </row>
    <row r="721" ht="15.75" customHeight="1">
      <c r="A721" s="158"/>
      <c r="B721" s="158"/>
      <c r="C721" s="158"/>
      <c r="D721" s="158"/>
      <c r="E721" s="158"/>
      <c r="F721" s="158"/>
      <c r="G721" s="148"/>
      <c r="H721" s="148"/>
      <c r="I721" s="148"/>
      <c r="J721" s="148"/>
      <c r="K721" s="148"/>
      <c r="L721" s="148"/>
      <c r="M721" s="148"/>
      <c r="N721" s="148"/>
      <c r="O721" s="158"/>
      <c r="P721" s="148"/>
      <c r="Q721" s="207"/>
      <c r="R721" s="208"/>
      <c r="S721" s="208"/>
      <c r="T721" s="202"/>
    </row>
    <row r="722" ht="15.75" customHeight="1">
      <c r="A722" s="158"/>
      <c r="B722" s="158"/>
      <c r="C722" s="158"/>
      <c r="D722" s="158"/>
      <c r="E722" s="158"/>
      <c r="F722" s="158"/>
      <c r="G722" s="148"/>
      <c r="H722" s="148"/>
      <c r="I722" s="148"/>
      <c r="J722" s="148"/>
      <c r="K722" s="148"/>
      <c r="L722" s="148"/>
      <c r="M722" s="148"/>
      <c r="N722" s="148"/>
      <c r="O722" s="158"/>
      <c r="P722" s="148"/>
      <c r="Q722" s="207"/>
      <c r="R722" s="208"/>
      <c r="S722" s="208"/>
      <c r="T722" s="202"/>
    </row>
    <row r="723" ht="15.75" customHeight="1">
      <c r="A723" s="158"/>
      <c r="B723" s="158"/>
      <c r="C723" s="158"/>
      <c r="D723" s="158"/>
      <c r="E723" s="158"/>
      <c r="F723" s="158"/>
      <c r="G723" s="148"/>
      <c r="H723" s="148"/>
      <c r="I723" s="148"/>
      <c r="J723" s="148"/>
      <c r="K723" s="148"/>
      <c r="L723" s="148"/>
      <c r="M723" s="148"/>
      <c r="N723" s="148"/>
      <c r="O723" s="158"/>
      <c r="P723" s="148"/>
      <c r="Q723" s="207"/>
      <c r="R723" s="208"/>
      <c r="S723" s="208"/>
      <c r="T723" s="202"/>
    </row>
    <row r="724" ht="15.75" customHeight="1">
      <c r="A724" s="158"/>
      <c r="B724" s="158"/>
      <c r="C724" s="158"/>
      <c r="D724" s="158"/>
      <c r="E724" s="158"/>
      <c r="F724" s="158"/>
      <c r="G724" s="148"/>
      <c r="H724" s="148"/>
      <c r="I724" s="148"/>
      <c r="J724" s="148"/>
      <c r="K724" s="148"/>
      <c r="L724" s="148"/>
      <c r="M724" s="148"/>
      <c r="N724" s="148"/>
      <c r="O724" s="158"/>
      <c r="P724" s="148"/>
      <c r="Q724" s="207"/>
      <c r="R724" s="208"/>
      <c r="S724" s="208"/>
      <c r="T724" s="202"/>
    </row>
    <row r="725" ht="15.75" customHeight="1">
      <c r="A725" s="158"/>
      <c r="B725" s="158"/>
      <c r="C725" s="158"/>
      <c r="D725" s="158"/>
      <c r="E725" s="158"/>
      <c r="F725" s="158"/>
      <c r="G725" s="148"/>
      <c r="H725" s="148"/>
      <c r="I725" s="148"/>
      <c r="J725" s="148"/>
      <c r="K725" s="148"/>
      <c r="L725" s="148"/>
      <c r="M725" s="148"/>
      <c r="N725" s="148"/>
      <c r="O725" s="158"/>
      <c r="P725" s="148"/>
      <c r="Q725" s="207"/>
      <c r="R725" s="208"/>
      <c r="S725" s="208"/>
      <c r="T725" s="202"/>
    </row>
    <row r="726" ht="15.75" customHeight="1">
      <c r="A726" s="158"/>
      <c r="B726" s="158"/>
      <c r="C726" s="158"/>
      <c r="D726" s="158"/>
      <c r="E726" s="158"/>
      <c r="F726" s="158"/>
      <c r="G726" s="148"/>
      <c r="H726" s="148"/>
      <c r="I726" s="148"/>
      <c r="J726" s="148"/>
      <c r="K726" s="148"/>
      <c r="L726" s="148"/>
      <c r="M726" s="148"/>
      <c r="N726" s="148"/>
      <c r="O726" s="158"/>
      <c r="P726" s="148"/>
      <c r="Q726" s="207"/>
      <c r="R726" s="208"/>
      <c r="S726" s="208"/>
      <c r="T726" s="202"/>
    </row>
    <row r="727" ht="15.75" customHeight="1">
      <c r="A727" s="158"/>
      <c r="B727" s="158"/>
      <c r="C727" s="158"/>
      <c r="D727" s="158"/>
      <c r="E727" s="158"/>
      <c r="F727" s="158"/>
      <c r="G727" s="148"/>
      <c r="H727" s="148"/>
      <c r="I727" s="148"/>
      <c r="J727" s="148"/>
      <c r="K727" s="148"/>
      <c r="L727" s="148"/>
      <c r="M727" s="148"/>
      <c r="N727" s="148"/>
      <c r="O727" s="158"/>
      <c r="P727" s="148"/>
      <c r="Q727" s="207"/>
      <c r="R727" s="208"/>
      <c r="S727" s="208"/>
      <c r="T727" s="202"/>
    </row>
    <row r="728" ht="15.75" customHeight="1">
      <c r="A728" s="158"/>
      <c r="B728" s="158"/>
      <c r="C728" s="158"/>
      <c r="D728" s="158"/>
      <c r="E728" s="158"/>
      <c r="F728" s="158"/>
      <c r="G728" s="148"/>
      <c r="H728" s="148"/>
      <c r="I728" s="148"/>
      <c r="J728" s="148"/>
      <c r="K728" s="148"/>
      <c r="L728" s="148"/>
      <c r="M728" s="148"/>
      <c r="N728" s="148"/>
      <c r="O728" s="158"/>
      <c r="P728" s="148"/>
      <c r="Q728" s="207"/>
      <c r="R728" s="208"/>
      <c r="S728" s="208"/>
      <c r="T728" s="202"/>
    </row>
    <row r="729" ht="15.75" customHeight="1">
      <c r="A729" s="158"/>
      <c r="B729" s="158"/>
      <c r="C729" s="158"/>
      <c r="D729" s="158"/>
      <c r="E729" s="158"/>
      <c r="F729" s="158"/>
      <c r="G729" s="148"/>
      <c r="H729" s="148"/>
      <c r="I729" s="148"/>
      <c r="J729" s="148"/>
      <c r="K729" s="148"/>
      <c r="L729" s="148"/>
      <c r="M729" s="148"/>
      <c r="N729" s="148"/>
      <c r="O729" s="158"/>
      <c r="P729" s="148"/>
      <c r="Q729" s="207"/>
      <c r="R729" s="208"/>
      <c r="S729" s="208"/>
      <c r="T729" s="202"/>
    </row>
    <row r="730" ht="15.75" customHeight="1">
      <c r="A730" s="158"/>
      <c r="B730" s="158"/>
      <c r="C730" s="158"/>
      <c r="D730" s="158"/>
      <c r="E730" s="158"/>
      <c r="F730" s="158"/>
      <c r="G730" s="148"/>
      <c r="H730" s="148"/>
      <c r="I730" s="148"/>
      <c r="J730" s="148"/>
      <c r="K730" s="148"/>
      <c r="L730" s="148"/>
      <c r="M730" s="148"/>
      <c r="N730" s="148"/>
      <c r="O730" s="158"/>
      <c r="P730" s="148"/>
      <c r="Q730" s="207"/>
      <c r="R730" s="208"/>
      <c r="S730" s="208"/>
      <c r="T730" s="202"/>
    </row>
    <row r="731" ht="15.75" customHeight="1">
      <c r="A731" s="158"/>
      <c r="B731" s="158"/>
      <c r="C731" s="158"/>
      <c r="D731" s="158"/>
      <c r="E731" s="158"/>
      <c r="F731" s="158"/>
      <c r="G731" s="148"/>
      <c r="H731" s="148"/>
      <c r="I731" s="148"/>
      <c r="J731" s="148"/>
      <c r="K731" s="148"/>
      <c r="L731" s="148"/>
      <c r="M731" s="148"/>
      <c r="N731" s="148"/>
      <c r="O731" s="158"/>
      <c r="P731" s="148"/>
      <c r="Q731" s="207"/>
      <c r="R731" s="208"/>
      <c r="S731" s="208"/>
      <c r="T731" s="202"/>
    </row>
    <row r="732" ht="15.75" customHeight="1">
      <c r="A732" s="158"/>
      <c r="B732" s="158"/>
      <c r="C732" s="158"/>
      <c r="D732" s="158"/>
      <c r="E732" s="158"/>
      <c r="F732" s="158"/>
      <c r="G732" s="148"/>
      <c r="H732" s="148"/>
      <c r="I732" s="148"/>
      <c r="J732" s="148"/>
      <c r="K732" s="148"/>
      <c r="L732" s="148"/>
      <c r="M732" s="148"/>
      <c r="N732" s="148"/>
      <c r="O732" s="158"/>
      <c r="P732" s="148"/>
      <c r="Q732" s="207"/>
      <c r="R732" s="208"/>
      <c r="S732" s="208"/>
      <c r="T732" s="202"/>
    </row>
    <row r="733" ht="15.75" customHeight="1">
      <c r="A733" s="158"/>
      <c r="B733" s="158"/>
      <c r="C733" s="158"/>
      <c r="D733" s="158"/>
      <c r="E733" s="158"/>
      <c r="F733" s="158"/>
      <c r="G733" s="148"/>
      <c r="H733" s="148"/>
      <c r="I733" s="148"/>
      <c r="J733" s="148"/>
      <c r="K733" s="148"/>
      <c r="L733" s="148"/>
      <c r="M733" s="148"/>
      <c r="N733" s="148"/>
      <c r="O733" s="158"/>
      <c r="P733" s="148"/>
      <c r="Q733" s="207"/>
      <c r="R733" s="208"/>
      <c r="S733" s="208"/>
      <c r="T733" s="202"/>
    </row>
    <row r="734" ht="15.75" customHeight="1">
      <c r="A734" s="158"/>
      <c r="B734" s="158"/>
      <c r="C734" s="158"/>
      <c r="D734" s="158"/>
      <c r="E734" s="158"/>
      <c r="F734" s="158"/>
      <c r="G734" s="148"/>
      <c r="H734" s="148"/>
      <c r="I734" s="148"/>
      <c r="J734" s="148"/>
      <c r="K734" s="148"/>
      <c r="L734" s="148"/>
      <c r="M734" s="148"/>
      <c r="N734" s="148"/>
      <c r="O734" s="158"/>
      <c r="P734" s="148"/>
      <c r="Q734" s="207"/>
      <c r="R734" s="208"/>
      <c r="S734" s="208"/>
      <c r="T734" s="202"/>
    </row>
    <row r="735" ht="15.75" customHeight="1">
      <c r="A735" s="158"/>
      <c r="B735" s="158"/>
      <c r="C735" s="158"/>
      <c r="D735" s="158"/>
      <c r="E735" s="158"/>
      <c r="F735" s="158"/>
      <c r="G735" s="148"/>
      <c r="H735" s="148"/>
      <c r="I735" s="148"/>
      <c r="J735" s="148"/>
      <c r="K735" s="148"/>
      <c r="L735" s="148"/>
      <c r="M735" s="148"/>
      <c r="N735" s="148"/>
      <c r="O735" s="158"/>
      <c r="P735" s="148"/>
      <c r="Q735" s="207"/>
      <c r="R735" s="208"/>
      <c r="S735" s="208"/>
      <c r="T735" s="202"/>
    </row>
    <row r="736" ht="15.75" customHeight="1">
      <c r="A736" s="158"/>
      <c r="B736" s="158"/>
      <c r="C736" s="158"/>
      <c r="D736" s="158"/>
      <c r="E736" s="158"/>
      <c r="F736" s="158"/>
      <c r="G736" s="148"/>
      <c r="H736" s="148"/>
      <c r="I736" s="148"/>
      <c r="J736" s="148"/>
      <c r="K736" s="148"/>
      <c r="L736" s="148"/>
      <c r="M736" s="148"/>
      <c r="N736" s="148"/>
      <c r="O736" s="158"/>
      <c r="P736" s="148"/>
      <c r="Q736" s="207"/>
      <c r="R736" s="208"/>
      <c r="S736" s="208"/>
      <c r="T736" s="202"/>
    </row>
    <row r="737" ht="15.75" customHeight="1">
      <c r="A737" s="158"/>
      <c r="B737" s="158"/>
      <c r="C737" s="158"/>
      <c r="D737" s="158"/>
      <c r="E737" s="158"/>
      <c r="F737" s="158"/>
      <c r="G737" s="148"/>
      <c r="H737" s="148"/>
      <c r="I737" s="148"/>
      <c r="J737" s="148"/>
      <c r="K737" s="148"/>
      <c r="L737" s="148"/>
      <c r="M737" s="148"/>
      <c r="N737" s="148"/>
      <c r="O737" s="158"/>
      <c r="P737" s="148"/>
      <c r="Q737" s="207"/>
      <c r="R737" s="208"/>
      <c r="S737" s="208"/>
      <c r="T737" s="202"/>
    </row>
    <row r="738" ht="15.75" customHeight="1">
      <c r="A738" s="158"/>
      <c r="B738" s="158"/>
      <c r="C738" s="158"/>
      <c r="D738" s="158"/>
      <c r="E738" s="158"/>
      <c r="F738" s="158"/>
      <c r="G738" s="148"/>
      <c r="H738" s="148"/>
      <c r="I738" s="148"/>
      <c r="J738" s="148"/>
      <c r="K738" s="148"/>
      <c r="L738" s="148"/>
      <c r="M738" s="148"/>
      <c r="N738" s="148"/>
      <c r="O738" s="158"/>
      <c r="P738" s="148"/>
      <c r="Q738" s="207"/>
      <c r="R738" s="208"/>
      <c r="S738" s="208"/>
      <c r="T738" s="202"/>
    </row>
    <row r="739" ht="15.75" customHeight="1">
      <c r="A739" s="158"/>
      <c r="B739" s="158"/>
      <c r="C739" s="158"/>
      <c r="D739" s="158"/>
      <c r="E739" s="158"/>
      <c r="F739" s="158"/>
      <c r="G739" s="148"/>
      <c r="H739" s="148"/>
      <c r="I739" s="148"/>
      <c r="J739" s="148"/>
      <c r="K739" s="148"/>
      <c r="L739" s="148"/>
      <c r="M739" s="148"/>
      <c r="N739" s="148"/>
      <c r="O739" s="158"/>
      <c r="P739" s="148"/>
      <c r="Q739" s="207"/>
      <c r="R739" s="208"/>
      <c r="S739" s="208"/>
      <c r="T739" s="202"/>
    </row>
    <row r="740" ht="15.75" customHeight="1">
      <c r="A740" s="158"/>
      <c r="B740" s="158"/>
      <c r="C740" s="158"/>
      <c r="D740" s="158"/>
      <c r="E740" s="158"/>
      <c r="F740" s="158"/>
      <c r="G740" s="148"/>
      <c r="H740" s="148"/>
      <c r="I740" s="148"/>
      <c r="J740" s="148"/>
      <c r="K740" s="148"/>
      <c r="L740" s="148"/>
      <c r="M740" s="148"/>
      <c r="N740" s="148"/>
      <c r="O740" s="158"/>
      <c r="P740" s="148"/>
      <c r="Q740" s="207"/>
      <c r="R740" s="208"/>
      <c r="S740" s="208"/>
      <c r="T740" s="202"/>
    </row>
    <row r="741" ht="15.75" customHeight="1">
      <c r="A741" s="158"/>
      <c r="B741" s="158"/>
      <c r="C741" s="158"/>
      <c r="D741" s="158"/>
      <c r="E741" s="158"/>
      <c r="F741" s="158"/>
      <c r="G741" s="148"/>
      <c r="H741" s="148"/>
      <c r="I741" s="148"/>
      <c r="J741" s="148"/>
      <c r="K741" s="148"/>
      <c r="L741" s="148"/>
      <c r="M741" s="148"/>
      <c r="N741" s="148"/>
      <c r="O741" s="158"/>
      <c r="P741" s="148"/>
      <c r="Q741" s="207"/>
      <c r="R741" s="208"/>
      <c r="S741" s="208"/>
      <c r="T741" s="202"/>
    </row>
    <row r="742" ht="15.75" customHeight="1">
      <c r="A742" s="158"/>
      <c r="B742" s="158"/>
      <c r="C742" s="158"/>
      <c r="D742" s="158"/>
      <c r="E742" s="158"/>
      <c r="F742" s="158"/>
      <c r="G742" s="148"/>
      <c r="H742" s="148"/>
      <c r="I742" s="148"/>
      <c r="J742" s="148"/>
      <c r="K742" s="148"/>
      <c r="L742" s="148"/>
      <c r="M742" s="148"/>
      <c r="N742" s="148"/>
      <c r="O742" s="158"/>
      <c r="P742" s="148"/>
      <c r="Q742" s="207"/>
      <c r="R742" s="208"/>
      <c r="S742" s="208"/>
      <c r="T742" s="202"/>
    </row>
    <row r="743" ht="15.75" customHeight="1">
      <c r="A743" s="158"/>
      <c r="B743" s="158"/>
      <c r="C743" s="158"/>
      <c r="D743" s="158"/>
      <c r="E743" s="158"/>
      <c r="F743" s="158"/>
      <c r="G743" s="148"/>
      <c r="H743" s="148"/>
      <c r="I743" s="148"/>
      <c r="J743" s="148"/>
      <c r="K743" s="148"/>
      <c r="L743" s="148"/>
      <c r="M743" s="148"/>
      <c r="N743" s="148"/>
      <c r="O743" s="158"/>
      <c r="P743" s="148"/>
      <c r="Q743" s="207"/>
      <c r="R743" s="208"/>
      <c r="S743" s="208"/>
      <c r="T743" s="202"/>
    </row>
    <row r="744" ht="15.75" customHeight="1">
      <c r="A744" s="158"/>
      <c r="B744" s="158"/>
      <c r="C744" s="158"/>
      <c r="D744" s="158"/>
      <c r="E744" s="158"/>
      <c r="F744" s="158"/>
      <c r="G744" s="148"/>
      <c r="H744" s="148"/>
      <c r="I744" s="148"/>
      <c r="J744" s="148"/>
      <c r="K744" s="148"/>
      <c r="L744" s="148"/>
      <c r="M744" s="148"/>
      <c r="N744" s="148"/>
      <c r="O744" s="158"/>
      <c r="P744" s="148"/>
      <c r="Q744" s="207"/>
      <c r="R744" s="208"/>
      <c r="S744" s="208"/>
      <c r="T744" s="202"/>
    </row>
    <row r="745" ht="15.75" customHeight="1">
      <c r="A745" s="158"/>
      <c r="B745" s="158"/>
      <c r="C745" s="158"/>
      <c r="D745" s="158"/>
      <c r="E745" s="158"/>
      <c r="F745" s="158"/>
      <c r="G745" s="148"/>
      <c r="H745" s="148"/>
      <c r="I745" s="148"/>
      <c r="J745" s="148"/>
      <c r="K745" s="148"/>
      <c r="L745" s="148"/>
      <c r="M745" s="148"/>
      <c r="N745" s="148"/>
      <c r="O745" s="158"/>
      <c r="P745" s="148"/>
      <c r="Q745" s="207"/>
      <c r="R745" s="208"/>
      <c r="S745" s="208"/>
      <c r="T745" s="202"/>
    </row>
    <row r="746" ht="15.75" customHeight="1">
      <c r="A746" s="158"/>
      <c r="B746" s="158"/>
      <c r="C746" s="158"/>
      <c r="D746" s="158"/>
      <c r="E746" s="158"/>
      <c r="F746" s="158"/>
      <c r="G746" s="148"/>
      <c r="H746" s="148"/>
      <c r="I746" s="148"/>
      <c r="J746" s="148"/>
      <c r="K746" s="148"/>
      <c r="L746" s="148"/>
      <c r="M746" s="148"/>
      <c r="N746" s="148"/>
      <c r="O746" s="158"/>
      <c r="P746" s="148"/>
      <c r="Q746" s="207"/>
      <c r="R746" s="208"/>
      <c r="S746" s="208"/>
      <c r="T746" s="202"/>
    </row>
    <row r="747" ht="15.75" customHeight="1">
      <c r="A747" s="158"/>
      <c r="B747" s="158"/>
      <c r="C747" s="158"/>
      <c r="D747" s="158"/>
      <c r="E747" s="158"/>
      <c r="F747" s="158"/>
      <c r="G747" s="148"/>
      <c r="H747" s="148"/>
      <c r="I747" s="148"/>
      <c r="J747" s="148"/>
      <c r="K747" s="148"/>
      <c r="L747" s="148"/>
      <c r="M747" s="148"/>
      <c r="N747" s="148"/>
      <c r="O747" s="158"/>
      <c r="P747" s="148"/>
      <c r="Q747" s="207"/>
      <c r="R747" s="208"/>
      <c r="S747" s="208"/>
      <c r="T747" s="202"/>
    </row>
    <row r="748" ht="15.75" customHeight="1">
      <c r="A748" s="158"/>
      <c r="B748" s="158"/>
      <c r="C748" s="158"/>
      <c r="D748" s="158"/>
      <c r="E748" s="158"/>
      <c r="F748" s="158"/>
      <c r="G748" s="148"/>
      <c r="H748" s="148"/>
      <c r="I748" s="148"/>
      <c r="J748" s="148"/>
      <c r="K748" s="148"/>
      <c r="L748" s="148"/>
      <c r="M748" s="148"/>
      <c r="N748" s="148"/>
      <c r="O748" s="158"/>
      <c r="P748" s="148"/>
      <c r="Q748" s="207"/>
      <c r="R748" s="208"/>
      <c r="S748" s="208"/>
      <c r="T748" s="202"/>
    </row>
    <row r="749" ht="15.75" customHeight="1">
      <c r="A749" s="158"/>
      <c r="B749" s="158"/>
      <c r="C749" s="158"/>
      <c r="D749" s="158"/>
      <c r="E749" s="158"/>
      <c r="F749" s="158"/>
      <c r="G749" s="148"/>
      <c r="H749" s="148"/>
      <c r="I749" s="148"/>
      <c r="J749" s="148"/>
      <c r="K749" s="148"/>
      <c r="L749" s="148"/>
      <c r="M749" s="148"/>
      <c r="N749" s="148"/>
      <c r="O749" s="158"/>
      <c r="P749" s="148"/>
      <c r="Q749" s="207"/>
      <c r="R749" s="208"/>
      <c r="S749" s="208"/>
      <c r="T749" s="202"/>
    </row>
    <row r="750" ht="15.75" customHeight="1">
      <c r="A750" s="158"/>
      <c r="B750" s="158"/>
      <c r="C750" s="158"/>
      <c r="D750" s="158"/>
      <c r="E750" s="158"/>
      <c r="F750" s="158"/>
      <c r="G750" s="148"/>
      <c r="H750" s="148"/>
      <c r="I750" s="148"/>
      <c r="J750" s="148"/>
      <c r="K750" s="148"/>
      <c r="L750" s="148"/>
      <c r="M750" s="148"/>
      <c r="N750" s="148"/>
      <c r="O750" s="158"/>
      <c r="P750" s="148"/>
      <c r="Q750" s="207"/>
      <c r="R750" s="208"/>
      <c r="S750" s="208"/>
      <c r="T750" s="202"/>
    </row>
    <row r="751" ht="15.75" customHeight="1">
      <c r="A751" s="158"/>
      <c r="B751" s="158"/>
      <c r="C751" s="158"/>
      <c r="D751" s="158"/>
      <c r="E751" s="158"/>
      <c r="F751" s="158"/>
      <c r="G751" s="148"/>
      <c r="H751" s="148"/>
      <c r="I751" s="148"/>
      <c r="J751" s="148"/>
      <c r="K751" s="148"/>
      <c r="L751" s="148"/>
      <c r="M751" s="148"/>
      <c r="N751" s="148"/>
      <c r="O751" s="158"/>
      <c r="P751" s="148"/>
      <c r="Q751" s="207"/>
      <c r="R751" s="208"/>
      <c r="S751" s="208"/>
      <c r="T751" s="202"/>
    </row>
    <row r="752" ht="15.75" customHeight="1">
      <c r="A752" s="158"/>
      <c r="B752" s="158"/>
      <c r="C752" s="158"/>
      <c r="D752" s="158"/>
      <c r="E752" s="158"/>
      <c r="F752" s="158"/>
      <c r="G752" s="148"/>
      <c r="H752" s="148"/>
      <c r="I752" s="148"/>
      <c r="J752" s="148"/>
      <c r="K752" s="148"/>
      <c r="L752" s="148"/>
      <c r="M752" s="148"/>
      <c r="N752" s="148"/>
      <c r="O752" s="158"/>
      <c r="P752" s="148"/>
      <c r="Q752" s="207"/>
      <c r="R752" s="208"/>
      <c r="S752" s="208"/>
      <c r="T752" s="202"/>
    </row>
    <row r="753" ht="15.75" customHeight="1">
      <c r="A753" s="158"/>
      <c r="B753" s="158"/>
      <c r="C753" s="158"/>
      <c r="D753" s="158"/>
      <c r="E753" s="158"/>
      <c r="F753" s="158"/>
      <c r="G753" s="148"/>
      <c r="H753" s="148"/>
      <c r="I753" s="148"/>
      <c r="J753" s="148"/>
      <c r="K753" s="148"/>
      <c r="L753" s="148"/>
      <c r="M753" s="148"/>
      <c r="N753" s="148"/>
      <c r="O753" s="158"/>
      <c r="P753" s="148"/>
      <c r="Q753" s="207"/>
      <c r="R753" s="208"/>
      <c r="S753" s="208"/>
      <c r="T753" s="202"/>
    </row>
    <row r="754" ht="15.75" customHeight="1">
      <c r="A754" s="158"/>
      <c r="B754" s="158"/>
      <c r="C754" s="158"/>
      <c r="D754" s="158"/>
      <c r="E754" s="158"/>
      <c r="F754" s="158"/>
      <c r="G754" s="148"/>
      <c r="H754" s="148"/>
      <c r="I754" s="148"/>
      <c r="J754" s="148"/>
      <c r="K754" s="148"/>
      <c r="L754" s="148"/>
      <c r="M754" s="148"/>
      <c r="N754" s="148"/>
      <c r="O754" s="158"/>
      <c r="P754" s="148"/>
      <c r="Q754" s="207"/>
      <c r="R754" s="208"/>
      <c r="S754" s="208"/>
      <c r="T754" s="202"/>
    </row>
    <row r="755" ht="15.75" customHeight="1">
      <c r="A755" s="158"/>
      <c r="B755" s="158"/>
      <c r="C755" s="158"/>
      <c r="D755" s="158"/>
      <c r="E755" s="158"/>
      <c r="F755" s="158"/>
      <c r="G755" s="148"/>
      <c r="H755" s="148"/>
      <c r="I755" s="148"/>
      <c r="J755" s="148"/>
      <c r="K755" s="148"/>
      <c r="L755" s="148"/>
      <c r="M755" s="148"/>
      <c r="N755" s="148"/>
      <c r="O755" s="158"/>
      <c r="P755" s="148"/>
      <c r="Q755" s="207"/>
      <c r="R755" s="208"/>
      <c r="S755" s="208"/>
      <c r="T755" s="202"/>
    </row>
    <row r="756" ht="15.75" customHeight="1">
      <c r="A756" s="158"/>
      <c r="B756" s="158"/>
      <c r="C756" s="158"/>
      <c r="D756" s="158"/>
      <c r="E756" s="158"/>
      <c r="F756" s="158"/>
      <c r="G756" s="148"/>
      <c r="H756" s="148"/>
      <c r="I756" s="148"/>
      <c r="J756" s="148"/>
      <c r="K756" s="148"/>
      <c r="L756" s="148"/>
      <c r="M756" s="148"/>
      <c r="N756" s="148"/>
      <c r="O756" s="158"/>
      <c r="P756" s="148"/>
      <c r="Q756" s="207"/>
      <c r="R756" s="208"/>
      <c r="S756" s="208"/>
      <c r="T756" s="202"/>
    </row>
    <row r="757" ht="15.75" customHeight="1">
      <c r="A757" s="158"/>
      <c r="B757" s="158"/>
      <c r="C757" s="158"/>
      <c r="D757" s="158"/>
      <c r="E757" s="158"/>
      <c r="F757" s="158"/>
      <c r="G757" s="148"/>
      <c r="H757" s="148"/>
      <c r="I757" s="148"/>
      <c r="J757" s="148"/>
      <c r="K757" s="148"/>
      <c r="L757" s="148"/>
      <c r="M757" s="148"/>
      <c r="N757" s="148"/>
      <c r="O757" s="158"/>
      <c r="P757" s="148"/>
      <c r="Q757" s="207"/>
      <c r="R757" s="208"/>
      <c r="S757" s="208"/>
      <c r="T757" s="202"/>
    </row>
    <row r="758" ht="15.75" customHeight="1">
      <c r="A758" s="158"/>
      <c r="B758" s="158"/>
      <c r="C758" s="158"/>
      <c r="D758" s="158"/>
      <c r="E758" s="158"/>
      <c r="F758" s="158"/>
      <c r="G758" s="148"/>
      <c r="H758" s="148"/>
      <c r="I758" s="148"/>
      <c r="J758" s="148"/>
      <c r="K758" s="148"/>
      <c r="L758" s="148"/>
      <c r="M758" s="148"/>
      <c r="N758" s="148"/>
      <c r="O758" s="158"/>
      <c r="P758" s="148"/>
      <c r="Q758" s="207"/>
      <c r="R758" s="208"/>
      <c r="S758" s="208"/>
      <c r="T758" s="202"/>
    </row>
    <row r="759" ht="15.75" customHeight="1">
      <c r="A759" s="158"/>
      <c r="B759" s="158"/>
      <c r="C759" s="158"/>
      <c r="D759" s="158"/>
      <c r="E759" s="158"/>
      <c r="F759" s="158"/>
      <c r="G759" s="148"/>
      <c r="H759" s="148"/>
      <c r="I759" s="148"/>
      <c r="J759" s="148"/>
      <c r="K759" s="148"/>
      <c r="L759" s="148"/>
      <c r="M759" s="148"/>
      <c r="N759" s="148"/>
      <c r="O759" s="158"/>
      <c r="P759" s="148"/>
      <c r="Q759" s="207"/>
      <c r="R759" s="208"/>
      <c r="S759" s="208"/>
      <c r="T759" s="202"/>
    </row>
    <row r="760" ht="15.75" customHeight="1">
      <c r="A760" s="158"/>
      <c r="B760" s="158"/>
      <c r="C760" s="158"/>
      <c r="D760" s="158"/>
      <c r="E760" s="158"/>
      <c r="F760" s="158"/>
      <c r="G760" s="148"/>
      <c r="H760" s="148"/>
      <c r="I760" s="148"/>
      <c r="J760" s="148"/>
      <c r="K760" s="148"/>
      <c r="L760" s="148"/>
      <c r="M760" s="148"/>
      <c r="N760" s="148"/>
      <c r="O760" s="158"/>
      <c r="P760" s="148"/>
      <c r="Q760" s="207"/>
      <c r="R760" s="208"/>
      <c r="S760" s="208"/>
      <c r="T760" s="202"/>
    </row>
    <row r="761" ht="15.75" customHeight="1">
      <c r="A761" s="158"/>
      <c r="B761" s="158"/>
      <c r="C761" s="158"/>
      <c r="D761" s="158"/>
      <c r="E761" s="158"/>
      <c r="F761" s="158"/>
      <c r="G761" s="148"/>
      <c r="H761" s="148"/>
      <c r="I761" s="148"/>
      <c r="J761" s="148"/>
      <c r="K761" s="148"/>
      <c r="L761" s="148"/>
      <c r="M761" s="148"/>
      <c r="N761" s="148"/>
      <c r="O761" s="158"/>
      <c r="P761" s="148"/>
      <c r="Q761" s="207"/>
      <c r="R761" s="208"/>
      <c r="S761" s="208"/>
      <c r="T761" s="202"/>
    </row>
    <row r="762" ht="15.75" customHeight="1">
      <c r="A762" s="158"/>
      <c r="B762" s="158"/>
      <c r="C762" s="158"/>
      <c r="D762" s="158"/>
      <c r="E762" s="158"/>
      <c r="F762" s="158"/>
      <c r="G762" s="148"/>
      <c r="H762" s="148"/>
      <c r="I762" s="148"/>
      <c r="J762" s="148"/>
      <c r="K762" s="148"/>
      <c r="L762" s="148"/>
      <c r="M762" s="148"/>
      <c r="N762" s="148"/>
      <c r="O762" s="158"/>
      <c r="P762" s="148"/>
      <c r="Q762" s="207"/>
      <c r="R762" s="208"/>
      <c r="S762" s="208"/>
      <c r="T762" s="202"/>
    </row>
    <row r="763" ht="15.75" customHeight="1">
      <c r="A763" s="158"/>
      <c r="B763" s="158"/>
      <c r="C763" s="158"/>
      <c r="D763" s="158"/>
      <c r="E763" s="158"/>
      <c r="F763" s="158"/>
      <c r="G763" s="148"/>
      <c r="H763" s="148"/>
      <c r="I763" s="148"/>
      <c r="J763" s="148"/>
      <c r="K763" s="148"/>
      <c r="L763" s="148"/>
      <c r="M763" s="148"/>
      <c r="N763" s="148"/>
      <c r="O763" s="158"/>
      <c r="P763" s="148"/>
      <c r="Q763" s="207"/>
      <c r="R763" s="208"/>
      <c r="S763" s="208"/>
      <c r="T763" s="202"/>
    </row>
    <row r="764" ht="15.75" customHeight="1">
      <c r="A764" s="158"/>
      <c r="B764" s="158"/>
      <c r="C764" s="158"/>
      <c r="D764" s="158"/>
      <c r="E764" s="158"/>
      <c r="F764" s="158"/>
      <c r="G764" s="148"/>
      <c r="H764" s="148"/>
      <c r="I764" s="148"/>
      <c r="J764" s="148"/>
      <c r="K764" s="148"/>
      <c r="L764" s="148"/>
      <c r="M764" s="148"/>
      <c r="N764" s="148"/>
      <c r="O764" s="158"/>
      <c r="P764" s="148"/>
      <c r="Q764" s="207"/>
      <c r="R764" s="208"/>
      <c r="S764" s="208"/>
      <c r="T764" s="202"/>
    </row>
    <row r="765" ht="15.75" customHeight="1">
      <c r="A765" s="158"/>
      <c r="B765" s="158"/>
      <c r="C765" s="158"/>
      <c r="D765" s="158"/>
      <c r="E765" s="158"/>
      <c r="F765" s="158"/>
      <c r="G765" s="148"/>
      <c r="H765" s="148"/>
      <c r="I765" s="148"/>
      <c r="J765" s="148"/>
      <c r="K765" s="148"/>
      <c r="L765" s="148"/>
      <c r="M765" s="148"/>
      <c r="N765" s="148"/>
      <c r="O765" s="158"/>
      <c r="P765" s="148"/>
      <c r="Q765" s="207"/>
      <c r="R765" s="208"/>
      <c r="S765" s="208"/>
      <c r="T765" s="202"/>
    </row>
    <row r="766" ht="15.75" customHeight="1">
      <c r="A766" s="158"/>
      <c r="B766" s="158"/>
      <c r="C766" s="158"/>
      <c r="D766" s="158"/>
      <c r="E766" s="158"/>
      <c r="F766" s="158"/>
      <c r="G766" s="148"/>
      <c r="H766" s="148"/>
      <c r="I766" s="148"/>
      <c r="J766" s="148"/>
      <c r="K766" s="148"/>
      <c r="L766" s="148"/>
      <c r="M766" s="148"/>
      <c r="N766" s="148"/>
      <c r="O766" s="158"/>
      <c r="P766" s="148"/>
      <c r="Q766" s="207"/>
      <c r="R766" s="208"/>
      <c r="S766" s="208"/>
      <c r="T766" s="202"/>
    </row>
    <row r="767" ht="15.75" customHeight="1">
      <c r="A767" s="158"/>
      <c r="B767" s="158"/>
      <c r="C767" s="158"/>
      <c r="D767" s="158"/>
      <c r="E767" s="158"/>
      <c r="F767" s="158"/>
      <c r="G767" s="148"/>
      <c r="H767" s="148"/>
      <c r="I767" s="148"/>
      <c r="J767" s="148"/>
      <c r="K767" s="148"/>
      <c r="L767" s="148"/>
      <c r="M767" s="148"/>
      <c r="N767" s="148"/>
      <c r="O767" s="158"/>
      <c r="P767" s="148"/>
      <c r="Q767" s="207"/>
      <c r="R767" s="208"/>
      <c r="S767" s="208"/>
      <c r="T767" s="202"/>
    </row>
    <row r="768" ht="15.75" customHeight="1">
      <c r="A768" s="158"/>
      <c r="B768" s="158"/>
      <c r="C768" s="158"/>
      <c r="D768" s="158"/>
      <c r="E768" s="158"/>
      <c r="F768" s="158"/>
      <c r="G768" s="148"/>
      <c r="H768" s="148"/>
      <c r="I768" s="148"/>
      <c r="J768" s="148"/>
      <c r="K768" s="148"/>
      <c r="L768" s="148"/>
      <c r="M768" s="148"/>
      <c r="N768" s="148"/>
      <c r="O768" s="158"/>
      <c r="P768" s="148"/>
      <c r="Q768" s="207"/>
      <c r="R768" s="208"/>
      <c r="S768" s="208"/>
      <c r="T768" s="202"/>
    </row>
    <row r="769" ht="15.75" customHeight="1">
      <c r="A769" s="158"/>
      <c r="B769" s="158"/>
      <c r="C769" s="158"/>
      <c r="D769" s="158"/>
      <c r="E769" s="158"/>
      <c r="F769" s="158"/>
      <c r="G769" s="148"/>
      <c r="H769" s="148"/>
      <c r="I769" s="148"/>
      <c r="J769" s="148"/>
      <c r="K769" s="148"/>
      <c r="L769" s="148"/>
      <c r="M769" s="148"/>
      <c r="N769" s="148"/>
      <c r="O769" s="158"/>
      <c r="P769" s="148"/>
      <c r="Q769" s="207"/>
      <c r="R769" s="208"/>
      <c r="S769" s="208"/>
      <c r="T769" s="202"/>
    </row>
    <row r="770" ht="15.75" customHeight="1">
      <c r="A770" s="158"/>
      <c r="B770" s="158"/>
      <c r="C770" s="158"/>
      <c r="D770" s="158"/>
      <c r="E770" s="158"/>
      <c r="F770" s="158"/>
      <c r="G770" s="148"/>
      <c r="H770" s="148"/>
      <c r="I770" s="148"/>
      <c r="J770" s="148"/>
      <c r="K770" s="148"/>
      <c r="L770" s="148"/>
      <c r="M770" s="148"/>
      <c r="N770" s="148"/>
      <c r="O770" s="158"/>
      <c r="P770" s="148"/>
      <c r="Q770" s="207"/>
      <c r="R770" s="208"/>
      <c r="S770" s="208"/>
      <c r="T770" s="202"/>
    </row>
    <row r="771" ht="15.75" customHeight="1">
      <c r="A771" s="158"/>
      <c r="B771" s="158"/>
      <c r="C771" s="158"/>
      <c r="D771" s="158"/>
      <c r="E771" s="158"/>
      <c r="F771" s="158"/>
      <c r="G771" s="148"/>
      <c r="H771" s="148"/>
      <c r="I771" s="148"/>
      <c r="J771" s="148"/>
      <c r="K771" s="148"/>
      <c r="L771" s="148"/>
      <c r="M771" s="148"/>
      <c r="N771" s="148"/>
      <c r="O771" s="158"/>
      <c r="P771" s="148"/>
      <c r="Q771" s="207"/>
      <c r="R771" s="208"/>
      <c r="S771" s="208"/>
      <c r="T771" s="202"/>
    </row>
    <row r="772" ht="15.75" customHeight="1">
      <c r="A772" s="158"/>
      <c r="B772" s="158"/>
      <c r="C772" s="158"/>
      <c r="D772" s="158"/>
      <c r="E772" s="158"/>
      <c r="F772" s="158"/>
      <c r="G772" s="148"/>
      <c r="H772" s="148"/>
      <c r="I772" s="148"/>
      <c r="J772" s="148"/>
      <c r="K772" s="148"/>
      <c r="L772" s="148"/>
      <c r="M772" s="148"/>
      <c r="N772" s="148"/>
      <c r="O772" s="158"/>
      <c r="P772" s="148"/>
      <c r="Q772" s="207"/>
      <c r="R772" s="208"/>
      <c r="S772" s="208"/>
      <c r="T772" s="202"/>
    </row>
    <row r="773" ht="15.75" customHeight="1">
      <c r="A773" s="158"/>
      <c r="B773" s="158"/>
      <c r="C773" s="158"/>
      <c r="D773" s="158"/>
      <c r="E773" s="158"/>
      <c r="F773" s="158"/>
      <c r="G773" s="148"/>
      <c r="H773" s="148"/>
      <c r="I773" s="148"/>
      <c r="J773" s="148"/>
      <c r="K773" s="148"/>
      <c r="L773" s="148"/>
      <c r="M773" s="148"/>
      <c r="N773" s="148"/>
      <c r="O773" s="158"/>
      <c r="P773" s="148"/>
      <c r="Q773" s="207"/>
      <c r="R773" s="208"/>
      <c r="S773" s="208"/>
      <c r="T773" s="202"/>
    </row>
    <row r="774" ht="15.75" customHeight="1">
      <c r="A774" s="158"/>
      <c r="B774" s="158"/>
      <c r="C774" s="158"/>
      <c r="D774" s="158"/>
      <c r="E774" s="158"/>
      <c r="F774" s="158"/>
      <c r="G774" s="148"/>
      <c r="H774" s="148"/>
      <c r="I774" s="148"/>
      <c r="J774" s="148"/>
      <c r="K774" s="148"/>
      <c r="L774" s="148"/>
      <c r="M774" s="148"/>
      <c r="N774" s="148"/>
      <c r="O774" s="158"/>
      <c r="P774" s="148"/>
      <c r="Q774" s="207"/>
      <c r="R774" s="208"/>
      <c r="S774" s="208"/>
      <c r="T774" s="202"/>
    </row>
    <row r="775" ht="15.75" customHeight="1">
      <c r="A775" s="158"/>
      <c r="B775" s="158"/>
      <c r="C775" s="158"/>
      <c r="D775" s="158"/>
      <c r="E775" s="158"/>
      <c r="F775" s="158"/>
      <c r="G775" s="148"/>
      <c r="H775" s="148"/>
      <c r="I775" s="148"/>
      <c r="J775" s="148"/>
      <c r="K775" s="148"/>
      <c r="L775" s="148"/>
      <c r="M775" s="148"/>
      <c r="N775" s="148"/>
      <c r="O775" s="158"/>
      <c r="P775" s="148"/>
      <c r="Q775" s="207"/>
      <c r="R775" s="208"/>
      <c r="S775" s="208"/>
      <c r="T775" s="202"/>
    </row>
    <row r="776" ht="15.75" customHeight="1">
      <c r="A776" s="158"/>
      <c r="B776" s="158"/>
      <c r="C776" s="158"/>
      <c r="D776" s="158"/>
      <c r="E776" s="158"/>
      <c r="F776" s="158"/>
      <c r="G776" s="148"/>
      <c r="H776" s="148"/>
      <c r="I776" s="148"/>
      <c r="J776" s="148"/>
      <c r="K776" s="148"/>
      <c r="L776" s="148"/>
      <c r="M776" s="148"/>
      <c r="N776" s="148"/>
      <c r="O776" s="158"/>
      <c r="P776" s="148"/>
      <c r="Q776" s="207"/>
      <c r="R776" s="208"/>
      <c r="S776" s="208"/>
      <c r="T776" s="202"/>
    </row>
    <row r="777" ht="15.75" customHeight="1">
      <c r="A777" s="158"/>
      <c r="B777" s="158"/>
      <c r="C777" s="158"/>
      <c r="D777" s="158"/>
      <c r="E777" s="158"/>
      <c r="F777" s="158"/>
      <c r="G777" s="148"/>
      <c r="H777" s="148"/>
      <c r="I777" s="148"/>
      <c r="J777" s="148"/>
      <c r="K777" s="148"/>
      <c r="L777" s="148"/>
      <c r="M777" s="148"/>
      <c r="N777" s="148"/>
      <c r="O777" s="158"/>
      <c r="P777" s="148"/>
      <c r="Q777" s="207"/>
      <c r="R777" s="208"/>
      <c r="S777" s="208"/>
      <c r="T777" s="202"/>
    </row>
    <row r="778" ht="15.75" customHeight="1">
      <c r="A778" s="158"/>
      <c r="B778" s="158"/>
      <c r="C778" s="158"/>
      <c r="D778" s="158"/>
      <c r="E778" s="158"/>
      <c r="F778" s="158"/>
      <c r="G778" s="148"/>
      <c r="H778" s="148"/>
      <c r="I778" s="148"/>
      <c r="J778" s="148"/>
      <c r="K778" s="148"/>
      <c r="L778" s="148"/>
      <c r="M778" s="148"/>
      <c r="N778" s="148"/>
      <c r="O778" s="158"/>
      <c r="P778" s="148"/>
      <c r="Q778" s="207"/>
      <c r="R778" s="208"/>
      <c r="S778" s="208"/>
      <c r="T778" s="202"/>
    </row>
    <row r="779" ht="15.75" customHeight="1">
      <c r="A779" s="158"/>
      <c r="B779" s="158"/>
      <c r="C779" s="158"/>
      <c r="D779" s="158"/>
      <c r="E779" s="158"/>
      <c r="F779" s="158"/>
      <c r="G779" s="148"/>
      <c r="H779" s="148"/>
      <c r="I779" s="148"/>
      <c r="J779" s="148"/>
      <c r="K779" s="148"/>
      <c r="L779" s="148"/>
      <c r="M779" s="148"/>
      <c r="N779" s="148"/>
      <c r="O779" s="158"/>
      <c r="P779" s="148"/>
      <c r="Q779" s="207"/>
      <c r="R779" s="208"/>
      <c r="S779" s="208"/>
      <c r="T779" s="202"/>
    </row>
    <row r="780" ht="15.75" customHeight="1">
      <c r="A780" s="158"/>
      <c r="B780" s="158"/>
      <c r="C780" s="158"/>
      <c r="D780" s="158"/>
      <c r="E780" s="158"/>
      <c r="F780" s="158"/>
      <c r="G780" s="148"/>
      <c r="H780" s="148"/>
      <c r="I780" s="148"/>
      <c r="J780" s="148"/>
      <c r="K780" s="148"/>
      <c r="L780" s="148"/>
      <c r="M780" s="148"/>
      <c r="N780" s="148"/>
      <c r="O780" s="158"/>
      <c r="P780" s="148"/>
      <c r="Q780" s="207"/>
      <c r="R780" s="208"/>
      <c r="S780" s="208"/>
      <c r="T780" s="202"/>
    </row>
    <row r="781" ht="15.75" customHeight="1">
      <c r="A781" s="158"/>
      <c r="B781" s="158"/>
      <c r="C781" s="158"/>
      <c r="D781" s="158"/>
      <c r="E781" s="158"/>
      <c r="F781" s="158"/>
      <c r="G781" s="148"/>
      <c r="H781" s="148"/>
      <c r="I781" s="148"/>
      <c r="J781" s="148"/>
      <c r="K781" s="148"/>
      <c r="L781" s="148"/>
      <c r="M781" s="148"/>
      <c r="N781" s="148"/>
      <c r="O781" s="158"/>
      <c r="P781" s="148"/>
      <c r="Q781" s="207"/>
      <c r="R781" s="208"/>
      <c r="S781" s="208"/>
      <c r="T781" s="202"/>
    </row>
    <row r="782" ht="15.75" customHeight="1">
      <c r="A782" s="158"/>
      <c r="B782" s="158"/>
      <c r="C782" s="158"/>
      <c r="D782" s="158"/>
      <c r="E782" s="158"/>
      <c r="F782" s="158"/>
      <c r="G782" s="148"/>
      <c r="H782" s="148"/>
      <c r="I782" s="148"/>
      <c r="J782" s="148"/>
      <c r="K782" s="148"/>
      <c r="L782" s="148"/>
      <c r="M782" s="148"/>
      <c r="N782" s="148"/>
      <c r="O782" s="158"/>
      <c r="P782" s="148"/>
      <c r="Q782" s="207"/>
      <c r="R782" s="208"/>
      <c r="S782" s="208"/>
      <c r="T782" s="202"/>
    </row>
    <row r="783" ht="15.75" customHeight="1">
      <c r="A783" s="158"/>
      <c r="B783" s="158"/>
      <c r="C783" s="158"/>
      <c r="D783" s="158"/>
      <c r="E783" s="158"/>
      <c r="F783" s="158"/>
      <c r="G783" s="148"/>
      <c r="H783" s="148"/>
      <c r="I783" s="148"/>
      <c r="J783" s="148"/>
      <c r="K783" s="148"/>
      <c r="L783" s="148"/>
      <c r="M783" s="148"/>
      <c r="N783" s="148"/>
      <c r="O783" s="158"/>
      <c r="P783" s="148"/>
      <c r="Q783" s="207"/>
      <c r="R783" s="208"/>
      <c r="S783" s="208"/>
      <c r="T783" s="202"/>
    </row>
    <row r="784" ht="15.75" customHeight="1">
      <c r="A784" s="158"/>
      <c r="B784" s="158"/>
      <c r="C784" s="158"/>
      <c r="D784" s="158"/>
      <c r="E784" s="158"/>
      <c r="F784" s="158"/>
      <c r="G784" s="148"/>
      <c r="H784" s="148"/>
      <c r="I784" s="148"/>
      <c r="J784" s="148"/>
      <c r="K784" s="148"/>
      <c r="L784" s="148"/>
      <c r="M784" s="148"/>
      <c r="N784" s="148"/>
      <c r="O784" s="158"/>
      <c r="P784" s="148"/>
      <c r="Q784" s="207"/>
      <c r="R784" s="208"/>
      <c r="S784" s="208"/>
      <c r="T784" s="202"/>
    </row>
    <row r="785" ht="15.75" customHeight="1">
      <c r="A785" s="158"/>
      <c r="B785" s="158"/>
      <c r="C785" s="158"/>
      <c r="D785" s="158"/>
      <c r="E785" s="158"/>
      <c r="F785" s="158"/>
      <c r="G785" s="148"/>
      <c r="H785" s="148"/>
      <c r="I785" s="148"/>
      <c r="J785" s="148"/>
      <c r="K785" s="148"/>
      <c r="L785" s="148"/>
      <c r="M785" s="148"/>
      <c r="N785" s="148"/>
      <c r="O785" s="158"/>
      <c r="P785" s="148"/>
      <c r="Q785" s="207"/>
      <c r="R785" s="208"/>
      <c r="S785" s="208"/>
      <c r="T785" s="202"/>
    </row>
    <row r="786" ht="15.75" customHeight="1">
      <c r="A786" s="158"/>
      <c r="B786" s="158"/>
      <c r="C786" s="158"/>
      <c r="D786" s="158"/>
      <c r="E786" s="158"/>
      <c r="F786" s="158"/>
      <c r="G786" s="148"/>
      <c r="H786" s="148"/>
      <c r="I786" s="148"/>
      <c r="J786" s="148"/>
      <c r="K786" s="148"/>
      <c r="L786" s="148"/>
      <c r="M786" s="148"/>
      <c r="N786" s="148"/>
      <c r="O786" s="158"/>
      <c r="P786" s="148"/>
      <c r="Q786" s="207"/>
      <c r="R786" s="208"/>
      <c r="S786" s="208"/>
      <c r="T786" s="202"/>
    </row>
    <row r="787" ht="15.75" customHeight="1">
      <c r="A787" s="158"/>
      <c r="B787" s="158"/>
      <c r="C787" s="158"/>
      <c r="D787" s="158"/>
      <c r="E787" s="158"/>
      <c r="F787" s="158"/>
      <c r="G787" s="148"/>
      <c r="H787" s="148"/>
      <c r="I787" s="148"/>
      <c r="J787" s="148"/>
      <c r="K787" s="148"/>
      <c r="L787" s="148"/>
      <c r="M787" s="148"/>
      <c r="N787" s="148"/>
      <c r="O787" s="158"/>
      <c r="P787" s="148"/>
      <c r="Q787" s="207"/>
      <c r="R787" s="208"/>
      <c r="S787" s="208"/>
      <c r="T787" s="202"/>
    </row>
    <row r="788" ht="15.75" customHeight="1">
      <c r="A788" s="158"/>
      <c r="B788" s="158"/>
      <c r="C788" s="158"/>
      <c r="D788" s="158"/>
      <c r="E788" s="158"/>
      <c r="F788" s="158"/>
      <c r="G788" s="148"/>
      <c r="H788" s="148"/>
      <c r="I788" s="148"/>
      <c r="J788" s="148"/>
      <c r="K788" s="148"/>
      <c r="L788" s="148"/>
      <c r="M788" s="148"/>
      <c r="N788" s="148"/>
      <c r="O788" s="158"/>
      <c r="P788" s="148"/>
      <c r="Q788" s="207"/>
      <c r="R788" s="208"/>
      <c r="S788" s="208"/>
      <c r="T788" s="202"/>
    </row>
    <row r="789" ht="15.75" customHeight="1">
      <c r="A789" s="158"/>
      <c r="B789" s="158"/>
      <c r="C789" s="158"/>
      <c r="D789" s="158"/>
      <c r="E789" s="158"/>
      <c r="F789" s="158"/>
      <c r="G789" s="148"/>
      <c r="H789" s="148"/>
      <c r="I789" s="148"/>
      <c r="J789" s="148"/>
      <c r="K789" s="148"/>
      <c r="L789" s="148"/>
      <c r="M789" s="148"/>
      <c r="N789" s="148"/>
      <c r="O789" s="158"/>
      <c r="P789" s="148"/>
      <c r="Q789" s="207"/>
      <c r="R789" s="208"/>
      <c r="S789" s="208"/>
      <c r="T789" s="202"/>
    </row>
    <row r="790" ht="15.75" customHeight="1">
      <c r="A790" s="158"/>
      <c r="B790" s="158"/>
      <c r="C790" s="158"/>
      <c r="D790" s="158"/>
      <c r="E790" s="158"/>
      <c r="F790" s="158"/>
      <c r="G790" s="148"/>
      <c r="H790" s="148"/>
      <c r="I790" s="148"/>
      <c r="J790" s="148"/>
      <c r="K790" s="148"/>
      <c r="L790" s="148"/>
      <c r="M790" s="148"/>
      <c r="N790" s="148"/>
      <c r="O790" s="158"/>
      <c r="P790" s="148"/>
      <c r="Q790" s="207"/>
      <c r="R790" s="208"/>
      <c r="S790" s="208"/>
      <c r="T790" s="202"/>
    </row>
    <row r="791" ht="15.75" customHeight="1">
      <c r="A791" s="158"/>
      <c r="B791" s="158"/>
      <c r="C791" s="158"/>
      <c r="D791" s="158"/>
      <c r="E791" s="158"/>
      <c r="F791" s="158"/>
      <c r="G791" s="148"/>
      <c r="H791" s="148"/>
      <c r="I791" s="148"/>
      <c r="J791" s="148"/>
      <c r="K791" s="148"/>
      <c r="L791" s="148"/>
      <c r="M791" s="148"/>
      <c r="N791" s="148"/>
      <c r="O791" s="158"/>
      <c r="P791" s="148"/>
      <c r="Q791" s="207"/>
      <c r="R791" s="208"/>
      <c r="S791" s="208"/>
      <c r="T791" s="202"/>
    </row>
    <row r="792" ht="15.75" customHeight="1">
      <c r="A792" s="158"/>
      <c r="B792" s="158"/>
      <c r="C792" s="158"/>
      <c r="D792" s="158"/>
      <c r="E792" s="158"/>
      <c r="F792" s="158"/>
      <c r="G792" s="148"/>
      <c r="H792" s="148"/>
      <c r="I792" s="148"/>
      <c r="J792" s="148"/>
      <c r="K792" s="148"/>
      <c r="L792" s="148"/>
      <c r="M792" s="148"/>
      <c r="N792" s="148"/>
      <c r="O792" s="158"/>
      <c r="P792" s="148"/>
      <c r="Q792" s="207"/>
      <c r="R792" s="208"/>
      <c r="S792" s="208"/>
      <c r="T792" s="202"/>
    </row>
    <row r="793" ht="15.75" customHeight="1">
      <c r="A793" s="158"/>
      <c r="B793" s="158"/>
      <c r="C793" s="158"/>
      <c r="D793" s="158"/>
      <c r="E793" s="158"/>
      <c r="F793" s="158"/>
      <c r="G793" s="148"/>
      <c r="H793" s="148"/>
      <c r="I793" s="148"/>
      <c r="J793" s="148"/>
      <c r="K793" s="148"/>
      <c r="L793" s="148"/>
      <c r="M793" s="148"/>
      <c r="N793" s="148"/>
      <c r="O793" s="158"/>
      <c r="P793" s="148"/>
      <c r="Q793" s="207"/>
      <c r="R793" s="208"/>
      <c r="S793" s="208"/>
      <c r="T793" s="202"/>
    </row>
    <row r="794" ht="15.75" customHeight="1">
      <c r="A794" s="158"/>
      <c r="B794" s="158"/>
      <c r="C794" s="158"/>
      <c r="D794" s="158"/>
      <c r="E794" s="158"/>
      <c r="F794" s="158"/>
      <c r="G794" s="148"/>
      <c r="H794" s="148"/>
      <c r="I794" s="148"/>
      <c r="J794" s="148"/>
      <c r="K794" s="148"/>
      <c r="L794" s="148"/>
      <c r="M794" s="148"/>
      <c r="N794" s="148"/>
      <c r="O794" s="158"/>
      <c r="P794" s="148"/>
      <c r="Q794" s="207"/>
      <c r="R794" s="208"/>
      <c r="S794" s="208"/>
      <c r="T794" s="202"/>
    </row>
    <row r="795" ht="15.75" customHeight="1">
      <c r="A795" s="158"/>
      <c r="B795" s="158"/>
      <c r="C795" s="158"/>
      <c r="D795" s="158"/>
      <c r="E795" s="158"/>
      <c r="F795" s="158"/>
      <c r="G795" s="148"/>
      <c r="H795" s="148"/>
      <c r="I795" s="148"/>
      <c r="J795" s="148"/>
      <c r="K795" s="148"/>
      <c r="L795" s="148"/>
      <c r="M795" s="148"/>
      <c r="N795" s="148"/>
      <c r="O795" s="158"/>
      <c r="P795" s="148"/>
      <c r="Q795" s="207"/>
      <c r="R795" s="208"/>
      <c r="S795" s="208"/>
      <c r="T795" s="202"/>
    </row>
    <row r="796" ht="15.75" customHeight="1">
      <c r="A796" s="158"/>
      <c r="B796" s="158"/>
      <c r="C796" s="158"/>
      <c r="D796" s="158"/>
      <c r="E796" s="158"/>
      <c r="F796" s="158"/>
      <c r="G796" s="148"/>
      <c r="H796" s="148"/>
      <c r="I796" s="148"/>
      <c r="J796" s="148"/>
      <c r="K796" s="148"/>
      <c r="L796" s="148"/>
      <c r="M796" s="148"/>
      <c r="N796" s="148"/>
      <c r="O796" s="158"/>
      <c r="P796" s="148"/>
      <c r="Q796" s="207"/>
      <c r="R796" s="208"/>
      <c r="S796" s="208"/>
      <c r="T796" s="202"/>
    </row>
    <row r="797" ht="15.75" customHeight="1">
      <c r="A797" s="158"/>
      <c r="B797" s="158"/>
      <c r="C797" s="158"/>
      <c r="D797" s="158"/>
      <c r="E797" s="158"/>
      <c r="F797" s="158"/>
      <c r="G797" s="148"/>
      <c r="H797" s="148"/>
      <c r="I797" s="148"/>
      <c r="J797" s="148"/>
      <c r="K797" s="148"/>
      <c r="L797" s="148"/>
      <c r="M797" s="148"/>
      <c r="N797" s="148"/>
      <c r="O797" s="158"/>
      <c r="P797" s="148"/>
      <c r="Q797" s="207"/>
      <c r="R797" s="208"/>
      <c r="S797" s="208"/>
      <c r="T797" s="202"/>
    </row>
    <row r="798" ht="15.75" customHeight="1">
      <c r="A798" s="158"/>
      <c r="B798" s="158"/>
      <c r="C798" s="158"/>
      <c r="D798" s="158"/>
      <c r="E798" s="158"/>
      <c r="F798" s="158"/>
      <c r="G798" s="148"/>
      <c r="H798" s="148"/>
      <c r="I798" s="148"/>
      <c r="J798" s="148"/>
      <c r="K798" s="148"/>
      <c r="L798" s="148"/>
      <c r="M798" s="148"/>
      <c r="N798" s="148"/>
      <c r="O798" s="158"/>
      <c r="P798" s="148"/>
      <c r="Q798" s="207"/>
      <c r="R798" s="208"/>
      <c r="S798" s="208"/>
      <c r="T798" s="202"/>
    </row>
    <row r="799" ht="15.75" customHeight="1">
      <c r="A799" s="158"/>
      <c r="B799" s="158"/>
      <c r="C799" s="158"/>
      <c r="D799" s="158"/>
      <c r="E799" s="158"/>
      <c r="F799" s="158"/>
      <c r="G799" s="148"/>
      <c r="H799" s="148"/>
      <c r="I799" s="148"/>
      <c r="J799" s="148"/>
      <c r="K799" s="148"/>
      <c r="L799" s="148"/>
      <c r="M799" s="148"/>
      <c r="N799" s="148"/>
      <c r="O799" s="158"/>
      <c r="P799" s="148"/>
      <c r="Q799" s="207"/>
      <c r="R799" s="208"/>
      <c r="S799" s="208"/>
      <c r="T799" s="202"/>
    </row>
    <row r="800" ht="15.75" customHeight="1">
      <c r="A800" s="158"/>
      <c r="B800" s="158"/>
      <c r="C800" s="158"/>
      <c r="D800" s="158"/>
      <c r="E800" s="158"/>
      <c r="F800" s="158"/>
      <c r="G800" s="148"/>
      <c r="H800" s="148"/>
      <c r="I800" s="148"/>
      <c r="J800" s="148"/>
      <c r="K800" s="148"/>
      <c r="L800" s="148"/>
      <c r="M800" s="148"/>
      <c r="N800" s="148"/>
      <c r="O800" s="158"/>
      <c r="P800" s="148"/>
      <c r="Q800" s="207"/>
      <c r="R800" s="208"/>
      <c r="S800" s="208"/>
      <c r="T800" s="202"/>
    </row>
    <row r="801" ht="15.75" customHeight="1">
      <c r="A801" s="158"/>
      <c r="B801" s="158"/>
      <c r="C801" s="158"/>
      <c r="D801" s="158"/>
      <c r="E801" s="158"/>
      <c r="F801" s="158"/>
      <c r="G801" s="148"/>
      <c r="H801" s="148"/>
      <c r="I801" s="148"/>
      <c r="J801" s="148"/>
      <c r="K801" s="148"/>
      <c r="L801" s="148"/>
      <c r="M801" s="148"/>
      <c r="N801" s="148"/>
      <c r="O801" s="158"/>
      <c r="P801" s="148"/>
      <c r="Q801" s="207"/>
      <c r="R801" s="208"/>
      <c r="S801" s="208"/>
      <c r="T801" s="202"/>
    </row>
    <row r="802" ht="15.75" customHeight="1">
      <c r="A802" s="158"/>
      <c r="B802" s="158"/>
      <c r="C802" s="158"/>
      <c r="D802" s="158"/>
      <c r="E802" s="158"/>
      <c r="F802" s="158"/>
      <c r="G802" s="148"/>
      <c r="H802" s="148"/>
      <c r="I802" s="148"/>
      <c r="J802" s="148"/>
      <c r="K802" s="148"/>
      <c r="L802" s="148"/>
      <c r="M802" s="148"/>
      <c r="N802" s="148"/>
      <c r="O802" s="158"/>
      <c r="P802" s="148"/>
      <c r="Q802" s="207"/>
      <c r="R802" s="208"/>
      <c r="S802" s="208"/>
      <c r="T802" s="202"/>
    </row>
    <row r="803" ht="15.75" customHeight="1">
      <c r="A803" s="158"/>
      <c r="B803" s="158"/>
      <c r="C803" s="158"/>
      <c r="D803" s="158"/>
      <c r="E803" s="158"/>
      <c r="F803" s="158"/>
      <c r="G803" s="148"/>
      <c r="H803" s="148"/>
      <c r="I803" s="148"/>
      <c r="J803" s="148"/>
      <c r="K803" s="148"/>
      <c r="L803" s="148"/>
      <c r="M803" s="148"/>
      <c r="N803" s="148"/>
      <c r="O803" s="158"/>
      <c r="P803" s="148"/>
      <c r="Q803" s="207"/>
      <c r="R803" s="208"/>
      <c r="S803" s="208"/>
      <c r="T803" s="202"/>
    </row>
    <row r="804" ht="15.75" customHeight="1">
      <c r="A804" s="158"/>
      <c r="B804" s="158"/>
      <c r="C804" s="158"/>
      <c r="D804" s="158"/>
      <c r="E804" s="158"/>
      <c r="F804" s="158"/>
      <c r="G804" s="148"/>
      <c r="H804" s="148"/>
      <c r="I804" s="148"/>
      <c r="J804" s="148"/>
      <c r="K804" s="148"/>
      <c r="L804" s="148"/>
      <c r="M804" s="148"/>
      <c r="N804" s="148"/>
      <c r="O804" s="158"/>
      <c r="P804" s="148"/>
      <c r="Q804" s="207"/>
      <c r="R804" s="208"/>
      <c r="S804" s="208"/>
      <c r="T804" s="202"/>
    </row>
    <row r="805" ht="15.75" customHeight="1">
      <c r="A805" s="158"/>
      <c r="B805" s="158"/>
      <c r="C805" s="158"/>
      <c r="D805" s="158"/>
      <c r="E805" s="158"/>
      <c r="F805" s="158"/>
      <c r="G805" s="148"/>
      <c r="H805" s="148"/>
      <c r="I805" s="148"/>
      <c r="J805" s="148"/>
      <c r="K805" s="148"/>
      <c r="L805" s="148"/>
      <c r="M805" s="148"/>
      <c r="N805" s="148"/>
      <c r="O805" s="158"/>
      <c r="P805" s="148"/>
      <c r="Q805" s="207"/>
      <c r="R805" s="208"/>
      <c r="S805" s="208"/>
      <c r="T805" s="202"/>
    </row>
    <row r="806" ht="15.75" customHeight="1">
      <c r="A806" s="158"/>
      <c r="B806" s="158"/>
      <c r="C806" s="158"/>
      <c r="D806" s="158"/>
      <c r="E806" s="158"/>
      <c r="F806" s="158"/>
      <c r="G806" s="148"/>
      <c r="H806" s="148"/>
      <c r="I806" s="148"/>
      <c r="J806" s="148"/>
      <c r="K806" s="148"/>
      <c r="L806" s="148"/>
      <c r="M806" s="148"/>
      <c r="N806" s="148"/>
      <c r="O806" s="158"/>
      <c r="P806" s="148"/>
      <c r="Q806" s="207"/>
      <c r="R806" s="208"/>
      <c r="S806" s="208"/>
      <c r="T806" s="202"/>
    </row>
    <row r="807" ht="15.75" customHeight="1">
      <c r="A807" s="158"/>
      <c r="B807" s="158"/>
      <c r="C807" s="158"/>
      <c r="D807" s="158"/>
      <c r="E807" s="158"/>
      <c r="F807" s="158"/>
      <c r="G807" s="148"/>
      <c r="H807" s="148"/>
      <c r="I807" s="148"/>
      <c r="J807" s="148"/>
      <c r="K807" s="148"/>
      <c r="L807" s="148"/>
      <c r="M807" s="148"/>
      <c r="N807" s="148"/>
      <c r="O807" s="158"/>
      <c r="P807" s="148"/>
      <c r="Q807" s="207"/>
      <c r="R807" s="208"/>
      <c r="S807" s="208"/>
      <c r="T807" s="202"/>
    </row>
    <row r="808" ht="15.75" customHeight="1">
      <c r="A808" s="158"/>
      <c r="B808" s="158"/>
      <c r="C808" s="158"/>
      <c r="D808" s="158"/>
      <c r="E808" s="158"/>
      <c r="F808" s="158"/>
      <c r="G808" s="148"/>
      <c r="H808" s="148"/>
      <c r="I808" s="148"/>
      <c r="J808" s="148"/>
      <c r="K808" s="148"/>
      <c r="L808" s="148"/>
      <c r="M808" s="148"/>
      <c r="N808" s="148"/>
      <c r="O808" s="158"/>
      <c r="P808" s="148"/>
      <c r="Q808" s="207"/>
      <c r="R808" s="208"/>
      <c r="S808" s="208"/>
      <c r="T808" s="202"/>
    </row>
    <row r="809" ht="15.75" customHeight="1">
      <c r="A809" s="158"/>
      <c r="B809" s="158"/>
      <c r="C809" s="158"/>
      <c r="D809" s="158"/>
      <c r="E809" s="158"/>
      <c r="F809" s="158"/>
      <c r="G809" s="148"/>
      <c r="H809" s="148"/>
      <c r="I809" s="148"/>
      <c r="J809" s="148"/>
      <c r="K809" s="148"/>
      <c r="L809" s="148"/>
      <c r="M809" s="148"/>
      <c r="N809" s="148"/>
      <c r="O809" s="158"/>
      <c r="P809" s="148"/>
      <c r="Q809" s="207"/>
      <c r="R809" s="208"/>
      <c r="S809" s="208"/>
      <c r="T809" s="202"/>
    </row>
    <row r="810" ht="15.75" customHeight="1">
      <c r="A810" s="158"/>
      <c r="B810" s="158"/>
      <c r="C810" s="158"/>
      <c r="D810" s="158"/>
      <c r="E810" s="158"/>
      <c r="F810" s="158"/>
      <c r="G810" s="148"/>
      <c r="H810" s="148"/>
      <c r="I810" s="148"/>
      <c r="J810" s="148"/>
      <c r="K810" s="148"/>
      <c r="L810" s="148"/>
      <c r="M810" s="148"/>
      <c r="N810" s="148"/>
      <c r="O810" s="158"/>
      <c r="P810" s="148"/>
      <c r="Q810" s="207"/>
      <c r="R810" s="208"/>
      <c r="S810" s="208"/>
      <c r="T810" s="202"/>
    </row>
    <row r="811" ht="15.75" customHeight="1">
      <c r="A811" s="158"/>
      <c r="B811" s="158"/>
      <c r="C811" s="158"/>
      <c r="D811" s="158"/>
      <c r="E811" s="158"/>
      <c r="F811" s="158"/>
      <c r="G811" s="148"/>
      <c r="H811" s="148"/>
      <c r="I811" s="148"/>
      <c r="J811" s="148"/>
      <c r="K811" s="148"/>
      <c r="L811" s="148"/>
      <c r="M811" s="148"/>
      <c r="N811" s="148"/>
      <c r="O811" s="158"/>
      <c r="P811" s="148"/>
      <c r="Q811" s="207"/>
      <c r="R811" s="208"/>
      <c r="S811" s="208"/>
      <c r="T811" s="202"/>
    </row>
    <row r="812" ht="15.75" customHeight="1">
      <c r="A812" s="158"/>
      <c r="B812" s="158"/>
      <c r="C812" s="158"/>
      <c r="D812" s="158"/>
      <c r="E812" s="158"/>
      <c r="F812" s="158"/>
      <c r="G812" s="148"/>
      <c r="H812" s="148"/>
      <c r="I812" s="148"/>
      <c r="J812" s="148"/>
      <c r="K812" s="148"/>
      <c r="L812" s="148"/>
      <c r="M812" s="148"/>
      <c r="N812" s="148"/>
      <c r="O812" s="158"/>
      <c r="P812" s="148"/>
      <c r="Q812" s="207"/>
      <c r="R812" s="208"/>
      <c r="S812" s="208"/>
      <c r="T812" s="202"/>
    </row>
    <row r="813" ht="15.75" customHeight="1">
      <c r="A813" s="158"/>
      <c r="B813" s="158"/>
      <c r="C813" s="158"/>
      <c r="D813" s="158"/>
      <c r="E813" s="158"/>
      <c r="F813" s="158"/>
      <c r="G813" s="148"/>
      <c r="H813" s="148"/>
      <c r="I813" s="148"/>
      <c r="J813" s="148"/>
      <c r="K813" s="148"/>
      <c r="L813" s="148"/>
      <c r="M813" s="148"/>
      <c r="N813" s="148"/>
      <c r="O813" s="158"/>
      <c r="P813" s="148"/>
      <c r="Q813" s="207"/>
      <c r="R813" s="208"/>
      <c r="S813" s="208"/>
      <c r="T813" s="202"/>
    </row>
    <row r="814" ht="15.75" customHeight="1">
      <c r="A814" s="158"/>
      <c r="B814" s="158"/>
      <c r="C814" s="158"/>
      <c r="D814" s="158"/>
      <c r="E814" s="158"/>
      <c r="F814" s="158"/>
      <c r="G814" s="148"/>
      <c r="H814" s="148"/>
      <c r="I814" s="148"/>
      <c r="J814" s="148"/>
      <c r="K814" s="148"/>
      <c r="L814" s="148"/>
      <c r="M814" s="148"/>
      <c r="N814" s="148"/>
      <c r="O814" s="158"/>
      <c r="P814" s="148"/>
      <c r="Q814" s="207"/>
      <c r="R814" s="208"/>
      <c r="S814" s="208"/>
      <c r="T814" s="202"/>
    </row>
    <row r="815" ht="15.75" customHeight="1">
      <c r="A815" s="158"/>
      <c r="B815" s="158"/>
      <c r="C815" s="158"/>
      <c r="D815" s="158"/>
      <c r="E815" s="158"/>
      <c r="F815" s="158"/>
      <c r="G815" s="148"/>
      <c r="H815" s="148"/>
      <c r="I815" s="148"/>
      <c r="J815" s="148"/>
      <c r="K815" s="148"/>
      <c r="L815" s="148"/>
      <c r="M815" s="148"/>
      <c r="N815" s="148"/>
      <c r="O815" s="158"/>
      <c r="P815" s="148"/>
      <c r="Q815" s="207"/>
      <c r="R815" s="208"/>
      <c r="S815" s="208"/>
      <c r="T815" s="202"/>
    </row>
    <row r="816" ht="15.75" customHeight="1">
      <c r="A816" s="158"/>
      <c r="B816" s="158"/>
      <c r="C816" s="158"/>
      <c r="D816" s="158"/>
      <c r="E816" s="158"/>
      <c r="F816" s="158"/>
      <c r="G816" s="148"/>
      <c r="H816" s="148"/>
      <c r="I816" s="148"/>
      <c r="J816" s="148"/>
      <c r="K816" s="148"/>
      <c r="L816" s="148"/>
      <c r="M816" s="148"/>
      <c r="N816" s="148"/>
      <c r="O816" s="158"/>
      <c r="P816" s="148"/>
      <c r="Q816" s="207"/>
      <c r="R816" s="208"/>
      <c r="S816" s="208"/>
      <c r="T816" s="202"/>
    </row>
    <row r="817" ht="15.75" customHeight="1">
      <c r="A817" s="158"/>
      <c r="B817" s="158"/>
      <c r="C817" s="158"/>
      <c r="D817" s="158"/>
      <c r="E817" s="158"/>
      <c r="F817" s="158"/>
      <c r="G817" s="148"/>
      <c r="H817" s="148"/>
      <c r="I817" s="148"/>
      <c r="J817" s="148"/>
      <c r="K817" s="148"/>
      <c r="L817" s="148"/>
      <c r="M817" s="148"/>
      <c r="N817" s="148"/>
      <c r="O817" s="158"/>
      <c r="P817" s="148"/>
      <c r="Q817" s="207"/>
      <c r="R817" s="208"/>
      <c r="S817" s="208"/>
      <c r="T817" s="202"/>
    </row>
    <row r="818" ht="15.75" customHeight="1">
      <c r="A818" s="158"/>
      <c r="B818" s="158"/>
      <c r="C818" s="158"/>
      <c r="D818" s="158"/>
      <c r="E818" s="158"/>
      <c r="F818" s="158"/>
      <c r="G818" s="148"/>
      <c r="H818" s="148"/>
      <c r="I818" s="148"/>
      <c r="J818" s="148"/>
      <c r="K818" s="148"/>
      <c r="L818" s="148"/>
      <c r="M818" s="148"/>
      <c r="N818" s="148"/>
      <c r="O818" s="158"/>
      <c r="P818" s="148"/>
      <c r="Q818" s="207"/>
      <c r="R818" s="208"/>
      <c r="S818" s="208"/>
      <c r="T818" s="202"/>
    </row>
    <row r="819" ht="15.75" customHeight="1">
      <c r="A819" s="158"/>
      <c r="B819" s="158"/>
      <c r="C819" s="158"/>
      <c r="D819" s="158"/>
      <c r="E819" s="158"/>
      <c r="F819" s="158"/>
      <c r="G819" s="148"/>
      <c r="H819" s="148"/>
      <c r="I819" s="148"/>
      <c r="J819" s="148"/>
      <c r="K819" s="148"/>
      <c r="L819" s="148"/>
      <c r="M819" s="148"/>
      <c r="N819" s="148"/>
      <c r="O819" s="158"/>
      <c r="P819" s="148"/>
      <c r="Q819" s="207"/>
      <c r="R819" s="208"/>
      <c r="S819" s="208"/>
      <c r="T819" s="202"/>
    </row>
    <row r="820" ht="15.75" customHeight="1">
      <c r="A820" s="158"/>
      <c r="B820" s="158"/>
      <c r="C820" s="158"/>
      <c r="D820" s="158"/>
      <c r="E820" s="158"/>
      <c r="F820" s="158"/>
      <c r="G820" s="148"/>
      <c r="H820" s="148"/>
      <c r="I820" s="148"/>
      <c r="J820" s="148"/>
      <c r="K820" s="148"/>
      <c r="L820" s="148"/>
      <c r="M820" s="148"/>
      <c r="N820" s="148"/>
      <c r="O820" s="158"/>
      <c r="P820" s="148"/>
      <c r="Q820" s="207"/>
      <c r="R820" s="208"/>
      <c r="S820" s="208"/>
      <c r="T820" s="202"/>
    </row>
    <row r="821" ht="15.75" customHeight="1">
      <c r="A821" s="158"/>
      <c r="B821" s="158"/>
      <c r="C821" s="158"/>
      <c r="D821" s="158"/>
      <c r="E821" s="158"/>
      <c r="F821" s="158"/>
      <c r="G821" s="148"/>
      <c r="H821" s="148"/>
      <c r="I821" s="148"/>
      <c r="J821" s="148"/>
      <c r="K821" s="148"/>
      <c r="L821" s="148"/>
      <c r="M821" s="148"/>
      <c r="N821" s="148"/>
      <c r="O821" s="158"/>
      <c r="P821" s="148"/>
      <c r="Q821" s="207"/>
      <c r="R821" s="208"/>
      <c r="S821" s="208"/>
      <c r="T821" s="202"/>
    </row>
    <row r="822" ht="15.75" customHeight="1">
      <c r="A822" s="158"/>
      <c r="B822" s="158"/>
      <c r="C822" s="158"/>
      <c r="D822" s="158"/>
      <c r="E822" s="158"/>
      <c r="F822" s="158"/>
      <c r="G822" s="148"/>
      <c r="H822" s="148"/>
      <c r="I822" s="148"/>
      <c r="J822" s="148"/>
      <c r="K822" s="148"/>
      <c r="L822" s="148"/>
      <c r="M822" s="148"/>
      <c r="N822" s="148"/>
      <c r="O822" s="158"/>
      <c r="P822" s="148"/>
      <c r="Q822" s="207"/>
      <c r="R822" s="208"/>
      <c r="S822" s="208"/>
      <c r="T822" s="202"/>
    </row>
    <row r="823" ht="15.75" customHeight="1">
      <c r="A823" s="158"/>
      <c r="B823" s="158"/>
      <c r="C823" s="158"/>
      <c r="D823" s="158"/>
      <c r="E823" s="158"/>
      <c r="F823" s="158"/>
      <c r="G823" s="148"/>
      <c r="H823" s="148"/>
      <c r="I823" s="148"/>
      <c r="J823" s="148"/>
      <c r="K823" s="148"/>
      <c r="L823" s="148"/>
      <c r="M823" s="148"/>
      <c r="N823" s="148"/>
      <c r="O823" s="158"/>
      <c r="P823" s="148"/>
      <c r="Q823" s="207"/>
      <c r="R823" s="208"/>
      <c r="S823" s="208"/>
      <c r="T823" s="202"/>
    </row>
    <row r="824" ht="15.75" customHeight="1">
      <c r="A824" s="158"/>
      <c r="B824" s="158"/>
      <c r="C824" s="158"/>
      <c r="D824" s="158"/>
      <c r="E824" s="158"/>
      <c r="F824" s="158"/>
      <c r="G824" s="148"/>
      <c r="H824" s="148"/>
      <c r="I824" s="148"/>
      <c r="J824" s="148"/>
      <c r="K824" s="148"/>
      <c r="L824" s="148"/>
      <c r="M824" s="148"/>
      <c r="N824" s="148"/>
      <c r="O824" s="158"/>
      <c r="P824" s="148"/>
      <c r="Q824" s="207"/>
      <c r="R824" s="208"/>
      <c r="S824" s="208"/>
      <c r="T824" s="202"/>
    </row>
    <row r="825" ht="15.75" customHeight="1">
      <c r="A825" s="158"/>
      <c r="B825" s="158"/>
      <c r="C825" s="158"/>
      <c r="D825" s="158"/>
      <c r="E825" s="158"/>
      <c r="F825" s="158"/>
      <c r="G825" s="148"/>
      <c r="H825" s="148"/>
      <c r="I825" s="148"/>
      <c r="J825" s="148"/>
      <c r="K825" s="148"/>
      <c r="L825" s="148"/>
      <c r="M825" s="148"/>
      <c r="N825" s="148"/>
      <c r="O825" s="158"/>
      <c r="P825" s="148"/>
      <c r="Q825" s="207"/>
      <c r="R825" s="208"/>
      <c r="S825" s="208"/>
      <c r="T825" s="202"/>
    </row>
    <row r="826" ht="15.75" customHeight="1">
      <c r="A826" s="158"/>
      <c r="B826" s="158"/>
      <c r="C826" s="158"/>
      <c r="D826" s="158"/>
      <c r="E826" s="158"/>
      <c r="F826" s="158"/>
      <c r="G826" s="148"/>
      <c r="H826" s="148"/>
      <c r="I826" s="148"/>
      <c r="J826" s="148"/>
      <c r="K826" s="148"/>
      <c r="L826" s="148"/>
      <c r="M826" s="148"/>
      <c r="N826" s="148"/>
      <c r="O826" s="158"/>
      <c r="P826" s="148"/>
      <c r="Q826" s="207"/>
      <c r="R826" s="208"/>
      <c r="S826" s="208"/>
      <c r="T826" s="202"/>
    </row>
    <row r="827" ht="15.75" customHeight="1">
      <c r="A827" s="158"/>
      <c r="B827" s="158"/>
      <c r="C827" s="158"/>
      <c r="D827" s="158"/>
      <c r="E827" s="158"/>
      <c r="F827" s="158"/>
      <c r="G827" s="148"/>
      <c r="H827" s="148"/>
      <c r="I827" s="148"/>
      <c r="J827" s="148"/>
      <c r="K827" s="148"/>
      <c r="L827" s="148"/>
      <c r="M827" s="148"/>
      <c r="N827" s="148"/>
      <c r="O827" s="158"/>
      <c r="P827" s="148"/>
      <c r="Q827" s="207"/>
      <c r="R827" s="208"/>
      <c r="S827" s="208"/>
      <c r="T827" s="202"/>
    </row>
    <row r="828" ht="15.75" customHeight="1">
      <c r="A828" s="158"/>
      <c r="B828" s="158"/>
      <c r="C828" s="158"/>
      <c r="D828" s="158"/>
      <c r="E828" s="158"/>
      <c r="F828" s="158"/>
      <c r="G828" s="148"/>
      <c r="H828" s="148"/>
      <c r="I828" s="148"/>
      <c r="J828" s="148"/>
      <c r="K828" s="148"/>
      <c r="L828" s="148"/>
      <c r="M828" s="148"/>
      <c r="N828" s="148"/>
      <c r="O828" s="158"/>
      <c r="P828" s="148"/>
      <c r="Q828" s="207"/>
      <c r="R828" s="208"/>
      <c r="S828" s="208"/>
      <c r="T828" s="202"/>
    </row>
    <row r="829" ht="15.75" customHeight="1">
      <c r="A829" s="158"/>
      <c r="B829" s="158"/>
      <c r="C829" s="158"/>
      <c r="D829" s="158"/>
      <c r="E829" s="158"/>
      <c r="F829" s="158"/>
      <c r="G829" s="148"/>
      <c r="H829" s="148"/>
      <c r="I829" s="148"/>
      <c r="J829" s="148"/>
      <c r="K829" s="148"/>
      <c r="L829" s="148"/>
      <c r="M829" s="148"/>
      <c r="N829" s="148"/>
      <c r="O829" s="158"/>
      <c r="P829" s="148"/>
      <c r="Q829" s="207"/>
      <c r="R829" s="208"/>
      <c r="S829" s="208"/>
      <c r="T829" s="202"/>
    </row>
    <row r="830" ht="15.75" customHeight="1">
      <c r="A830" s="158"/>
      <c r="B830" s="158"/>
      <c r="C830" s="158"/>
      <c r="D830" s="158"/>
      <c r="E830" s="158"/>
      <c r="F830" s="158"/>
      <c r="G830" s="148"/>
      <c r="H830" s="148"/>
      <c r="I830" s="148"/>
      <c r="J830" s="148"/>
      <c r="K830" s="148"/>
      <c r="L830" s="148"/>
      <c r="M830" s="148"/>
      <c r="N830" s="148"/>
      <c r="O830" s="158"/>
      <c r="P830" s="148"/>
      <c r="Q830" s="207"/>
      <c r="R830" s="208"/>
      <c r="S830" s="208"/>
      <c r="T830" s="202"/>
    </row>
    <row r="831" ht="15.75" customHeight="1">
      <c r="A831" s="158"/>
      <c r="B831" s="158"/>
      <c r="C831" s="158"/>
      <c r="D831" s="158"/>
      <c r="E831" s="158"/>
      <c r="F831" s="158"/>
      <c r="G831" s="148"/>
      <c r="H831" s="148"/>
      <c r="I831" s="148"/>
      <c r="J831" s="148"/>
      <c r="K831" s="148"/>
      <c r="L831" s="148"/>
      <c r="M831" s="148"/>
      <c r="N831" s="148"/>
      <c r="O831" s="158"/>
      <c r="P831" s="148"/>
      <c r="Q831" s="207"/>
      <c r="R831" s="208"/>
      <c r="S831" s="208"/>
      <c r="T831" s="202"/>
    </row>
    <row r="832" ht="15.75" customHeight="1">
      <c r="A832" s="158"/>
      <c r="B832" s="158"/>
      <c r="C832" s="158"/>
      <c r="D832" s="158"/>
      <c r="E832" s="158"/>
      <c r="F832" s="158"/>
      <c r="G832" s="148"/>
      <c r="H832" s="148"/>
      <c r="I832" s="148"/>
      <c r="J832" s="148"/>
      <c r="K832" s="148"/>
      <c r="L832" s="148"/>
      <c r="M832" s="148"/>
      <c r="N832" s="148"/>
      <c r="O832" s="158"/>
      <c r="P832" s="148"/>
      <c r="Q832" s="207"/>
      <c r="R832" s="208"/>
      <c r="S832" s="208"/>
      <c r="T832" s="202"/>
    </row>
    <row r="833" ht="15.75" customHeight="1">
      <c r="A833" s="158"/>
      <c r="B833" s="158"/>
      <c r="C833" s="158"/>
      <c r="D833" s="158"/>
      <c r="E833" s="158"/>
      <c r="F833" s="158"/>
      <c r="G833" s="148"/>
      <c r="H833" s="148"/>
      <c r="I833" s="148"/>
      <c r="J833" s="148"/>
      <c r="K833" s="148"/>
      <c r="L833" s="148"/>
      <c r="M833" s="148"/>
      <c r="N833" s="148"/>
      <c r="O833" s="158"/>
      <c r="P833" s="148"/>
      <c r="Q833" s="207"/>
      <c r="R833" s="208"/>
      <c r="S833" s="208"/>
      <c r="T833" s="202"/>
    </row>
    <row r="834" ht="15.75" customHeight="1">
      <c r="A834" s="158"/>
      <c r="B834" s="158"/>
      <c r="C834" s="158"/>
      <c r="D834" s="158"/>
      <c r="E834" s="158"/>
      <c r="F834" s="158"/>
      <c r="G834" s="148"/>
      <c r="H834" s="148"/>
      <c r="I834" s="148"/>
      <c r="J834" s="148"/>
      <c r="K834" s="148"/>
      <c r="L834" s="148"/>
      <c r="M834" s="148"/>
      <c r="N834" s="148"/>
      <c r="O834" s="158"/>
      <c r="P834" s="148"/>
      <c r="Q834" s="207"/>
      <c r="R834" s="208"/>
      <c r="S834" s="208"/>
      <c r="T834" s="202"/>
    </row>
    <row r="835" ht="15.75" customHeight="1">
      <c r="A835" s="158"/>
      <c r="B835" s="158"/>
      <c r="C835" s="158"/>
      <c r="D835" s="158"/>
      <c r="E835" s="158"/>
      <c r="F835" s="158"/>
      <c r="G835" s="148"/>
      <c r="H835" s="148"/>
      <c r="I835" s="148"/>
      <c r="J835" s="148"/>
      <c r="K835" s="148"/>
      <c r="L835" s="148"/>
      <c r="M835" s="148"/>
      <c r="N835" s="148"/>
      <c r="O835" s="158"/>
      <c r="P835" s="148"/>
      <c r="Q835" s="207"/>
      <c r="R835" s="208"/>
      <c r="S835" s="208"/>
      <c r="T835" s="202"/>
    </row>
    <row r="836" ht="15.75" customHeight="1">
      <c r="A836" s="158"/>
      <c r="B836" s="158"/>
      <c r="C836" s="158"/>
      <c r="D836" s="158"/>
      <c r="E836" s="158"/>
      <c r="F836" s="158"/>
      <c r="G836" s="148"/>
      <c r="H836" s="148"/>
      <c r="I836" s="148"/>
      <c r="J836" s="148"/>
      <c r="K836" s="148"/>
      <c r="L836" s="148"/>
      <c r="M836" s="148"/>
      <c r="N836" s="148"/>
      <c r="O836" s="158"/>
      <c r="P836" s="148"/>
      <c r="Q836" s="207"/>
      <c r="R836" s="208"/>
      <c r="S836" s="208"/>
      <c r="T836" s="202"/>
    </row>
    <row r="837" ht="15.75" customHeight="1">
      <c r="A837" s="158"/>
      <c r="B837" s="158"/>
      <c r="C837" s="158"/>
      <c r="D837" s="158"/>
      <c r="E837" s="158"/>
      <c r="F837" s="158"/>
      <c r="G837" s="148"/>
      <c r="H837" s="148"/>
      <c r="I837" s="148"/>
      <c r="J837" s="148"/>
      <c r="K837" s="148"/>
      <c r="L837" s="148"/>
      <c r="M837" s="148"/>
      <c r="N837" s="148"/>
      <c r="O837" s="158"/>
      <c r="P837" s="148"/>
      <c r="Q837" s="207"/>
      <c r="R837" s="208"/>
      <c r="S837" s="208"/>
      <c r="T837" s="202"/>
    </row>
    <row r="838" ht="15.75" customHeight="1">
      <c r="A838" s="158"/>
      <c r="B838" s="158"/>
      <c r="C838" s="158"/>
      <c r="D838" s="158"/>
      <c r="E838" s="158"/>
      <c r="F838" s="158"/>
      <c r="G838" s="148"/>
      <c r="H838" s="148"/>
      <c r="I838" s="148"/>
      <c r="J838" s="148"/>
      <c r="K838" s="148"/>
      <c r="L838" s="148"/>
      <c r="M838" s="148"/>
      <c r="N838" s="148"/>
      <c r="O838" s="158"/>
      <c r="P838" s="148"/>
      <c r="Q838" s="207"/>
      <c r="R838" s="208"/>
      <c r="S838" s="208"/>
      <c r="T838" s="202"/>
    </row>
    <row r="839" ht="15.75" customHeight="1">
      <c r="A839" s="158"/>
      <c r="B839" s="158"/>
      <c r="C839" s="158"/>
      <c r="D839" s="158"/>
      <c r="E839" s="158"/>
      <c r="F839" s="158"/>
      <c r="G839" s="148"/>
      <c r="H839" s="148"/>
      <c r="I839" s="148"/>
      <c r="J839" s="148"/>
      <c r="K839" s="148"/>
      <c r="L839" s="148"/>
      <c r="M839" s="148"/>
      <c r="N839" s="148"/>
      <c r="O839" s="158"/>
      <c r="P839" s="148"/>
      <c r="Q839" s="207"/>
      <c r="R839" s="208"/>
      <c r="S839" s="208"/>
      <c r="T839" s="202"/>
    </row>
    <row r="840" ht="15.75" customHeight="1">
      <c r="A840" s="158"/>
      <c r="B840" s="158"/>
      <c r="C840" s="158"/>
      <c r="D840" s="158"/>
      <c r="E840" s="158"/>
      <c r="F840" s="158"/>
      <c r="G840" s="148"/>
      <c r="H840" s="148"/>
      <c r="I840" s="148"/>
      <c r="J840" s="148"/>
      <c r="K840" s="148"/>
      <c r="L840" s="148"/>
      <c r="M840" s="148"/>
      <c r="N840" s="148"/>
      <c r="O840" s="158"/>
      <c r="P840" s="148"/>
      <c r="Q840" s="207"/>
      <c r="R840" s="208"/>
      <c r="S840" s="208"/>
      <c r="T840" s="202"/>
    </row>
    <row r="841" ht="15.75" customHeight="1">
      <c r="A841" s="158"/>
      <c r="B841" s="158"/>
      <c r="C841" s="158"/>
      <c r="D841" s="158"/>
      <c r="E841" s="158"/>
      <c r="F841" s="158"/>
      <c r="G841" s="148"/>
      <c r="H841" s="148"/>
      <c r="I841" s="148"/>
      <c r="J841" s="148"/>
      <c r="K841" s="148"/>
      <c r="L841" s="148"/>
      <c r="M841" s="148"/>
      <c r="N841" s="148"/>
      <c r="O841" s="158"/>
      <c r="P841" s="148"/>
      <c r="Q841" s="207"/>
      <c r="R841" s="208"/>
      <c r="S841" s="208"/>
      <c r="T841" s="202"/>
    </row>
    <row r="842" ht="15.75" customHeight="1">
      <c r="A842" s="158"/>
      <c r="B842" s="158"/>
      <c r="C842" s="158"/>
      <c r="D842" s="158"/>
      <c r="E842" s="158"/>
      <c r="F842" s="158"/>
      <c r="G842" s="148"/>
      <c r="H842" s="148"/>
      <c r="I842" s="148"/>
      <c r="J842" s="148"/>
      <c r="K842" s="148"/>
      <c r="L842" s="148"/>
      <c r="M842" s="148"/>
      <c r="N842" s="148"/>
      <c r="O842" s="158"/>
      <c r="P842" s="148"/>
      <c r="Q842" s="207"/>
      <c r="R842" s="208"/>
      <c r="S842" s="208"/>
      <c r="T842" s="202"/>
    </row>
    <row r="843" ht="15.75" customHeight="1">
      <c r="A843" s="158"/>
      <c r="B843" s="158"/>
      <c r="C843" s="158"/>
      <c r="D843" s="158"/>
      <c r="E843" s="158"/>
      <c r="F843" s="158"/>
      <c r="G843" s="148"/>
      <c r="H843" s="148"/>
      <c r="I843" s="148"/>
      <c r="J843" s="148"/>
      <c r="K843" s="148"/>
      <c r="L843" s="148"/>
      <c r="M843" s="148"/>
      <c r="N843" s="148"/>
      <c r="O843" s="158"/>
      <c r="P843" s="148"/>
      <c r="Q843" s="207"/>
      <c r="R843" s="208"/>
      <c r="S843" s="208"/>
      <c r="T843" s="202"/>
    </row>
    <row r="844" ht="15.75" customHeight="1">
      <c r="A844" s="158"/>
      <c r="B844" s="158"/>
      <c r="C844" s="158"/>
      <c r="D844" s="158"/>
      <c r="E844" s="158"/>
      <c r="F844" s="158"/>
      <c r="G844" s="148"/>
      <c r="H844" s="148"/>
      <c r="I844" s="148"/>
      <c r="J844" s="148"/>
      <c r="K844" s="148"/>
      <c r="L844" s="148"/>
      <c r="M844" s="148"/>
      <c r="N844" s="148"/>
      <c r="O844" s="158"/>
      <c r="P844" s="148"/>
      <c r="Q844" s="207"/>
      <c r="R844" s="208"/>
      <c r="S844" s="208"/>
      <c r="T844" s="202"/>
    </row>
    <row r="845" ht="15.75" customHeight="1">
      <c r="A845" s="158"/>
      <c r="B845" s="158"/>
      <c r="C845" s="158"/>
      <c r="D845" s="158"/>
      <c r="E845" s="158"/>
      <c r="F845" s="158"/>
      <c r="G845" s="148"/>
      <c r="H845" s="148"/>
      <c r="I845" s="148"/>
      <c r="J845" s="148"/>
      <c r="K845" s="148"/>
      <c r="L845" s="148"/>
      <c r="M845" s="148"/>
      <c r="N845" s="148"/>
      <c r="O845" s="158"/>
      <c r="P845" s="148"/>
      <c r="Q845" s="207"/>
      <c r="R845" s="208"/>
      <c r="S845" s="208"/>
      <c r="T845" s="202"/>
    </row>
    <row r="846" ht="15.75" customHeight="1">
      <c r="A846" s="158"/>
      <c r="B846" s="158"/>
      <c r="C846" s="158"/>
      <c r="D846" s="158"/>
      <c r="E846" s="158"/>
      <c r="F846" s="158"/>
      <c r="G846" s="148"/>
      <c r="H846" s="148"/>
      <c r="I846" s="148"/>
      <c r="J846" s="148"/>
      <c r="K846" s="148"/>
      <c r="L846" s="148"/>
      <c r="M846" s="148"/>
      <c r="N846" s="148"/>
      <c r="O846" s="158"/>
      <c r="P846" s="148"/>
      <c r="Q846" s="207"/>
      <c r="R846" s="208"/>
      <c r="S846" s="208"/>
      <c r="T846" s="202"/>
    </row>
    <row r="847" ht="15.75" customHeight="1">
      <c r="A847" s="158"/>
      <c r="B847" s="158"/>
      <c r="C847" s="158"/>
      <c r="D847" s="158"/>
      <c r="E847" s="158"/>
      <c r="F847" s="158"/>
      <c r="G847" s="148"/>
      <c r="H847" s="148"/>
      <c r="I847" s="148"/>
      <c r="J847" s="148"/>
      <c r="K847" s="148"/>
      <c r="L847" s="148"/>
      <c r="M847" s="148"/>
      <c r="N847" s="148"/>
      <c r="O847" s="158"/>
      <c r="P847" s="148"/>
      <c r="Q847" s="207"/>
      <c r="R847" s="208"/>
      <c r="S847" s="208"/>
      <c r="T847" s="202"/>
    </row>
    <row r="848" ht="15.75" customHeight="1">
      <c r="A848" s="158"/>
      <c r="B848" s="158"/>
      <c r="C848" s="158"/>
      <c r="D848" s="158"/>
      <c r="E848" s="158"/>
      <c r="F848" s="158"/>
      <c r="G848" s="148"/>
      <c r="H848" s="148"/>
      <c r="I848" s="148"/>
      <c r="J848" s="148"/>
      <c r="K848" s="148"/>
      <c r="L848" s="148"/>
      <c r="M848" s="148"/>
      <c r="N848" s="148"/>
      <c r="O848" s="158"/>
      <c r="P848" s="148"/>
      <c r="Q848" s="207"/>
      <c r="R848" s="208"/>
      <c r="S848" s="208"/>
      <c r="T848" s="202"/>
    </row>
    <row r="849" ht="15.75" customHeight="1">
      <c r="A849" s="158"/>
      <c r="B849" s="158"/>
      <c r="C849" s="158"/>
      <c r="D849" s="158"/>
      <c r="E849" s="158"/>
      <c r="F849" s="158"/>
      <c r="G849" s="148"/>
      <c r="H849" s="148"/>
      <c r="I849" s="148"/>
      <c r="J849" s="148"/>
      <c r="K849" s="148"/>
      <c r="L849" s="148"/>
      <c r="M849" s="148"/>
      <c r="N849" s="148"/>
      <c r="O849" s="158"/>
      <c r="P849" s="148"/>
      <c r="Q849" s="207"/>
      <c r="R849" s="208"/>
      <c r="S849" s="208"/>
      <c r="T849" s="202"/>
    </row>
    <row r="850" ht="15.75" customHeight="1">
      <c r="A850" s="158"/>
      <c r="B850" s="158"/>
      <c r="C850" s="158"/>
      <c r="D850" s="158"/>
      <c r="E850" s="158"/>
      <c r="F850" s="158"/>
      <c r="G850" s="148"/>
      <c r="H850" s="148"/>
      <c r="I850" s="148"/>
      <c r="J850" s="148"/>
      <c r="K850" s="148"/>
      <c r="L850" s="148"/>
      <c r="M850" s="148"/>
      <c r="N850" s="148"/>
      <c r="O850" s="158"/>
      <c r="P850" s="148"/>
      <c r="Q850" s="207"/>
      <c r="R850" s="208"/>
      <c r="S850" s="208"/>
      <c r="T850" s="202"/>
    </row>
    <row r="851" ht="15.75" customHeight="1">
      <c r="A851" s="158"/>
      <c r="B851" s="158"/>
      <c r="C851" s="158"/>
      <c r="D851" s="158"/>
      <c r="E851" s="158"/>
      <c r="F851" s="158"/>
      <c r="G851" s="148"/>
      <c r="H851" s="148"/>
      <c r="I851" s="148"/>
      <c r="J851" s="148"/>
      <c r="K851" s="148"/>
      <c r="L851" s="148"/>
      <c r="M851" s="148"/>
      <c r="N851" s="148"/>
      <c r="O851" s="158"/>
      <c r="P851" s="148"/>
      <c r="Q851" s="207"/>
      <c r="R851" s="208"/>
      <c r="S851" s="208"/>
      <c r="T851" s="202"/>
    </row>
    <row r="852" ht="15.75" customHeight="1">
      <c r="A852" s="158"/>
      <c r="B852" s="158"/>
      <c r="C852" s="158"/>
      <c r="D852" s="158"/>
      <c r="E852" s="158"/>
      <c r="F852" s="158"/>
      <c r="G852" s="148"/>
      <c r="H852" s="148"/>
      <c r="I852" s="148"/>
      <c r="J852" s="148"/>
      <c r="K852" s="148"/>
      <c r="L852" s="148"/>
      <c r="M852" s="148"/>
      <c r="N852" s="148"/>
      <c r="O852" s="158"/>
      <c r="P852" s="148"/>
      <c r="Q852" s="207"/>
      <c r="R852" s="208"/>
      <c r="S852" s="208"/>
      <c r="T852" s="202"/>
    </row>
    <row r="853" ht="15.75" customHeight="1">
      <c r="A853" s="158"/>
      <c r="B853" s="158"/>
      <c r="C853" s="158"/>
      <c r="D853" s="158"/>
      <c r="E853" s="158"/>
      <c r="F853" s="158"/>
      <c r="G853" s="148"/>
      <c r="H853" s="148"/>
      <c r="I853" s="148"/>
      <c r="J853" s="148"/>
      <c r="K853" s="148"/>
      <c r="L853" s="148"/>
      <c r="M853" s="148"/>
      <c r="N853" s="148"/>
      <c r="O853" s="158"/>
      <c r="P853" s="148"/>
      <c r="Q853" s="207"/>
      <c r="R853" s="208"/>
      <c r="S853" s="208"/>
      <c r="T853" s="202"/>
    </row>
    <row r="854" ht="15.75" customHeight="1">
      <c r="A854" s="158"/>
      <c r="B854" s="158"/>
      <c r="C854" s="158"/>
      <c r="D854" s="158"/>
      <c r="E854" s="158"/>
      <c r="F854" s="158"/>
      <c r="G854" s="148"/>
      <c r="H854" s="148"/>
      <c r="I854" s="148"/>
      <c r="J854" s="148"/>
      <c r="K854" s="148"/>
      <c r="L854" s="148"/>
      <c r="M854" s="148"/>
      <c r="N854" s="148"/>
      <c r="O854" s="158"/>
      <c r="P854" s="148"/>
      <c r="Q854" s="207"/>
      <c r="R854" s="208"/>
      <c r="S854" s="208"/>
      <c r="T854" s="202"/>
    </row>
    <row r="855" ht="15.75" customHeight="1">
      <c r="A855" s="158"/>
      <c r="B855" s="158"/>
      <c r="C855" s="158"/>
      <c r="D855" s="158"/>
      <c r="E855" s="158"/>
      <c r="F855" s="158"/>
      <c r="G855" s="148"/>
      <c r="H855" s="148"/>
      <c r="I855" s="148"/>
      <c r="J855" s="148"/>
      <c r="K855" s="148"/>
      <c r="L855" s="148"/>
      <c r="M855" s="148"/>
      <c r="N855" s="148"/>
      <c r="O855" s="158"/>
      <c r="P855" s="148"/>
      <c r="Q855" s="207"/>
      <c r="R855" s="208"/>
      <c r="S855" s="208"/>
      <c r="T855" s="202"/>
    </row>
    <row r="856" ht="15.75" customHeight="1">
      <c r="A856" s="158"/>
      <c r="B856" s="158"/>
      <c r="C856" s="158"/>
      <c r="D856" s="158"/>
      <c r="E856" s="158"/>
      <c r="F856" s="158"/>
      <c r="G856" s="148"/>
      <c r="H856" s="148"/>
      <c r="I856" s="148"/>
      <c r="J856" s="148"/>
      <c r="K856" s="148"/>
      <c r="L856" s="148"/>
      <c r="M856" s="148"/>
      <c r="N856" s="148"/>
      <c r="O856" s="158"/>
      <c r="P856" s="148"/>
      <c r="Q856" s="207"/>
      <c r="R856" s="208"/>
      <c r="S856" s="208"/>
      <c r="T856" s="202"/>
    </row>
    <row r="857" ht="15.75" customHeight="1">
      <c r="A857" s="158"/>
      <c r="B857" s="158"/>
      <c r="C857" s="158"/>
      <c r="D857" s="158"/>
      <c r="E857" s="158"/>
      <c r="F857" s="158"/>
      <c r="G857" s="148"/>
      <c r="H857" s="148"/>
      <c r="I857" s="148"/>
      <c r="J857" s="148"/>
      <c r="K857" s="148"/>
      <c r="L857" s="148"/>
      <c r="M857" s="148"/>
      <c r="N857" s="148"/>
      <c r="O857" s="158"/>
      <c r="P857" s="148"/>
      <c r="Q857" s="207"/>
      <c r="R857" s="208"/>
      <c r="S857" s="208"/>
      <c r="T857" s="202"/>
    </row>
    <row r="858" ht="15.75" customHeight="1">
      <c r="A858" s="158"/>
      <c r="B858" s="158"/>
      <c r="C858" s="158"/>
      <c r="D858" s="158"/>
      <c r="E858" s="158"/>
      <c r="F858" s="158"/>
      <c r="G858" s="148"/>
      <c r="H858" s="148"/>
      <c r="I858" s="148"/>
      <c r="J858" s="148"/>
      <c r="K858" s="148"/>
      <c r="L858" s="148"/>
      <c r="M858" s="148"/>
      <c r="N858" s="148"/>
      <c r="O858" s="158"/>
      <c r="P858" s="148"/>
      <c r="Q858" s="207"/>
      <c r="R858" s="208"/>
      <c r="S858" s="208"/>
      <c r="T858" s="202"/>
    </row>
    <row r="859" ht="15.75" customHeight="1">
      <c r="A859" s="158"/>
      <c r="B859" s="158"/>
      <c r="C859" s="158"/>
      <c r="D859" s="158"/>
      <c r="E859" s="158"/>
      <c r="F859" s="158"/>
      <c r="G859" s="148"/>
      <c r="H859" s="148"/>
      <c r="I859" s="148"/>
      <c r="J859" s="148"/>
      <c r="K859" s="148"/>
      <c r="L859" s="148"/>
      <c r="M859" s="148"/>
      <c r="N859" s="148"/>
      <c r="O859" s="158"/>
      <c r="P859" s="148"/>
      <c r="Q859" s="207"/>
      <c r="R859" s="208"/>
      <c r="S859" s="208"/>
      <c r="T859" s="202"/>
    </row>
    <row r="860" ht="15.75" customHeight="1">
      <c r="A860" s="158"/>
      <c r="B860" s="158"/>
      <c r="C860" s="158"/>
      <c r="D860" s="158"/>
      <c r="E860" s="158"/>
      <c r="F860" s="158"/>
      <c r="G860" s="148"/>
      <c r="H860" s="148"/>
      <c r="I860" s="148"/>
      <c r="J860" s="148"/>
      <c r="K860" s="148"/>
      <c r="L860" s="148"/>
      <c r="M860" s="148"/>
      <c r="N860" s="148"/>
      <c r="O860" s="158"/>
      <c r="P860" s="148"/>
      <c r="Q860" s="207"/>
      <c r="R860" s="208"/>
      <c r="S860" s="208"/>
      <c r="T860" s="202"/>
    </row>
    <row r="861" ht="15.75" customHeight="1">
      <c r="A861" s="158"/>
      <c r="B861" s="158"/>
      <c r="C861" s="158"/>
      <c r="D861" s="158"/>
      <c r="E861" s="158"/>
      <c r="F861" s="158"/>
      <c r="G861" s="148"/>
      <c r="H861" s="148"/>
      <c r="I861" s="148"/>
      <c r="J861" s="148"/>
      <c r="K861" s="148"/>
      <c r="L861" s="148"/>
      <c r="M861" s="148"/>
      <c r="N861" s="148"/>
      <c r="O861" s="158"/>
      <c r="P861" s="148"/>
      <c r="Q861" s="207"/>
      <c r="R861" s="208"/>
      <c r="S861" s="208"/>
      <c r="T861" s="202"/>
    </row>
    <row r="862" ht="15.75" customHeight="1">
      <c r="A862" s="158"/>
      <c r="B862" s="158"/>
      <c r="C862" s="158"/>
      <c r="D862" s="158"/>
      <c r="E862" s="158"/>
      <c r="F862" s="158"/>
      <c r="G862" s="148"/>
      <c r="H862" s="148"/>
      <c r="I862" s="148"/>
      <c r="J862" s="148"/>
      <c r="K862" s="148"/>
      <c r="L862" s="148"/>
      <c r="M862" s="148"/>
      <c r="N862" s="148"/>
      <c r="O862" s="158"/>
      <c r="P862" s="148"/>
      <c r="Q862" s="207"/>
      <c r="R862" s="208"/>
      <c r="S862" s="208"/>
      <c r="T862" s="202"/>
    </row>
    <row r="863" ht="15.75" customHeight="1">
      <c r="A863" s="158"/>
      <c r="B863" s="158"/>
      <c r="C863" s="158"/>
      <c r="D863" s="158"/>
      <c r="E863" s="158"/>
      <c r="F863" s="158"/>
      <c r="G863" s="148"/>
      <c r="H863" s="148"/>
      <c r="I863" s="148"/>
      <c r="J863" s="148"/>
      <c r="K863" s="148"/>
      <c r="L863" s="148"/>
      <c r="M863" s="148"/>
      <c r="N863" s="148"/>
      <c r="O863" s="158"/>
      <c r="P863" s="148"/>
      <c r="Q863" s="207"/>
      <c r="R863" s="208"/>
      <c r="S863" s="208"/>
      <c r="T863" s="202"/>
    </row>
    <row r="864" ht="15.75" customHeight="1">
      <c r="A864" s="158"/>
      <c r="B864" s="158"/>
      <c r="C864" s="158"/>
      <c r="D864" s="158"/>
      <c r="E864" s="158"/>
      <c r="F864" s="158"/>
      <c r="G864" s="148"/>
      <c r="H864" s="148"/>
      <c r="I864" s="148"/>
      <c r="J864" s="148"/>
      <c r="K864" s="148"/>
      <c r="L864" s="148"/>
      <c r="M864" s="148"/>
      <c r="N864" s="148"/>
      <c r="O864" s="158"/>
      <c r="P864" s="148"/>
      <c r="Q864" s="207"/>
      <c r="R864" s="208"/>
      <c r="S864" s="208"/>
      <c r="T864" s="202"/>
    </row>
    <row r="865" ht="15.75" customHeight="1">
      <c r="A865" s="158"/>
      <c r="B865" s="158"/>
      <c r="C865" s="158"/>
      <c r="D865" s="158"/>
      <c r="E865" s="158"/>
      <c r="F865" s="158"/>
      <c r="G865" s="148"/>
      <c r="H865" s="148"/>
      <c r="I865" s="148"/>
      <c r="J865" s="148"/>
      <c r="K865" s="148"/>
      <c r="L865" s="148"/>
      <c r="M865" s="148"/>
      <c r="N865" s="148"/>
      <c r="O865" s="158"/>
      <c r="P865" s="148"/>
      <c r="Q865" s="207"/>
      <c r="R865" s="208"/>
      <c r="S865" s="208"/>
      <c r="T865" s="202"/>
    </row>
    <row r="866" ht="15.75" customHeight="1">
      <c r="A866" s="158"/>
      <c r="B866" s="158"/>
      <c r="C866" s="158"/>
      <c r="D866" s="158"/>
      <c r="E866" s="158"/>
      <c r="F866" s="158"/>
      <c r="G866" s="148"/>
      <c r="H866" s="148"/>
      <c r="I866" s="148"/>
      <c r="J866" s="148"/>
      <c r="K866" s="148"/>
      <c r="L866" s="148"/>
      <c r="M866" s="148"/>
      <c r="N866" s="148"/>
      <c r="O866" s="158"/>
      <c r="P866" s="148"/>
      <c r="Q866" s="207"/>
      <c r="R866" s="208"/>
      <c r="S866" s="208"/>
      <c r="T866" s="202"/>
    </row>
    <row r="867" ht="15.75" customHeight="1">
      <c r="A867" s="158"/>
      <c r="B867" s="158"/>
      <c r="C867" s="158"/>
      <c r="D867" s="158"/>
      <c r="E867" s="158"/>
      <c r="F867" s="158"/>
      <c r="G867" s="148"/>
      <c r="H867" s="148"/>
      <c r="I867" s="148"/>
      <c r="J867" s="148"/>
      <c r="K867" s="148"/>
      <c r="L867" s="148"/>
      <c r="M867" s="148"/>
      <c r="N867" s="148"/>
      <c r="O867" s="158"/>
      <c r="P867" s="148"/>
      <c r="Q867" s="207"/>
      <c r="R867" s="208"/>
      <c r="S867" s="208"/>
      <c r="T867" s="202"/>
    </row>
    <row r="868" ht="15.75" customHeight="1">
      <c r="A868" s="158"/>
      <c r="B868" s="158"/>
      <c r="C868" s="158"/>
      <c r="D868" s="158"/>
      <c r="E868" s="158"/>
      <c r="F868" s="158"/>
      <c r="G868" s="148"/>
      <c r="H868" s="148"/>
      <c r="I868" s="148"/>
      <c r="J868" s="148"/>
      <c r="K868" s="148"/>
      <c r="L868" s="148"/>
      <c r="M868" s="148"/>
      <c r="N868" s="148"/>
      <c r="O868" s="158"/>
      <c r="P868" s="148"/>
      <c r="Q868" s="207"/>
      <c r="R868" s="208"/>
      <c r="S868" s="208"/>
      <c r="T868" s="202"/>
    </row>
    <row r="869" ht="15.75" customHeight="1">
      <c r="A869" s="158"/>
      <c r="B869" s="158"/>
      <c r="C869" s="158"/>
      <c r="D869" s="158"/>
      <c r="E869" s="158"/>
      <c r="F869" s="158"/>
      <c r="G869" s="148"/>
      <c r="H869" s="148"/>
      <c r="I869" s="148"/>
      <c r="J869" s="148"/>
      <c r="K869" s="148"/>
      <c r="L869" s="148"/>
      <c r="M869" s="148"/>
      <c r="N869" s="148"/>
      <c r="O869" s="158"/>
      <c r="P869" s="148"/>
      <c r="Q869" s="207"/>
      <c r="R869" s="208"/>
      <c r="S869" s="208"/>
      <c r="T869" s="202"/>
    </row>
    <row r="870" ht="15.75" customHeight="1">
      <c r="A870" s="158"/>
      <c r="B870" s="158"/>
      <c r="C870" s="158"/>
      <c r="D870" s="158"/>
      <c r="E870" s="158"/>
      <c r="F870" s="158"/>
      <c r="G870" s="148"/>
      <c r="H870" s="148"/>
      <c r="I870" s="148"/>
      <c r="J870" s="148"/>
      <c r="K870" s="148"/>
      <c r="L870" s="148"/>
      <c r="M870" s="148"/>
      <c r="N870" s="148"/>
      <c r="O870" s="158"/>
      <c r="P870" s="148"/>
      <c r="Q870" s="207"/>
      <c r="R870" s="208"/>
      <c r="S870" s="208"/>
      <c r="T870" s="202"/>
    </row>
    <row r="871" ht="15.75" customHeight="1">
      <c r="A871" s="158"/>
      <c r="B871" s="158"/>
      <c r="C871" s="158"/>
      <c r="D871" s="158"/>
      <c r="E871" s="158"/>
      <c r="F871" s="158"/>
      <c r="G871" s="148"/>
      <c r="H871" s="148"/>
      <c r="I871" s="148"/>
      <c r="J871" s="148"/>
      <c r="K871" s="148"/>
      <c r="L871" s="148"/>
      <c r="M871" s="148"/>
      <c r="N871" s="148"/>
      <c r="O871" s="158"/>
      <c r="P871" s="148"/>
      <c r="Q871" s="207"/>
      <c r="R871" s="208"/>
      <c r="S871" s="208"/>
      <c r="T871" s="202"/>
    </row>
    <row r="872" ht="15.75" customHeight="1">
      <c r="A872" s="158"/>
      <c r="B872" s="158"/>
      <c r="C872" s="158"/>
      <c r="D872" s="158"/>
      <c r="E872" s="158"/>
      <c r="F872" s="158"/>
      <c r="G872" s="148"/>
      <c r="H872" s="148"/>
      <c r="I872" s="148"/>
      <c r="J872" s="148"/>
      <c r="K872" s="148"/>
      <c r="L872" s="148"/>
      <c r="M872" s="148"/>
      <c r="N872" s="148"/>
      <c r="O872" s="158"/>
      <c r="P872" s="148"/>
      <c r="Q872" s="207"/>
      <c r="R872" s="208"/>
      <c r="S872" s="208"/>
      <c r="T872" s="202"/>
    </row>
    <row r="873" ht="15.75" customHeight="1">
      <c r="A873" s="158"/>
      <c r="B873" s="158"/>
      <c r="C873" s="158"/>
      <c r="D873" s="158"/>
      <c r="E873" s="158"/>
      <c r="F873" s="158"/>
      <c r="G873" s="148"/>
      <c r="H873" s="148"/>
      <c r="I873" s="148"/>
      <c r="J873" s="148"/>
      <c r="K873" s="148"/>
      <c r="L873" s="148"/>
      <c r="M873" s="148"/>
      <c r="N873" s="148"/>
      <c r="O873" s="158"/>
      <c r="P873" s="148"/>
      <c r="Q873" s="207"/>
      <c r="R873" s="208"/>
      <c r="S873" s="208"/>
      <c r="T873" s="202"/>
    </row>
    <row r="874" ht="15.75" customHeight="1">
      <c r="A874" s="158"/>
      <c r="B874" s="158"/>
      <c r="C874" s="158"/>
      <c r="D874" s="158"/>
      <c r="E874" s="158"/>
      <c r="F874" s="158"/>
      <c r="G874" s="148"/>
      <c r="H874" s="148"/>
      <c r="I874" s="148"/>
      <c r="J874" s="148"/>
      <c r="K874" s="148"/>
      <c r="L874" s="148"/>
      <c r="M874" s="148"/>
      <c r="N874" s="148"/>
      <c r="O874" s="158"/>
      <c r="P874" s="148"/>
      <c r="Q874" s="207"/>
      <c r="R874" s="208"/>
      <c r="S874" s="208"/>
      <c r="T874" s="202"/>
    </row>
    <row r="875" ht="15.75" customHeight="1">
      <c r="A875" s="158"/>
      <c r="B875" s="158"/>
      <c r="C875" s="158"/>
      <c r="D875" s="158"/>
      <c r="E875" s="158"/>
      <c r="F875" s="158"/>
      <c r="G875" s="148"/>
      <c r="H875" s="148"/>
      <c r="I875" s="148"/>
      <c r="J875" s="148"/>
      <c r="K875" s="148"/>
      <c r="L875" s="148"/>
      <c r="M875" s="148"/>
      <c r="N875" s="148"/>
      <c r="O875" s="158"/>
      <c r="P875" s="148"/>
      <c r="Q875" s="207"/>
      <c r="R875" s="208"/>
      <c r="S875" s="208"/>
      <c r="T875" s="202"/>
    </row>
    <row r="876" ht="15.75" customHeight="1">
      <c r="A876" s="158"/>
      <c r="B876" s="158"/>
      <c r="C876" s="158"/>
      <c r="D876" s="158"/>
      <c r="E876" s="158"/>
      <c r="F876" s="158"/>
      <c r="G876" s="148"/>
      <c r="H876" s="148"/>
      <c r="I876" s="148"/>
      <c r="J876" s="148"/>
      <c r="K876" s="148"/>
      <c r="L876" s="148"/>
      <c r="M876" s="148"/>
      <c r="N876" s="148"/>
      <c r="O876" s="158"/>
      <c r="P876" s="148"/>
      <c r="Q876" s="207"/>
      <c r="R876" s="208"/>
      <c r="S876" s="208"/>
      <c r="T876" s="202"/>
    </row>
    <row r="877" ht="15.75" customHeight="1">
      <c r="A877" s="158"/>
      <c r="B877" s="158"/>
      <c r="C877" s="158"/>
      <c r="D877" s="158"/>
      <c r="E877" s="158"/>
      <c r="F877" s="158"/>
      <c r="G877" s="148"/>
      <c r="H877" s="148"/>
      <c r="I877" s="148"/>
      <c r="J877" s="148"/>
      <c r="K877" s="148"/>
      <c r="L877" s="148"/>
      <c r="M877" s="148"/>
      <c r="N877" s="148"/>
      <c r="O877" s="158"/>
      <c r="P877" s="148"/>
      <c r="Q877" s="207"/>
      <c r="R877" s="208"/>
      <c r="S877" s="208"/>
      <c r="T877" s="202"/>
    </row>
    <row r="878" ht="15.75" customHeight="1">
      <c r="A878" s="158"/>
      <c r="B878" s="158"/>
      <c r="C878" s="158"/>
      <c r="D878" s="158"/>
      <c r="E878" s="158"/>
      <c r="F878" s="158"/>
      <c r="G878" s="148"/>
      <c r="H878" s="148"/>
      <c r="I878" s="148"/>
      <c r="J878" s="148"/>
      <c r="K878" s="148"/>
      <c r="L878" s="148"/>
      <c r="M878" s="148"/>
      <c r="N878" s="148"/>
      <c r="O878" s="158"/>
      <c r="P878" s="148"/>
      <c r="Q878" s="207"/>
      <c r="R878" s="208"/>
      <c r="S878" s="208"/>
      <c r="T878" s="202"/>
    </row>
    <row r="879" ht="15.75" customHeight="1">
      <c r="A879" s="158"/>
      <c r="B879" s="158"/>
      <c r="C879" s="158"/>
      <c r="D879" s="158"/>
      <c r="E879" s="158"/>
      <c r="F879" s="158"/>
      <c r="G879" s="148"/>
      <c r="H879" s="148"/>
      <c r="I879" s="148"/>
      <c r="J879" s="148"/>
      <c r="K879" s="148"/>
      <c r="L879" s="148"/>
      <c r="M879" s="148"/>
      <c r="N879" s="148"/>
      <c r="O879" s="158"/>
      <c r="P879" s="148"/>
      <c r="Q879" s="207"/>
      <c r="R879" s="208"/>
      <c r="S879" s="208"/>
      <c r="T879" s="202"/>
    </row>
    <row r="880" ht="15.75" customHeight="1">
      <c r="A880" s="158"/>
      <c r="B880" s="158"/>
      <c r="C880" s="158"/>
      <c r="D880" s="158"/>
      <c r="E880" s="158"/>
      <c r="F880" s="158"/>
      <c r="G880" s="148"/>
      <c r="H880" s="148"/>
      <c r="I880" s="148"/>
      <c r="J880" s="148"/>
      <c r="K880" s="148"/>
      <c r="L880" s="148"/>
      <c r="M880" s="148"/>
      <c r="N880" s="148"/>
      <c r="O880" s="158"/>
      <c r="P880" s="148"/>
      <c r="Q880" s="207"/>
      <c r="R880" s="208"/>
      <c r="S880" s="208"/>
      <c r="T880" s="202"/>
    </row>
    <row r="881" ht="15.75" customHeight="1">
      <c r="A881" s="158"/>
      <c r="B881" s="158"/>
      <c r="C881" s="158"/>
      <c r="D881" s="158"/>
      <c r="E881" s="158"/>
      <c r="F881" s="158"/>
      <c r="G881" s="148"/>
      <c r="H881" s="148"/>
      <c r="I881" s="148"/>
      <c r="J881" s="148"/>
      <c r="K881" s="148"/>
      <c r="L881" s="148"/>
      <c r="M881" s="148"/>
      <c r="N881" s="148"/>
      <c r="O881" s="158"/>
      <c r="P881" s="148"/>
      <c r="Q881" s="207"/>
      <c r="R881" s="208"/>
      <c r="S881" s="208"/>
      <c r="T881" s="202"/>
    </row>
    <row r="882" ht="15.75" customHeight="1">
      <c r="A882" s="158"/>
      <c r="B882" s="158"/>
      <c r="C882" s="158"/>
      <c r="D882" s="158"/>
      <c r="E882" s="158"/>
      <c r="F882" s="158"/>
      <c r="G882" s="148"/>
      <c r="H882" s="148"/>
      <c r="I882" s="148"/>
      <c r="J882" s="148"/>
      <c r="K882" s="148"/>
      <c r="L882" s="148"/>
      <c r="M882" s="148"/>
      <c r="N882" s="148"/>
      <c r="O882" s="158"/>
      <c r="P882" s="148"/>
      <c r="Q882" s="207"/>
      <c r="R882" s="208"/>
      <c r="S882" s="208"/>
      <c r="T882" s="202"/>
    </row>
    <row r="883" ht="15.75" customHeight="1">
      <c r="A883" s="158"/>
      <c r="B883" s="158"/>
      <c r="C883" s="158"/>
      <c r="D883" s="158"/>
      <c r="E883" s="158"/>
      <c r="F883" s="158"/>
      <c r="G883" s="148"/>
      <c r="H883" s="148"/>
      <c r="I883" s="148"/>
      <c r="J883" s="148"/>
      <c r="K883" s="148"/>
      <c r="L883" s="148"/>
      <c r="M883" s="148"/>
      <c r="N883" s="148"/>
      <c r="O883" s="158"/>
      <c r="P883" s="148"/>
      <c r="Q883" s="207"/>
      <c r="R883" s="208"/>
      <c r="S883" s="208"/>
      <c r="T883" s="202"/>
    </row>
    <row r="884" ht="15.75" customHeight="1">
      <c r="A884" s="158"/>
      <c r="B884" s="158"/>
      <c r="C884" s="158"/>
      <c r="D884" s="158"/>
      <c r="E884" s="158"/>
      <c r="F884" s="158"/>
      <c r="G884" s="148"/>
      <c r="H884" s="148"/>
      <c r="I884" s="148"/>
      <c r="J884" s="148"/>
      <c r="K884" s="148"/>
      <c r="L884" s="148"/>
      <c r="M884" s="148"/>
      <c r="N884" s="148"/>
      <c r="O884" s="158"/>
      <c r="P884" s="148"/>
      <c r="Q884" s="207"/>
      <c r="R884" s="208"/>
      <c r="S884" s="208"/>
      <c r="T884" s="202"/>
    </row>
    <row r="885" ht="15.75" customHeight="1">
      <c r="A885" s="158"/>
      <c r="B885" s="158"/>
      <c r="C885" s="158"/>
      <c r="D885" s="158"/>
      <c r="E885" s="158"/>
      <c r="F885" s="158"/>
      <c r="G885" s="148"/>
      <c r="H885" s="148"/>
      <c r="I885" s="148"/>
      <c r="J885" s="148"/>
      <c r="K885" s="148"/>
      <c r="L885" s="148"/>
      <c r="M885" s="148"/>
      <c r="N885" s="148"/>
      <c r="O885" s="158"/>
      <c r="P885" s="148"/>
      <c r="Q885" s="207"/>
      <c r="R885" s="208"/>
      <c r="S885" s="208"/>
      <c r="T885" s="202"/>
    </row>
    <row r="886" ht="15.75" customHeight="1">
      <c r="A886" s="158"/>
      <c r="B886" s="158"/>
      <c r="C886" s="158"/>
      <c r="D886" s="158"/>
      <c r="E886" s="158"/>
      <c r="F886" s="158"/>
      <c r="G886" s="148"/>
      <c r="H886" s="148"/>
      <c r="I886" s="148"/>
      <c r="J886" s="148"/>
      <c r="K886" s="148"/>
      <c r="L886" s="148"/>
      <c r="M886" s="148"/>
      <c r="N886" s="148"/>
      <c r="O886" s="158"/>
      <c r="P886" s="148"/>
      <c r="Q886" s="207"/>
      <c r="R886" s="208"/>
      <c r="S886" s="208"/>
      <c r="T886" s="202"/>
    </row>
    <row r="887" ht="15.75" customHeight="1">
      <c r="A887" s="158"/>
      <c r="B887" s="158"/>
      <c r="C887" s="158"/>
      <c r="D887" s="158"/>
      <c r="E887" s="158"/>
      <c r="F887" s="158"/>
      <c r="G887" s="148"/>
      <c r="H887" s="148"/>
      <c r="I887" s="148"/>
      <c r="J887" s="148"/>
      <c r="K887" s="148"/>
      <c r="L887" s="148"/>
      <c r="M887" s="148"/>
      <c r="N887" s="148"/>
      <c r="O887" s="158"/>
      <c r="P887" s="148"/>
      <c r="Q887" s="207"/>
      <c r="R887" s="208"/>
      <c r="S887" s="208"/>
      <c r="T887" s="202"/>
    </row>
    <row r="888" ht="15.75" customHeight="1">
      <c r="A888" s="158"/>
      <c r="B888" s="158"/>
      <c r="C888" s="158"/>
      <c r="D888" s="158"/>
      <c r="E888" s="158"/>
      <c r="F888" s="158"/>
      <c r="G888" s="148"/>
      <c r="H888" s="148"/>
      <c r="I888" s="148"/>
      <c r="J888" s="148"/>
      <c r="K888" s="148"/>
      <c r="L888" s="148"/>
      <c r="M888" s="148"/>
      <c r="N888" s="148"/>
      <c r="O888" s="158"/>
      <c r="P888" s="148"/>
      <c r="Q888" s="207"/>
      <c r="R888" s="208"/>
      <c r="S888" s="208"/>
      <c r="T888" s="202"/>
    </row>
    <row r="889" ht="15.75" customHeight="1">
      <c r="A889" s="158"/>
      <c r="B889" s="158"/>
      <c r="C889" s="158"/>
      <c r="D889" s="158"/>
      <c r="E889" s="158"/>
      <c r="F889" s="158"/>
      <c r="G889" s="148"/>
      <c r="H889" s="148"/>
      <c r="I889" s="148"/>
      <c r="J889" s="148"/>
      <c r="K889" s="148"/>
      <c r="L889" s="148"/>
      <c r="M889" s="148"/>
      <c r="N889" s="148"/>
      <c r="O889" s="158"/>
      <c r="P889" s="148"/>
      <c r="Q889" s="207"/>
      <c r="R889" s="208"/>
      <c r="S889" s="208"/>
      <c r="T889" s="202"/>
    </row>
    <row r="890" ht="15.75" customHeight="1">
      <c r="A890" s="158"/>
      <c r="B890" s="158"/>
      <c r="C890" s="158"/>
      <c r="D890" s="158"/>
      <c r="E890" s="158"/>
      <c r="F890" s="158"/>
      <c r="G890" s="148"/>
      <c r="H890" s="148"/>
      <c r="I890" s="148"/>
      <c r="J890" s="148"/>
      <c r="K890" s="148"/>
      <c r="L890" s="148"/>
      <c r="M890" s="148"/>
      <c r="N890" s="148"/>
      <c r="O890" s="158"/>
      <c r="P890" s="148"/>
      <c r="Q890" s="207"/>
      <c r="R890" s="208"/>
      <c r="S890" s="208"/>
      <c r="T890" s="202"/>
    </row>
    <row r="891" ht="15.75" customHeight="1">
      <c r="A891" s="158"/>
      <c r="B891" s="158"/>
      <c r="C891" s="158"/>
      <c r="D891" s="158"/>
      <c r="E891" s="158"/>
      <c r="F891" s="158"/>
      <c r="G891" s="148"/>
      <c r="H891" s="148"/>
      <c r="I891" s="148"/>
      <c r="J891" s="148"/>
      <c r="K891" s="148"/>
      <c r="L891" s="148"/>
      <c r="M891" s="148"/>
      <c r="N891" s="148"/>
      <c r="O891" s="158"/>
      <c r="P891" s="148"/>
      <c r="Q891" s="207"/>
      <c r="R891" s="208"/>
      <c r="S891" s="208"/>
      <c r="T891" s="202"/>
    </row>
    <row r="892" ht="15.75" customHeight="1">
      <c r="A892" s="158"/>
      <c r="B892" s="158"/>
      <c r="C892" s="158"/>
      <c r="D892" s="158"/>
      <c r="E892" s="158"/>
      <c r="F892" s="158"/>
      <c r="G892" s="148"/>
      <c r="H892" s="148"/>
      <c r="I892" s="148"/>
      <c r="J892" s="148"/>
      <c r="K892" s="148"/>
      <c r="L892" s="148"/>
      <c r="M892" s="148"/>
      <c r="N892" s="148"/>
      <c r="O892" s="158"/>
      <c r="P892" s="148"/>
      <c r="Q892" s="207"/>
      <c r="R892" s="208"/>
      <c r="S892" s="208"/>
      <c r="T892" s="202"/>
    </row>
    <row r="893" ht="15.75" customHeight="1">
      <c r="A893" s="158"/>
      <c r="B893" s="158"/>
      <c r="C893" s="158"/>
      <c r="D893" s="158"/>
      <c r="E893" s="158"/>
      <c r="F893" s="158"/>
      <c r="G893" s="148"/>
      <c r="H893" s="148"/>
      <c r="I893" s="148"/>
      <c r="J893" s="148"/>
      <c r="K893" s="148"/>
      <c r="L893" s="148"/>
      <c r="M893" s="148"/>
      <c r="N893" s="148"/>
      <c r="O893" s="158"/>
      <c r="P893" s="148"/>
      <c r="Q893" s="207"/>
      <c r="R893" s="208"/>
      <c r="S893" s="208"/>
      <c r="T893" s="202"/>
    </row>
    <row r="894" ht="15.75" customHeight="1">
      <c r="A894" s="158"/>
      <c r="B894" s="158"/>
      <c r="C894" s="158"/>
      <c r="D894" s="158"/>
      <c r="E894" s="158"/>
      <c r="F894" s="158"/>
      <c r="G894" s="148"/>
      <c r="H894" s="148"/>
      <c r="I894" s="148"/>
      <c r="J894" s="148"/>
      <c r="K894" s="148"/>
      <c r="L894" s="148"/>
      <c r="M894" s="148"/>
      <c r="N894" s="148"/>
      <c r="O894" s="158"/>
      <c r="P894" s="148"/>
      <c r="Q894" s="207"/>
      <c r="R894" s="208"/>
      <c r="S894" s="208"/>
      <c r="T894" s="202"/>
    </row>
    <row r="895" ht="15.75" customHeight="1">
      <c r="A895" s="158"/>
      <c r="B895" s="158"/>
      <c r="C895" s="158"/>
      <c r="D895" s="158"/>
      <c r="E895" s="158"/>
      <c r="F895" s="158"/>
      <c r="G895" s="148"/>
      <c r="H895" s="148"/>
      <c r="I895" s="148"/>
      <c r="J895" s="148"/>
      <c r="K895" s="148"/>
      <c r="L895" s="148"/>
      <c r="M895" s="148"/>
      <c r="N895" s="148"/>
      <c r="O895" s="158"/>
      <c r="P895" s="148"/>
      <c r="Q895" s="207"/>
      <c r="R895" s="208"/>
      <c r="S895" s="208"/>
      <c r="T895" s="202"/>
    </row>
    <row r="896" ht="15.75" customHeight="1">
      <c r="A896" s="158"/>
      <c r="B896" s="158"/>
      <c r="C896" s="158"/>
      <c r="D896" s="158"/>
      <c r="E896" s="158"/>
      <c r="F896" s="158"/>
      <c r="G896" s="148"/>
      <c r="H896" s="148"/>
      <c r="I896" s="148"/>
      <c r="J896" s="148"/>
      <c r="K896" s="148"/>
      <c r="L896" s="148"/>
      <c r="M896" s="148"/>
      <c r="N896" s="148"/>
      <c r="O896" s="158"/>
      <c r="P896" s="148"/>
      <c r="Q896" s="207"/>
      <c r="R896" s="208"/>
      <c r="S896" s="208"/>
      <c r="T896" s="202"/>
    </row>
    <row r="897" ht="15.75" customHeight="1">
      <c r="A897" s="158"/>
      <c r="B897" s="158"/>
      <c r="C897" s="158"/>
      <c r="D897" s="158"/>
      <c r="E897" s="158"/>
      <c r="F897" s="158"/>
      <c r="G897" s="148"/>
      <c r="H897" s="148"/>
      <c r="I897" s="148"/>
      <c r="J897" s="148"/>
      <c r="K897" s="148"/>
      <c r="L897" s="148"/>
      <c r="M897" s="148"/>
      <c r="N897" s="148"/>
      <c r="O897" s="158"/>
      <c r="P897" s="148"/>
      <c r="Q897" s="207"/>
      <c r="R897" s="208"/>
      <c r="S897" s="208"/>
      <c r="T897" s="202"/>
    </row>
    <row r="898" ht="15.75" customHeight="1">
      <c r="A898" s="158"/>
      <c r="B898" s="158"/>
      <c r="C898" s="158"/>
      <c r="D898" s="158"/>
      <c r="E898" s="158"/>
      <c r="F898" s="158"/>
      <c r="G898" s="148"/>
      <c r="H898" s="148"/>
      <c r="I898" s="148"/>
      <c r="J898" s="148"/>
      <c r="K898" s="148"/>
      <c r="L898" s="148"/>
      <c r="M898" s="148"/>
      <c r="N898" s="148"/>
      <c r="O898" s="158"/>
      <c r="P898" s="148"/>
      <c r="Q898" s="207"/>
      <c r="R898" s="208"/>
      <c r="S898" s="208"/>
      <c r="T898" s="202"/>
    </row>
    <row r="899" ht="15.75" customHeight="1">
      <c r="A899" s="158"/>
      <c r="B899" s="158"/>
      <c r="C899" s="158"/>
      <c r="D899" s="158"/>
      <c r="E899" s="158"/>
      <c r="F899" s="158"/>
      <c r="G899" s="148"/>
      <c r="H899" s="148"/>
      <c r="I899" s="148"/>
      <c r="J899" s="148"/>
      <c r="K899" s="148"/>
      <c r="L899" s="148"/>
      <c r="M899" s="148"/>
      <c r="N899" s="148"/>
      <c r="O899" s="158"/>
      <c r="P899" s="148"/>
      <c r="Q899" s="207"/>
      <c r="R899" s="208"/>
      <c r="S899" s="208"/>
      <c r="T899" s="202"/>
    </row>
    <row r="900" ht="15.75" customHeight="1">
      <c r="A900" s="158"/>
      <c r="B900" s="158"/>
      <c r="C900" s="158"/>
      <c r="D900" s="158"/>
      <c r="E900" s="158"/>
      <c r="F900" s="158"/>
      <c r="G900" s="148"/>
      <c r="H900" s="148"/>
      <c r="I900" s="148"/>
      <c r="J900" s="148"/>
      <c r="K900" s="148"/>
      <c r="L900" s="148"/>
      <c r="M900" s="148"/>
      <c r="N900" s="148"/>
      <c r="O900" s="158"/>
      <c r="P900" s="148"/>
      <c r="Q900" s="207"/>
      <c r="R900" s="208"/>
      <c r="S900" s="208"/>
      <c r="T900" s="202"/>
    </row>
    <row r="901" ht="15.75" customHeight="1">
      <c r="A901" s="158"/>
      <c r="B901" s="158"/>
      <c r="C901" s="158"/>
      <c r="D901" s="158"/>
      <c r="E901" s="158"/>
      <c r="F901" s="158"/>
      <c r="G901" s="148"/>
      <c r="H901" s="148"/>
      <c r="I901" s="148"/>
      <c r="J901" s="148"/>
      <c r="K901" s="148"/>
      <c r="L901" s="148"/>
      <c r="M901" s="148"/>
      <c r="N901" s="148"/>
      <c r="O901" s="158"/>
      <c r="P901" s="148"/>
      <c r="Q901" s="207"/>
      <c r="R901" s="208"/>
      <c r="S901" s="208"/>
      <c r="T901" s="202"/>
    </row>
    <row r="902" ht="15.75" customHeight="1">
      <c r="A902" s="158"/>
      <c r="B902" s="158"/>
      <c r="C902" s="158"/>
      <c r="D902" s="158"/>
      <c r="E902" s="158"/>
      <c r="F902" s="158"/>
      <c r="G902" s="148"/>
      <c r="H902" s="148"/>
      <c r="I902" s="148"/>
      <c r="J902" s="148"/>
      <c r="K902" s="148"/>
      <c r="L902" s="148"/>
      <c r="M902" s="148"/>
      <c r="N902" s="148"/>
      <c r="O902" s="158"/>
      <c r="P902" s="148"/>
      <c r="Q902" s="207"/>
      <c r="R902" s="208"/>
      <c r="S902" s="208"/>
      <c r="T902" s="202"/>
    </row>
    <row r="903" ht="15.75" customHeight="1">
      <c r="A903" s="158"/>
      <c r="B903" s="158"/>
      <c r="C903" s="158"/>
      <c r="D903" s="158"/>
      <c r="E903" s="158"/>
      <c r="F903" s="158"/>
      <c r="G903" s="148"/>
      <c r="H903" s="148"/>
      <c r="I903" s="148"/>
      <c r="J903" s="148"/>
      <c r="K903" s="148"/>
      <c r="L903" s="148"/>
      <c r="M903" s="148"/>
      <c r="N903" s="148"/>
      <c r="O903" s="158"/>
      <c r="P903" s="148"/>
      <c r="Q903" s="207"/>
      <c r="R903" s="208"/>
      <c r="S903" s="208"/>
      <c r="T903" s="202"/>
    </row>
    <row r="904" ht="15.75" customHeight="1">
      <c r="A904" s="158"/>
      <c r="B904" s="158"/>
      <c r="C904" s="158"/>
      <c r="D904" s="158"/>
      <c r="E904" s="158"/>
      <c r="F904" s="158"/>
      <c r="G904" s="148"/>
      <c r="H904" s="148"/>
      <c r="I904" s="148"/>
      <c r="J904" s="148"/>
      <c r="K904" s="148"/>
      <c r="L904" s="148"/>
      <c r="M904" s="148"/>
      <c r="N904" s="148"/>
      <c r="O904" s="158"/>
      <c r="P904" s="148"/>
      <c r="Q904" s="207"/>
      <c r="R904" s="208"/>
      <c r="S904" s="208"/>
      <c r="T904" s="202"/>
    </row>
    <row r="905" ht="15.75" customHeight="1">
      <c r="A905" s="158"/>
      <c r="B905" s="158"/>
      <c r="C905" s="158"/>
      <c r="D905" s="158"/>
      <c r="E905" s="158"/>
      <c r="F905" s="158"/>
      <c r="G905" s="148"/>
      <c r="H905" s="148"/>
      <c r="I905" s="148"/>
      <c r="J905" s="148"/>
      <c r="K905" s="148"/>
      <c r="L905" s="148"/>
      <c r="M905" s="148"/>
      <c r="N905" s="148"/>
      <c r="O905" s="158"/>
      <c r="P905" s="148"/>
      <c r="Q905" s="207"/>
      <c r="R905" s="208"/>
      <c r="S905" s="208"/>
      <c r="T905" s="202"/>
    </row>
    <row r="906" ht="15.75" customHeight="1">
      <c r="A906" s="158"/>
      <c r="B906" s="158"/>
      <c r="C906" s="158"/>
      <c r="D906" s="158"/>
      <c r="E906" s="158"/>
      <c r="F906" s="158"/>
      <c r="G906" s="148"/>
      <c r="H906" s="148"/>
      <c r="I906" s="148"/>
      <c r="J906" s="148"/>
      <c r="K906" s="148"/>
      <c r="L906" s="148"/>
      <c r="M906" s="148"/>
      <c r="N906" s="148"/>
      <c r="O906" s="158"/>
      <c r="P906" s="148"/>
      <c r="Q906" s="207"/>
      <c r="R906" s="208"/>
      <c r="S906" s="208"/>
      <c r="T906" s="202"/>
    </row>
    <row r="907" ht="15.75" customHeight="1">
      <c r="A907" s="158"/>
      <c r="B907" s="158"/>
      <c r="C907" s="158"/>
      <c r="D907" s="158"/>
      <c r="E907" s="158"/>
      <c r="F907" s="158"/>
      <c r="G907" s="148"/>
      <c r="H907" s="148"/>
      <c r="I907" s="148"/>
      <c r="J907" s="148"/>
      <c r="K907" s="148"/>
      <c r="L907" s="148"/>
      <c r="M907" s="148"/>
      <c r="N907" s="148"/>
      <c r="O907" s="158"/>
      <c r="P907" s="148"/>
      <c r="Q907" s="207"/>
      <c r="R907" s="208"/>
      <c r="S907" s="208"/>
      <c r="T907" s="202"/>
    </row>
    <row r="908" ht="15.75" customHeight="1">
      <c r="A908" s="158"/>
      <c r="B908" s="158"/>
      <c r="C908" s="158"/>
      <c r="D908" s="158"/>
      <c r="E908" s="158"/>
      <c r="F908" s="158"/>
      <c r="G908" s="148"/>
      <c r="H908" s="148"/>
      <c r="I908" s="148"/>
      <c r="J908" s="148"/>
      <c r="K908" s="148"/>
      <c r="L908" s="148"/>
      <c r="M908" s="148"/>
      <c r="N908" s="148"/>
      <c r="O908" s="158"/>
      <c r="P908" s="148"/>
      <c r="Q908" s="207"/>
      <c r="R908" s="208"/>
      <c r="S908" s="208"/>
      <c r="T908" s="202"/>
    </row>
    <row r="909" ht="15.75" customHeight="1">
      <c r="A909" s="158"/>
      <c r="B909" s="158"/>
      <c r="C909" s="158"/>
      <c r="D909" s="158"/>
      <c r="E909" s="158"/>
      <c r="F909" s="158"/>
      <c r="G909" s="148"/>
      <c r="H909" s="148"/>
      <c r="I909" s="148"/>
      <c r="J909" s="148"/>
      <c r="K909" s="148"/>
      <c r="L909" s="148"/>
      <c r="M909" s="148"/>
      <c r="N909" s="148"/>
      <c r="O909" s="158"/>
      <c r="P909" s="148"/>
      <c r="Q909" s="207"/>
      <c r="R909" s="208"/>
      <c r="S909" s="208"/>
      <c r="T909" s="202"/>
    </row>
    <row r="910" ht="15.75" customHeight="1">
      <c r="A910" s="158"/>
      <c r="B910" s="158"/>
      <c r="C910" s="158"/>
      <c r="D910" s="158"/>
      <c r="E910" s="158"/>
      <c r="F910" s="158"/>
      <c r="G910" s="148"/>
      <c r="H910" s="148"/>
      <c r="I910" s="148"/>
      <c r="J910" s="148"/>
      <c r="K910" s="148"/>
      <c r="L910" s="148"/>
      <c r="M910" s="148"/>
      <c r="N910" s="148"/>
      <c r="O910" s="158"/>
      <c r="P910" s="148"/>
      <c r="Q910" s="207"/>
      <c r="R910" s="208"/>
      <c r="S910" s="208"/>
      <c r="T910" s="202"/>
    </row>
    <row r="911" ht="15.75" customHeight="1">
      <c r="A911" s="158"/>
      <c r="B911" s="158"/>
      <c r="C911" s="158"/>
      <c r="D911" s="158"/>
      <c r="E911" s="158"/>
      <c r="F911" s="158"/>
      <c r="G911" s="148"/>
      <c r="H911" s="148"/>
      <c r="I911" s="148"/>
      <c r="J911" s="148"/>
      <c r="K911" s="148"/>
      <c r="L911" s="148"/>
      <c r="M911" s="148"/>
      <c r="N911" s="148"/>
      <c r="O911" s="158"/>
      <c r="P911" s="148"/>
      <c r="Q911" s="207"/>
      <c r="R911" s="208"/>
      <c r="S911" s="208"/>
      <c r="T911" s="202"/>
    </row>
    <row r="912" ht="15.75" customHeight="1">
      <c r="A912" s="158"/>
      <c r="B912" s="158"/>
      <c r="C912" s="158"/>
      <c r="D912" s="158"/>
      <c r="E912" s="158"/>
      <c r="F912" s="158"/>
      <c r="G912" s="148"/>
      <c r="H912" s="148"/>
      <c r="I912" s="148"/>
      <c r="J912" s="148"/>
      <c r="K912" s="148"/>
      <c r="L912" s="148"/>
      <c r="M912" s="148"/>
      <c r="N912" s="148"/>
      <c r="O912" s="158"/>
      <c r="P912" s="148"/>
      <c r="Q912" s="207"/>
      <c r="R912" s="208"/>
      <c r="S912" s="208"/>
      <c r="T912" s="202"/>
    </row>
    <row r="913" ht="15.75" customHeight="1">
      <c r="A913" s="158"/>
      <c r="B913" s="158"/>
      <c r="C913" s="158"/>
      <c r="D913" s="158"/>
      <c r="E913" s="158"/>
      <c r="F913" s="158"/>
      <c r="G913" s="148"/>
      <c r="H913" s="148"/>
      <c r="I913" s="148"/>
      <c r="J913" s="148"/>
      <c r="K913" s="148"/>
      <c r="L913" s="148"/>
      <c r="M913" s="148"/>
      <c r="N913" s="148"/>
      <c r="O913" s="158"/>
      <c r="P913" s="148"/>
      <c r="Q913" s="207"/>
      <c r="R913" s="208"/>
      <c r="S913" s="208"/>
      <c r="T913" s="202"/>
    </row>
    <row r="914" ht="15.75" customHeight="1">
      <c r="A914" s="158"/>
      <c r="B914" s="158"/>
      <c r="C914" s="158"/>
      <c r="D914" s="158"/>
      <c r="E914" s="158"/>
      <c r="F914" s="158"/>
      <c r="G914" s="148"/>
      <c r="H914" s="148"/>
      <c r="I914" s="148"/>
      <c r="J914" s="148"/>
      <c r="K914" s="148"/>
      <c r="L914" s="148"/>
      <c r="M914" s="148"/>
      <c r="N914" s="148"/>
      <c r="O914" s="158"/>
      <c r="P914" s="148"/>
      <c r="Q914" s="207"/>
      <c r="R914" s="208"/>
      <c r="S914" s="208"/>
      <c r="T914" s="202"/>
    </row>
    <row r="915" ht="15.75" customHeight="1">
      <c r="A915" s="158"/>
      <c r="B915" s="158"/>
      <c r="C915" s="158"/>
      <c r="D915" s="158"/>
      <c r="E915" s="158"/>
      <c r="F915" s="158"/>
      <c r="G915" s="148"/>
      <c r="H915" s="148"/>
      <c r="I915" s="148"/>
      <c r="J915" s="148"/>
      <c r="K915" s="148"/>
      <c r="L915" s="148"/>
      <c r="M915" s="148"/>
      <c r="N915" s="148"/>
      <c r="O915" s="158"/>
      <c r="P915" s="148"/>
      <c r="Q915" s="207"/>
      <c r="R915" s="208"/>
      <c r="S915" s="208"/>
      <c r="T915" s="202"/>
    </row>
    <row r="916" ht="15.75" customHeight="1">
      <c r="A916" s="158"/>
      <c r="B916" s="158"/>
      <c r="C916" s="158"/>
      <c r="D916" s="158"/>
      <c r="E916" s="158"/>
      <c r="F916" s="158"/>
      <c r="G916" s="148"/>
      <c r="H916" s="148"/>
      <c r="I916" s="148"/>
      <c r="J916" s="148"/>
      <c r="K916" s="148"/>
      <c r="L916" s="148"/>
      <c r="M916" s="148"/>
      <c r="N916" s="148"/>
      <c r="O916" s="158"/>
      <c r="P916" s="148"/>
      <c r="Q916" s="207"/>
      <c r="R916" s="208"/>
      <c r="S916" s="208"/>
      <c r="T916" s="202"/>
    </row>
    <row r="917" ht="15.75" customHeight="1">
      <c r="A917" s="158"/>
      <c r="B917" s="158"/>
      <c r="C917" s="158"/>
      <c r="D917" s="158"/>
      <c r="E917" s="158"/>
      <c r="F917" s="158"/>
      <c r="G917" s="148"/>
      <c r="H917" s="148"/>
      <c r="I917" s="148"/>
      <c r="J917" s="148"/>
      <c r="K917" s="148"/>
      <c r="L917" s="148"/>
      <c r="M917" s="148"/>
      <c r="N917" s="148"/>
      <c r="O917" s="158"/>
      <c r="P917" s="148"/>
      <c r="Q917" s="207"/>
      <c r="R917" s="208"/>
      <c r="S917" s="208"/>
      <c r="T917" s="202"/>
    </row>
    <row r="918" ht="15.75" customHeight="1">
      <c r="A918" s="158"/>
      <c r="B918" s="158"/>
      <c r="C918" s="158"/>
      <c r="D918" s="158"/>
      <c r="E918" s="158"/>
      <c r="F918" s="158"/>
      <c r="G918" s="148"/>
      <c r="H918" s="148"/>
      <c r="I918" s="148"/>
      <c r="J918" s="148"/>
      <c r="K918" s="148"/>
      <c r="L918" s="148"/>
      <c r="M918" s="148"/>
      <c r="N918" s="148"/>
      <c r="O918" s="158"/>
      <c r="P918" s="148"/>
      <c r="Q918" s="207"/>
      <c r="R918" s="208"/>
      <c r="S918" s="208"/>
      <c r="T918" s="202"/>
    </row>
    <row r="919" ht="15.75" customHeight="1">
      <c r="A919" s="158"/>
      <c r="B919" s="158"/>
      <c r="C919" s="158"/>
      <c r="D919" s="158"/>
      <c r="E919" s="158"/>
      <c r="F919" s="158"/>
      <c r="G919" s="148"/>
      <c r="H919" s="148"/>
      <c r="I919" s="148"/>
      <c r="J919" s="148"/>
      <c r="K919" s="148"/>
      <c r="L919" s="148"/>
      <c r="M919" s="148"/>
      <c r="N919" s="148"/>
      <c r="O919" s="158"/>
      <c r="P919" s="148"/>
      <c r="Q919" s="207"/>
      <c r="R919" s="208"/>
      <c r="S919" s="208"/>
      <c r="T919" s="202"/>
    </row>
    <row r="920" ht="15.75" customHeight="1">
      <c r="A920" s="158"/>
      <c r="B920" s="158"/>
      <c r="C920" s="158"/>
      <c r="D920" s="158"/>
      <c r="E920" s="158"/>
      <c r="F920" s="158"/>
      <c r="G920" s="148"/>
      <c r="H920" s="148"/>
      <c r="I920" s="148"/>
      <c r="J920" s="148"/>
      <c r="K920" s="148"/>
      <c r="L920" s="148"/>
      <c r="M920" s="148"/>
      <c r="N920" s="148"/>
      <c r="O920" s="158"/>
      <c r="P920" s="148"/>
      <c r="Q920" s="207"/>
      <c r="R920" s="208"/>
      <c r="S920" s="208"/>
      <c r="T920" s="202"/>
    </row>
    <row r="921" ht="15.75" customHeight="1">
      <c r="A921" s="158"/>
      <c r="B921" s="158"/>
      <c r="C921" s="158"/>
      <c r="D921" s="158"/>
      <c r="E921" s="158"/>
      <c r="F921" s="158"/>
      <c r="G921" s="148"/>
      <c r="H921" s="148"/>
      <c r="I921" s="148"/>
      <c r="J921" s="148"/>
      <c r="K921" s="148"/>
      <c r="L921" s="148"/>
      <c r="M921" s="148"/>
      <c r="N921" s="148"/>
      <c r="O921" s="158"/>
      <c r="P921" s="148"/>
      <c r="Q921" s="207"/>
      <c r="R921" s="208"/>
      <c r="S921" s="208"/>
      <c r="T921" s="202"/>
    </row>
    <row r="922" ht="15.75" customHeight="1">
      <c r="A922" s="158"/>
      <c r="B922" s="158"/>
      <c r="C922" s="158"/>
      <c r="D922" s="158"/>
      <c r="E922" s="158"/>
      <c r="F922" s="158"/>
      <c r="G922" s="148"/>
      <c r="H922" s="148"/>
      <c r="I922" s="148"/>
      <c r="J922" s="148"/>
      <c r="K922" s="148"/>
      <c r="L922" s="148"/>
      <c r="M922" s="148"/>
      <c r="N922" s="148"/>
      <c r="O922" s="158"/>
      <c r="P922" s="148"/>
      <c r="Q922" s="207"/>
      <c r="R922" s="208"/>
      <c r="S922" s="208"/>
      <c r="T922" s="202"/>
    </row>
    <row r="923" ht="15.75" customHeight="1">
      <c r="A923" s="158"/>
      <c r="B923" s="158"/>
      <c r="C923" s="158"/>
      <c r="D923" s="158"/>
      <c r="E923" s="158"/>
      <c r="F923" s="158"/>
      <c r="G923" s="148"/>
      <c r="H923" s="148"/>
      <c r="I923" s="148"/>
      <c r="J923" s="148"/>
      <c r="K923" s="148"/>
      <c r="L923" s="148"/>
      <c r="M923" s="148"/>
      <c r="N923" s="148"/>
      <c r="O923" s="158"/>
      <c r="P923" s="148"/>
      <c r="Q923" s="207"/>
      <c r="R923" s="208"/>
      <c r="S923" s="208"/>
      <c r="T923" s="202"/>
    </row>
    <row r="924" ht="15.75" customHeight="1">
      <c r="A924" s="158"/>
      <c r="B924" s="158"/>
      <c r="C924" s="158"/>
      <c r="D924" s="158"/>
      <c r="E924" s="158"/>
      <c r="F924" s="158"/>
      <c r="G924" s="148"/>
      <c r="H924" s="148"/>
      <c r="I924" s="148"/>
      <c r="J924" s="148"/>
      <c r="K924" s="148"/>
      <c r="L924" s="148"/>
      <c r="M924" s="148"/>
      <c r="N924" s="148"/>
      <c r="O924" s="158"/>
      <c r="P924" s="148"/>
      <c r="Q924" s="207"/>
      <c r="R924" s="208"/>
      <c r="S924" s="208"/>
      <c r="T924" s="202"/>
    </row>
    <row r="925" ht="15.75" customHeight="1">
      <c r="A925" s="158"/>
      <c r="B925" s="158"/>
      <c r="C925" s="158"/>
      <c r="D925" s="158"/>
      <c r="E925" s="158"/>
      <c r="F925" s="158"/>
      <c r="G925" s="148"/>
      <c r="H925" s="148"/>
      <c r="I925" s="148"/>
      <c r="J925" s="148"/>
      <c r="K925" s="148"/>
      <c r="L925" s="148"/>
      <c r="M925" s="148"/>
      <c r="N925" s="148"/>
      <c r="O925" s="158"/>
      <c r="P925" s="148"/>
      <c r="Q925" s="207"/>
      <c r="R925" s="208"/>
      <c r="S925" s="208"/>
      <c r="T925" s="202"/>
    </row>
    <row r="926" ht="15.75" customHeight="1">
      <c r="A926" s="158"/>
      <c r="B926" s="158"/>
      <c r="C926" s="158"/>
      <c r="D926" s="158"/>
      <c r="E926" s="158"/>
      <c r="F926" s="158"/>
      <c r="G926" s="148"/>
      <c r="H926" s="148"/>
      <c r="I926" s="148"/>
      <c r="J926" s="148"/>
      <c r="K926" s="148"/>
      <c r="L926" s="148"/>
      <c r="M926" s="148"/>
      <c r="N926" s="148"/>
      <c r="O926" s="158"/>
      <c r="P926" s="148"/>
      <c r="Q926" s="207"/>
      <c r="R926" s="208"/>
      <c r="S926" s="208"/>
      <c r="T926" s="202"/>
    </row>
    <row r="927" ht="15.75" customHeight="1">
      <c r="A927" s="158"/>
      <c r="B927" s="158"/>
      <c r="C927" s="158"/>
      <c r="D927" s="158"/>
      <c r="E927" s="158"/>
      <c r="F927" s="158"/>
      <c r="G927" s="148"/>
      <c r="H927" s="148"/>
      <c r="I927" s="148"/>
      <c r="J927" s="148"/>
      <c r="K927" s="148"/>
      <c r="L927" s="148"/>
      <c r="M927" s="148"/>
      <c r="N927" s="148"/>
      <c r="O927" s="158"/>
      <c r="P927" s="148"/>
      <c r="Q927" s="207"/>
      <c r="R927" s="208"/>
      <c r="S927" s="208"/>
      <c r="T927" s="202"/>
    </row>
    <row r="928" ht="15.75" customHeight="1">
      <c r="A928" s="158"/>
      <c r="B928" s="158"/>
      <c r="C928" s="158"/>
      <c r="D928" s="158"/>
      <c r="E928" s="158"/>
      <c r="F928" s="158"/>
      <c r="G928" s="148"/>
      <c r="H928" s="148"/>
      <c r="I928" s="148"/>
      <c r="J928" s="148"/>
      <c r="K928" s="148"/>
      <c r="L928" s="148"/>
      <c r="M928" s="148"/>
      <c r="N928" s="148"/>
      <c r="O928" s="158"/>
      <c r="P928" s="148"/>
      <c r="Q928" s="207"/>
      <c r="R928" s="208"/>
      <c r="S928" s="208"/>
      <c r="T928" s="202"/>
    </row>
    <row r="929" ht="15.75" customHeight="1">
      <c r="A929" s="158"/>
      <c r="B929" s="158"/>
      <c r="C929" s="158"/>
      <c r="D929" s="158"/>
      <c r="E929" s="158"/>
      <c r="F929" s="158"/>
      <c r="G929" s="148"/>
      <c r="H929" s="148"/>
      <c r="I929" s="148"/>
      <c r="J929" s="148"/>
      <c r="K929" s="148"/>
      <c r="L929" s="148"/>
      <c r="M929" s="148"/>
      <c r="N929" s="148"/>
      <c r="O929" s="158"/>
      <c r="P929" s="148"/>
      <c r="Q929" s="207"/>
      <c r="R929" s="208"/>
      <c r="S929" s="208"/>
      <c r="T929" s="202"/>
    </row>
    <row r="930" ht="15.75" customHeight="1">
      <c r="A930" s="158"/>
      <c r="B930" s="158"/>
      <c r="C930" s="158"/>
      <c r="D930" s="158"/>
      <c r="E930" s="158"/>
      <c r="F930" s="158"/>
      <c r="G930" s="148"/>
      <c r="H930" s="148"/>
      <c r="I930" s="148"/>
      <c r="J930" s="148"/>
      <c r="K930" s="148"/>
      <c r="L930" s="148"/>
      <c r="M930" s="148"/>
      <c r="N930" s="148"/>
      <c r="O930" s="158"/>
      <c r="P930" s="148"/>
      <c r="Q930" s="207"/>
      <c r="R930" s="208"/>
      <c r="S930" s="208"/>
      <c r="T930" s="202"/>
    </row>
    <row r="931" ht="15.75" customHeight="1">
      <c r="A931" s="158"/>
      <c r="B931" s="158"/>
      <c r="C931" s="158"/>
      <c r="D931" s="158"/>
      <c r="E931" s="158"/>
      <c r="F931" s="158"/>
      <c r="G931" s="148"/>
      <c r="H931" s="148"/>
      <c r="I931" s="148"/>
      <c r="J931" s="148"/>
      <c r="K931" s="148"/>
      <c r="L931" s="148"/>
      <c r="M931" s="148"/>
      <c r="N931" s="148"/>
      <c r="O931" s="158"/>
      <c r="P931" s="148"/>
      <c r="Q931" s="207"/>
      <c r="R931" s="208"/>
      <c r="S931" s="208"/>
      <c r="T931" s="202"/>
    </row>
    <row r="932" ht="15.75" customHeight="1">
      <c r="A932" s="158"/>
      <c r="B932" s="158"/>
      <c r="C932" s="158"/>
      <c r="D932" s="158"/>
      <c r="E932" s="158"/>
      <c r="F932" s="158"/>
      <c r="G932" s="148"/>
      <c r="H932" s="148"/>
      <c r="I932" s="148"/>
      <c r="J932" s="148"/>
      <c r="K932" s="148"/>
      <c r="L932" s="148"/>
      <c r="M932" s="148"/>
      <c r="N932" s="148"/>
      <c r="O932" s="158"/>
      <c r="P932" s="148"/>
      <c r="Q932" s="207"/>
      <c r="R932" s="208"/>
      <c r="S932" s="208"/>
      <c r="T932" s="202"/>
    </row>
    <row r="933" ht="15.75" customHeight="1">
      <c r="A933" s="158"/>
      <c r="B933" s="158"/>
      <c r="C933" s="158"/>
      <c r="D933" s="158"/>
      <c r="E933" s="158"/>
      <c r="F933" s="158"/>
      <c r="G933" s="148"/>
      <c r="H933" s="148"/>
      <c r="I933" s="148"/>
      <c r="J933" s="148"/>
      <c r="K933" s="148"/>
      <c r="L933" s="148"/>
      <c r="M933" s="148"/>
      <c r="N933" s="148"/>
      <c r="O933" s="158"/>
      <c r="P933" s="148"/>
      <c r="Q933" s="207"/>
      <c r="R933" s="208"/>
      <c r="S933" s="208"/>
      <c r="T933" s="202"/>
    </row>
    <row r="934" ht="15.75" customHeight="1">
      <c r="A934" s="158"/>
      <c r="B934" s="158"/>
      <c r="C934" s="158"/>
      <c r="D934" s="158"/>
      <c r="E934" s="158"/>
      <c r="F934" s="158"/>
      <c r="G934" s="148"/>
      <c r="H934" s="148"/>
      <c r="I934" s="148"/>
      <c r="J934" s="148"/>
      <c r="K934" s="148"/>
      <c r="L934" s="148"/>
      <c r="M934" s="148"/>
      <c r="N934" s="148"/>
      <c r="O934" s="158"/>
      <c r="P934" s="148"/>
      <c r="Q934" s="207"/>
      <c r="R934" s="208"/>
      <c r="S934" s="208"/>
      <c r="T934" s="202"/>
    </row>
    <row r="935" ht="15.75" customHeight="1">
      <c r="A935" s="158"/>
      <c r="B935" s="158"/>
      <c r="C935" s="158"/>
      <c r="D935" s="158"/>
      <c r="E935" s="158"/>
      <c r="F935" s="158"/>
      <c r="G935" s="148"/>
      <c r="H935" s="148"/>
      <c r="I935" s="148"/>
      <c r="J935" s="148"/>
      <c r="K935" s="148"/>
      <c r="L935" s="148"/>
      <c r="M935" s="148"/>
      <c r="N935" s="148"/>
      <c r="O935" s="158"/>
      <c r="P935" s="148"/>
      <c r="Q935" s="207"/>
      <c r="R935" s="208"/>
      <c r="S935" s="208"/>
      <c r="T935" s="202"/>
    </row>
    <row r="936" ht="15.75" customHeight="1">
      <c r="A936" s="158"/>
      <c r="B936" s="158"/>
      <c r="C936" s="158"/>
      <c r="D936" s="158"/>
      <c r="E936" s="158"/>
      <c r="F936" s="158"/>
      <c r="G936" s="148"/>
      <c r="H936" s="148"/>
      <c r="I936" s="148"/>
      <c r="J936" s="148"/>
      <c r="K936" s="148"/>
      <c r="L936" s="148"/>
      <c r="M936" s="148"/>
      <c r="N936" s="148"/>
      <c r="O936" s="158"/>
      <c r="P936" s="148"/>
      <c r="Q936" s="207"/>
      <c r="R936" s="208"/>
      <c r="S936" s="208"/>
      <c r="T936" s="202"/>
    </row>
    <row r="937" ht="15.75" customHeight="1">
      <c r="A937" s="158"/>
      <c r="B937" s="158"/>
      <c r="C937" s="158"/>
      <c r="D937" s="158"/>
      <c r="E937" s="158"/>
      <c r="F937" s="158"/>
      <c r="G937" s="148"/>
      <c r="H937" s="148"/>
      <c r="I937" s="148"/>
      <c r="J937" s="148"/>
      <c r="K937" s="148"/>
      <c r="L937" s="148"/>
      <c r="M937" s="148"/>
      <c r="N937" s="148"/>
      <c r="O937" s="158"/>
      <c r="P937" s="148"/>
      <c r="Q937" s="207"/>
      <c r="R937" s="208"/>
      <c r="S937" s="208"/>
      <c r="T937" s="202"/>
    </row>
    <row r="938" ht="15.75" customHeight="1">
      <c r="A938" s="158"/>
      <c r="B938" s="158"/>
      <c r="C938" s="158"/>
      <c r="D938" s="158"/>
      <c r="E938" s="158"/>
      <c r="F938" s="158"/>
      <c r="G938" s="148"/>
      <c r="H938" s="148"/>
      <c r="I938" s="148"/>
      <c r="J938" s="148"/>
      <c r="K938" s="148"/>
      <c r="L938" s="148"/>
      <c r="M938" s="148"/>
      <c r="N938" s="148"/>
      <c r="O938" s="158"/>
      <c r="P938" s="148"/>
      <c r="Q938" s="207"/>
      <c r="R938" s="208"/>
      <c r="S938" s="208"/>
      <c r="T938" s="202"/>
    </row>
    <row r="939" ht="15.75" customHeight="1">
      <c r="A939" s="158"/>
      <c r="B939" s="158"/>
      <c r="C939" s="158"/>
      <c r="D939" s="158"/>
      <c r="E939" s="158"/>
      <c r="F939" s="158"/>
      <c r="G939" s="148"/>
      <c r="H939" s="148"/>
      <c r="I939" s="148"/>
      <c r="J939" s="148"/>
      <c r="K939" s="148"/>
      <c r="L939" s="148"/>
      <c r="M939" s="148"/>
      <c r="N939" s="148"/>
      <c r="O939" s="158"/>
      <c r="P939" s="148"/>
      <c r="Q939" s="207"/>
      <c r="R939" s="208"/>
      <c r="S939" s="208"/>
      <c r="T939" s="202"/>
    </row>
    <row r="940" ht="15.75" customHeight="1">
      <c r="A940" s="158"/>
      <c r="B940" s="158"/>
      <c r="C940" s="158"/>
      <c r="D940" s="158"/>
      <c r="E940" s="158"/>
      <c r="F940" s="158"/>
      <c r="G940" s="148"/>
      <c r="H940" s="148"/>
      <c r="I940" s="148"/>
      <c r="J940" s="148"/>
      <c r="K940" s="148"/>
      <c r="L940" s="148"/>
      <c r="M940" s="148"/>
      <c r="N940" s="148"/>
      <c r="O940" s="158"/>
      <c r="P940" s="148"/>
      <c r="Q940" s="207"/>
      <c r="R940" s="208"/>
      <c r="S940" s="208"/>
      <c r="T940" s="202"/>
    </row>
    <row r="941" ht="15.75" customHeight="1">
      <c r="A941" s="158"/>
      <c r="B941" s="158"/>
      <c r="C941" s="158"/>
      <c r="D941" s="158"/>
      <c r="E941" s="158"/>
      <c r="F941" s="158"/>
      <c r="G941" s="148"/>
      <c r="H941" s="148"/>
      <c r="I941" s="148"/>
      <c r="J941" s="148"/>
      <c r="K941" s="148"/>
      <c r="L941" s="148"/>
      <c r="M941" s="148"/>
      <c r="N941" s="148"/>
      <c r="O941" s="158"/>
      <c r="P941" s="148"/>
      <c r="Q941" s="207"/>
      <c r="R941" s="208"/>
      <c r="S941" s="208"/>
      <c r="T941" s="202"/>
    </row>
    <row r="942" ht="15.75" customHeight="1">
      <c r="A942" s="158"/>
      <c r="B942" s="158"/>
      <c r="C942" s="158"/>
      <c r="D942" s="158"/>
      <c r="E942" s="158"/>
      <c r="F942" s="158"/>
      <c r="G942" s="148"/>
      <c r="H942" s="148"/>
      <c r="I942" s="148"/>
      <c r="J942" s="148"/>
      <c r="K942" s="148"/>
      <c r="L942" s="148"/>
      <c r="M942" s="148"/>
      <c r="N942" s="148"/>
      <c r="O942" s="158"/>
      <c r="P942" s="148"/>
      <c r="Q942" s="207"/>
      <c r="R942" s="208"/>
      <c r="S942" s="208"/>
      <c r="T942" s="202"/>
    </row>
    <row r="943" ht="15.75" customHeight="1">
      <c r="A943" s="158"/>
      <c r="B943" s="158"/>
      <c r="C943" s="158"/>
      <c r="D943" s="158"/>
      <c r="E943" s="158"/>
      <c r="F943" s="158"/>
      <c r="G943" s="148"/>
      <c r="H943" s="148"/>
      <c r="I943" s="148"/>
      <c r="J943" s="148"/>
      <c r="K943" s="148"/>
      <c r="L943" s="148"/>
      <c r="M943" s="148"/>
      <c r="N943" s="148"/>
      <c r="O943" s="158"/>
      <c r="P943" s="148"/>
      <c r="Q943" s="207"/>
      <c r="R943" s="208"/>
      <c r="S943" s="208"/>
      <c r="T943" s="202"/>
    </row>
    <row r="944" ht="15.75" customHeight="1">
      <c r="A944" s="158"/>
      <c r="B944" s="158"/>
      <c r="C944" s="158"/>
      <c r="D944" s="158"/>
      <c r="E944" s="158"/>
      <c r="F944" s="158"/>
      <c r="G944" s="148"/>
      <c r="H944" s="148"/>
      <c r="I944" s="148"/>
      <c r="J944" s="148"/>
      <c r="K944" s="148"/>
      <c r="L944" s="148"/>
      <c r="M944" s="148"/>
      <c r="N944" s="148"/>
      <c r="O944" s="158"/>
      <c r="P944" s="148"/>
      <c r="Q944" s="207"/>
      <c r="R944" s="208"/>
      <c r="S944" s="208"/>
      <c r="T944" s="202"/>
    </row>
    <row r="945" ht="15.75" customHeight="1">
      <c r="A945" s="158"/>
      <c r="B945" s="158"/>
      <c r="C945" s="158"/>
      <c r="D945" s="158"/>
      <c r="E945" s="158"/>
      <c r="F945" s="158"/>
      <c r="G945" s="148"/>
      <c r="H945" s="148"/>
      <c r="I945" s="148"/>
      <c r="J945" s="148"/>
      <c r="K945" s="148"/>
      <c r="L945" s="148"/>
      <c r="M945" s="148"/>
      <c r="N945" s="148"/>
      <c r="O945" s="158"/>
      <c r="P945" s="148"/>
      <c r="Q945" s="207"/>
      <c r="R945" s="208"/>
      <c r="S945" s="208"/>
      <c r="T945" s="202"/>
    </row>
    <row r="946" ht="15.75" customHeight="1">
      <c r="A946" s="158"/>
      <c r="B946" s="158"/>
      <c r="C946" s="158"/>
      <c r="D946" s="158"/>
      <c r="E946" s="158"/>
      <c r="F946" s="158"/>
      <c r="G946" s="148"/>
      <c r="H946" s="148"/>
      <c r="I946" s="148"/>
      <c r="J946" s="148"/>
      <c r="K946" s="148"/>
      <c r="L946" s="148"/>
      <c r="M946" s="148"/>
      <c r="N946" s="148"/>
      <c r="O946" s="158"/>
      <c r="P946" s="148"/>
      <c r="Q946" s="207"/>
      <c r="R946" s="208"/>
      <c r="S946" s="208"/>
      <c r="T946" s="202"/>
    </row>
    <row r="947" ht="15.75" customHeight="1">
      <c r="A947" s="158"/>
      <c r="B947" s="158"/>
      <c r="C947" s="158"/>
      <c r="D947" s="158"/>
      <c r="E947" s="158"/>
      <c r="F947" s="158"/>
      <c r="G947" s="148"/>
      <c r="H947" s="148"/>
      <c r="I947" s="148"/>
      <c r="J947" s="148"/>
      <c r="K947" s="148"/>
      <c r="L947" s="148"/>
      <c r="M947" s="148"/>
      <c r="N947" s="148"/>
      <c r="O947" s="158"/>
      <c r="P947" s="148"/>
      <c r="Q947" s="207"/>
      <c r="R947" s="208"/>
      <c r="S947" s="208"/>
      <c r="T947" s="202"/>
    </row>
    <row r="948" ht="15.75" customHeight="1">
      <c r="A948" s="158"/>
      <c r="B948" s="158"/>
      <c r="C948" s="158"/>
      <c r="D948" s="158"/>
      <c r="E948" s="158"/>
      <c r="F948" s="158"/>
      <c r="G948" s="148"/>
      <c r="H948" s="148"/>
      <c r="I948" s="148"/>
      <c r="J948" s="148"/>
      <c r="K948" s="148"/>
      <c r="L948" s="148"/>
      <c r="M948" s="148"/>
      <c r="N948" s="148"/>
      <c r="O948" s="158"/>
      <c r="P948" s="148"/>
      <c r="Q948" s="207"/>
      <c r="R948" s="208"/>
      <c r="S948" s="208"/>
      <c r="T948" s="202"/>
    </row>
    <row r="949" ht="15.75" customHeight="1">
      <c r="A949" s="158"/>
      <c r="B949" s="158"/>
      <c r="C949" s="158"/>
      <c r="D949" s="158"/>
      <c r="E949" s="158"/>
      <c r="F949" s="158"/>
      <c r="G949" s="148"/>
      <c r="H949" s="148"/>
      <c r="I949" s="148"/>
      <c r="J949" s="148"/>
      <c r="K949" s="148"/>
      <c r="L949" s="148"/>
      <c r="M949" s="148"/>
      <c r="N949" s="148"/>
      <c r="O949" s="158"/>
      <c r="P949" s="148"/>
      <c r="Q949" s="207"/>
      <c r="R949" s="208"/>
      <c r="S949" s="208"/>
      <c r="T949" s="202"/>
    </row>
    <row r="950" ht="15.75" customHeight="1">
      <c r="A950" s="158"/>
      <c r="B950" s="158"/>
      <c r="C950" s="158"/>
      <c r="D950" s="158"/>
      <c r="E950" s="158"/>
      <c r="F950" s="158"/>
      <c r="G950" s="148"/>
      <c r="H950" s="148"/>
      <c r="I950" s="148"/>
      <c r="J950" s="148"/>
      <c r="K950" s="148"/>
      <c r="L950" s="148"/>
      <c r="M950" s="148"/>
      <c r="N950" s="148"/>
      <c r="O950" s="158"/>
      <c r="P950" s="148"/>
      <c r="Q950" s="207"/>
      <c r="R950" s="208"/>
      <c r="S950" s="208"/>
      <c r="T950" s="202"/>
    </row>
    <row r="951" ht="15.75" customHeight="1">
      <c r="A951" s="158"/>
      <c r="B951" s="158"/>
      <c r="C951" s="158"/>
      <c r="D951" s="158"/>
      <c r="E951" s="158"/>
      <c r="F951" s="158"/>
      <c r="G951" s="148"/>
      <c r="H951" s="148"/>
      <c r="I951" s="148"/>
      <c r="J951" s="148"/>
      <c r="K951" s="148"/>
      <c r="L951" s="148"/>
      <c r="M951" s="148"/>
      <c r="N951" s="148"/>
      <c r="O951" s="158"/>
      <c r="P951" s="148"/>
      <c r="Q951" s="207"/>
      <c r="R951" s="208"/>
      <c r="S951" s="208"/>
      <c r="T951" s="202"/>
    </row>
    <row r="952" ht="15.75" customHeight="1">
      <c r="A952" s="158"/>
      <c r="B952" s="158"/>
      <c r="C952" s="158"/>
      <c r="D952" s="158"/>
      <c r="E952" s="158"/>
      <c r="F952" s="158"/>
      <c r="G952" s="148"/>
      <c r="H952" s="148"/>
      <c r="I952" s="148"/>
      <c r="J952" s="148"/>
      <c r="K952" s="148"/>
      <c r="L952" s="148"/>
      <c r="M952" s="148"/>
      <c r="N952" s="148"/>
      <c r="O952" s="158"/>
      <c r="P952" s="148"/>
      <c r="Q952" s="207"/>
      <c r="R952" s="208"/>
      <c r="S952" s="208"/>
      <c r="T952" s="202"/>
    </row>
    <row r="953" ht="15.75" customHeight="1">
      <c r="A953" s="158"/>
      <c r="B953" s="158"/>
      <c r="C953" s="158"/>
      <c r="D953" s="158"/>
      <c r="E953" s="158"/>
      <c r="F953" s="158"/>
      <c r="G953" s="148"/>
      <c r="H953" s="148"/>
      <c r="I953" s="148"/>
      <c r="J953" s="148"/>
      <c r="K953" s="148"/>
      <c r="L953" s="148"/>
      <c r="M953" s="148"/>
      <c r="N953" s="148"/>
      <c r="O953" s="158"/>
      <c r="P953" s="148"/>
      <c r="Q953" s="207"/>
      <c r="R953" s="208"/>
      <c r="S953" s="208"/>
      <c r="T953" s="202"/>
    </row>
    <row r="954" ht="15.75" customHeight="1">
      <c r="A954" s="158"/>
      <c r="B954" s="158"/>
      <c r="C954" s="158"/>
      <c r="D954" s="158"/>
      <c r="E954" s="158"/>
      <c r="F954" s="158"/>
      <c r="G954" s="148"/>
      <c r="H954" s="148"/>
      <c r="I954" s="148"/>
      <c r="J954" s="148"/>
      <c r="K954" s="148"/>
      <c r="L954" s="148"/>
      <c r="M954" s="148"/>
      <c r="N954" s="148"/>
      <c r="O954" s="158"/>
      <c r="P954" s="148"/>
      <c r="Q954" s="207"/>
      <c r="R954" s="208"/>
      <c r="S954" s="208"/>
      <c r="T954" s="202"/>
    </row>
    <row r="955" ht="15.75" customHeight="1">
      <c r="A955" s="158"/>
      <c r="B955" s="158"/>
      <c r="C955" s="158"/>
      <c r="D955" s="158"/>
      <c r="E955" s="158"/>
      <c r="F955" s="158"/>
      <c r="G955" s="148"/>
      <c r="H955" s="148"/>
      <c r="I955" s="148"/>
      <c r="J955" s="148"/>
      <c r="K955" s="148"/>
      <c r="L955" s="148"/>
      <c r="M955" s="148"/>
      <c r="N955" s="148"/>
      <c r="O955" s="158"/>
      <c r="P955" s="148"/>
      <c r="Q955" s="207"/>
      <c r="R955" s="208"/>
      <c r="S955" s="208"/>
      <c r="T955" s="202"/>
    </row>
    <row r="956" ht="15.75" customHeight="1">
      <c r="A956" s="158"/>
      <c r="B956" s="158"/>
      <c r="C956" s="158"/>
      <c r="D956" s="158"/>
      <c r="E956" s="158"/>
      <c r="F956" s="158"/>
      <c r="G956" s="148"/>
      <c r="H956" s="148"/>
      <c r="I956" s="148"/>
      <c r="J956" s="148"/>
      <c r="K956" s="148"/>
      <c r="L956" s="148"/>
      <c r="M956" s="148"/>
      <c r="N956" s="148"/>
      <c r="O956" s="158"/>
      <c r="P956" s="148"/>
      <c r="Q956" s="207"/>
      <c r="R956" s="208"/>
      <c r="S956" s="208"/>
      <c r="T956" s="202"/>
    </row>
    <row r="957" ht="15.75" customHeight="1">
      <c r="A957" s="158"/>
      <c r="B957" s="158"/>
      <c r="C957" s="158"/>
      <c r="D957" s="158"/>
      <c r="E957" s="158"/>
      <c r="F957" s="158"/>
      <c r="G957" s="148"/>
      <c r="H957" s="148"/>
      <c r="I957" s="148"/>
      <c r="J957" s="148"/>
      <c r="K957" s="148"/>
      <c r="L957" s="148"/>
      <c r="M957" s="148"/>
      <c r="N957" s="148"/>
      <c r="O957" s="158"/>
      <c r="P957" s="148"/>
      <c r="Q957" s="207"/>
      <c r="R957" s="208"/>
      <c r="S957" s="208"/>
      <c r="T957" s="202"/>
    </row>
    <row r="958" ht="15.75" customHeight="1">
      <c r="A958" s="158"/>
      <c r="B958" s="158"/>
      <c r="C958" s="158"/>
      <c r="D958" s="158"/>
      <c r="E958" s="158"/>
      <c r="F958" s="158"/>
      <c r="G958" s="148"/>
      <c r="H958" s="148"/>
      <c r="I958" s="148"/>
      <c r="J958" s="148"/>
      <c r="K958" s="148"/>
      <c r="L958" s="148"/>
      <c r="M958" s="148"/>
      <c r="N958" s="148"/>
      <c r="O958" s="158"/>
      <c r="P958" s="148"/>
      <c r="Q958" s="207"/>
      <c r="R958" s="208"/>
      <c r="S958" s="208"/>
      <c r="T958" s="202"/>
    </row>
    <row r="959" ht="15.75" customHeight="1">
      <c r="A959" s="158"/>
      <c r="B959" s="158"/>
      <c r="C959" s="158"/>
      <c r="D959" s="158"/>
      <c r="E959" s="158"/>
      <c r="F959" s="158"/>
      <c r="G959" s="148"/>
      <c r="H959" s="148"/>
      <c r="I959" s="148"/>
      <c r="J959" s="148"/>
      <c r="K959" s="148"/>
      <c r="L959" s="148"/>
      <c r="M959" s="148"/>
      <c r="N959" s="148"/>
      <c r="O959" s="158"/>
      <c r="P959" s="148"/>
      <c r="Q959" s="207"/>
      <c r="R959" s="208"/>
      <c r="S959" s="208"/>
      <c r="T959" s="202"/>
    </row>
    <row r="960" ht="15.75" customHeight="1">
      <c r="A960" s="158"/>
      <c r="B960" s="158"/>
      <c r="C960" s="158"/>
      <c r="D960" s="158"/>
      <c r="E960" s="158"/>
      <c r="F960" s="158"/>
      <c r="G960" s="148"/>
      <c r="H960" s="148"/>
      <c r="I960" s="148"/>
      <c r="J960" s="148"/>
      <c r="K960" s="148"/>
      <c r="L960" s="148"/>
      <c r="M960" s="148"/>
      <c r="N960" s="148"/>
      <c r="O960" s="158"/>
      <c r="P960" s="148"/>
      <c r="Q960" s="207"/>
      <c r="R960" s="208"/>
      <c r="S960" s="208"/>
      <c r="T960" s="202"/>
    </row>
    <row r="961" ht="15.75" customHeight="1">
      <c r="A961" s="158"/>
      <c r="B961" s="158"/>
      <c r="C961" s="158"/>
      <c r="D961" s="158"/>
      <c r="E961" s="158"/>
      <c r="F961" s="158"/>
      <c r="G961" s="148"/>
      <c r="H961" s="148"/>
      <c r="I961" s="148"/>
      <c r="J961" s="148"/>
      <c r="K961" s="148"/>
      <c r="L961" s="148"/>
      <c r="M961" s="148"/>
      <c r="N961" s="148"/>
      <c r="O961" s="158"/>
      <c r="P961" s="148"/>
      <c r="Q961" s="207"/>
      <c r="R961" s="208"/>
      <c r="S961" s="208"/>
      <c r="T961" s="202"/>
    </row>
    <row r="962" ht="15.75" customHeight="1">
      <c r="A962" s="158"/>
      <c r="B962" s="158"/>
      <c r="C962" s="158"/>
      <c r="D962" s="158"/>
      <c r="E962" s="158"/>
      <c r="F962" s="158"/>
      <c r="G962" s="148"/>
      <c r="H962" s="148"/>
      <c r="I962" s="148"/>
      <c r="J962" s="148"/>
      <c r="K962" s="148"/>
      <c r="L962" s="148"/>
      <c r="M962" s="148"/>
      <c r="N962" s="148"/>
      <c r="O962" s="158"/>
      <c r="P962" s="148"/>
      <c r="Q962" s="207"/>
      <c r="R962" s="208"/>
      <c r="S962" s="208"/>
      <c r="T962" s="202"/>
    </row>
    <row r="963" ht="15.75" customHeight="1">
      <c r="A963" s="158"/>
      <c r="B963" s="158"/>
      <c r="C963" s="158"/>
      <c r="D963" s="158"/>
      <c r="E963" s="158"/>
      <c r="F963" s="158"/>
      <c r="G963" s="148"/>
      <c r="H963" s="148"/>
      <c r="I963" s="148"/>
      <c r="J963" s="148"/>
      <c r="K963" s="148"/>
      <c r="L963" s="148"/>
      <c r="M963" s="148"/>
      <c r="N963" s="148"/>
      <c r="O963" s="158"/>
      <c r="P963" s="148"/>
      <c r="Q963" s="207"/>
      <c r="R963" s="208"/>
      <c r="S963" s="208"/>
      <c r="T963" s="202"/>
    </row>
    <row r="964" ht="15.75" customHeight="1">
      <c r="A964" s="158"/>
      <c r="B964" s="158"/>
      <c r="C964" s="158"/>
      <c r="D964" s="158"/>
      <c r="E964" s="158"/>
      <c r="F964" s="158"/>
      <c r="G964" s="148"/>
      <c r="H964" s="148"/>
      <c r="I964" s="148"/>
      <c r="J964" s="148"/>
      <c r="K964" s="148"/>
      <c r="L964" s="148"/>
      <c r="M964" s="148"/>
      <c r="N964" s="148"/>
      <c r="O964" s="158"/>
      <c r="P964" s="148"/>
      <c r="Q964" s="207"/>
      <c r="R964" s="208"/>
      <c r="S964" s="208"/>
      <c r="T964" s="202"/>
    </row>
    <row r="965" ht="15.75" customHeight="1">
      <c r="A965" s="158"/>
      <c r="B965" s="158"/>
      <c r="C965" s="158"/>
      <c r="D965" s="158"/>
      <c r="E965" s="158"/>
      <c r="F965" s="158"/>
      <c r="G965" s="148"/>
      <c r="H965" s="148"/>
      <c r="I965" s="148"/>
      <c r="J965" s="148"/>
      <c r="K965" s="148"/>
      <c r="L965" s="148"/>
      <c r="M965" s="148"/>
      <c r="N965" s="148"/>
      <c r="O965" s="158"/>
      <c r="P965" s="148"/>
      <c r="Q965" s="207"/>
      <c r="R965" s="208"/>
      <c r="S965" s="208"/>
      <c r="T965" s="202"/>
    </row>
    <row r="966" ht="15.75" customHeight="1">
      <c r="A966" s="158"/>
      <c r="B966" s="158"/>
      <c r="C966" s="158"/>
      <c r="D966" s="158"/>
      <c r="E966" s="158"/>
      <c r="F966" s="158"/>
      <c r="G966" s="148"/>
      <c r="H966" s="148"/>
      <c r="I966" s="148"/>
      <c r="J966" s="148"/>
      <c r="K966" s="148"/>
      <c r="L966" s="148"/>
      <c r="M966" s="148"/>
      <c r="N966" s="148"/>
      <c r="O966" s="158"/>
      <c r="P966" s="148"/>
      <c r="Q966" s="207"/>
      <c r="R966" s="208"/>
      <c r="S966" s="208"/>
      <c r="T966" s="202"/>
    </row>
    <row r="967" ht="15.75" customHeight="1">
      <c r="A967" s="158"/>
      <c r="B967" s="158"/>
      <c r="C967" s="158"/>
      <c r="D967" s="158"/>
      <c r="E967" s="158"/>
      <c r="F967" s="158"/>
      <c r="G967" s="148"/>
      <c r="H967" s="148"/>
      <c r="I967" s="148"/>
      <c r="J967" s="148"/>
      <c r="K967" s="148"/>
      <c r="L967" s="148"/>
      <c r="M967" s="148"/>
      <c r="N967" s="148"/>
      <c r="O967" s="158"/>
      <c r="P967" s="148"/>
      <c r="Q967" s="207"/>
      <c r="R967" s="208"/>
      <c r="S967" s="208"/>
      <c r="T967" s="202"/>
    </row>
    <row r="968" ht="15.75" customHeight="1">
      <c r="A968" s="158"/>
      <c r="B968" s="158"/>
      <c r="C968" s="158"/>
      <c r="D968" s="158"/>
      <c r="E968" s="158"/>
      <c r="F968" s="158"/>
      <c r="G968" s="148"/>
      <c r="H968" s="148"/>
      <c r="I968" s="148"/>
      <c r="J968" s="148"/>
      <c r="K968" s="148"/>
      <c r="L968" s="148"/>
      <c r="M968" s="148"/>
      <c r="N968" s="148"/>
      <c r="O968" s="158"/>
      <c r="P968" s="148"/>
      <c r="Q968" s="207"/>
      <c r="R968" s="208"/>
      <c r="S968" s="208"/>
      <c r="T968" s="202"/>
    </row>
    <row r="969" ht="15.75" customHeight="1">
      <c r="A969" s="158"/>
      <c r="B969" s="158"/>
      <c r="C969" s="158"/>
      <c r="D969" s="158"/>
      <c r="E969" s="158"/>
      <c r="F969" s="158"/>
      <c r="G969" s="148"/>
      <c r="H969" s="148"/>
      <c r="I969" s="148"/>
      <c r="J969" s="148"/>
      <c r="K969" s="148"/>
      <c r="L969" s="148"/>
      <c r="M969" s="148"/>
      <c r="N969" s="148"/>
      <c r="O969" s="158"/>
      <c r="P969" s="148"/>
      <c r="Q969" s="207"/>
      <c r="R969" s="208"/>
      <c r="S969" s="208"/>
      <c r="T969" s="202"/>
    </row>
    <row r="970" ht="15.75" customHeight="1">
      <c r="A970" s="158"/>
      <c r="B970" s="158"/>
      <c r="C970" s="158"/>
      <c r="D970" s="158"/>
      <c r="E970" s="158"/>
      <c r="F970" s="158"/>
      <c r="G970" s="148"/>
      <c r="H970" s="148"/>
      <c r="I970" s="148"/>
      <c r="J970" s="148"/>
      <c r="K970" s="148"/>
      <c r="L970" s="148"/>
      <c r="M970" s="148"/>
      <c r="N970" s="148"/>
      <c r="O970" s="158"/>
      <c r="P970" s="148"/>
      <c r="Q970" s="207"/>
      <c r="R970" s="208"/>
      <c r="S970" s="208"/>
      <c r="T970" s="202"/>
    </row>
    <row r="971" ht="15.75" customHeight="1">
      <c r="A971" s="158"/>
      <c r="B971" s="158"/>
      <c r="C971" s="158"/>
      <c r="D971" s="158"/>
      <c r="E971" s="158"/>
      <c r="F971" s="158"/>
      <c r="G971" s="148"/>
      <c r="H971" s="148"/>
      <c r="I971" s="148"/>
      <c r="J971" s="148"/>
      <c r="K971" s="148"/>
      <c r="L971" s="148"/>
      <c r="M971" s="148"/>
      <c r="N971" s="148"/>
      <c r="O971" s="158"/>
      <c r="P971" s="148"/>
      <c r="Q971" s="207"/>
      <c r="R971" s="208"/>
      <c r="S971" s="208"/>
      <c r="T971" s="202"/>
    </row>
    <row r="972" ht="15.75" customHeight="1">
      <c r="A972" s="158"/>
      <c r="B972" s="158"/>
      <c r="C972" s="158"/>
      <c r="D972" s="158"/>
      <c r="E972" s="158"/>
      <c r="F972" s="158"/>
      <c r="G972" s="148"/>
      <c r="H972" s="148"/>
      <c r="I972" s="148"/>
      <c r="J972" s="148"/>
      <c r="K972" s="148"/>
      <c r="L972" s="148"/>
      <c r="M972" s="148"/>
      <c r="N972" s="148"/>
      <c r="O972" s="158"/>
      <c r="P972" s="148"/>
      <c r="Q972" s="207"/>
      <c r="R972" s="208"/>
      <c r="S972" s="208"/>
      <c r="T972" s="202"/>
    </row>
    <row r="973" ht="15.75" customHeight="1">
      <c r="A973" s="158"/>
      <c r="B973" s="158"/>
      <c r="C973" s="158"/>
      <c r="D973" s="158"/>
      <c r="E973" s="158"/>
      <c r="F973" s="158"/>
      <c r="G973" s="148"/>
      <c r="H973" s="148"/>
      <c r="I973" s="148"/>
      <c r="J973" s="148"/>
      <c r="K973" s="148"/>
      <c r="L973" s="148"/>
      <c r="M973" s="148"/>
      <c r="N973" s="148"/>
      <c r="O973" s="158"/>
      <c r="P973" s="148"/>
      <c r="Q973" s="207"/>
      <c r="R973" s="208"/>
      <c r="S973" s="208"/>
      <c r="T973" s="202"/>
    </row>
    <row r="974" ht="15.75" customHeight="1">
      <c r="A974" s="158"/>
      <c r="B974" s="158"/>
      <c r="C974" s="158"/>
      <c r="D974" s="158"/>
      <c r="E974" s="158"/>
      <c r="F974" s="158"/>
      <c r="G974" s="148"/>
      <c r="H974" s="148"/>
      <c r="I974" s="148"/>
      <c r="J974" s="148"/>
      <c r="K974" s="148"/>
      <c r="L974" s="148"/>
      <c r="M974" s="148"/>
      <c r="N974" s="148"/>
      <c r="O974" s="158"/>
      <c r="P974" s="148"/>
      <c r="Q974" s="207"/>
      <c r="R974" s="208"/>
      <c r="S974" s="208"/>
      <c r="T974" s="202"/>
    </row>
    <row r="975" ht="15.75" customHeight="1">
      <c r="A975" s="158"/>
      <c r="B975" s="158"/>
      <c r="C975" s="158"/>
      <c r="D975" s="158"/>
      <c r="E975" s="158"/>
      <c r="F975" s="158"/>
      <c r="G975" s="148"/>
      <c r="H975" s="148"/>
      <c r="I975" s="148"/>
      <c r="J975" s="148"/>
      <c r="K975" s="148"/>
      <c r="L975" s="148"/>
      <c r="M975" s="148"/>
      <c r="N975" s="148"/>
      <c r="O975" s="158"/>
      <c r="P975" s="148"/>
      <c r="Q975" s="207"/>
      <c r="R975" s="208"/>
      <c r="S975" s="208"/>
      <c r="T975" s="202"/>
    </row>
    <row r="976" ht="15.75" customHeight="1">
      <c r="A976" s="158"/>
      <c r="B976" s="158"/>
      <c r="C976" s="158"/>
      <c r="D976" s="158"/>
      <c r="E976" s="158"/>
      <c r="F976" s="158"/>
      <c r="G976" s="148"/>
      <c r="H976" s="148"/>
      <c r="I976" s="148"/>
      <c r="J976" s="148"/>
      <c r="K976" s="148"/>
      <c r="L976" s="148"/>
      <c r="M976" s="148"/>
      <c r="N976" s="148"/>
      <c r="O976" s="158"/>
      <c r="P976" s="148"/>
      <c r="Q976" s="207"/>
      <c r="R976" s="208"/>
      <c r="S976" s="208"/>
      <c r="T976" s="202"/>
    </row>
    <row r="977" ht="15.75" customHeight="1">
      <c r="A977" s="158"/>
      <c r="B977" s="158"/>
      <c r="C977" s="158"/>
      <c r="D977" s="158"/>
      <c r="E977" s="158"/>
      <c r="F977" s="158"/>
      <c r="G977" s="148"/>
      <c r="H977" s="148"/>
      <c r="I977" s="148"/>
      <c r="J977" s="148"/>
      <c r="K977" s="148"/>
      <c r="L977" s="148"/>
      <c r="M977" s="148"/>
      <c r="N977" s="148"/>
      <c r="O977" s="158"/>
      <c r="P977" s="148"/>
      <c r="Q977" s="207"/>
      <c r="R977" s="208"/>
      <c r="S977" s="208"/>
      <c r="T977" s="202"/>
    </row>
    <row r="978" ht="15.75" customHeight="1">
      <c r="A978" s="158"/>
      <c r="B978" s="158"/>
      <c r="C978" s="158"/>
      <c r="D978" s="158"/>
      <c r="E978" s="158"/>
      <c r="F978" s="158"/>
      <c r="G978" s="148"/>
      <c r="H978" s="148"/>
      <c r="I978" s="148"/>
      <c r="J978" s="148"/>
      <c r="K978" s="148"/>
      <c r="L978" s="148"/>
      <c r="M978" s="148"/>
      <c r="N978" s="148"/>
      <c r="O978" s="158"/>
      <c r="P978" s="148"/>
      <c r="Q978" s="207"/>
      <c r="R978" s="208"/>
      <c r="S978" s="208"/>
      <c r="T978" s="202"/>
    </row>
    <row r="979" ht="15.75" customHeight="1">
      <c r="A979" s="158"/>
      <c r="B979" s="158"/>
      <c r="C979" s="158"/>
      <c r="D979" s="158"/>
      <c r="E979" s="158"/>
      <c r="F979" s="158"/>
      <c r="G979" s="148"/>
      <c r="H979" s="148"/>
      <c r="I979" s="148"/>
      <c r="J979" s="148"/>
      <c r="K979" s="148"/>
      <c r="L979" s="148"/>
      <c r="M979" s="148"/>
      <c r="N979" s="148"/>
      <c r="O979" s="158"/>
      <c r="P979" s="148"/>
      <c r="Q979" s="207"/>
      <c r="R979" s="208"/>
      <c r="S979" s="208"/>
      <c r="T979" s="202"/>
    </row>
    <row r="980" ht="15.75" customHeight="1">
      <c r="A980" s="158"/>
      <c r="B980" s="158"/>
      <c r="C980" s="158"/>
      <c r="D980" s="158"/>
      <c r="E980" s="158"/>
      <c r="F980" s="158"/>
      <c r="G980" s="148"/>
      <c r="H980" s="148"/>
      <c r="I980" s="148"/>
      <c r="J980" s="148"/>
      <c r="K980" s="148"/>
      <c r="L980" s="148"/>
      <c r="M980" s="148"/>
      <c r="N980" s="148"/>
      <c r="O980" s="158"/>
      <c r="P980" s="148"/>
      <c r="Q980" s="207"/>
      <c r="R980" s="208"/>
      <c r="S980" s="208"/>
      <c r="T980" s="202"/>
    </row>
    <row r="981" ht="15.75" customHeight="1">
      <c r="A981" s="158"/>
      <c r="B981" s="158"/>
      <c r="C981" s="158"/>
      <c r="D981" s="158"/>
      <c r="E981" s="158"/>
      <c r="F981" s="158"/>
      <c r="G981" s="148"/>
      <c r="H981" s="148"/>
      <c r="I981" s="148"/>
      <c r="J981" s="148"/>
      <c r="K981" s="148"/>
      <c r="L981" s="148"/>
      <c r="M981" s="148"/>
      <c r="N981" s="148"/>
      <c r="O981" s="158"/>
      <c r="P981" s="148"/>
      <c r="Q981" s="207"/>
      <c r="R981" s="208"/>
      <c r="S981" s="208"/>
      <c r="T981" s="202"/>
    </row>
    <row r="982" ht="15.75" customHeight="1">
      <c r="A982" s="158"/>
      <c r="B982" s="158"/>
      <c r="C982" s="158"/>
      <c r="D982" s="158"/>
      <c r="E982" s="158"/>
      <c r="F982" s="158"/>
      <c r="G982" s="148"/>
      <c r="H982" s="148"/>
      <c r="I982" s="148"/>
      <c r="J982" s="148"/>
      <c r="K982" s="148"/>
      <c r="L982" s="148"/>
      <c r="M982" s="148"/>
      <c r="N982" s="148"/>
      <c r="O982" s="158"/>
      <c r="P982" s="148"/>
      <c r="Q982" s="207"/>
      <c r="R982" s="208"/>
      <c r="S982" s="208"/>
      <c r="T982" s="202"/>
    </row>
    <row r="983" ht="15.75" customHeight="1">
      <c r="A983" s="158"/>
      <c r="B983" s="158"/>
      <c r="C983" s="158"/>
      <c r="D983" s="158"/>
      <c r="E983" s="158"/>
      <c r="F983" s="158"/>
      <c r="G983" s="148"/>
      <c r="H983" s="148"/>
      <c r="I983" s="148"/>
      <c r="J983" s="148"/>
      <c r="K983" s="148"/>
      <c r="L983" s="148"/>
      <c r="M983" s="148"/>
      <c r="N983" s="148"/>
      <c r="O983" s="158"/>
      <c r="P983" s="148"/>
      <c r="Q983" s="207"/>
      <c r="R983" s="208"/>
      <c r="S983" s="208"/>
      <c r="T983" s="202"/>
    </row>
    <row r="984" ht="15.75" customHeight="1">
      <c r="A984" s="158"/>
      <c r="B984" s="158"/>
      <c r="C984" s="158"/>
      <c r="D984" s="158"/>
      <c r="E984" s="158"/>
      <c r="F984" s="158"/>
      <c r="G984" s="148"/>
      <c r="H984" s="148"/>
      <c r="I984" s="148"/>
      <c r="J984" s="148"/>
      <c r="K984" s="148"/>
      <c r="L984" s="148"/>
      <c r="M984" s="148"/>
      <c r="N984" s="148"/>
      <c r="O984" s="158"/>
      <c r="P984" s="148"/>
      <c r="Q984" s="207"/>
      <c r="R984" s="208"/>
      <c r="S984" s="208"/>
      <c r="T984" s="202"/>
    </row>
    <row r="985" ht="15.75" customHeight="1">
      <c r="A985" s="158"/>
      <c r="B985" s="158"/>
      <c r="C985" s="158"/>
      <c r="D985" s="158"/>
      <c r="E985" s="158"/>
      <c r="F985" s="158"/>
      <c r="G985" s="148"/>
      <c r="H985" s="148"/>
      <c r="I985" s="148"/>
      <c r="J985" s="148"/>
      <c r="K985" s="148"/>
      <c r="L985" s="148"/>
      <c r="M985" s="148"/>
      <c r="N985" s="148"/>
      <c r="O985" s="158"/>
      <c r="P985" s="148"/>
      <c r="Q985" s="207"/>
      <c r="R985" s="208"/>
      <c r="S985" s="208"/>
      <c r="T985" s="202"/>
    </row>
    <row r="986" ht="15.75" customHeight="1">
      <c r="A986" s="158"/>
      <c r="B986" s="158"/>
      <c r="C986" s="158"/>
      <c r="D986" s="158"/>
      <c r="E986" s="158"/>
      <c r="F986" s="158"/>
      <c r="G986" s="148"/>
      <c r="H986" s="148"/>
      <c r="I986" s="148"/>
      <c r="J986" s="148"/>
      <c r="K986" s="148"/>
      <c r="L986" s="148"/>
      <c r="M986" s="148"/>
      <c r="N986" s="148"/>
      <c r="O986" s="158"/>
      <c r="P986" s="148"/>
      <c r="Q986" s="207"/>
      <c r="R986" s="208"/>
      <c r="S986" s="208"/>
      <c r="T986" s="202"/>
    </row>
    <row r="987" ht="15.75" customHeight="1">
      <c r="A987" s="158"/>
      <c r="B987" s="158"/>
      <c r="C987" s="158"/>
      <c r="D987" s="158"/>
      <c r="E987" s="158"/>
      <c r="F987" s="158"/>
      <c r="G987" s="148"/>
      <c r="H987" s="148"/>
      <c r="I987" s="148"/>
      <c r="J987" s="148"/>
      <c r="K987" s="148"/>
      <c r="L987" s="148"/>
      <c r="M987" s="148"/>
      <c r="N987" s="148"/>
      <c r="O987" s="158"/>
      <c r="P987" s="148"/>
      <c r="Q987" s="207"/>
      <c r="R987" s="208"/>
      <c r="S987" s="208"/>
      <c r="T987" s="202"/>
    </row>
    <row r="988" ht="15.75" customHeight="1">
      <c r="A988" s="158"/>
      <c r="B988" s="158"/>
      <c r="C988" s="158"/>
      <c r="D988" s="158"/>
      <c r="E988" s="158"/>
      <c r="F988" s="158"/>
      <c r="G988" s="148"/>
      <c r="H988" s="148"/>
      <c r="I988" s="148"/>
      <c r="J988" s="148"/>
      <c r="K988" s="148"/>
      <c r="L988" s="148"/>
      <c r="M988" s="148"/>
      <c r="N988" s="148"/>
      <c r="O988" s="158"/>
      <c r="P988" s="148"/>
      <c r="Q988" s="207"/>
      <c r="R988" s="208"/>
      <c r="S988" s="208"/>
      <c r="T988" s="202"/>
    </row>
    <row r="989" ht="15.75" customHeight="1">
      <c r="A989" s="158"/>
      <c r="B989" s="158"/>
      <c r="C989" s="158"/>
      <c r="D989" s="158"/>
      <c r="E989" s="158"/>
      <c r="F989" s="158"/>
      <c r="G989" s="148"/>
      <c r="H989" s="148"/>
      <c r="I989" s="148"/>
      <c r="J989" s="148"/>
      <c r="K989" s="148"/>
      <c r="L989" s="148"/>
      <c r="M989" s="148"/>
      <c r="N989" s="148"/>
      <c r="O989" s="158"/>
      <c r="P989" s="148"/>
      <c r="Q989" s="207"/>
      <c r="R989" s="208"/>
      <c r="S989" s="208"/>
      <c r="T989" s="202"/>
    </row>
    <row r="990" ht="15.75" customHeight="1">
      <c r="A990" s="158"/>
      <c r="B990" s="158"/>
      <c r="C990" s="158"/>
      <c r="D990" s="158"/>
      <c r="E990" s="158"/>
      <c r="F990" s="158"/>
      <c r="G990" s="148"/>
      <c r="H990" s="148"/>
      <c r="I990" s="148"/>
      <c r="J990" s="148"/>
      <c r="K990" s="148"/>
      <c r="L990" s="148"/>
      <c r="M990" s="148"/>
      <c r="N990" s="148"/>
      <c r="O990" s="158"/>
      <c r="P990" s="148"/>
      <c r="Q990" s="207"/>
      <c r="R990" s="208"/>
      <c r="S990" s="208"/>
      <c r="T990" s="202"/>
    </row>
    <row r="991" ht="15.75" customHeight="1">
      <c r="A991" s="158"/>
      <c r="B991" s="158"/>
      <c r="C991" s="158"/>
      <c r="D991" s="158"/>
      <c r="E991" s="158"/>
      <c r="F991" s="158"/>
      <c r="G991" s="148"/>
      <c r="H991" s="148"/>
      <c r="I991" s="148"/>
      <c r="J991" s="148"/>
      <c r="K991" s="148"/>
      <c r="L991" s="148"/>
      <c r="M991" s="148"/>
      <c r="N991" s="148"/>
      <c r="O991" s="158"/>
      <c r="P991" s="148"/>
      <c r="Q991" s="207"/>
      <c r="R991" s="208"/>
      <c r="S991" s="208"/>
      <c r="T991" s="202"/>
    </row>
    <row r="992" ht="15.75" customHeight="1">
      <c r="A992" s="158"/>
      <c r="B992" s="158"/>
      <c r="C992" s="158"/>
      <c r="D992" s="158"/>
      <c r="E992" s="158"/>
      <c r="F992" s="158"/>
      <c r="G992" s="148"/>
      <c r="H992" s="148"/>
      <c r="I992" s="148"/>
      <c r="J992" s="148"/>
      <c r="K992" s="148"/>
      <c r="L992" s="148"/>
      <c r="M992" s="148"/>
      <c r="N992" s="148"/>
      <c r="O992" s="158"/>
      <c r="P992" s="148"/>
      <c r="Q992" s="207"/>
      <c r="R992" s="208"/>
      <c r="S992" s="208"/>
      <c r="T992" s="202"/>
    </row>
    <row r="993" ht="15.75" customHeight="1">
      <c r="A993" s="158"/>
      <c r="B993" s="158"/>
      <c r="C993" s="158"/>
      <c r="D993" s="158"/>
      <c r="E993" s="158"/>
      <c r="F993" s="158"/>
      <c r="G993" s="148"/>
      <c r="H993" s="148"/>
      <c r="I993" s="148"/>
      <c r="J993" s="148"/>
      <c r="K993" s="148"/>
      <c r="L993" s="148"/>
      <c r="M993" s="148"/>
      <c r="N993" s="148"/>
      <c r="O993" s="158"/>
      <c r="P993" s="148"/>
      <c r="Q993" s="207"/>
      <c r="R993" s="208"/>
      <c r="S993" s="208"/>
      <c r="T993" s="202"/>
    </row>
    <row r="994" ht="15.75" customHeight="1">
      <c r="A994" s="158"/>
      <c r="B994" s="158"/>
      <c r="C994" s="158"/>
      <c r="D994" s="158"/>
      <c r="E994" s="158"/>
      <c r="F994" s="158"/>
      <c r="G994" s="148"/>
      <c r="H994" s="148"/>
      <c r="I994" s="148"/>
      <c r="J994" s="148"/>
      <c r="K994" s="148"/>
      <c r="L994" s="148"/>
      <c r="M994" s="148"/>
      <c r="N994" s="148"/>
      <c r="O994" s="158"/>
      <c r="P994" s="148"/>
      <c r="Q994" s="207"/>
      <c r="R994" s="208"/>
      <c r="S994" s="208"/>
      <c r="T994" s="202"/>
    </row>
    <row r="995" ht="15.75" customHeight="1">
      <c r="A995" s="158"/>
      <c r="B995" s="158"/>
      <c r="C995" s="158"/>
      <c r="D995" s="158"/>
      <c r="E995" s="158"/>
      <c r="F995" s="158"/>
      <c r="G995" s="148"/>
      <c r="H995" s="148"/>
      <c r="I995" s="148"/>
      <c r="J995" s="148"/>
      <c r="K995" s="148"/>
      <c r="L995" s="148"/>
      <c r="M995" s="148"/>
      <c r="N995" s="148"/>
      <c r="O995" s="158"/>
      <c r="P995" s="148"/>
      <c r="Q995" s="207"/>
      <c r="R995" s="208"/>
      <c r="S995" s="208"/>
      <c r="T995" s="202"/>
    </row>
    <row r="996" ht="15.75" customHeight="1">
      <c r="A996" s="158"/>
      <c r="B996" s="158"/>
      <c r="C996" s="158"/>
      <c r="D996" s="158"/>
      <c r="E996" s="158"/>
      <c r="F996" s="158"/>
      <c r="G996" s="148"/>
      <c r="H996" s="148"/>
      <c r="I996" s="148"/>
      <c r="J996" s="148"/>
      <c r="K996" s="148"/>
      <c r="L996" s="148"/>
      <c r="M996" s="148"/>
      <c r="N996" s="148"/>
      <c r="O996" s="158"/>
      <c r="P996" s="148"/>
      <c r="Q996" s="207"/>
      <c r="R996" s="208"/>
      <c r="S996" s="208"/>
      <c r="T996" s="202"/>
    </row>
    <row r="997" ht="15.75" customHeight="1">
      <c r="A997" s="158"/>
      <c r="B997" s="158"/>
      <c r="C997" s="158"/>
      <c r="D997" s="158"/>
      <c r="E997" s="158"/>
      <c r="F997" s="158"/>
      <c r="G997" s="148"/>
      <c r="H997" s="148"/>
      <c r="I997" s="148"/>
      <c r="J997" s="148"/>
      <c r="K997" s="148"/>
      <c r="L997" s="148"/>
      <c r="M997" s="148"/>
      <c r="N997" s="148"/>
      <c r="O997" s="158"/>
      <c r="P997" s="148"/>
      <c r="Q997" s="207"/>
      <c r="R997" s="208"/>
      <c r="S997" s="208"/>
      <c r="T997" s="202"/>
    </row>
    <row r="998" ht="15.75" customHeight="1">
      <c r="A998" s="158"/>
      <c r="B998" s="158"/>
      <c r="C998" s="158"/>
      <c r="D998" s="158"/>
      <c r="E998" s="158"/>
      <c r="F998" s="158"/>
      <c r="G998" s="148"/>
      <c r="H998" s="148"/>
      <c r="I998" s="148"/>
      <c r="J998" s="148"/>
      <c r="K998" s="148"/>
      <c r="L998" s="148"/>
      <c r="M998" s="148"/>
      <c r="N998" s="148"/>
      <c r="O998" s="158"/>
      <c r="P998" s="148"/>
      <c r="Q998" s="207"/>
      <c r="R998" s="208"/>
      <c r="S998" s="208"/>
      <c r="T998" s="202"/>
    </row>
    <row r="999" ht="15.75" customHeight="1">
      <c r="A999" s="158"/>
      <c r="B999" s="158"/>
      <c r="C999" s="158"/>
      <c r="D999" s="158"/>
      <c r="E999" s="158"/>
      <c r="F999" s="158"/>
      <c r="G999" s="148"/>
      <c r="H999" s="148"/>
      <c r="I999" s="148"/>
      <c r="J999" s="148"/>
      <c r="K999" s="148"/>
      <c r="L999" s="148"/>
      <c r="M999" s="148"/>
      <c r="N999" s="148"/>
      <c r="O999" s="158"/>
      <c r="P999" s="148"/>
      <c r="Q999" s="207"/>
      <c r="R999" s="208"/>
      <c r="S999" s="208"/>
      <c r="T999" s="202"/>
    </row>
    <row r="1000" ht="15.75" customHeight="1">
      <c r="A1000" s="158"/>
      <c r="B1000" s="158"/>
      <c r="C1000" s="158"/>
      <c r="D1000" s="158"/>
      <c r="E1000" s="158"/>
      <c r="F1000" s="158"/>
      <c r="G1000" s="148"/>
      <c r="H1000" s="148"/>
      <c r="I1000" s="148"/>
      <c r="J1000" s="148"/>
      <c r="K1000" s="148"/>
      <c r="L1000" s="148"/>
      <c r="M1000" s="148"/>
      <c r="N1000" s="148"/>
      <c r="O1000" s="158"/>
      <c r="P1000" s="148"/>
      <c r="Q1000" s="207"/>
      <c r="R1000" s="208"/>
      <c r="S1000" s="208"/>
      <c r="T1000" s="202"/>
    </row>
    <row r="1001" ht="15.75" customHeight="1">
      <c r="A1001" s="158"/>
      <c r="B1001" s="158"/>
      <c r="C1001" s="158"/>
      <c r="D1001" s="158"/>
      <c r="E1001" s="158"/>
      <c r="F1001" s="158"/>
      <c r="G1001" s="148"/>
      <c r="H1001" s="148"/>
      <c r="I1001" s="148"/>
      <c r="J1001" s="148"/>
      <c r="K1001" s="148"/>
      <c r="L1001" s="148"/>
      <c r="M1001" s="148"/>
      <c r="N1001" s="148"/>
      <c r="O1001" s="158"/>
      <c r="P1001" s="148"/>
      <c r="Q1001" s="207"/>
      <c r="R1001" s="208"/>
      <c r="S1001" s="208"/>
      <c r="T1001" s="202"/>
    </row>
    <row r="1002" ht="15.75" customHeight="1">
      <c r="A1002" s="158"/>
      <c r="B1002" s="158"/>
      <c r="C1002" s="158"/>
      <c r="D1002" s="158"/>
      <c r="E1002" s="158"/>
      <c r="F1002" s="158"/>
      <c r="G1002" s="148"/>
      <c r="H1002" s="148"/>
      <c r="I1002" s="148"/>
      <c r="J1002" s="148"/>
      <c r="K1002" s="148"/>
      <c r="L1002" s="148"/>
      <c r="M1002" s="148"/>
      <c r="N1002" s="148"/>
      <c r="O1002" s="158"/>
      <c r="P1002" s="148"/>
      <c r="Q1002" s="207"/>
      <c r="R1002" s="208"/>
      <c r="S1002" s="208"/>
      <c r="T1002" s="202"/>
    </row>
    <row r="1003" ht="15.75" customHeight="1">
      <c r="A1003" s="158"/>
      <c r="B1003" s="158"/>
      <c r="C1003" s="158"/>
      <c r="D1003" s="158"/>
      <c r="E1003" s="158"/>
      <c r="F1003" s="158"/>
      <c r="G1003" s="148"/>
      <c r="H1003" s="148"/>
      <c r="I1003" s="148"/>
      <c r="J1003" s="148"/>
      <c r="K1003" s="148"/>
      <c r="L1003" s="148"/>
      <c r="M1003" s="148"/>
      <c r="N1003" s="148"/>
      <c r="O1003" s="158"/>
      <c r="P1003" s="148"/>
      <c r="Q1003" s="207"/>
      <c r="R1003" s="208"/>
      <c r="S1003" s="208"/>
      <c r="T1003" s="202"/>
    </row>
    <row r="1004" ht="15.75" customHeight="1">
      <c r="A1004" s="158"/>
      <c r="B1004" s="158"/>
      <c r="C1004" s="158"/>
      <c r="D1004" s="158"/>
      <c r="E1004" s="158"/>
      <c r="F1004" s="158"/>
      <c r="G1004" s="148"/>
      <c r="H1004" s="148"/>
      <c r="I1004" s="148"/>
      <c r="J1004" s="148"/>
      <c r="K1004" s="148"/>
      <c r="L1004" s="148"/>
      <c r="M1004" s="148"/>
      <c r="N1004" s="148"/>
      <c r="O1004" s="158"/>
      <c r="P1004" s="148"/>
      <c r="Q1004" s="207"/>
      <c r="R1004" s="208"/>
      <c r="S1004" s="208"/>
      <c r="T1004" s="202"/>
    </row>
    <row r="1005" ht="15.75" customHeight="1">
      <c r="A1005" s="158"/>
      <c r="B1005" s="158"/>
      <c r="C1005" s="158"/>
      <c r="D1005" s="158"/>
      <c r="E1005" s="158"/>
      <c r="F1005" s="158"/>
      <c r="G1005" s="148"/>
      <c r="H1005" s="148"/>
      <c r="I1005" s="148"/>
      <c r="J1005" s="148"/>
      <c r="K1005" s="148"/>
      <c r="L1005" s="148"/>
      <c r="M1005" s="148"/>
      <c r="N1005" s="148"/>
      <c r="O1005" s="158"/>
      <c r="P1005" s="148"/>
      <c r="Q1005" s="207"/>
      <c r="R1005" s="208"/>
      <c r="S1005" s="208"/>
      <c r="T1005" s="202"/>
    </row>
    <row r="1006" ht="15.75" customHeight="1">
      <c r="A1006" s="158"/>
      <c r="B1006" s="158"/>
      <c r="C1006" s="158"/>
      <c r="D1006" s="158"/>
      <c r="E1006" s="158"/>
      <c r="F1006" s="158"/>
      <c r="G1006" s="148"/>
      <c r="H1006" s="148"/>
      <c r="I1006" s="148"/>
      <c r="J1006" s="148"/>
      <c r="K1006" s="148"/>
      <c r="L1006" s="148"/>
      <c r="M1006" s="148"/>
      <c r="N1006" s="148"/>
      <c r="O1006" s="158"/>
      <c r="P1006" s="148"/>
      <c r="Q1006" s="207"/>
      <c r="R1006" s="208"/>
      <c r="S1006" s="208"/>
      <c r="T1006" s="202"/>
    </row>
    <row r="1007" ht="15.75" customHeight="1">
      <c r="A1007" s="158"/>
      <c r="B1007" s="158"/>
      <c r="C1007" s="158"/>
      <c r="D1007" s="158"/>
      <c r="E1007" s="158"/>
      <c r="F1007" s="158"/>
      <c r="G1007" s="148"/>
      <c r="H1007" s="148"/>
      <c r="I1007" s="148"/>
      <c r="J1007" s="148"/>
      <c r="K1007" s="148"/>
      <c r="L1007" s="148"/>
      <c r="M1007" s="148"/>
      <c r="N1007" s="148"/>
      <c r="O1007" s="158"/>
      <c r="P1007" s="148"/>
      <c r="Q1007" s="207"/>
      <c r="R1007" s="208"/>
      <c r="S1007" s="208"/>
      <c r="T1007" s="202"/>
    </row>
    <row r="1008" ht="15.75" customHeight="1">
      <c r="A1008" s="158"/>
      <c r="B1008" s="158"/>
      <c r="C1008" s="158"/>
      <c r="D1008" s="158"/>
      <c r="E1008" s="158"/>
      <c r="F1008" s="158"/>
      <c r="G1008" s="148"/>
      <c r="H1008" s="148"/>
      <c r="I1008" s="148"/>
      <c r="J1008" s="148"/>
      <c r="K1008" s="148"/>
      <c r="L1008" s="148"/>
      <c r="M1008" s="148"/>
      <c r="N1008" s="148"/>
      <c r="O1008" s="158"/>
      <c r="P1008" s="148"/>
      <c r="Q1008" s="207"/>
      <c r="R1008" s="208"/>
      <c r="S1008" s="208"/>
      <c r="T1008" s="202"/>
    </row>
    <row r="1009" ht="15.75" customHeight="1">
      <c r="A1009" s="158"/>
      <c r="B1009" s="158"/>
      <c r="C1009" s="158"/>
      <c r="D1009" s="158"/>
      <c r="E1009" s="158"/>
      <c r="F1009" s="158"/>
      <c r="G1009" s="148"/>
      <c r="H1009" s="148"/>
      <c r="I1009" s="148"/>
      <c r="J1009" s="148"/>
      <c r="K1009" s="148"/>
      <c r="L1009" s="148"/>
      <c r="M1009" s="148"/>
      <c r="N1009" s="148"/>
      <c r="O1009" s="158"/>
      <c r="P1009" s="148"/>
      <c r="Q1009" s="207"/>
      <c r="R1009" s="208"/>
      <c r="S1009" s="208"/>
      <c r="T1009" s="202"/>
    </row>
    <row r="1010" ht="15.75" customHeight="1">
      <c r="A1010" s="158"/>
      <c r="B1010" s="158"/>
      <c r="C1010" s="158"/>
      <c r="D1010" s="158"/>
      <c r="E1010" s="158"/>
      <c r="F1010" s="158"/>
      <c r="G1010" s="148"/>
      <c r="H1010" s="148"/>
      <c r="I1010" s="148"/>
      <c r="J1010" s="148"/>
      <c r="K1010" s="148"/>
      <c r="L1010" s="148"/>
      <c r="M1010" s="148"/>
      <c r="N1010" s="148"/>
      <c r="O1010" s="158"/>
      <c r="P1010" s="148"/>
      <c r="Q1010" s="207"/>
      <c r="R1010" s="208"/>
      <c r="S1010" s="208"/>
      <c r="T1010" s="202"/>
    </row>
    <row r="1011" ht="15.75" customHeight="1">
      <c r="A1011" s="158"/>
      <c r="B1011" s="158"/>
      <c r="C1011" s="158"/>
      <c r="D1011" s="158"/>
      <c r="E1011" s="158"/>
      <c r="F1011" s="158"/>
      <c r="G1011" s="148"/>
      <c r="H1011" s="148"/>
      <c r="I1011" s="148"/>
      <c r="J1011" s="148"/>
      <c r="K1011" s="148"/>
      <c r="L1011" s="148"/>
      <c r="M1011" s="148"/>
      <c r="N1011" s="148"/>
      <c r="O1011" s="158"/>
      <c r="P1011" s="148"/>
      <c r="Q1011" s="207"/>
      <c r="R1011" s="208"/>
      <c r="S1011" s="208"/>
      <c r="T1011" s="202"/>
    </row>
    <row r="1012" ht="15.75" customHeight="1">
      <c r="A1012" s="158"/>
      <c r="B1012" s="158"/>
      <c r="C1012" s="158"/>
      <c r="D1012" s="158"/>
      <c r="E1012" s="158"/>
      <c r="F1012" s="158"/>
      <c r="G1012" s="148"/>
      <c r="H1012" s="148"/>
      <c r="I1012" s="148"/>
      <c r="J1012" s="148"/>
      <c r="K1012" s="148"/>
      <c r="L1012" s="148"/>
      <c r="M1012" s="148"/>
      <c r="N1012" s="148"/>
      <c r="O1012" s="158"/>
      <c r="P1012" s="148"/>
      <c r="Q1012" s="207"/>
      <c r="R1012" s="208"/>
      <c r="S1012" s="208"/>
      <c r="T1012" s="202"/>
    </row>
    <row r="1013" ht="15.75" customHeight="1">
      <c r="A1013" s="158"/>
      <c r="B1013" s="158"/>
      <c r="C1013" s="158"/>
      <c r="D1013" s="158"/>
      <c r="E1013" s="158"/>
      <c r="F1013" s="158"/>
      <c r="G1013" s="148"/>
      <c r="H1013" s="148"/>
      <c r="I1013" s="148"/>
      <c r="J1013" s="148"/>
      <c r="K1013" s="148"/>
      <c r="L1013" s="148"/>
      <c r="M1013" s="148"/>
      <c r="N1013" s="148"/>
      <c r="O1013" s="158"/>
      <c r="P1013" s="148"/>
      <c r="Q1013" s="207"/>
      <c r="R1013" s="208"/>
      <c r="S1013" s="208"/>
      <c r="T1013" s="202"/>
    </row>
    <row r="1014" ht="15.75" customHeight="1">
      <c r="A1014" s="158"/>
      <c r="B1014" s="158"/>
      <c r="C1014" s="158"/>
      <c r="D1014" s="158"/>
      <c r="E1014" s="158"/>
      <c r="F1014" s="158"/>
      <c r="G1014" s="148"/>
      <c r="H1014" s="148"/>
      <c r="I1014" s="148"/>
      <c r="J1014" s="148"/>
      <c r="K1014" s="148"/>
      <c r="L1014" s="148"/>
      <c r="M1014" s="148"/>
      <c r="N1014" s="148"/>
      <c r="O1014" s="158"/>
      <c r="P1014" s="148"/>
      <c r="Q1014" s="207"/>
      <c r="R1014" s="208"/>
      <c r="S1014" s="208"/>
      <c r="T1014" s="202"/>
    </row>
    <row r="1015" ht="15.75" customHeight="1">
      <c r="A1015" s="158"/>
      <c r="B1015" s="158"/>
      <c r="C1015" s="158"/>
      <c r="D1015" s="158"/>
      <c r="E1015" s="158"/>
      <c r="F1015" s="158"/>
      <c r="G1015" s="148"/>
      <c r="H1015" s="148"/>
      <c r="I1015" s="148"/>
      <c r="J1015" s="148"/>
      <c r="K1015" s="148"/>
      <c r="L1015" s="148"/>
      <c r="M1015" s="148"/>
      <c r="N1015" s="148"/>
      <c r="O1015" s="158"/>
      <c r="P1015" s="148"/>
      <c r="Q1015" s="207"/>
      <c r="R1015" s="208"/>
      <c r="S1015" s="208"/>
      <c r="T1015" s="202"/>
    </row>
    <row r="1016" ht="15.75" customHeight="1">
      <c r="A1016" s="158"/>
      <c r="B1016" s="158"/>
      <c r="C1016" s="158"/>
      <c r="D1016" s="158"/>
      <c r="E1016" s="158"/>
      <c r="F1016" s="158"/>
      <c r="G1016" s="148"/>
      <c r="H1016" s="148"/>
      <c r="I1016" s="148"/>
      <c r="J1016" s="148"/>
      <c r="K1016" s="148"/>
      <c r="L1016" s="148"/>
      <c r="M1016" s="148"/>
      <c r="N1016" s="148"/>
      <c r="O1016" s="158"/>
      <c r="P1016" s="148"/>
      <c r="Q1016" s="207"/>
      <c r="R1016" s="208"/>
      <c r="S1016" s="208"/>
      <c r="T1016" s="202"/>
    </row>
    <row r="1017" ht="15.75" customHeight="1">
      <c r="A1017" s="158"/>
      <c r="B1017" s="158"/>
      <c r="C1017" s="158"/>
      <c r="D1017" s="158"/>
      <c r="E1017" s="158"/>
      <c r="F1017" s="158"/>
      <c r="G1017" s="148"/>
      <c r="H1017" s="148"/>
      <c r="I1017" s="148"/>
      <c r="J1017" s="148"/>
      <c r="K1017" s="148"/>
      <c r="L1017" s="148"/>
      <c r="M1017" s="148"/>
      <c r="N1017" s="148"/>
      <c r="O1017" s="158"/>
      <c r="P1017" s="148"/>
      <c r="Q1017" s="207"/>
      <c r="R1017" s="208"/>
      <c r="S1017" s="208"/>
      <c r="T1017" s="202"/>
    </row>
    <row r="1018" ht="15.75" customHeight="1">
      <c r="A1018" s="158"/>
      <c r="B1018" s="158"/>
      <c r="C1018" s="158"/>
      <c r="D1018" s="158"/>
      <c r="E1018" s="158"/>
      <c r="F1018" s="158"/>
      <c r="G1018" s="148"/>
      <c r="H1018" s="148"/>
      <c r="I1018" s="148"/>
      <c r="J1018" s="148"/>
      <c r="K1018" s="148"/>
      <c r="L1018" s="148"/>
      <c r="M1018" s="148"/>
      <c r="N1018" s="148"/>
      <c r="O1018" s="158"/>
      <c r="P1018" s="148"/>
      <c r="Q1018" s="207"/>
      <c r="R1018" s="208"/>
      <c r="S1018" s="208"/>
      <c r="T1018" s="202"/>
    </row>
    <row r="1019" ht="15.75" customHeight="1">
      <c r="A1019" s="158"/>
      <c r="B1019" s="158"/>
      <c r="C1019" s="158"/>
      <c r="D1019" s="158"/>
      <c r="E1019" s="158"/>
      <c r="F1019" s="158"/>
      <c r="G1019" s="148"/>
      <c r="H1019" s="148"/>
      <c r="I1019" s="148"/>
      <c r="J1019" s="148"/>
      <c r="K1019" s="148"/>
      <c r="L1019" s="148"/>
      <c r="M1019" s="148"/>
      <c r="N1019" s="148"/>
      <c r="O1019" s="158"/>
      <c r="P1019" s="148"/>
      <c r="Q1019" s="207"/>
      <c r="R1019" s="208"/>
      <c r="S1019" s="208"/>
      <c r="T1019" s="202"/>
    </row>
    <row r="1020" ht="15.75" customHeight="1">
      <c r="A1020" s="158"/>
      <c r="B1020" s="158"/>
      <c r="C1020" s="158"/>
      <c r="D1020" s="158"/>
      <c r="E1020" s="158"/>
      <c r="F1020" s="158"/>
      <c r="G1020" s="148"/>
      <c r="H1020" s="148"/>
      <c r="I1020" s="148"/>
      <c r="J1020" s="148"/>
      <c r="K1020" s="148"/>
      <c r="L1020" s="148"/>
      <c r="M1020" s="148"/>
      <c r="N1020" s="148"/>
      <c r="O1020" s="158"/>
      <c r="P1020" s="148"/>
      <c r="Q1020" s="207"/>
      <c r="R1020" s="208"/>
      <c r="S1020" s="208"/>
      <c r="T1020" s="202"/>
    </row>
    <row r="1021" ht="15.75" customHeight="1">
      <c r="A1021" s="158"/>
      <c r="B1021" s="158"/>
      <c r="C1021" s="158"/>
      <c r="D1021" s="158"/>
      <c r="E1021" s="158"/>
      <c r="F1021" s="158"/>
      <c r="G1021" s="148"/>
      <c r="H1021" s="148"/>
      <c r="I1021" s="148"/>
      <c r="J1021" s="148"/>
      <c r="K1021" s="148"/>
      <c r="L1021" s="148"/>
      <c r="M1021" s="148"/>
      <c r="N1021" s="148"/>
      <c r="O1021" s="158"/>
      <c r="P1021" s="148"/>
      <c r="Q1021" s="207"/>
      <c r="R1021" s="208"/>
      <c r="S1021" s="208"/>
      <c r="T1021" s="202"/>
    </row>
    <row r="1022" ht="15.75" customHeight="1">
      <c r="A1022" s="158"/>
      <c r="B1022" s="158"/>
      <c r="C1022" s="158"/>
      <c r="D1022" s="158"/>
      <c r="E1022" s="158"/>
      <c r="F1022" s="158"/>
      <c r="G1022" s="148"/>
      <c r="H1022" s="148"/>
      <c r="I1022" s="148"/>
      <c r="J1022" s="148"/>
      <c r="K1022" s="148"/>
      <c r="L1022" s="148"/>
      <c r="M1022" s="148"/>
      <c r="N1022" s="148"/>
      <c r="O1022" s="158"/>
      <c r="P1022" s="148"/>
      <c r="Q1022" s="207"/>
      <c r="R1022" s="208"/>
      <c r="S1022" s="208"/>
      <c r="T1022" s="202"/>
    </row>
    <row r="1023" ht="15.75" customHeight="1">
      <c r="A1023" s="158"/>
      <c r="B1023" s="158"/>
      <c r="C1023" s="158"/>
      <c r="D1023" s="158"/>
      <c r="E1023" s="158"/>
      <c r="F1023" s="158"/>
      <c r="G1023" s="148"/>
      <c r="H1023" s="148"/>
      <c r="I1023" s="148"/>
      <c r="J1023" s="148"/>
      <c r="K1023" s="148"/>
      <c r="L1023" s="148"/>
      <c r="M1023" s="148"/>
      <c r="N1023" s="148"/>
      <c r="O1023" s="158"/>
      <c r="P1023" s="148"/>
      <c r="Q1023" s="207"/>
      <c r="R1023" s="208"/>
      <c r="S1023" s="208"/>
      <c r="T1023" s="202"/>
    </row>
    <row r="1024" ht="15.75" customHeight="1">
      <c r="A1024" s="158"/>
      <c r="B1024" s="158"/>
      <c r="C1024" s="158"/>
      <c r="D1024" s="158"/>
      <c r="E1024" s="158"/>
      <c r="F1024" s="158"/>
      <c r="G1024" s="148"/>
      <c r="H1024" s="148"/>
      <c r="I1024" s="148"/>
      <c r="J1024" s="148"/>
      <c r="K1024" s="148"/>
      <c r="L1024" s="148"/>
      <c r="M1024" s="148"/>
      <c r="N1024" s="148"/>
      <c r="O1024" s="158"/>
      <c r="P1024" s="148"/>
      <c r="Q1024" s="207"/>
      <c r="R1024" s="208"/>
      <c r="S1024" s="208"/>
      <c r="T1024" s="202"/>
    </row>
    <row r="1025" ht="15.75" customHeight="1">
      <c r="A1025" s="158"/>
      <c r="B1025" s="158"/>
      <c r="C1025" s="158"/>
      <c r="D1025" s="158"/>
      <c r="E1025" s="158"/>
      <c r="F1025" s="158"/>
      <c r="G1025" s="148"/>
      <c r="H1025" s="148"/>
      <c r="I1025" s="148"/>
      <c r="J1025" s="148"/>
      <c r="K1025" s="148"/>
      <c r="L1025" s="148"/>
      <c r="M1025" s="148"/>
      <c r="N1025" s="148"/>
      <c r="O1025" s="158"/>
      <c r="P1025" s="148"/>
      <c r="Q1025" s="207"/>
      <c r="R1025" s="208"/>
      <c r="S1025" s="208"/>
      <c r="T1025" s="202"/>
    </row>
    <row r="1026" ht="15.75" customHeight="1">
      <c r="A1026" s="158"/>
      <c r="B1026" s="158"/>
      <c r="C1026" s="158"/>
      <c r="D1026" s="158"/>
      <c r="E1026" s="158"/>
      <c r="F1026" s="158"/>
      <c r="G1026" s="148"/>
      <c r="H1026" s="148"/>
      <c r="I1026" s="148"/>
      <c r="J1026" s="148"/>
      <c r="K1026" s="148"/>
      <c r="L1026" s="148"/>
      <c r="M1026" s="148"/>
      <c r="N1026" s="148"/>
      <c r="O1026" s="158"/>
      <c r="P1026" s="148"/>
      <c r="Q1026" s="207"/>
      <c r="R1026" s="208"/>
      <c r="S1026" s="208"/>
      <c r="T1026" s="202"/>
    </row>
    <row r="1027" ht="15.75" customHeight="1">
      <c r="A1027" s="158"/>
      <c r="B1027" s="158"/>
      <c r="C1027" s="158"/>
      <c r="D1027" s="158"/>
      <c r="E1027" s="158"/>
      <c r="F1027" s="158"/>
      <c r="G1027" s="148"/>
      <c r="H1027" s="148"/>
      <c r="I1027" s="148"/>
      <c r="J1027" s="148"/>
      <c r="K1027" s="148"/>
      <c r="L1027" s="148"/>
      <c r="M1027" s="148"/>
      <c r="N1027" s="148"/>
      <c r="O1027" s="158"/>
      <c r="P1027" s="148"/>
      <c r="Q1027" s="207"/>
      <c r="R1027" s="208"/>
      <c r="S1027" s="208"/>
      <c r="T1027" s="202"/>
    </row>
    <row r="1028" ht="15.75" customHeight="1">
      <c r="A1028" s="158"/>
      <c r="B1028" s="158"/>
      <c r="C1028" s="158"/>
      <c r="D1028" s="158"/>
      <c r="E1028" s="158"/>
      <c r="F1028" s="158"/>
      <c r="G1028" s="148"/>
      <c r="H1028" s="148"/>
      <c r="I1028" s="148"/>
      <c r="J1028" s="148"/>
      <c r="K1028" s="148"/>
      <c r="L1028" s="148"/>
      <c r="M1028" s="148"/>
      <c r="N1028" s="148"/>
      <c r="O1028" s="158"/>
      <c r="P1028" s="148"/>
      <c r="Q1028" s="207"/>
      <c r="R1028" s="208"/>
      <c r="S1028" s="208"/>
      <c r="T1028" s="202"/>
    </row>
    <row r="1029" ht="15.75" customHeight="1">
      <c r="A1029" s="158"/>
      <c r="B1029" s="158"/>
      <c r="C1029" s="158"/>
      <c r="D1029" s="158"/>
      <c r="E1029" s="158"/>
      <c r="F1029" s="158"/>
      <c r="G1029" s="148"/>
      <c r="H1029" s="148"/>
      <c r="I1029" s="148"/>
      <c r="J1029" s="148"/>
      <c r="K1029" s="148"/>
      <c r="L1029" s="148"/>
      <c r="M1029" s="148"/>
      <c r="N1029" s="148"/>
      <c r="O1029" s="158"/>
      <c r="P1029" s="148"/>
      <c r="Q1029" s="207"/>
      <c r="R1029" s="208"/>
      <c r="S1029" s="208"/>
      <c r="T1029" s="202"/>
    </row>
    <row r="1030" ht="15.75" customHeight="1">
      <c r="A1030" s="158"/>
      <c r="B1030" s="158"/>
      <c r="C1030" s="158"/>
      <c r="D1030" s="158"/>
      <c r="E1030" s="158"/>
      <c r="F1030" s="158"/>
      <c r="G1030" s="148"/>
      <c r="H1030" s="148"/>
      <c r="I1030" s="148"/>
      <c r="J1030" s="148"/>
      <c r="K1030" s="148"/>
      <c r="L1030" s="148"/>
      <c r="M1030" s="148"/>
      <c r="N1030" s="148"/>
      <c r="O1030" s="158"/>
      <c r="P1030" s="148"/>
      <c r="Q1030" s="207"/>
      <c r="R1030" s="208"/>
      <c r="S1030" s="208"/>
      <c r="T1030" s="202"/>
    </row>
    <row r="1031" ht="15.75" customHeight="1">
      <c r="A1031" s="158"/>
      <c r="B1031" s="158"/>
      <c r="C1031" s="158"/>
      <c r="D1031" s="158"/>
      <c r="E1031" s="158"/>
      <c r="F1031" s="158"/>
      <c r="G1031" s="148"/>
      <c r="H1031" s="148"/>
      <c r="I1031" s="148"/>
      <c r="J1031" s="148"/>
      <c r="K1031" s="148"/>
      <c r="L1031" s="148"/>
      <c r="M1031" s="148"/>
      <c r="N1031" s="148"/>
      <c r="O1031" s="158"/>
      <c r="P1031" s="148"/>
      <c r="Q1031" s="207"/>
      <c r="R1031" s="208"/>
      <c r="S1031" s="208"/>
      <c r="T1031" s="202"/>
    </row>
    <row r="1032" ht="15.75" customHeight="1">
      <c r="A1032" s="158"/>
      <c r="B1032" s="158"/>
      <c r="C1032" s="158"/>
      <c r="D1032" s="158"/>
      <c r="E1032" s="158"/>
      <c r="F1032" s="158"/>
      <c r="G1032" s="148"/>
      <c r="H1032" s="148"/>
      <c r="I1032" s="148"/>
      <c r="J1032" s="148"/>
      <c r="K1032" s="148"/>
      <c r="L1032" s="148"/>
      <c r="M1032" s="148"/>
      <c r="N1032" s="148"/>
      <c r="O1032" s="158"/>
      <c r="P1032" s="148"/>
      <c r="Q1032" s="207"/>
      <c r="R1032" s="208"/>
      <c r="S1032" s="208"/>
      <c r="T1032" s="202"/>
    </row>
    <row r="1033" ht="15.75" customHeight="1">
      <c r="A1033" s="158"/>
      <c r="B1033" s="158"/>
      <c r="C1033" s="158"/>
      <c r="D1033" s="158"/>
      <c r="E1033" s="158"/>
      <c r="F1033" s="158"/>
      <c r="G1033" s="148"/>
      <c r="H1033" s="148"/>
      <c r="I1033" s="148"/>
      <c r="J1033" s="148"/>
      <c r="K1033" s="148"/>
      <c r="L1033" s="148"/>
      <c r="M1033" s="148"/>
      <c r="N1033" s="148"/>
      <c r="O1033" s="158"/>
      <c r="P1033" s="148"/>
      <c r="Q1033" s="207"/>
      <c r="R1033" s="208"/>
      <c r="S1033" s="208"/>
      <c r="T1033" s="202"/>
    </row>
    <row r="1034" ht="15.75" customHeight="1">
      <c r="A1034" s="158"/>
      <c r="B1034" s="158"/>
      <c r="C1034" s="158"/>
      <c r="D1034" s="158"/>
      <c r="E1034" s="158"/>
      <c r="F1034" s="158"/>
      <c r="G1034" s="148"/>
      <c r="H1034" s="148"/>
      <c r="I1034" s="148"/>
      <c r="J1034" s="148"/>
      <c r="K1034" s="148"/>
      <c r="L1034" s="148"/>
      <c r="M1034" s="148"/>
      <c r="N1034" s="148"/>
      <c r="O1034" s="158"/>
      <c r="P1034" s="148"/>
      <c r="Q1034" s="207"/>
      <c r="R1034" s="208"/>
      <c r="S1034" s="208"/>
      <c r="T1034" s="202"/>
    </row>
    <row r="1035" ht="15.75" customHeight="1">
      <c r="A1035" s="158"/>
      <c r="B1035" s="158"/>
      <c r="C1035" s="158"/>
      <c r="D1035" s="158"/>
      <c r="E1035" s="158"/>
      <c r="F1035" s="158"/>
      <c r="G1035" s="148"/>
      <c r="H1035" s="148"/>
      <c r="I1035" s="148"/>
      <c r="J1035" s="148"/>
      <c r="K1035" s="148"/>
      <c r="L1035" s="148"/>
      <c r="M1035" s="148"/>
      <c r="N1035" s="148"/>
      <c r="O1035" s="158"/>
      <c r="P1035" s="148"/>
      <c r="Q1035" s="207"/>
      <c r="R1035" s="208"/>
      <c r="S1035" s="208"/>
      <c r="T1035" s="202"/>
    </row>
    <row r="1036" ht="15.75" customHeight="1">
      <c r="A1036" s="158"/>
      <c r="B1036" s="158"/>
      <c r="C1036" s="158"/>
      <c r="D1036" s="158"/>
      <c r="E1036" s="158"/>
      <c r="F1036" s="158"/>
      <c r="G1036" s="148"/>
      <c r="H1036" s="148"/>
      <c r="I1036" s="148"/>
      <c r="J1036" s="148"/>
      <c r="K1036" s="148"/>
      <c r="L1036" s="148"/>
      <c r="M1036" s="148"/>
      <c r="N1036" s="148"/>
      <c r="O1036" s="158"/>
      <c r="P1036" s="148"/>
      <c r="Q1036" s="207"/>
      <c r="R1036" s="208"/>
      <c r="S1036" s="208"/>
      <c r="T1036" s="202"/>
    </row>
    <row r="1037" ht="15.75" customHeight="1">
      <c r="A1037" s="158"/>
      <c r="B1037" s="158"/>
      <c r="C1037" s="158"/>
      <c r="D1037" s="158"/>
      <c r="E1037" s="158"/>
      <c r="F1037" s="158"/>
      <c r="G1037" s="148"/>
      <c r="H1037" s="148"/>
      <c r="I1037" s="148"/>
      <c r="J1037" s="148"/>
      <c r="K1037" s="148"/>
      <c r="L1037" s="148"/>
      <c r="M1037" s="148"/>
      <c r="N1037" s="148"/>
      <c r="O1037" s="158"/>
      <c r="P1037" s="148"/>
      <c r="Q1037" s="207"/>
      <c r="R1037" s="208"/>
      <c r="S1037" s="208"/>
      <c r="T1037" s="202"/>
    </row>
    <row r="1038" ht="15.75" customHeight="1">
      <c r="A1038" s="158"/>
      <c r="B1038" s="158"/>
      <c r="C1038" s="158"/>
      <c r="D1038" s="158"/>
      <c r="E1038" s="158"/>
      <c r="F1038" s="158"/>
      <c r="G1038" s="148"/>
      <c r="H1038" s="148"/>
      <c r="I1038" s="148"/>
      <c r="J1038" s="148"/>
      <c r="K1038" s="148"/>
      <c r="L1038" s="148"/>
      <c r="M1038" s="148"/>
      <c r="N1038" s="148"/>
      <c r="O1038" s="158"/>
      <c r="P1038" s="148"/>
      <c r="Q1038" s="207"/>
      <c r="R1038" s="208"/>
      <c r="S1038" s="208"/>
      <c r="T1038" s="202"/>
    </row>
    <row r="1039" ht="15.75" customHeight="1">
      <c r="A1039" s="158"/>
      <c r="B1039" s="158"/>
      <c r="C1039" s="158"/>
      <c r="D1039" s="158"/>
      <c r="E1039" s="158"/>
      <c r="F1039" s="158"/>
      <c r="G1039" s="148"/>
      <c r="H1039" s="148"/>
      <c r="I1039" s="148"/>
      <c r="J1039" s="148"/>
      <c r="K1039" s="148"/>
      <c r="L1039" s="148"/>
      <c r="M1039" s="148"/>
      <c r="N1039" s="148"/>
      <c r="O1039" s="158"/>
      <c r="P1039" s="148"/>
      <c r="Q1039" s="207"/>
      <c r="R1039" s="208"/>
      <c r="S1039" s="208"/>
      <c r="T1039" s="202"/>
    </row>
    <row r="1040" ht="15.75" customHeight="1">
      <c r="A1040" s="158"/>
      <c r="B1040" s="158"/>
      <c r="C1040" s="158"/>
      <c r="D1040" s="158"/>
      <c r="E1040" s="158"/>
      <c r="F1040" s="158"/>
      <c r="G1040" s="148"/>
      <c r="H1040" s="148"/>
      <c r="I1040" s="148"/>
      <c r="J1040" s="148"/>
      <c r="K1040" s="148"/>
      <c r="L1040" s="148"/>
      <c r="M1040" s="148"/>
      <c r="N1040" s="148"/>
      <c r="O1040" s="158"/>
      <c r="P1040" s="148"/>
      <c r="Q1040" s="207"/>
      <c r="R1040" s="208"/>
      <c r="S1040" s="208"/>
      <c r="T1040" s="202"/>
    </row>
    <row r="1041" ht="15.75" customHeight="1">
      <c r="A1041" s="158"/>
      <c r="B1041" s="158"/>
      <c r="C1041" s="158"/>
      <c r="D1041" s="158"/>
      <c r="E1041" s="158"/>
      <c r="F1041" s="158"/>
      <c r="G1041" s="148"/>
      <c r="H1041" s="148"/>
      <c r="I1041" s="148"/>
      <c r="J1041" s="148"/>
      <c r="K1041" s="148"/>
      <c r="L1041" s="148"/>
      <c r="M1041" s="148"/>
      <c r="N1041" s="148"/>
      <c r="O1041" s="158"/>
      <c r="P1041" s="148"/>
      <c r="Q1041" s="207"/>
      <c r="R1041" s="208"/>
      <c r="S1041" s="208"/>
      <c r="T1041" s="202"/>
    </row>
    <row r="1042" ht="15.75" customHeight="1">
      <c r="A1042" s="158"/>
      <c r="B1042" s="158"/>
      <c r="C1042" s="158"/>
      <c r="D1042" s="158"/>
      <c r="E1042" s="158"/>
      <c r="F1042" s="158"/>
      <c r="G1042" s="148"/>
      <c r="H1042" s="148"/>
      <c r="I1042" s="148"/>
      <c r="J1042" s="148"/>
      <c r="K1042" s="148"/>
      <c r="L1042" s="148"/>
      <c r="M1042" s="148"/>
      <c r="N1042" s="148"/>
      <c r="O1042" s="158"/>
      <c r="P1042" s="148"/>
      <c r="Q1042" s="207"/>
      <c r="R1042" s="208"/>
      <c r="S1042" s="208"/>
      <c r="T1042" s="202"/>
    </row>
    <row r="1043" ht="15.75" customHeight="1">
      <c r="A1043" s="158"/>
      <c r="B1043" s="158"/>
      <c r="C1043" s="158"/>
      <c r="D1043" s="158"/>
      <c r="E1043" s="158"/>
      <c r="F1043" s="158"/>
      <c r="G1043" s="148"/>
      <c r="H1043" s="148"/>
      <c r="I1043" s="148"/>
      <c r="J1043" s="148"/>
      <c r="K1043" s="148"/>
      <c r="L1043" s="148"/>
      <c r="M1043" s="148"/>
      <c r="N1043" s="148"/>
      <c r="O1043" s="158"/>
      <c r="P1043" s="148"/>
      <c r="Q1043" s="207"/>
      <c r="R1043" s="208"/>
      <c r="S1043" s="208"/>
      <c r="T1043" s="202"/>
    </row>
    <row r="1044" ht="15.75" customHeight="1">
      <c r="A1044" s="158"/>
      <c r="B1044" s="158"/>
      <c r="C1044" s="158"/>
      <c r="D1044" s="158"/>
      <c r="E1044" s="158"/>
      <c r="F1044" s="158"/>
      <c r="G1044" s="148"/>
      <c r="H1044" s="148"/>
      <c r="I1044" s="148"/>
      <c r="J1044" s="148"/>
      <c r="K1044" s="148"/>
      <c r="L1044" s="148"/>
      <c r="M1044" s="148"/>
      <c r="N1044" s="148"/>
      <c r="O1044" s="158"/>
      <c r="P1044" s="148"/>
      <c r="Q1044" s="207"/>
      <c r="R1044" s="208"/>
      <c r="S1044" s="208"/>
      <c r="T1044" s="202"/>
    </row>
    <row r="1045" ht="15.75" customHeight="1">
      <c r="A1045" s="158"/>
      <c r="B1045" s="158"/>
      <c r="C1045" s="158"/>
      <c r="D1045" s="158"/>
      <c r="E1045" s="158"/>
      <c r="F1045" s="158"/>
      <c r="G1045" s="148"/>
      <c r="H1045" s="148"/>
      <c r="I1045" s="148"/>
      <c r="J1045" s="148"/>
      <c r="K1045" s="148"/>
      <c r="L1045" s="148"/>
      <c r="M1045" s="148"/>
      <c r="N1045" s="148"/>
      <c r="O1045" s="158"/>
      <c r="P1045" s="148"/>
      <c r="Q1045" s="207"/>
      <c r="R1045" s="208"/>
      <c r="S1045" s="208"/>
      <c r="T1045" s="202"/>
    </row>
    <row r="1046" ht="15.75" customHeight="1">
      <c r="A1046" s="158"/>
      <c r="B1046" s="158"/>
      <c r="C1046" s="158"/>
      <c r="D1046" s="158"/>
      <c r="E1046" s="158"/>
      <c r="F1046" s="158"/>
      <c r="G1046" s="148"/>
      <c r="H1046" s="148"/>
      <c r="I1046" s="148"/>
      <c r="J1046" s="148"/>
      <c r="K1046" s="148"/>
      <c r="L1046" s="148"/>
      <c r="M1046" s="148"/>
      <c r="N1046" s="148"/>
      <c r="O1046" s="158"/>
      <c r="P1046" s="148"/>
      <c r="Q1046" s="207"/>
      <c r="R1046" s="208"/>
      <c r="S1046" s="208"/>
      <c r="T1046" s="202"/>
    </row>
    <row r="1047" ht="15.75" customHeight="1">
      <c r="A1047" s="158"/>
      <c r="B1047" s="158"/>
      <c r="C1047" s="158"/>
      <c r="D1047" s="158"/>
      <c r="E1047" s="158"/>
      <c r="F1047" s="158"/>
      <c r="G1047" s="148"/>
      <c r="H1047" s="148"/>
      <c r="I1047" s="148"/>
      <c r="J1047" s="148"/>
      <c r="K1047" s="148"/>
      <c r="L1047" s="148"/>
      <c r="M1047" s="148"/>
      <c r="N1047" s="148"/>
      <c r="O1047" s="158"/>
      <c r="P1047" s="148"/>
      <c r="Q1047" s="207"/>
      <c r="R1047" s="208"/>
      <c r="S1047" s="208"/>
      <c r="T1047" s="202"/>
    </row>
    <row r="1048" ht="15.75" customHeight="1">
      <c r="A1048" s="158"/>
      <c r="B1048" s="158"/>
      <c r="C1048" s="158"/>
      <c r="D1048" s="158"/>
      <c r="E1048" s="158"/>
      <c r="F1048" s="158"/>
      <c r="G1048" s="148"/>
      <c r="H1048" s="148"/>
      <c r="I1048" s="148"/>
      <c r="J1048" s="148"/>
      <c r="K1048" s="148"/>
      <c r="L1048" s="148"/>
      <c r="M1048" s="148"/>
      <c r="N1048" s="148"/>
      <c r="O1048" s="158"/>
      <c r="P1048" s="148"/>
      <c r="Q1048" s="207"/>
      <c r="R1048" s="208"/>
      <c r="S1048" s="208"/>
      <c r="T1048" s="202"/>
    </row>
    <row r="1049" ht="15.75" customHeight="1">
      <c r="A1049" s="158"/>
      <c r="B1049" s="158"/>
      <c r="C1049" s="158"/>
      <c r="D1049" s="158"/>
      <c r="E1049" s="158"/>
      <c r="F1049" s="158"/>
      <c r="G1049" s="148"/>
      <c r="H1049" s="148"/>
      <c r="I1049" s="148"/>
      <c r="J1049" s="148"/>
      <c r="K1049" s="148"/>
      <c r="L1049" s="148"/>
      <c r="M1049" s="148"/>
      <c r="N1049" s="148"/>
      <c r="O1049" s="158"/>
      <c r="P1049" s="148"/>
      <c r="Q1049" s="207"/>
      <c r="R1049" s="208"/>
      <c r="S1049" s="208"/>
      <c r="T1049" s="202"/>
    </row>
    <row r="1050" ht="15.75" customHeight="1">
      <c r="A1050" s="158"/>
      <c r="B1050" s="158"/>
      <c r="C1050" s="158"/>
      <c r="D1050" s="158"/>
      <c r="E1050" s="158"/>
      <c r="F1050" s="158"/>
      <c r="G1050" s="148"/>
      <c r="H1050" s="148"/>
      <c r="I1050" s="148"/>
      <c r="J1050" s="148"/>
      <c r="K1050" s="148"/>
      <c r="L1050" s="148"/>
      <c r="M1050" s="148"/>
      <c r="N1050" s="148"/>
      <c r="O1050" s="158"/>
      <c r="P1050" s="148"/>
      <c r="Q1050" s="207"/>
      <c r="R1050" s="208"/>
      <c r="S1050" s="208"/>
      <c r="T1050" s="202"/>
    </row>
    <row r="1051" ht="15.75" customHeight="1">
      <c r="A1051" s="158"/>
      <c r="B1051" s="158"/>
      <c r="C1051" s="158"/>
      <c r="D1051" s="158"/>
      <c r="E1051" s="158"/>
      <c r="F1051" s="158"/>
      <c r="G1051" s="148"/>
      <c r="H1051" s="148"/>
      <c r="I1051" s="148"/>
      <c r="J1051" s="148"/>
      <c r="K1051" s="148"/>
      <c r="L1051" s="148"/>
      <c r="M1051" s="148"/>
      <c r="N1051" s="148"/>
      <c r="O1051" s="158"/>
      <c r="P1051" s="148"/>
      <c r="Q1051" s="207"/>
      <c r="R1051" s="208"/>
      <c r="S1051" s="208"/>
      <c r="T1051" s="202"/>
    </row>
    <row r="1052" ht="15.75" customHeight="1">
      <c r="A1052" s="158"/>
      <c r="B1052" s="158"/>
      <c r="C1052" s="158"/>
      <c r="D1052" s="158"/>
      <c r="E1052" s="158"/>
      <c r="F1052" s="158"/>
      <c r="G1052" s="148"/>
      <c r="H1052" s="148"/>
      <c r="I1052" s="148"/>
      <c r="J1052" s="148"/>
      <c r="K1052" s="148"/>
      <c r="L1052" s="148"/>
      <c r="M1052" s="148"/>
      <c r="N1052" s="148"/>
      <c r="O1052" s="158"/>
      <c r="P1052" s="148"/>
      <c r="Q1052" s="207"/>
      <c r="R1052" s="208"/>
      <c r="S1052" s="208"/>
      <c r="T1052" s="202"/>
    </row>
    <row r="1053" ht="15.75" customHeight="1">
      <c r="A1053" s="158"/>
      <c r="B1053" s="158"/>
      <c r="C1053" s="158"/>
      <c r="D1053" s="158"/>
      <c r="E1053" s="158"/>
      <c r="F1053" s="158"/>
      <c r="G1053" s="148"/>
      <c r="H1053" s="148"/>
      <c r="I1053" s="148"/>
      <c r="J1053" s="148"/>
      <c r="K1053" s="148"/>
      <c r="L1053" s="148"/>
      <c r="M1053" s="148"/>
      <c r="N1053" s="148"/>
      <c r="O1053" s="158"/>
      <c r="P1053" s="148"/>
      <c r="Q1053" s="207"/>
      <c r="R1053" s="208"/>
      <c r="S1053" s="208"/>
      <c r="T1053" s="202"/>
    </row>
    <row r="1054" ht="15.75" customHeight="1">
      <c r="A1054" s="158"/>
      <c r="B1054" s="158"/>
      <c r="C1054" s="158"/>
      <c r="D1054" s="158"/>
      <c r="E1054" s="158"/>
      <c r="F1054" s="158"/>
      <c r="G1054" s="148"/>
      <c r="H1054" s="148"/>
      <c r="I1054" s="148"/>
      <c r="J1054" s="148"/>
      <c r="K1054" s="148"/>
      <c r="L1054" s="148"/>
      <c r="M1054" s="148"/>
      <c r="N1054" s="148"/>
      <c r="O1054" s="158"/>
      <c r="P1054" s="148"/>
      <c r="Q1054" s="207"/>
      <c r="R1054" s="208"/>
      <c r="S1054" s="208"/>
      <c r="T1054" s="202"/>
    </row>
    <row r="1055" ht="15.75" customHeight="1">
      <c r="A1055" s="158"/>
      <c r="B1055" s="158"/>
      <c r="C1055" s="158"/>
      <c r="D1055" s="158"/>
      <c r="E1055" s="158"/>
      <c r="F1055" s="158"/>
      <c r="G1055" s="148"/>
      <c r="H1055" s="148"/>
      <c r="I1055" s="148"/>
      <c r="J1055" s="148"/>
      <c r="K1055" s="148"/>
      <c r="L1055" s="148"/>
      <c r="M1055" s="148"/>
      <c r="N1055" s="148"/>
      <c r="O1055" s="158"/>
      <c r="P1055" s="148"/>
      <c r="Q1055" s="207"/>
      <c r="R1055" s="208"/>
      <c r="S1055" s="208"/>
      <c r="T1055" s="202"/>
    </row>
    <row r="1056" ht="15.75" customHeight="1">
      <c r="A1056" s="158"/>
      <c r="B1056" s="158"/>
      <c r="C1056" s="158"/>
      <c r="D1056" s="158"/>
      <c r="E1056" s="158"/>
      <c r="F1056" s="158"/>
      <c r="G1056" s="148"/>
      <c r="H1056" s="148"/>
      <c r="I1056" s="148"/>
      <c r="J1056" s="148"/>
      <c r="K1056" s="148"/>
      <c r="L1056" s="148"/>
      <c r="M1056" s="148"/>
      <c r="N1056" s="148"/>
      <c r="O1056" s="158"/>
      <c r="P1056" s="148"/>
      <c r="Q1056" s="207"/>
      <c r="R1056" s="208"/>
      <c r="S1056" s="208"/>
      <c r="T1056" s="202"/>
    </row>
    <row r="1057" ht="15.75" customHeight="1">
      <c r="A1057" s="158"/>
      <c r="B1057" s="158"/>
      <c r="C1057" s="158"/>
      <c r="D1057" s="158"/>
      <c r="E1057" s="158"/>
      <c r="F1057" s="158"/>
      <c r="G1057" s="148"/>
      <c r="H1057" s="148"/>
      <c r="I1057" s="148"/>
      <c r="J1057" s="148"/>
      <c r="K1057" s="148"/>
      <c r="L1057" s="148"/>
      <c r="M1057" s="148"/>
      <c r="N1057" s="148"/>
      <c r="O1057" s="158"/>
      <c r="P1057" s="148"/>
      <c r="Q1057" s="207"/>
      <c r="R1057" s="208"/>
      <c r="S1057" s="208"/>
      <c r="T1057" s="202"/>
    </row>
    <row r="1058" ht="15.75" customHeight="1">
      <c r="A1058" s="158"/>
      <c r="B1058" s="158"/>
      <c r="C1058" s="158"/>
      <c r="D1058" s="158"/>
      <c r="E1058" s="158"/>
      <c r="F1058" s="158"/>
      <c r="G1058" s="148"/>
      <c r="H1058" s="148"/>
      <c r="I1058" s="148"/>
      <c r="J1058" s="148"/>
      <c r="K1058" s="148"/>
      <c r="L1058" s="148"/>
      <c r="M1058" s="148"/>
      <c r="N1058" s="148"/>
      <c r="O1058" s="158"/>
      <c r="P1058" s="148"/>
      <c r="Q1058" s="207"/>
      <c r="R1058" s="208"/>
      <c r="S1058" s="208"/>
      <c r="T1058" s="202"/>
    </row>
    <row r="1059" ht="15.75" customHeight="1">
      <c r="A1059" s="158"/>
      <c r="B1059" s="158"/>
      <c r="C1059" s="158"/>
      <c r="D1059" s="158"/>
      <c r="E1059" s="158"/>
      <c r="F1059" s="158"/>
      <c r="G1059" s="148"/>
      <c r="H1059" s="148"/>
      <c r="I1059" s="148"/>
      <c r="J1059" s="148"/>
      <c r="K1059" s="148"/>
      <c r="L1059" s="148"/>
      <c r="M1059" s="148"/>
      <c r="N1059" s="148"/>
      <c r="O1059" s="158"/>
      <c r="P1059" s="148"/>
      <c r="Q1059" s="207"/>
      <c r="R1059" s="208"/>
      <c r="S1059" s="208"/>
      <c r="T1059" s="202"/>
    </row>
    <row r="1060" ht="15.75" customHeight="1">
      <c r="A1060" s="158"/>
      <c r="B1060" s="158"/>
      <c r="C1060" s="158"/>
      <c r="D1060" s="158"/>
      <c r="E1060" s="158"/>
      <c r="F1060" s="158"/>
      <c r="G1060" s="148"/>
      <c r="H1060" s="148"/>
      <c r="I1060" s="148"/>
      <c r="J1060" s="148"/>
      <c r="K1060" s="148"/>
      <c r="L1060" s="148"/>
      <c r="M1060" s="148"/>
      <c r="N1060" s="148"/>
      <c r="O1060" s="158"/>
      <c r="P1060" s="148"/>
      <c r="Q1060" s="207"/>
      <c r="R1060" s="208"/>
      <c r="S1060" s="208"/>
      <c r="T1060" s="202"/>
    </row>
    <row r="1061" ht="15.75" customHeight="1">
      <c r="A1061" s="158"/>
      <c r="B1061" s="158"/>
      <c r="C1061" s="158"/>
      <c r="D1061" s="158"/>
      <c r="E1061" s="158"/>
      <c r="F1061" s="158"/>
      <c r="G1061" s="148"/>
      <c r="H1061" s="148"/>
      <c r="I1061" s="148"/>
      <c r="J1061" s="148"/>
      <c r="K1061" s="148"/>
      <c r="L1061" s="148"/>
      <c r="M1061" s="148"/>
      <c r="N1061" s="148"/>
      <c r="O1061" s="158"/>
      <c r="P1061" s="148"/>
      <c r="Q1061" s="207"/>
      <c r="R1061" s="208"/>
      <c r="S1061" s="208"/>
      <c r="T1061" s="202"/>
    </row>
    <row r="1062" ht="15.75" customHeight="1">
      <c r="A1062" s="158"/>
      <c r="B1062" s="158"/>
      <c r="C1062" s="158"/>
      <c r="D1062" s="158"/>
      <c r="E1062" s="158"/>
      <c r="F1062" s="158"/>
      <c r="G1062" s="148"/>
      <c r="H1062" s="148"/>
      <c r="I1062" s="148"/>
      <c r="J1062" s="148"/>
      <c r="K1062" s="148"/>
      <c r="L1062" s="148"/>
      <c r="M1062" s="148"/>
      <c r="N1062" s="148"/>
      <c r="O1062" s="158"/>
      <c r="P1062" s="148"/>
      <c r="Q1062" s="207"/>
      <c r="R1062" s="208"/>
      <c r="S1062" s="208"/>
      <c r="T1062" s="202"/>
    </row>
    <row r="1063" ht="15.75" customHeight="1">
      <c r="A1063" s="158"/>
      <c r="B1063" s="158"/>
      <c r="C1063" s="158"/>
      <c r="D1063" s="158"/>
      <c r="E1063" s="158"/>
      <c r="F1063" s="158"/>
      <c r="G1063" s="148"/>
      <c r="H1063" s="148"/>
      <c r="I1063" s="148"/>
      <c r="J1063" s="148"/>
      <c r="K1063" s="148"/>
      <c r="L1063" s="148"/>
      <c r="M1063" s="148"/>
      <c r="N1063" s="148"/>
      <c r="O1063" s="158"/>
      <c r="P1063" s="148"/>
      <c r="Q1063" s="207"/>
      <c r="R1063" s="208"/>
      <c r="S1063" s="208"/>
      <c r="T1063" s="202"/>
    </row>
    <row r="1064" ht="15.75" customHeight="1">
      <c r="A1064" s="158"/>
      <c r="B1064" s="158"/>
      <c r="C1064" s="158"/>
      <c r="D1064" s="158"/>
      <c r="E1064" s="158"/>
      <c r="F1064" s="158"/>
      <c r="G1064" s="148"/>
      <c r="H1064" s="148"/>
      <c r="I1064" s="148"/>
      <c r="J1064" s="148"/>
      <c r="K1064" s="148"/>
      <c r="L1064" s="148"/>
      <c r="M1064" s="148"/>
      <c r="N1064" s="148"/>
      <c r="O1064" s="158"/>
      <c r="P1064" s="148"/>
      <c r="Q1064" s="207"/>
      <c r="R1064" s="208"/>
      <c r="S1064" s="208"/>
      <c r="T1064" s="202"/>
    </row>
    <row r="1065" ht="15.75" customHeight="1">
      <c r="A1065" s="158"/>
      <c r="B1065" s="158"/>
      <c r="C1065" s="158"/>
      <c r="D1065" s="158"/>
      <c r="E1065" s="158"/>
      <c r="F1065" s="158"/>
      <c r="G1065" s="148"/>
      <c r="H1065" s="148"/>
      <c r="I1065" s="148"/>
      <c r="J1065" s="148"/>
      <c r="K1065" s="148"/>
      <c r="L1065" s="148"/>
      <c r="M1065" s="148"/>
      <c r="N1065" s="148"/>
      <c r="O1065" s="158"/>
      <c r="P1065" s="148"/>
      <c r="Q1065" s="207"/>
      <c r="R1065" s="208"/>
      <c r="S1065" s="208"/>
      <c r="T1065" s="202"/>
    </row>
    <row r="1066" ht="15.75" customHeight="1">
      <c r="A1066" s="158"/>
      <c r="B1066" s="158"/>
      <c r="C1066" s="158"/>
      <c r="D1066" s="158"/>
      <c r="E1066" s="158"/>
      <c r="F1066" s="158"/>
      <c r="G1066" s="148"/>
      <c r="H1066" s="148"/>
      <c r="I1066" s="148"/>
      <c r="J1066" s="148"/>
      <c r="K1066" s="148"/>
      <c r="L1066" s="148"/>
      <c r="M1066" s="148"/>
      <c r="N1066" s="148"/>
      <c r="O1066" s="158"/>
      <c r="P1066" s="148"/>
      <c r="Q1066" s="207"/>
      <c r="R1066" s="208"/>
      <c r="S1066" s="208"/>
      <c r="T1066" s="202"/>
    </row>
    <row r="1067" ht="15.75" customHeight="1">
      <c r="A1067" s="158"/>
      <c r="B1067" s="158"/>
      <c r="C1067" s="158"/>
      <c r="D1067" s="158"/>
      <c r="E1067" s="158"/>
      <c r="F1067" s="158"/>
      <c r="G1067" s="148"/>
      <c r="H1067" s="148"/>
      <c r="I1067" s="148"/>
      <c r="J1067" s="148"/>
      <c r="K1067" s="148"/>
      <c r="L1067" s="148"/>
      <c r="M1067" s="148"/>
      <c r="N1067" s="148"/>
      <c r="O1067" s="158"/>
      <c r="P1067" s="148"/>
      <c r="Q1067" s="207"/>
      <c r="R1067" s="208"/>
      <c r="S1067" s="208"/>
      <c r="T1067" s="202"/>
    </row>
    <row r="1068" ht="15.75" customHeight="1">
      <c r="A1068" s="158"/>
      <c r="B1068" s="158"/>
      <c r="C1068" s="158"/>
      <c r="D1068" s="158"/>
      <c r="E1068" s="158"/>
      <c r="F1068" s="158"/>
      <c r="G1068" s="148"/>
      <c r="H1068" s="148"/>
      <c r="I1068" s="148"/>
      <c r="J1068" s="148"/>
      <c r="K1068" s="148"/>
      <c r="L1068" s="148"/>
      <c r="M1068" s="148"/>
      <c r="N1068" s="148"/>
      <c r="O1068" s="158"/>
      <c r="P1068" s="148"/>
      <c r="Q1068" s="207"/>
      <c r="R1068" s="208"/>
      <c r="S1068" s="208"/>
      <c r="T1068" s="202"/>
    </row>
    <row r="1069" ht="15.75" customHeight="1">
      <c r="A1069" s="158"/>
      <c r="B1069" s="158"/>
      <c r="C1069" s="158"/>
      <c r="D1069" s="158"/>
      <c r="E1069" s="158"/>
      <c r="F1069" s="158"/>
      <c r="G1069" s="148"/>
      <c r="H1069" s="148"/>
      <c r="I1069" s="148"/>
      <c r="J1069" s="148"/>
      <c r="K1069" s="148"/>
      <c r="L1069" s="148"/>
      <c r="M1069" s="148"/>
      <c r="N1069" s="148"/>
      <c r="O1069" s="158"/>
      <c r="P1069" s="148"/>
      <c r="Q1069" s="207"/>
      <c r="R1069" s="208"/>
      <c r="S1069" s="208"/>
      <c r="T1069" s="202"/>
    </row>
    <row r="1070" ht="15.75" customHeight="1">
      <c r="A1070" s="158"/>
      <c r="B1070" s="158"/>
      <c r="C1070" s="158"/>
      <c r="D1070" s="158"/>
      <c r="E1070" s="158"/>
      <c r="F1070" s="158"/>
      <c r="G1070" s="148"/>
      <c r="H1070" s="148"/>
      <c r="I1070" s="148"/>
      <c r="J1070" s="148"/>
      <c r="K1070" s="148"/>
      <c r="L1070" s="148"/>
      <c r="M1070" s="148"/>
      <c r="N1070" s="148"/>
      <c r="O1070" s="158"/>
      <c r="P1070" s="148"/>
      <c r="Q1070" s="207"/>
      <c r="R1070" s="208"/>
      <c r="S1070" s="208"/>
      <c r="T1070" s="202"/>
    </row>
    <row r="1071" ht="15.75" customHeight="1">
      <c r="A1071" s="158"/>
      <c r="B1071" s="158"/>
      <c r="C1071" s="158"/>
      <c r="D1071" s="158"/>
      <c r="E1071" s="158"/>
      <c r="F1071" s="158"/>
      <c r="G1071" s="148"/>
      <c r="H1071" s="148"/>
      <c r="I1071" s="148"/>
      <c r="J1071" s="148"/>
      <c r="K1071" s="148"/>
      <c r="L1071" s="148"/>
      <c r="M1071" s="148"/>
      <c r="N1071" s="148"/>
      <c r="O1071" s="158"/>
      <c r="P1071" s="148"/>
      <c r="Q1071" s="207"/>
      <c r="R1071" s="208"/>
      <c r="S1071" s="208"/>
      <c r="T1071" s="202"/>
    </row>
    <row r="1072" ht="15.75" customHeight="1">
      <c r="A1072" s="158"/>
      <c r="B1072" s="158"/>
      <c r="C1072" s="158"/>
      <c r="D1072" s="158"/>
      <c r="E1072" s="158"/>
      <c r="F1072" s="158"/>
      <c r="G1072" s="148"/>
      <c r="H1072" s="148"/>
      <c r="I1072" s="148"/>
      <c r="J1072" s="148"/>
      <c r="K1072" s="148"/>
      <c r="L1072" s="148"/>
      <c r="M1072" s="148"/>
      <c r="N1072" s="148"/>
      <c r="O1072" s="158"/>
      <c r="P1072" s="148"/>
      <c r="Q1072" s="207"/>
      <c r="R1072" s="208"/>
      <c r="S1072" s="208"/>
      <c r="T1072" s="202"/>
    </row>
    <row r="1073" ht="15.75" customHeight="1">
      <c r="A1073" s="158"/>
      <c r="B1073" s="158"/>
      <c r="C1073" s="158"/>
      <c r="D1073" s="158"/>
      <c r="E1073" s="158"/>
      <c r="F1073" s="158"/>
      <c r="G1073" s="148"/>
      <c r="H1073" s="148"/>
      <c r="I1073" s="148"/>
      <c r="J1073" s="148"/>
      <c r="K1073" s="148"/>
      <c r="L1073" s="148"/>
      <c r="M1073" s="148"/>
      <c r="N1073" s="148"/>
      <c r="O1073" s="158"/>
      <c r="P1073" s="148"/>
      <c r="Q1073" s="207"/>
      <c r="R1073" s="208"/>
      <c r="S1073" s="208"/>
      <c r="T1073" s="202"/>
    </row>
    <row r="1074" ht="15.75" customHeight="1">
      <c r="A1074" s="158"/>
      <c r="B1074" s="158"/>
      <c r="C1074" s="158"/>
      <c r="D1074" s="158"/>
      <c r="E1074" s="158"/>
      <c r="F1074" s="158"/>
      <c r="G1074" s="148"/>
      <c r="H1074" s="148"/>
      <c r="I1074" s="148"/>
      <c r="J1074" s="148"/>
      <c r="K1074" s="148"/>
      <c r="L1074" s="148"/>
      <c r="M1074" s="148"/>
      <c r="N1074" s="148"/>
      <c r="O1074" s="158"/>
      <c r="P1074" s="148"/>
      <c r="Q1074" s="207"/>
      <c r="R1074" s="208"/>
      <c r="S1074" s="208"/>
      <c r="T1074" s="202"/>
    </row>
    <row r="1075" ht="15.75" customHeight="1">
      <c r="A1075" s="158"/>
      <c r="B1075" s="158"/>
      <c r="C1075" s="158"/>
      <c r="D1075" s="158"/>
      <c r="E1075" s="158"/>
      <c r="F1075" s="158"/>
      <c r="G1075" s="148"/>
      <c r="H1075" s="148"/>
      <c r="I1075" s="148"/>
      <c r="J1075" s="148"/>
      <c r="K1075" s="148"/>
      <c r="L1075" s="148"/>
      <c r="M1075" s="148"/>
      <c r="N1075" s="148"/>
      <c r="O1075" s="158"/>
      <c r="P1075" s="148"/>
      <c r="Q1075" s="207"/>
      <c r="R1075" s="208"/>
      <c r="S1075" s="208"/>
      <c r="T1075" s="202"/>
    </row>
    <row r="1076" ht="15.75" customHeight="1">
      <c r="A1076" s="158"/>
      <c r="B1076" s="158"/>
      <c r="C1076" s="158"/>
      <c r="D1076" s="158"/>
      <c r="E1076" s="158"/>
      <c r="F1076" s="158"/>
      <c r="G1076" s="148"/>
      <c r="H1076" s="148"/>
      <c r="I1076" s="148"/>
      <c r="J1076" s="148"/>
      <c r="K1076" s="148"/>
      <c r="L1076" s="148"/>
      <c r="M1076" s="148"/>
      <c r="N1076" s="148"/>
      <c r="O1076" s="158"/>
      <c r="P1076" s="148"/>
      <c r="Q1076" s="207"/>
      <c r="R1076" s="208"/>
      <c r="S1076" s="208"/>
      <c r="T1076" s="202"/>
    </row>
    <row r="1077" ht="15.75" customHeight="1">
      <c r="A1077" s="158"/>
      <c r="B1077" s="158"/>
      <c r="C1077" s="158"/>
      <c r="D1077" s="158"/>
      <c r="E1077" s="158"/>
      <c r="F1077" s="158"/>
      <c r="G1077" s="148"/>
      <c r="H1077" s="148"/>
      <c r="I1077" s="148"/>
      <c r="J1077" s="148"/>
      <c r="K1077" s="148"/>
      <c r="L1077" s="148"/>
      <c r="M1077" s="148"/>
      <c r="N1077" s="148"/>
      <c r="O1077" s="158"/>
      <c r="P1077" s="148"/>
      <c r="Q1077" s="207"/>
      <c r="R1077" s="208"/>
      <c r="S1077" s="208"/>
      <c r="T1077" s="202"/>
    </row>
    <row r="1078" ht="15.75" customHeight="1">
      <c r="A1078" s="158"/>
      <c r="B1078" s="158"/>
      <c r="C1078" s="158"/>
      <c r="D1078" s="158"/>
      <c r="E1078" s="158"/>
      <c r="F1078" s="158"/>
      <c r="G1078" s="148"/>
      <c r="H1078" s="148"/>
      <c r="I1078" s="148"/>
      <c r="J1078" s="148"/>
      <c r="K1078" s="148"/>
      <c r="L1078" s="148"/>
      <c r="M1078" s="148"/>
      <c r="N1078" s="148"/>
      <c r="O1078" s="158"/>
      <c r="P1078" s="148"/>
      <c r="Q1078" s="207"/>
      <c r="R1078" s="208"/>
      <c r="S1078" s="208"/>
      <c r="T1078" s="202"/>
    </row>
    <row r="1079" ht="15.75" customHeight="1">
      <c r="A1079" s="158"/>
      <c r="B1079" s="158"/>
      <c r="C1079" s="158"/>
      <c r="D1079" s="158"/>
      <c r="E1079" s="158"/>
      <c r="F1079" s="158"/>
      <c r="G1079" s="148"/>
      <c r="H1079" s="148"/>
      <c r="I1079" s="148"/>
      <c r="J1079" s="148"/>
      <c r="K1079" s="148"/>
      <c r="L1079" s="148"/>
      <c r="M1079" s="148"/>
      <c r="N1079" s="148"/>
      <c r="O1079" s="158"/>
      <c r="P1079" s="148"/>
      <c r="Q1079" s="207"/>
      <c r="R1079" s="208"/>
      <c r="S1079" s="208"/>
      <c r="T1079" s="202"/>
    </row>
    <row r="1080" ht="15.75" customHeight="1">
      <c r="A1080" s="158"/>
      <c r="B1080" s="158"/>
      <c r="C1080" s="158"/>
      <c r="D1080" s="158"/>
      <c r="E1080" s="158"/>
      <c r="F1080" s="158"/>
      <c r="G1080" s="148"/>
      <c r="H1080" s="148"/>
      <c r="I1080" s="148"/>
      <c r="J1080" s="148"/>
      <c r="K1080" s="148"/>
      <c r="L1080" s="148"/>
      <c r="M1080" s="148"/>
      <c r="N1080" s="148"/>
      <c r="O1080" s="158"/>
      <c r="P1080" s="148"/>
      <c r="Q1080" s="207"/>
      <c r="R1080" s="208"/>
      <c r="S1080" s="208"/>
      <c r="T1080" s="202"/>
    </row>
    <row r="1081" ht="15.75" customHeight="1">
      <c r="A1081" s="158"/>
      <c r="B1081" s="158"/>
      <c r="C1081" s="158"/>
      <c r="D1081" s="158"/>
      <c r="E1081" s="158"/>
      <c r="F1081" s="158"/>
      <c r="G1081" s="148"/>
      <c r="H1081" s="148"/>
      <c r="I1081" s="148"/>
      <c r="J1081" s="148"/>
      <c r="K1081" s="148"/>
      <c r="L1081" s="148"/>
      <c r="M1081" s="148"/>
      <c r="N1081" s="148"/>
      <c r="O1081" s="158"/>
      <c r="P1081" s="148"/>
      <c r="Q1081" s="207"/>
      <c r="R1081" s="208"/>
      <c r="S1081" s="208"/>
      <c r="T1081" s="202"/>
    </row>
    <row r="1082" ht="15.75" customHeight="1">
      <c r="A1082" s="158"/>
      <c r="B1082" s="158"/>
      <c r="C1082" s="158"/>
      <c r="D1082" s="158"/>
      <c r="E1082" s="158"/>
      <c r="F1082" s="158"/>
      <c r="G1082" s="148"/>
      <c r="H1082" s="148"/>
      <c r="I1082" s="148"/>
      <c r="J1082" s="148"/>
      <c r="K1082" s="148"/>
      <c r="L1082" s="148"/>
      <c r="M1082" s="148"/>
      <c r="N1082" s="148"/>
      <c r="O1082" s="158"/>
      <c r="P1082" s="148"/>
      <c r="Q1082" s="207"/>
      <c r="R1082" s="208"/>
      <c r="S1082" s="208"/>
      <c r="T1082" s="202"/>
    </row>
    <row r="1083" ht="15.75" customHeight="1">
      <c r="A1083" s="158"/>
      <c r="B1083" s="158"/>
      <c r="C1083" s="158"/>
      <c r="D1083" s="158"/>
      <c r="E1083" s="158"/>
      <c r="F1083" s="158"/>
      <c r="G1083" s="148"/>
      <c r="H1083" s="148"/>
      <c r="I1083" s="148"/>
      <c r="J1083" s="148"/>
      <c r="K1083" s="148"/>
      <c r="L1083" s="148"/>
      <c r="M1083" s="148"/>
      <c r="N1083" s="148"/>
      <c r="O1083" s="158"/>
      <c r="P1083" s="148"/>
      <c r="Q1083" s="207"/>
      <c r="R1083" s="208"/>
      <c r="S1083" s="208"/>
      <c r="T1083" s="202"/>
    </row>
    <row r="1084" ht="15.75" customHeight="1">
      <c r="A1084" s="158"/>
      <c r="B1084" s="158"/>
      <c r="C1084" s="158"/>
      <c r="D1084" s="158"/>
      <c r="E1084" s="158"/>
      <c r="F1084" s="158"/>
      <c r="G1084" s="148"/>
      <c r="H1084" s="148"/>
      <c r="I1084" s="148"/>
      <c r="J1084" s="148"/>
      <c r="K1084" s="148"/>
      <c r="L1084" s="148"/>
      <c r="M1084" s="148"/>
      <c r="N1084" s="148"/>
      <c r="O1084" s="158"/>
      <c r="P1084" s="148"/>
      <c r="Q1084" s="207"/>
      <c r="R1084" s="208"/>
      <c r="S1084" s="208"/>
      <c r="T1084" s="202"/>
    </row>
    <row r="1085" ht="15.75" customHeight="1">
      <c r="A1085" s="158"/>
      <c r="B1085" s="158"/>
      <c r="C1085" s="158"/>
      <c r="D1085" s="158"/>
      <c r="E1085" s="158"/>
      <c r="F1085" s="158"/>
      <c r="G1085" s="148"/>
      <c r="H1085" s="148"/>
      <c r="I1085" s="148"/>
      <c r="J1085" s="148"/>
      <c r="K1085" s="148"/>
      <c r="L1085" s="148"/>
      <c r="M1085" s="148"/>
      <c r="N1085" s="148"/>
      <c r="O1085" s="158"/>
      <c r="P1085" s="148"/>
      <c r="Q1085" s="207"/>
      <c r="R1085" s="208"/>
      <c r="S1085" s="208"/>
      <c r="T1085" s="202"/>
    </row>
    <row r="1086" ht="15.75" customHeight="1">
      <c r="A1086" s="158"/>
      <c r="B1086" s="158"/>
      <c r="C1086" s="158"/>
      <c r="D1086" s="158"/>
      <c r="E1086" s="158"/>
      <c r="F1086" s="158"/>
      <c r="G1086" s="148"/>
      <c r="H1086" s="148"/>
      <c r="I1086" s="148"/>
      <c r="J1086" s="148"/>
      <c r="K1086" s="148"/>
      <c r="L1086" s="148"/>
      <c r="M1086" s="148"/>
      <c r="N1086" s="148"/>
      <c r="O1086" s="158"/>
      <c r="P1086" s="148"/>
      <c r="Q1086" s="207"/>
      <c r="R1086" s="208"/>
      <c r="S1086" s="208"/>
      <c r="T1086" s="202"/>
    </row>
    <row r="1087" ht="15.75" customHeight="1">
      <c r="A1087" s="158"/>
      <c r="B1087" s="158"/>
      <c r="C1087" s="158"/>
      <c r="D1087" s="158"/>
      <c r="E1087" s="158"/>
      <c r="F1087" s="158"/>
      <c r="G1087" s="148"/>
      <c r="H1087" s="148"/>
      <c r="I1087" s="148"/>
      <c r="J1087" s="148"/>
      <c r="K1087" s="148"/>
      <c r="L1087" s="148"/>
      <c r="M1087" s="148"/>
      <c r="N1087" s="148"/>
      <c r="O1087" s="158"/>
      <c r="P1087" s="148"/>
      <c r="Q1087" s="207"/>
      <c r="R1087" s="208"/>
      <c r="S1087" s="208"/>
      <c r="T1087" s="202"/>
    </row>
    <row r="1088" ht="15.75" customHeight="1">
      <c r="A1088" s="158"/>
      <c r="B1088" s="158"/>
      <c r="C1088" s="158"/>
      <c r="D1088" s="158"/>
      <c r="E1088" s="158"/>
      <c r="F1088" s="158"/>
      <c r="G1088" s="148"/>
      <c r="H1088" s="148"/>
      <c r="I1088" s="148"/>
      <c r="J1088" s="148"/>
      <c r="K1088" s="148"/>
      <c r="L1088" s="148"/>
      <c r="M1088" s="148"/>
      <c r="N1088" s="148"/>
      <c r="O1088" s="158"/>
      <c r="P1088" s="148"/>
      <c r="Q1088" s="207"/>
      <c r="R1088" s="208"/>
      <c r="S1088" s="208"/>
      <c r="T1088" s="202"/>
    </row>
    <row r="1089" ht="15.75" customHeight="1">
      <c r="A1089" s="158"/>
      <c r="B1089" s="158"/>
      <c r="C1089" s="158"/>
      <c r="D1089" s="158"/>
      <c r="E1089" s="158"/>
      <c r="F1089" s="158"/>
      <c r="G1089" s="148"/>
      <c r="H1089" s="148"/>
      <c r="I1089" s="148"/>
      <c r="J1089" s="148"/>
      <c r="K1089" s="148"/>
      <c r="L1089" s="148"/>
      <c r="M1089" s="148"/>
      <c r="N1089" s="148"/>
      <c r="O1089" s="158"/>
      <c r="P1089" s="148"/>
      <c r="Q1089" s="207"/>
      <c r="R1089" s="208"/>
      <c r="S1089" s="208"/>
      <c r="T1089" s="202"/>
    </row>
    <row r="1090" ht="15.75" customHeight="1">
      <c r="A1090" s="158"/>
      <c r="B1090" s="158"/>
      <c r="C1090" s="158"/>
      <c r="D1090" s="158"/>
      <c r="E1090" s="158"/>
      <c r="F1090" s="158"/>
      <c r="G1090" s="148"/>
      <c r="H1090" s="148"/>
      <c r="I1090" s="148"/>
      <c r="J1090" s="148"/>
      <c r="K1090" s="148"/>
      <c r="L1090" s="148"/>
      <c r="M1090" s="148"/>
      <c r="N1090" s="148"/>
      <c r="O1090" s="158"/>
      <c r="P1090" s="148"/>
      <c r="Q1090" s="207"/>
      <c r="R1090" s="208"/>
      <c r="S1090" s="208"/>
      <c r="T1090" s="202"/>
    </row>
    <row r="1091" ht="15.75" customHeight="1">
      <c r="A1091" s="158"/>
      <c r="B1091" s="158"/>
      <c r="C1091" s="158"/>
      <c r="D1091" s="158"/>
      <c r="E1091" s="158"/>
      <c r="F1091" s="158"/>
      <c r="G1091" s="148"/>
      <c r="H1091" s="148"/>
      <c r="I1091" s="148"/>
      <c r="J1091" s="148"/>
      <c r="K1091" s="148"/>
      <c r="L1091" s="148"/>
      <c r="M1091" s="148"/>
      <c r="N1091" s="148"/>
      <c r="O1091" s="158"/>
      <c r="P1091" s="148"/>
      <c r="Q1091" s="207"/>
      <c r="R1091" s="208"/>
      <c r="S1091" s="208"/>
      <c r="T1091" s="202"/>
    </row>
    <row r="1092" ht="15.75" customHeight="1">
      <c r="A1092" s="158"/>
      <c r="B1092" s="158"/>
      <c r="C1092" s="158"/>
      <c r="D1092" s="158"/>
      <c r="E1092" s="158"/>
      <c r="F1092" s="158"/>
      <c r="G1092" s="148"/>
      <c r="H1092" s="148"/>
      <c r="I1092" s="148"/>
      <c r="J1092" s="148"/>
      <c r="K1092" s="148"/>
      <c r="L1092" s="148"/>
      <c r="M1092" s="148"/>
      <c r="N1092" s="148"/>
      <c r="O1092" s="158"/>
      <c r="P1092" s="148"/>
      <c r="Q1092" s="207"/>
      <c r="R1092" s="208"/>
      <c r="S1092" s="208"/>
      <c r="T1092" s="202"/>
    </row>
    <row r="1093" ht="15.75" customHeight="1">
      <c r="A1093" s="158"/>
      <c r="B1093" s="158"/>
      <c r="C1093" s="158"/>
      <c r="D1093" s="158"/>
      <c r="E1093" s="158"/>
      <c r="F1093" s="158"/>
      <c r="G1093" s="148"/>
      <c r="H1093" s="148"/>
      <c r="I1093" s="148"/>
      <c r="J1093" s="148"/>
      <c r="K1093" s="148"/>
      <c r="L1093" s="148"/>
      <c r="M1093" s="148"/>
      <c r="N1093" s="148"/>
      <c r="O1093" s="158"/>
      <c r="P1093" s="148"/>
      <c r="Q1093" s="207"/>
      <c r="R1093" s="208"/>
      <c r="S1093" s="208"/>
      <c r="T1093" s="202"/>
    </row>
    <row r="1094" ht="15.75" customHeight="1">
      <c r="A1094" s="158"/>
      <c r="B1094" s="158"/>
      <c r="C1094" s="158"/>
      <c r="D1094" s="158"/>
      <c r="E1094" s="158"/>
      <c r="F1094" s="158"/>
      <c r="G1094" s="148"/>
      <c r="H1094" s="148"/>
      <c r="I1094" s="148"/>
      <c r="J1094" s="148"/>
      <c r="K1094" s="148"/>
      <c r="L1094" s="148"/>
      <c r="M1094" s="148"/>
      <c r="N1094" s="148"/>
      <c r="O1094" s="158"/>
      <c r="P1094" s="148"/>
      <c r="Q1094" s="207"/>
      <c r="R1094" s="208"/>
      <c r="S1094" s="208"/>
      <c r="T1094" s="202"/>
    </row>
    <row r="1095" ht="15.75" customHeight="1">
      <c r="A1095" s="158"/>
      <c r="B1095" s="158"/>
      <c r="C1095" s="158"/>
      <c r="D1095" s="158"/>
      <c r="E1095" s="158"/>
      <c r="F1095" s="158"/>
      <c r="G1095" s="148"/>
      <c r="H1095" s="148"/>
      <c r="I1095" s="148"/>
      <c r="J1095" s="148"/>
      <c r="K1095" s="148"/>
      <c r="L1095" s="148"/>
      <c r="M1095" s="148"/>
      <c r="N1095" s="148"/>
      <c r="O1095" s="158"/>
      <c r="P1095" s="148"/>
      <c r="Q1095" s="207"/>
      <c r="R1095" s="208"/>
      <c r="S1095" s="208"/>
      <c r="T1095" s="202"/>
    </row>
    <row r="1096" ht="15.75" customHeight="1">
      <c r="A1096" s="158"/>
      <c r="B1096" s="158"/>
      <c r="C1096" s="158"/>
      <c r="D1096" s="158"/>
      <c r="E1096" s="158"/>
      <c r="F1096" s="158"/>
      <c r="G1096" s="148"/>
      <c r="H1096" s="148"/>
      <c r="I1096" s="148"/>
      <c r="J1096" s="148"/>
      <c r="K1096" s="148"/>
      <c r="L1096" s="148"/>
      <c r="M1096" s="148"/>
      <c r="N1096" s="148"/>
      <c r="O1096" s="158"/>
      <c r="P1096" s="148"/>
      <c r="Q1096" s="207"/>
      <c r="R1096" s="208"/>
      <c r="S1096" s="208"/>
      <c r="T1096" s="202"/>
    </row>
    <row r="1097" ht="15.75" customHeight="1">
      <c r="A1097" s="158"/>
      <c r="B1097" s="158"/>
      <c r="C1097" s="158"/>
      <c r="D1097" s="158"/>
      <c r="E1097" s="158"/>
      <c r="F1097" s="158"/>
      <c r="G1097" s="148"/>
      <c r="H1097" s="148"/>
      <c r="I1097" s="148"/>
      <c r="J1097" s="148"/>
      <c r="K1097" s="148"/>
      <c r="L1097" s="148"/>
      <c r="M1097" s="148"/>
      <c r="N1097" s="148"/>
      <c r="O1097" s="158"/>
      <c r="P1097" s="148"/>
      <c r="Q1097" s="207"/>
      <c r="R1097" s="208"/>
      <c r="S1097" s="208"/>
      <c r="T1097" s="202"/>
    </row>
    <row r="1098" ht="15.75" customHeight="1">
      <c r="A1098" s="158"/>
      <c r="B1098" s="158"/>
      <c r="C1098" s="158"/>
      <c r="D1098" s="158"/>
      <c r="E1098" s="158"/>
      <c r="F1098" s="158"/>
      <c r="G1098" s="148"/>
      <c r="H1098" s="148"/>
      <c r="I1098" s="148"/>
      <c r="J1098" s="148"/>
      <c r="K1098" s="148"/>
      <c r="L1098" s="148"/>
      <c r="M1098" s="148"/>
      <c r="N1098" s="148"/>
      <c r="O1098" s="158"/>
      <c r="P1098" s="148"/>
      <c r="Q1098" s="207"/>
      <c r="R1098" s="208"/>
      <c r="S1098" s="208"/>
      <c r="T1098" s="202"/>
    </row>
    <row r="1099" ht="15.75" customHeight="1">
      <c r="A1099" s="158"/>
      <c r="B1099" s="158"/>
      <c r="C1099" s="158"/>
      <c r="D1099" s="158"/>
      <c r="E1099" s="158"/>
      <c r="F1099" s="158"/>
      <c r="G1099" s="148"/>
      <c r="H1099" s="148"/>
      <c r="I1099" s="148"/>
      <c r="J1099" s="148"/>
      <c r="K1099" s="148"/>
      <c r="L1099" s="148"/>
      <c r="M1099" s="148"/>
      <c r="N1099" s="148"/>
      <c r="O1099" s="158"/>
      <c r="P1099" s="148"/>
      <c r="Q1099" s="207"/>
      <c r="R1099" s="208"/>
      <c r="S1099" s="208"/>
      <c r="T1099" s="202"/>
    </row>
    <row r="1100" ht="15.75" customHeight="1">
      <c r="A1100" s="158"/>
      <c r="B1100" s="158"/>
      <c r="C1100" s="158"/>
      <c r="D1100" s="158"/>
      <c r="E1100" s="158"/>
      <c r="F1100" s="158"/>
      <c r="G1100" s="148"/>
      <c r="H1100" s="148"/>
      <c r="I1100" s="148"/>
      <c r="J1100" s="148"/>
      <c r="K1100" s="148"/>
      <c r="L1100" s="148"/>
      <c r="M1100" s="148"/>
      <c r="N1100" s="148"/>
      <c r="O1100" s="158"/>
      <c r="P1100" s="148"/>
      <c r="Q1100" s="207"/>
      <c r="R1100" s="208"/>
      <c r="S1100" s="208"/>
      <c r="T1100" s="202"/>
    </row>
    <row r="1101" ht="15.75" customHeight="1">
      <c r="A1101" s="158"/>
      <c r="B1101" s="158"/>
      <c r="C1101" s="158"/>
      <c r="D1101" s="158"/>
      <c r="E1101" s="158"/>
      <c r="F1101" s="158"/>
      <c r="G1101" s="148"/>
      <c r="H1101" s="148"/>
      <c r="I1101" s="148"/>
      <c r="J1101" s="148"/>
      <c r="K1101" s="148"/>
      <c r="L1101" s="148"/>
      <c r="M1101" s="148"/>
      <c r="N1101" s="148"/>
      <c r="O1101" s="158"/>
      <c r="P1101" s="148"/>
      <c r="Q1101" s="207"/>
      <c r="R1101" s="208"/>
      <c r="S1101" s="208"/>
      <c r="T1101" s="202"/>
    </row>
    <row r="1102" ht="15.75" customHeight="1">
      <c r="A1102" s="158"/>
      <c r="B1102" s="158"/>
      <c r="C1102" s="158"/>
      <c r="D1102" s="158"/>
      <c r="E1102" s="158"/>
      <c r="F1102" s="158"/>
      <c r="G1102" s="148"/>
      <c r="H1102" s="148"/>
      <c r="I1102" s="148"/>
      <c r="J1102" s="148"/>
      <c r="K1102" s="148"/>
      <c r="L1102" s="148"/>
      <c r="M1102" s="148"/>
      <c r="N1102" s="148"/>
      <c r="O1102" s="158"/>
      <c r="P1102" s="148"/>
      <c r="Q1102" s="207"/>
      <c r="R1102" s="208"/>
      <c r="S1102" s="208"/>
      <c r="T1102" s="202"/>
    </row>
    <row r="1103" ht="15.75" customHeight="1">
      <c r="A1103" s="158"/>
      <c r="B1103" s="158"/>
      <c r="C1103" s="158"/>
      <c r="D1103" s="158"/>
      <c r="E1103" s="158"/>
      <c r="F1103" s="158"/>
      <c r="G1103" s="148"/>
      <c r="H1103" s="148"/>
      <c r="I1103" s="148"/>
      <c r="J1103" s="148"/>
      <c r="K1103" s="148"/>
      <c r="L1103" s="148"/>
      <c r="M1103" s="148"/>
      <c r="N1103" s="148"/>
      <c r="O1103" s="158"/>
      <c r="P1103" s="148"/>
      <c r="Q1103" s="207"/>
      <c r="R1103" s="208"/>
      <c r="S1103" s="208"/>
      <c r="T1103" s="202"/>
    </row>
    <row r="1104" ht="15.75" customHeight="1">
      <c r="A1104" s="158"/>
      <c r="B1104" s="158"/>
      <c r="C1104" s="158"/>
      <c r="D1104" s="158"/>
      <c r="E1104" s="158"/>
      <c r="F1104" s="158"/>
      <c r="G1104" s="148"/>
      <c r="H1104" s="148"/>
      <c r="I1104" s="148"/>
      <c r="J1104" s="148"/>
      <c r="K1104" s="148"/>
      <c r="L1104" s="148"/>
      <c r="M1104" s="148"/>
      <c r="N1104" s="148"/>
      <c r="O1104" s="158"/>
      <c r="P1104" s="148"/>
      <c r="Q1104" s="207"/>
      <c r="R1104" s="208"/>
      <c r="S1104" s="208"/>
      <c r="T1104" s="202"/>
    </row>
    <row r="1105" ht="15.75" customHeight="1">
      <c r="A1105" s="158"/>
      <c r="B1105" s="158"/>
      <c r="C1105" s="158"/>
      <c r="D1105" s="158"/>
      <c r="E1105" s="158"/>
      <c r="F1105" s="158"/>
      <c r="G1105" s="148"/>
      <c r="H1105" s="148"/>
      <c r="I1105" s="148"/>
      <c r="J1105" s="148"/>
      <c r="K1105" s="148"/>
      <c r="L1105" s="148"/>
      <c r="M1105" s="148"/>
      <c r="N1105" s="148"/>
      <c r="O1105" s="158"/>
      <c r="P1105" s="148"/>
      <c r="Q1105" s="207"/>
      <c r="R1105" s="208"/>
      <c r="S1105" s="208"/>
      <c r="T1105" s="202"/>
    </row>
    <row r="1106" ht="15.75" customHeight="1">
      <c r="A1106" s="158"/>
      <c r="B1106" s="158"/>
      <c r="C1106" s="158"/>
      <c r="D1106" s="158"/>
      <c r="E1106" s="158"/>
      <c r="F1106" s="158"/>
      <c r="G1106" s="148"/>
      <c r="H1106" s="148"/>
      <c r="I1106" s="148"/>
      <c r="J1106" s="148"/>
      <c r="K1106" s="148"/>
      <c r="L1106" s="148"/>
      <c r="M1106" s="148"/>
      <c r="N1106" s="148"/>
      <c r="O1106" s="158"/>
      <c r="P1106" s="148"/>
      <c r="Q1106" s="207"/>
      <c r="R1106" s="208"/>
      <c r="S1106" s="208"/>
      <c r="T1106" s="202"/>
    </row>
    <row r="1107" ht="15.75" customHeight="1">
      <c r="A1107" s="158"/>
      <c r="B1107" s="158"/>
      <c r="C1107" s="158"/>
      <c r="D1107" s="158"/>
      <c r="E1107" s="158"/>
      <c r="F1107" s="158"/>
      <c r="G1107" s="148"/>
      <c r="H1107" s="148"/>
      <c r="I1107" s="148"/>
      <c r="J1107" s="148"/>
      <c r="K1107" s="148"/>
      <c r="L1107" s="148"/>
      <c r="M1107" s="148"/>
      <c r="N1107" s="148"/>
      <c r="O1107" s="158"/>
      <c r="P1107" s="148"/>
      <c r="Q1107" s="207"/>
      <c r="R1107" s="208"/>
      <c r="S1107" s="208"/>
      <c r="T1107" s="202"/>
    </row>
    <row r="1108" ht="15.75" customHeight="1">
      <c r="A1108" s="158"/>
      <c r="B1108" s="158"/>
      <c r="C1108" s="158"/>
      <c r="D1108" s="158"/>
      <c r="E1108" s="158"/>
      <c r="F1108" s="158"/>
      <c r="G1108" s="148"/>
      <c r="H1108" s="148"/>
      <c r="I1108" s="148"/>
      <c r="J1108" s="148"/>
      <c r="K1108" s="148"/>
      <c r="L1108" s="148"/>
      <c r="M1108" s="148"/>
      <c r="N1108" s="148"/>
      <c r="O1108" s="158"/>
      <c r="P1108" s="148"/>
      <c r="Q1108" s="207"/>
      <c r="R1108" s="208"/>
      <c r="S1108" s="208"/>
      <c r="T1108" s="202"/>
    </row>
    <row r="1109" ht="15.75" customHeight="1">
      <c r="A1109" s="158"/>
      <c r="B1109" s="158"/>
      <c r="C1109" s="158"/>
      <c r="D1109" s="158"/>
      <c r="E1109" s="158"/>
      <c r="F1109" s="158"/>
      <c r="G1109" s="148"/>
      <c r="H1109" s="148"/>
      <c r="I1109" s="148"/>
      <c r="J1109" s="148"/>
      <c r="K1109" s="148"/>
      <c r="L1109" s="148"/>
      <c r="M1109" s="148"/>
      <c r="N1109" s="148"/>
      <c r="O1109" s="158"/>
      <c r="P1109" s="148"/>
      <c r="Q1109" s="207"/>
      <c r="R1109" s="208"/>
      <c r="S1109" s="208"/>
      <c r="T1109" s="202"/>
    </row>
    <row r="1110" ht="15.75" customHeight="1">
      <c r="A1110" s="158"/>
      <c r="B1110" s="158"/>
      <c r="C1110" s="158"/>
      <c r="D1110" s="158"/>
      <c r="E1110" s="158"/>
      <c r="F1110" s="158"/>
      <c r="G1110" s="148"/>
      <c r="H1110" s="148"/>
      <c r="I1110" s="148"/>
      <c r="J1110" s="148"/>
      <c r="K1110" s="148"/>
      <c r="L1110" s="148"/>
      <c r="M1110" s="148"/>
      <c r="N1110" s="148"/>
      <c r="O1110" s="158"/>
      <c r="P1110" s="148"/>
      <c r="Q1110" s="207"/>
      <c r="R1110" s="208"/>
      <c r="S1110" s="208"/>
      <c r="T1110" s="202"/>
    </row>
    <row r="1111" ht="15.75" customHeight="1">
      <c r="A1111" s="158"/>
      <c r="B1111" s="158"/>
      <c r="C1111" s="158"/>
      <c r="D1111" s="158"/>
      <c r="E1111" s="158"/>
      <c r="F1111" s="158"/>
      <c r="G1111" s="148"/>
      <c r="H1111" s="148"/>
      <c r="I1111" s="148"/>
      <c r="J1111" s="148"/>
      <c r="K1111" s="148"/>
      <c r="L1111" s="148"/>
      <c r="M1111" s="148"/>
      <c r="N1111" s="148"/>
      <c r="O1111" s="158"/>
      <c r="P1111" s="148"/>
      <c r="Q1111" s="207"/>
      <c r="R1111" s="208"/>
      <c r="S1111" s="208"/>
      <c r="T1111" s="202"/>
    </row>
    <row r="1112" ht="15.75" customHeight="1">
      <c r="A1112" s="158"/>
      <c r="B1112" s="158"/>
      <c r="C1112" s="158"/>
      <c r="D1112" s="158"/>
      <c r="E1112" s="158"/>
      <c r="F1112" s="158"/>
      <c r="G1112" s="148"/>
      <c r="H1112" s="148"/>
      <c r="I1112" s="148"/>
      <c r="J1112" s="148"/>
      <c r="K1112" s="148"/>
      <c r="L1112" s="148"/>
      <c r="M1112" s="148"/>
      <c r="N1112" s="148"/>
      <c r="O1112" s="158"/>
      <c r="P1112" s="148"/>
      <c r="Q1112" s="207"/>
      <c r="R1112" s="208"/>
      <c r="S1112" s="208"/>
      <c r="T1112" s="202"/>
    </row>
    <row r="1113" ht="15.75" customHeight="1">
      <c r="A1113" s="158"/>
      <c r="B1113" s="158"/>
      <c r="C1113" s="158"/>
      <c r="D1113" s="158"/>
      <c r="E1113" s="158"/>
      <c r="F1113" s="158"/>
      <c r="G1113" s="148"/>
      <c r="H1113" s="148"/>
      <c r="I1113" s="148"/>
      <c r="J1113" s="148"/>
      <c r="K1113" s="148"/>
      <c r="L1113" s="148"/>
      <c r="M1113" s="148"/>
      <c r="N1113" s="148"/>
      <c r="O1113" s="158"/>
      <c r="P1113" s="148"/>
      <c r="Q1113" s="207"/>
      <c r="R1113" s="208"/>
      <c r="S1113" s="208"/>
      <c r="T1113" s="202"/>
    </row>
    <row r="1114" ht="15.75" customHeight="1">
      <c r="A1114" s="158"/>
      <c r="B1114" s="158"/>
      <c r="C1114" s="158"/>
      <c r="D1114" s="158"/>
      <c r="E1114" s="158"/>
      <c r="F1114" s="158"/>
      <c r="G1114" s="148"/>
      <c r="H1114" s="148"/>
      <c r="I1114" s="148"/>
      <c r="J1114" s="148"/>
      <c r="K1114" s="148"/>
      <c r="L1114" s="148"/>
      <c r="M1114" s="148"/>
      <c r="N1114" s="148"/>
      <c r="O1114" s="158"/>
      <c r="P1114" s="148"/>
      <c r="Q1114" s="207"/>
      <c r="R1114" s="208"/>
      <c r="S1114" s="208"/>
      <c r="T1114" s="202"/>
    </row>
    <row r="1115" ht="15.75" customHeight="1">
      <c r="A1115" s="158"/>
      <c r="B1115" s="158"/>
      <c r="C1115" s="158"/>
      <c r="D1115" s="158"/>
      <c r="E1115" s="158"/>
      <c r="F1115" s="158"/>
      <c r="G1115" s="148"/>
      <c r="H1115" s="148"/>
      <c r="I1115" s="148"/>
      <c r="J1115" s="148"/>
      <c r="K1115" s="148"/>
      <c r="L1115" s="148"/>
      <c r="M1115" s="148"/>
      <c r="N1115" s="148"/>
      <c r="O1115" s="158"/>
      <c r="P1115" s="148"/>
      <c r="Q1115" s="207"/>
      <c r="R1115" s="208"/>
      <c r="S1115" s="208"/>
      <c r="T1115" s="202"/>
    </row>
    <row r="1116" ht="15.75" customHeight="1">
      <c r="A1116" s="158"/>
      <c r="B1116" s="158"/>
      <c r="C1116" s="158"/>
      <c r="D1116" s="158"/>
      <c r="E1116" s="158"/>
      <c r="F1116" s="158"/>
      <c r="G1116" s="148"/>
      <c r="H1116" s="148"/>
      <c r="I1116" s="148"/>
      <c r="J1116" s="148"/>
      <c r="K1116" s="148"/>
      <c r="L1116" s="148"/>
      <c r="M1116" s="148"/>
      <c r="N1116" s="148"/>
      <c r="O1116" s="158"/>
      <c r="P1116" s="148"/>
      <c r="Q1116" s="207"/>
      <c r="R1116" s="208"/>
      <c r="S1116" s="208"/>
      <c r="T1116" s="202"/>
    </row>
    <row r="1117" ht="15.75" customHeight="1">
      <c r="A1117" s="158"/>
      <c r="B1117" s="158"/>
      <c r="C1117" s="158"/>
      <c r="D1117" s="158"/>
      <c r="E1117" s="158"/>
      <c r="F1117" s="158"/>
      <c r="G1117" s="148"/>
      <c r="H1117" s="148"/>
      <c r="I1117" s="148"/>
      <c r="J1117" s="148"/>
      <c r="K1117" s="148"/>
      <c r="L1117" s="148"/>
      <c r="M1117" s="148"/>
      <c r="N1117" s="148"/>
      <c r="O1117" s="158"/>
      <c r="P1117" s="148"/>
      <c r="Q1117" s="207"/>
      <c r="R1117" s="208"/>
      <c r="S1117" s="208"/>
      <c r="T1117" s="202"/>
    </row>
    <row r="1118" ht="15.75" customHeight="1">
      <c r="A1118" s="158"/>
      <c r="B1118" s="158"/>
      <c r="C1118" s="158"/>
      <c r="D1118" s="158"/>
      <c r="E1118" s="158"/>
      <c r="F1118" s="158"/>
      <c r="G1118" s="148"/>
      <c r="H1118" s="148"/>
      <c r="I1118" s="148"/>
      <c r="J1118" s="148"/>
      <c r="K1118" s="148"/>
      <c r="L1118" s="148"/>
      <c r="M1118" s="148"/>
      <c r="N1118" s="148"/>
      <c r="O1118" s="158"/>
      <c r="P1118" s="148"/>
      <c r="Q1118" s="207"/>
      <c r="R1118" s="208"/>
      <c r="S1118" s="208"/>
      <c r="T1118" s="202"/>
    </row>
    <row r="1119" ht="15.75" customHeight="1">
      <c r="A1119" s="158"/>
      <c r="B1119" s="158"/>
      <c r="C1119" s="158"/>
      <c r="D1119" s="158"/>
      <c r="E1119" s="158"/>
      <c r="F1119" s="158"/>
      <c r="G1119" s="148"/>
      <c r="H1119" s="148"/>
      <c r="I1119" s="148"/>
      <c r="J1119" s="148"/>
      <c r="K1119" s="148"/>
      <c r="L1119" s="148"/>
      <c r="M1119" s="148"/>
      <c r="N1119" s="148"/>
      <c r="O1119" s="158"/>
      <c r="P1119" s="148"/>
      <c r="Q1119" s="207"/>
      <c r="R1119" s="208"/>
      <c r="S1119" s="208"/>
      <c r="T1119" s="202"/>
    </row>
    <row r="1120" ht="15.75" customHeight="1">
      <c r="A1120" s="158"/>
      <c r="B1120" s="158"/>
      <c r="C1120" s="158"/>
      <c r="D1120" s="158"/>
      <c r="E1120" s="158"/>
      <c r="F1120" s="158"/>
      <c r="G1120" s="148"/>
      <c r="H1120" s="148"/>
      <c r="I1120" s="148"/>
      <c r="J1120" s="148"/>
      <c r="K1120" s="148"/>
      <c r="L1120" s="148"/>
      <c r="M1120" s="148"/>
      <c r="N1120" s="148"/>
      <c r="O1120" s="158"/>
      <c r="P1120" s="148"/>
      <c r="Q1120" s="207"/>
      <c r="R1120" s="208"/>
      <c r="S1120" s="208"/>
      <c r="T1120" s="202"/>
    </row>
    <row r="1121" ht="15.75" customHeight="1">
      <c r="A1121" s="158"/>
      <c r="B1121" s="158"/>
      <c r="C1121" s="158"/>
      <c r="D1121" s="158"/>
      <c r="E1121" s="158"/>
      <c r="F1121" s="158"/>
      <c r="G1121" s="148"/>
      <c r="H1121" s="148"/>
      <c r="I1121" s="148"/>
      <c r="J1121" s="148"/>
      <c r="K1121" s="148"/>
      <c r="L1121" s="148"/>
      <c r="M1121" s="148"/>
      <c r="N1121" s="148"/>
      <c r="O1121" s="158"/>
      <c r="P1121" s="148"/>
      <c r="Q1121" s="207"/>
      <c r="R1121" s="208"/>
      <c r="S1121" s="208"/>
      <c r="T1121" s="202"/>
    </row>
    <row r="1122" ht="15.75" customHeight="1">
      <c r="A1122" s="158"/>
      <c r="B1122" s="158"/>
      <c r="C1122" s="158"/>
      <c r="D1122" s="158"/>
      <c r="E1122" s="158"/>
      <c r="F1122" s="158"/>
      <c r="G1122" s="148"/>
      <c r="H1122" s="148"/>
      <c r="I1122" s="148"/>
      <c r="J1122" s="148"/>
      <c r="K1122" s="148"/>
      <c r="L1122" s="148"/>
      <c r="M1122" s="148"/>
      <c r="N1122" s="148"/>
      <c r="O1122" s="158"/>
      <c r="P1122" s="148"/>
      <c r="Q1122" s="207"/>
      <c r="R1122" s="208"/>
      <c r="S1122" s="208"/>
      <c r="T1122" s="202"/>
    </row>
    <row r="1123" ht="15.75" customHeight="1">
      <c r="A1123" s="158"/>
      <c r="B1123" s="158"/>
      <c r="C1123" s="158"/>
      <c r="D1123" s="158"/>
      <c r="E1123" s="158"/>
      <c r="F1123" s="158"/>
      <c r="G1123" s="148"/>
      <c r="H1123" s="148"/>
      <c r="I1123" s="148"/>
      <c r="J1123" s="148"/>
      <c r="K1123" s="148"/>
      <c r="L1123" s="148"/>
      <c r="M1123" s="148"/>
      <c r="N1123" s="148"/>
      <c r="O1123" s="158"/>
      <c r="P1123" s="148"/>
      <c r="Q1123" s="207"/>
      <c r="R1123" s="208"/>
      <c r="S1123" s="208"/>
      <c r="T1123" s="202"/>
    </row>
    <row r="1124" ht="15.75" customHeight="1">
      <c r="A1124" s="158"/>
      <c r="B1124" s="158"/>
      <c r="C1124" s="158"/>
      <c r="D1124" s="158"/>
      <c r="E1124" s="158"/>
      <c r="F1124" s="158"/>
      <c r="G1124" s="148"/>
      <c r="H1124" s="148"/>
      <c r="I1124" s="148"/>
      <c r="J1124" s="148"/>
      <c r="K1124" s="148"/>
      <c r="L1124" s="148"/>
      <c r="M1124" s="148"/>
      <c r="N1124" s="148"/>
      <c r="O1124" s="158"/>
      <c r="P1124" s="148"/>
      <c r="Q1124" s="207"/>
      <c r="R1124" s="208"/>
      <c r="S1124" s="208"/>
      <c r="T1124" s="202"/>
    </row>
    <row r="1125" ht="15.75" customHeight="1">
      <c r="A1125" s="158"/>
      <c r="B1125" s="158"/>
      <c r="C1125" s="158"/>
      <c r="D1125" s="158"/>
      <c r="E1125" s="158"/>
      <c r="F1125" s="158"/>
      <c r="G1125" s="148"/>
      <c r="H1125" s="148"/>
      <c r="I1125" s="148"/>
      <c r="J1125" s="148"/>
      <c r="K1125" s="148"/>
      <c r="L1125" s="148"/>
      <c r="M1125" s="148"/>
      <c r="N1125" s="148"/>
      <c r="O1125" s="158"/>
      <c r="P1125" s="148"/>
      <c r="Q1125" s="207"/>
      <c r="R1125" s="208"/>
      <c r="S1125" s="208"/>
      <c r="T1125" s="202"/>
    </row>
    <row r="1126" ht="15.75" customHeight="1">
      <c r="A1126" s="158"/>
      <c r="B1126" s="158"/>
      <c r="C1126" s="158"/>
      <c r="D1126" s="158"/>
      <c r="E1126" s="158"/>
      <c r="F1126" s="158"/>
      <c r="G1126" s="148"/>
      <c r="H1126" s="148"/>
      <c r="I1126" s="148"/>
      <c r="J1126" s="148"/>
      <c r="K1126" s="148"/>
      <c r="L1126" s="148"/>
      <c r="M1126" s="148"/>
      <c r="N1126" s="148"/>
      <c r="O1126" s="158"/>
      <c r="P1126" s="148"/>
      <c r="Q1126" s="207"/>
      <c r="R1126" s="208"/>
      <c r="S1126" s="208"/>
      <c r="T1126" s="202"/>
    </row>
    <row r="1127" ht="15.75" customHeight="1">
      <c r="A1127" s="158"/>
      <c r="B1127" s="158"/>
      <c r="C1127" s="158"/>
      <c r="D1127" s="158"/>
      <c r="E1127" s="158"/>
      <c r="F1127" s="158"/>
      <c r="G1127" s="148"/>
      <c r="H1127" s="148"/>
      <c r="I1127" s="148"/>
      <c r="J1127" s="148"/>
      <c r="K1127" s="148"/>
      <c r="L1127" s="148"/>
      <c r="M1127" s="148"/>
      <c r="N1127" s="148"/>
      <c r="O1127" s="158"/>
      <c r="P1127" s="148"/>
      <c r="Q1127" s="207"/>
      <c r="R1127" s="208"/>
      <c r="S1127" s="208"/>
      <c r="T1127" s="202"/>
    </row>
    <row r="1128" ht="15.75" customHeight="1">
      <c r="A1128" s="158"/>
      <c r="B1128" s="158"/>
      <c r="C1128" s="158"/>
      <c r="D1128" s="158"/>
      <c r="E1128" s="158"/>
      <c r="F1128" s="158"/>
      <c r="G1128" s="148"/>
      <c r="H1128" s="148"/>
      <c r="I1128" s="148"/>
      <c r="J1128" s="148"/>
      <c r="K1128" s="148"/>
      <c r="L1128" s="148"/>
      <c r="M1128" s="148"/>
      <c r="N1128" s="148"/>
      <c r="O1128" s="158"/>
      <c r="P1128" s="148"/>
      <c r="Q1128" s="207"/>
      <c r="R1128" s="208"/>
      <c r="S1128" s="208"/>
      <c r="T1128" s="202"/>
    </row>
    <row r="1129" ht="15.75" customHeight="1">
      <c r="A1129" s="158"/>
      <c r="B1129" s="158"/>
      <c r="C1129" s="158"/>
      <c r="D1129" s="158"/>
      <c r="E1129" s="158"/>
      <c r="F1129" s="158"/>
      <c r="G1129" s="148"/>
      <c r="H1129" s="148"/>
      <c r="I1129" s="148"/>
      <c r="J1129" s="148"/>
      <c r="K1129" s="148"/>
      <c r="L1129" s="148"/>
      <c r="M1129" s="148"/>
      <c r="N1129" s="148"/>
      <c r="O1129" s="158"/>
      <c r="P1129" s="148"/>
      <c r="Q1129" s="207"/>
      <c r="R1129" s="208"/>
      <c r="S1129" s="208"/>
      <c r="T1129" s="202"/>
    </row>
    <row r="1130" ht="15.75" customHeight="1">
      <c r="A1130" s="158"/>
      <c r="B1130" s="158"/>
      <c r="C1130" s="158"/>
      <c r="D1130" s="158"/>
      <c r="E1130" s="158"/>
      <c r="F1130" s="158"/>
      <c r="G1130" s="148"/>
      <c r="H1130" s="148"/>
      <c r="I1130" s="148"/>
      <c r="J1130" s="148"/>
      <c r="K1130" s="148"/>
      <c r="L1130" s="148"/>
      <c r="M1130" s="148"/>
      <c r="N1130" s="148"/>
      <c r="O1130" s="158"/>
      <c r="P1130" s="148"/>
      <c r="Q1130" s="207"/>
      <c r="R1130" s="208"/>
      <c r="S1130" s="208"/>
      <c r="T1130" s="202"/>
    </row>
    <row r="1131" ht="15.75" customHeight="1">
      <c r="A1131" s="158"/>
      <c r="B1131" s="158"/>
      <c r="C1131" s="158"/>
      <c r="D1131" s="158"/>
      <c r="E1131" s="158"/>
      <c r="F1131" s="158"/>
      <c r="G1131" s="148"/>
      <c r="H1131" s="148"/>
      <c r="I1131" s="148"/>
      <c r="J1131" s="148"/>
      <c r="K1131" s="148"/>
      <c r="L1131" s="148"/>
      <c r="M1131" s="148"/>
      <c r="N1131" s="148"/>
      <c r="O1131" s="158"/>
      <c r="P1131" s="148"/>
      <c r="Q1131" s="207"/>
      <c r="R1131" s="208"/>
      <c r="S1131" s="208"/>
      <c r="T1131" s="202"/>
    </row>
    <row r="1132" ht="15.75" customHeight="1">
      <c r="A1132" s="158"/>
      <c r="B1132" s="158"/>
      <c r="C1132" s="158"/>
      <c r="D1132" s="158"/>
      <c r="E1132" s="158"/>
      <c r="F1132" s="158"/>
      <c r="G1132" s="148"/>
      <c r="H1132" s="148"/>
      <c r="I1132" s="148"/>
      <c r="J1132" s="148"/>
      <c r="K1132" s="148"/>
      <c r="L1132" s="148"/>
      <c r="M1132" s="148"/>
      <c r="N1132" s="148"/>
      <c r="O1132" s="158"/>
      <c r="P1132" s="148"/>
      <c r="Q1132" s="207"/>
      <c r="R1132" s="208"/>
      <c r="S1132" s="208"/>
      <c r="T1132" s="202"/>
    </row>
    <row r="1133" ht="15.75" customHeight="1">
      <c r="A1133" s="158"/>
      <c r="B1133" s="158"/>
      <c r="C1133" s="158"/>
      <c r="D1133" s="158"/>
      <c r="E1133" s="158"/>
      <c r="F1133" s="158"/>
      <c r="G1133" s="148"/>
      <c r="H1133" s="148"/>
      <c r="I1133" s="148"/>
      <c r="J1133" s="148"/>
      <c r="K1133" s="148"/>
      <c r="L1133" s="148"/>
      <c r="M1133" s="148"/>
      <c r="N1133" s="148"/>
      <c r="O1133" s="158"/>
      <c r="P1133" s="148"/>
      <c r="Q1133" s="207"/>
      <c r="R1133" s="208"/>
      <c r="S1133" s="208"/>
      <c r="T1133" s="202"/>
    </row>
    <row r="1134" ht="15.75" customHeight="1">
      <c r="A1134" s="158"/>
      <c r="B1134" s="158"/>
      <c r="C1134" s="158"/>
      <c r="D1134" s="158"/>
      <c r="E1134" s="158"/>
      <c r="F1134" s="158"/>
      <c r="G1134" s="148"/>
      <c r="H1134" s="148"/>
      <c r="I1134" s="148"/>
      <c r="J1134" s="148"/>
      <c r="K1134" s="148"/>
      <c r="L1134" s="148"/>
      <c r="M1134" s="148"/>
      <c r="N1134" s="148"/>
      <c r="O1134" s="158"/>
      <c r="P1134" s="148"/>
      <c r="Q1134" s="207"/>
      <c r="R1134" s="208"/>
      <c r="S1134" s="208"/>
      <c r="T1134" s="202"/>
    </row>
    <row r="1135" ht="15.75" customHeight="1">
      <c r="A1135" s="158"/>
      <c r="B1135" s="158"/>
      <c r="C1135" s="158"/>
      <c r="D1135" s="158"/>
      <c r="E1135" s="158"/>
      <c r="F1135" s="158"/>
      <c r="G1135" s="148"/>
      <c r="H1135" s="148"/>
      <c r="I1135" s="148"/>
      <c r="J1135" s="148"/>
      <c r="K1135" s="148"/>
      <c r="L1135" s="148"/>
      <c r="M1135" s="148"/>
      <c r="N1135" s="148"/>
      <c r="O1135" s="158"/>
      <c r="P1135" s="148"/>
      <c r="Q1135" s="207"/>
      <c r="R1135" s="208"/>
      <c r="S1135" s="208"/>
      <c r="T1135" s="202"/>
    </row>
    <row r="1136" ht="15.75" customHeight="1">
      <c r="A1136" s="158"/>
      <c r="B1136" s="158"/>
      <c r="C1136" s="158"/>
      <c r="D1136" s="158"/>
      <c r="E1136" s="158"/>
      <c r="F1136" s="158"/>
      <c r="G1136" s="148"/>
      <c r="H1136" s="148"/>
      <c r="I1136" s="148"/>
      <c r="J1136" s="148"/>
      <c r="K1136" s="148"/>
      <c r="L1136" s="148"/>
      <c r="M1136" s="148"/>
      <c r="N1136" s="148"/>
      <c r="O1136" s="158"/>
      <c r="P1136" s="148"/>
      <c r="Q1136" s="207"/>
      <c r="R1136" s="208"/>
      <c r="S1136" s="208"/>
      <c r="T1136" s="202"/>
    </row>
    <row r="1137" ht="15.75" customHeight="1">
      <c r="A1137" s="158"/>
      <c r="B1137" s="158"/>
      <c r="C1137" s="158"/>
      <c r="D1137" s="158"/>
      <c r="E1137" s="158"/>
      <c r="F1137" s="158"/>
      <c r="G1137" s="148"/>
      <c r="H1137" s="148"/>
      <c r="I1137" s="148"/>
      <c r="J1137" s="148"/>
      <c r="K1137" s="148"/>
      <c r="L1137" s="148"/>
      <c r="M1137" s="148"/>
      <c r="N1137" s="148"/>
      <c r="O1137" s="158"/>
      <c r="P1137" s="148"/>
      <c r="Q1137" s="207"/>
      <c r="R1137" s="208"/>
      <c r="S1137" s="208"/>
      <c r="T1137" s="202"/>
    </row>
    <row r="1138" ht="15.75" customHeight="1">
      <c r="A1138" s="158"/>
      <c r="B1138" s="158"/>
      <c r="C1138" s="158"/>
      <c r="D1138" s="158"/>
      <c r="E1138" s="158"/>
      <c r="F1138" s="158"/>
      <c r="G1138" s="148"/>
      <c r="H1138" s="148"/>
      <c r="I1138" s="148"/>
      <c r="J1138" s="148"/>
      <c r="K1138" s="148"/>
      <c r="L1138" s="148"/>
      <c r="M1138" s="148"/>
      <c r="N1138" s="148"/>
      <c r="O1138" s="158"/>
      <c r="P1138" s="148"/>
      <c r="Q1138" s="207"/>
      <c r="R1138" s="208"/>
      <c r="S1138" s="208"/>
      <c r="T1138" s="202"/>
    </row>
    <row r="1139" ht="15.75" customHeight="1">
      <c r="A1139" s="158"/>
      <c r="B1139" s="158"/>
      <c r="C1139" s="158"/>
      <c r="D1139" s="158"/>
      <c r="E1139" s="158"/>
      <c r="F1139" s="158"/>
      <c r="G1139" s="148"/>
      <c r="H1139" s="148"/>
      <c r="I1139" s="148"/>
      <c r="J1139" s="148"/>
      <c r="K1139" s="148"/>
      <c r="L1139" s="148"/>
      <c r="M1139" s="148"/>
      <c r="N1139" s="148"/>
      <c r="O1139" s="158"/>
      <c r="P1139" s="148"/>
      <c r="Q1139" s="207"/>
      <c r="R1139" s="208"/>
      <c r="S1139" s="208"/>
      <c r="T1139" s="202"/>
    </row>
    <row r="1140" ht="15.75" customHeight="1">
      <c r="A1140" s="158"/>
      <c r="B1140" s="158"/>
      <c r="C1140" s="158"/>
      <c r="D1140" s="158"/>
      <c r="E1140" s="158"/>
      <c r="F1140" s="158"/>
      <c r="G1140" s="148"/>
      <c r="H1140" s="148"/>
      <c r="I1140" s="148"/>
      <c r="J1140" s="148"/>
      <c r="K1140" s="148"/>
      <c r="L1140" s="148"/>
      <c r="M1140" s="148"/>
      <c r="N1140" s="148"/>
      <c r="O1140" s="158"/>
      <c r="P1140" s="148"/>
      <c r="Q1140" s="207"/>
      <c r="R1140" s="208"/>
      <c r="S1140" s="208"/>
      <c r="T1140" s="202"/>
    </row>
    <row r="1141" ht="15.75" customHeight="1">
      <c r="A1141" s="158"/>
      <c r="B1141" s="158"/>
      <c r="C1141" s="158"/>
      <c r="D1141" s="158"/>
      <c r="E1141" s="158"/>
      <c r="F1141" s="158"/>
      <c r="G1141" s="148"/>
      <c r="H1141" s="148"/>
      <c r="I1141" s="148"/>
      <c r="J1141" s="148"/>
      <c r="K1141" s="148"/>
      <c r="L1141" s="148"/>
      <c r="M1141" s="148"/>
      <c r="N1141" s="148"/>
      <c r="O1141" s="158"/>
      <c r="P1141" s="148"/>
      <c r="Q1141" s="207"/>
      <c r="R1141" s="208"/>
      <c r="S1141" s="208"/>
      <c r="T1141" s="202"/>
    </row>
    <row r="1142" ht="15.75" customHeight="1">
      <c r="A1142" s="158"/>
      <c r="B1142" s="158"/>
      <c r="C1142" s="158"/>
      <c r="D1142" s="158"/>
      <c r="E1142" s="158"/>
      <c r="F1142" s="158"/>
      <c r="G1142" s="148"/>
      <c r="H1142" s="148"/>
      <c r="I1142" s="148"/>
      <c r="J1142" s="148"/>
      <c r="K1142" s="148"/>
      <c r="L1142" s="148"/>
      <c r="M1142" s="148"/>
      <c r="N1142" s="148"/>
      <c r="O1142" s="158"/>
      <c r="P1142" s="148"/>
      <c r="Q1142" s="207"/>
      <c r="R1142" s="208"/>
      <c r="S1142" s="208"/>
      <c r="T1142" s="202"/>
    </row>
    <row r="1143" ht="15.75" customHeight="1">
      <c r="A1143" s="158"/>
      <c r="B1143" s="158"/>
      <c r="C1143" s="158"/>
      <c r="D1143" s="158"/>
      <c r="E1143" s="158"/>
      <c r="F1143" s="158"/>
      <c r="G1143" s="148"/>
      <c r="H1143" s="148"/>
      <c r="I1143" s="148"/>
      <c r="J1143" s="148"/>
      <c r="K1143" s="148"/>
      <c r="L1143" s="148"/>
      <c r="M1143" s="148"/>
      <c r="N1143" s="148"/>
      <c r="O1143" s="158"/>
      <c r="P1143" s="148"/>
      <c r="Q1143" s="207"/>
      <c r="R1143" s="208"/>
      <c r="S1143" s="208"/>
      <c r="T1143" s="202"/>
    </row>
    <row r="1144" ht="15.75" customHeight="1">
      <c r="A1144" s="158"/>
      <c r="B1144" s="158"/>
      <c r="C1144" s="158"/>
      <c r="D1144" s="158"/>
      <c r="E1144" s="158"/>
      <c r="F1144" s="158"/>
      <c r="G1144" s="148"/>
      <c r="H1144" s="148"/>
      <c r="I1144" s="148"/>
      <c r="J1144" s="148"/>
      <c r="K1144" s="148"/>
      <c r="L1144" s="148"/>
      <c r="M1144" s="148"/>
      <c r="N1144" s="148"/>
      <c r="O1144" s="158"/>
      <c r="P1144" s="148"/>
      <c r="Q1144" s="207"/>
      <c r="R1144" s="208"/>
      <c r="S1144" s="208"/>
      <c r="T1144" s="202"/>
    </row>
    <row r="1145" ht="15.75" customHeight="1">
      <c r="A1145" s="158"/>
      <c r="B1145" s="158"/>
      <c r="C1145" s="158"/>
      <c r="D1145" s="158"/>
      <c r="E1145" s="158"/>
      <c r="F1145" s="158"/>
      <c r="G1145" s="148"/>
      <c r="H1145" s="148"/>
      <c r="I1145" s="148"/>
      <c r="J1145" s="148"/>
      <c r="K1145" s="148"/>
      <c r="L1145" s="148"/>
      <c r="M1145" s="148"/>
      <c r="N1145" s="148"/>
      <c r="O1145" s="158"/>
      <c r="P1145" s="148"/>
      <c r="Q1145" s="207"/>
      <c r="R1145" s="208"/>
      <c r="S1145" s="208"/>
      <c r="T1145" s="202"/>
    </row>
    <row r="1146" ht="15.75" customHeight="1">
      <c r="A1146" s="158"/>
      <c r="B1146" s="158"/>
      <c r="C1146" s="158"/>
      <c r="D1146" s="158"/>
      <c r="E1146" s="158"/>
      <c r="F1146" s="158"/>
      <c r="G1146" s="148"/>
      <c r="H1146" s="148"/>
      <c r="I1146" s="148"/>
      <c r="J1146" s="148"/>
      <c r="K1146" s="148"/>
      <c r="L1146" s="148"/>
      <c r="M1146" s="148"/>
      <c r="N1146" s="148"/>
      <c r="O1146" s="158"/>
      <c r="P1146" s="148"/>
      <c r="Q1146" s="207"/>
      <c r="R1146" s="208"/>
      <c r="S1146" s="208"/>
      <c r="T1146" s="202"/>
    </row>
    <row r="1147" ht="15.75" customHeight="1">
      <c r="A1147" s="158"/>
      <c r="B1147" s="158"/>
      <c r="C1147" s="158"/>
      <c r="D1147" s="158"/>
      <c r="E1147" s="158"/>
      <c r="F1147" s="158"/>
      <c r="G1147" s="148"/>
      <c r="H1147" s="148"/>
      <c r="I1147" s="148"/>
      <c r="J1147" s="148"/>
      <c r="K1147" s="148"/>
      <c r="L1147" s="148"/>
      <c r="M1147" s="148"/>
      <c r="N1147" s="148"/>
      <c r="O1147" s="158"/>
      <c r="P1147" s="148"/>
      <c r="Q1147" s="207"/>
      <c r="R1147" s="208"/>
      <c r="S1147" s="208"/>
      <c r="T1147" s="202"/>
    </row>
    <row r="1148" ht="15.75" customHeight="1">
      <c r="A1148" s="158"/>
      <c r="B1148" s="158"/>
      <c r="C1148" s="158"/>
      <c r="D1148" s="158"/>
      <c r="E1148" s="158"/>
      <c r="F1148" s="158"/>
      <c r="G1148" s="148"/>
      <c r="H1148" s="148"/>
      <c r="I1148" s="148"/>
      <c r="J1148" s="148"/>
      <c r="K1148" s="148"/>
      <c r="L1148" s="148"/>
      <c r="M1148" s="148"/>
      <c r="N1148" s="148"/>
      <c r="O1148" s="158"/>
      <c r="P1148" s="148"/>
      <c r="Q1148" s="207"/>
      <c r="R1148" s="208"/>
      <c r="S1148" s="208"/>
      <c r="T1148" s="202"/>
    </row>
    <row r="1149" ht="15.75" customHeight="1">
      <c r="A1149" s="158"/>
      <c r="B1149" s="158"/>
      <c r="C1149" s="158"/>
      <c r="D1149" s="158"/>
      <c r="E1149" s="158"/>
      <c r="F1149" s="158"/>
      <c r="G1149" s="148"/>
      <c r="H1149" s="148"/>
      <c r="I1149" s="148"/>
      <c r="J1149" s="148"/>
      <c r="K1149" s="148"/>
      <c r="L1149" s="148"/>
      <c r="M1149" s="148"/>
      <c r="N1149" s="148"/>
      <c r="O1149" s="158"/>
      <c r="P1149" s="148"/>
      <c r="Q1149" s="207"/>
      <c r="R1149" s="208"/>
      <c r="S1149" s="208"/>
      <c r="T1149" s="202"/>
    </row>
    <row r="1150" ht="15.75" customHeight="1">
      <c r="A1150" s="158"/>
      <c r="B1150" s="158"/>
      <c r="C1150" s="158"/>
      <c r="D1150" s="158"/>
      <c r="E1150" s="158"/>
      <c r="F1150" s="158"/>
      <c r="G1150" s="148"/>
      <c r="H1150" s="148"/>
      <c r="I1150" s="148"/>
      <c r="J1150" s="148"/>
      <c r="K1150" s="148"/>
      <c r="L1150" s="148"/>
      <c r="M1150" s="148"/>
      <c r="N1150" s="148"/>
      <c r="O1150" s="158"/>
      <c r="P1150" s="148"/>
      <c r="Q1150" s="207"/>
      <c r="R1150" s="208"/>
      <c r="S1150" s="208"/>
      <c r="T1150" s="202"/>
    </row>
    <row r="1151" ht="15.75" customHeight="1">
      <c r="A1151" s="158"/>
      <c r="B1151" s="158"/>
      <c r="C1151" s="158"/>
      <c r="D1151" s="158"/>
      <c r="E1151" s="158"/>
      <c r="F1151" s="158"/>
      <c r="G1151" s="148"/>
      <c r="H1151" s="148"/>
      <c r="I1151" s="148"/>
      <c r="J1151" s="148"/>
      <c r="K1151" s="148"/>
      <c r="L1151" s="148"/>
      <c r="M1151" s="148"/>
      <c r="N1151" s="148"/>
      <c r="O1151" s="158"/>
      <c r="P1151" s="148"/>
      <c r="Q1151" s="207"/>
      <c r="R1151" s="208"/>
      <c r="S1151" s="208"/>
      <c r="T1151" s="202"/>
    </row>
    <row r="1152" ht="15.75" customHeight="1">
      <c r="A1152" s="158"/>
      <c r="B1152" s="158"/>
      <c r="C1152" s="158"/>
      <c r="D1152" s="158"/>
      <c r="E1152" s="158"/>
      <c r="F1152" s="158"/>
      <c r="G1152" s="148"/>
      <c r="H1152" s="148"/>
      <c r="I1152" s="148"/>
      <c r="J1152" s="148"/>
      <c r="K1152" s="148"/>
      <c r="L1152" s="148"/>
      <c r="M1152" s="148"/>
      <c r="N1152" s="148"/>
      <c r="O1152" s="158"/>
      <c r="P1152" s="148"/>
      <c r="Q1152" s="207"/>
      <c r="R1152" s="208"/>
      <c r="S1152" s="208"/>
      <c r="T1152" s="202"/>
    </row>
    <row r="1153" ht="15.75" customHeight="1">
      <c r="A1153" s="158"/>
      <c r="B1153" s="158"/>
      <c r="C1153" s="158"/>
      <c r="D1153" s="158"/>
      <c r="E1153" s="158"/>
      <c r="F1153" s="158"/>
      <c r="G1153" s="148"/>
      <c r="H1153" s="148"/>
      <c r="I1153" s="148"/>
      <c r="J1153" s="148"/>
      <c r="K1153" s="148"/>
      <c r="L1153" s="148"/>
      <c r="M1153" s="148"/>
      <c r="N1153" s="148"/>
      <c r="O1153" s="158"/>
      <c r="P1153" s="148"/>
      <c r="Q1153" s="207"/>
      <c r="R1153" s="208"/>
      <c r="S1153" s="208"/>
      <c r="T1153" s="202"/>
    </row>
    <row r="1154" ht="15.75" customHeight="1">
      <c r="A1154" s="158"/>
      <c r="B1154" s="158"/>
      <c r="C1154" s="158"/>
      <c r="D1154" s="158"/>
      <c r="E1154" s="158"/>
      <c r="F1154" s="158"/>
      <c r="G1154" s="148"/>
      <c r="H1154" s="148"/>
      <c r="I1154" s="148"/>
      <c r="J1154" s="148"/>
      <c r="K1154" s="148"/>
      <c r="L1154" s="148"/>
      <c r="M1154" s="148"/>
      <c r="N1154" s="148"/>
      <c r="O1154" s="158"/>
      <c r="P1154" s="148"/>
      <c r="Q1154" s="207"/>
      <c r="R1154" s="208"/>
      <c r="S1154" s="208"/>
      <c r="T1154" s="202"/>
    </row>
    <row r="1155" ht="15.75" customHeight="1">
      <c r="A1155" s="158"/>
      <c r="B1155" s="158"/>
      <c r="C1155" s="158"/>
      <c r="D1155" s="158"/>
      <c r="E1155" s="158"/>
      <c r="F1155" s="158"/>
      <c r="G1155" s="148"/>
      <c r="H1155" s="148"/>
      <c r="I1155" s="148"/>
      <c r="J1155" s="148"/>
      <c r="K1155" s="148"/>
      <c r="L1155" s="148"/>
      <c r="M1155" s="148"/>
      <c r="N1155" s="148"/>
      <c r="O1155" s="158"/>
      <c r="P1155" s="148"/>
      <c r="Q1155" s="207"/>
      <c r="R1155" s="208"/>
      <c r="S1155" s="208"/>
      <c r="T1155" s="202"/>
    </row>
    <row r="1156" ht="15.75" customHeight="1">
      <c r="A1156" s="158"/>
      <c r="B1156" s="158"/>
      <c r="C1156" s="158"/>
      <c r="D1156" s="158"/>
      <c r="E1156" s="158"/>
      <c r="F1156" s="158"/>
      <c r="G1156" s="148"/>
      <c r="H1156" s="148"/>
      <c r="I1156" s="148"/>
      <c r="J1156" s="148"/>
      <c r="K1156" s="148"/>
      <c r="L1156" s="148"/>
      <c r="M1156" s="148"/>
      <c r="N1156" s="148"/>
      <c r="O1156" s="158"/>
      <c r="P1156" s="148"/>
      <c r="Q1156" s="207"/>
      <c r="R1156" s="208"/>
      <c r="S1156" s="208"/>
      <c r="T1156" s="202"/>
    </row>
    <row r="1157" ht="15.75" customHeight="1">
      <c r="A1157" s="158"/>
      <c r="B1157" s="158"/>
      <c r="C1157" s="158"/>
      <c r="D1157" s="158"/>
      <c r="E1157" s="158"/>
      <c r="F1157" s="158"/>
      <c r="G1157" s="148"/>
      <c r="H1157" s="148"/>
      <c r="I1157" s="148"/>
      <c r="J1157" s="148"/>
      <c r="K1157" s="148"/>
      <c r="L1157" s="148"/>
      <c r="M1157" s="148"/>
      <c r="N1157" s="148"/>
      <c r="O1157" s="158"/>
      <c r="P1157" s="148"/>
      <c r="Q1157" s="207"/>
      <c r="R1157" s="208"/>
      <c r="S1157" s="208"/>
      <c r="T1157" s="202"/>
    </row>
    <row r="1158" ht="15.75" customHeight="1">
      <c r="A1158" s="158"/>
      <c r="B1158" s="158"/>
      <c r="C1158" s="158"/>
      <c r="D1158" s="158"/>
      <c r="E1158" s="158"/>
      <c r="F1158" s="158"/>
      <c r="G1158" s="148"/>
      <c r="H1158" s="148"/>
      <c r="I1158" s="148"/>
      <c r="J1158" s="148"/>
      <c r="K1158" s="148"/>
      <c r="L1158" s="148"/>
      <c r="M1158" s="148"/>
      <c r="N1158" s="148"/>
      <c r="O1158" s="158"/>
      <c r="P1158" s="148"/>
      <c r="Q1158" s="207"/>
      <c r="R1158" s="208"/>
      <c r="S1158" s="208"/>
      <c r="T1158" s="202"/>
    </row>
    <row r="1159" ht="15.75" customHeight="1">
      <c r="A1159" s="158"/>
      <c r="B1159" s="158"/>
      <c r="C1159" s="158"/>
      <c r="D1159" s="158"/>
      <c r="E1159" s="158"/>
      <c r="F1159" s="158"/>
      <c r="G1159" s="148"/>
      <c r="H1159" s="148"/>
      <c r="I1159" s="148"/>
      <c r="J1159" s="148"/>
      <c r="K1159" s="148"/>
      <c r="L1159" s="148"/>
      <c r="M1159" s="148"/>
      <c r="N1159" s="148"/>
      <c r="O1159" s="158"/>
      <c r="P1159" s="148"/>
      <c r="Q1159" s="207"/>
      <c r="R1159" s="208"/>
      <c r="S1159" s="208"/>
      <c r="T1159" s="202"/>
    </row>
    <row r="1160" ht="15.75" customHeight="1">
      <c r="A1160" s="158"/>
      <c r="B1160" s="158"/>
      <c r="C1160" s="158"/>
      <c r="D1160" s="158"/>
      <c r="E1160" s="158"/>
      <c r="F1160" s="158"/>
      <c r="G1160" s="148"/>
      <c r="H1160" s="148"/>
      <c r="I1160" s="148"/>
      <c r="J1160" s="148"/>
      <c r="K1160" s="148"/>
      <c r="L1160" s="148"/>
      <c r="M1160" s="148"/>
      <c r="N1160" s="148"/>
      <c r="O1160" s="158"/>
      <c r="P1160" s="148"/>
      <c r="Q1160" s="207"/>
      <c r="R1160" s="208"/>
      <c r="S1160" s="208"/>
      <c r="T1160" s="202"/>
    </row>
    <row r="1161" ht="15.75" customHeight="1">
      <c r="A1161" s="158"/>
      <c r="B1161" s="158"/>
      <c r="C1161" s="158"/>
      <c r="D1161" s="158"/>
      <c r="E1161" s="158"/>
      <c r="F1161" s="158"/>
      <c r="G1161" s="148"/>
      <c r="H1161" s="148"/>
      <c r="I1161" s="148"/>
      <c r="J1161" s="148"/>
      <c r="K1161" s="148"/>
      <c r="L1161" s="148"/>
      <c r="M1161" s="148"/>
      <c r="N1161" s="148"/>
      <c r="O1161" s="158"/>
      <c r="P1161" s="148"/>
      <c r="Q1161" s="207"/>
      <c r="R1161" s="208"/>
      <c r="S1161" s="208"/>
      <c r="T1161" s="202"/>
    </row>
    <row r="1162" ht="15.75" customHeight="1">
      <c r="A1162" s="158"/>
      <c r="B1162" s="158"/>
      <c r="C1162" s="158"/>
      <c r="D1162" s="158"/>
      <c r="E1162" s="158"/>
      <c r="F1162" s="158"/>
      <c r="G1162" s="148"/>
      <c r="H1162" s="148"/>
      <c r="I1162" s="148"/>
      <c r="J1162" s="148"/>
      <c r="K1162" s="148"/>
      <c r="L1162" s="148"/>
      <c r="M1162" s="148"/>
      <c r="N1162" s="148"/>
      <c r="O1162" s="158"/>
      <c r="P1162" s="148"/>
      <c r="Q1162" s="207"/>
      <c r="R1162" s="208"/>
      <c r="S1162" s="208"/>
      <c r="T1162" s="202"/>
    </row>
    <row r="1163" ht="15.75" customHeight="1">
      <c r="A1163" s="158"/>
      <c r="B1163" s="158"/>
      <c r="C1163" s="158"/>
      <c r="D1163" s="158"/>
      <c r="E1163" s="158"/>
      <c r="F1163" s="158"/>
      <c r="G1163" s="148"/>
      <c r="H1163" s="148"/>
      <c r="I1163" s="148"/>
      <c r="J1163" s="148"/>
      <c r="K1163" s="148"/>
      <c r="L1163" s="148"/>
      <c r="M1163" s="148"/>
      <c r="N1163" s="148"/>
      <c r="O1163" s="158"/>
      <c r="P1163" s="148"/>
      <c r="Q1163" s="207"/>
      <c r="R1163" s="208"/>
      <c r="S1163" s="208"/>
      <c r="T1163" s="202"/>
    </row>
    <row r="1164" ht="15.75" customHeight="1">
      <c r="A1164" s="158"/>
      <c r="B1164" s="158"/>
      <c r="C1164" s="158"/>
      <c r="D1164" s="158"/>
      <c r="E1164" s="158"/>
      <c r="F1164" s="158"/>
      <c r="G1164" s="148"/>
      <c r="H1164" s="148"/>
      <c r="I1164" s="148"/>
      <c r="J1164" s="148"/>
      <c r="K1164" s="148"/>
      <c r="L1164" s="148"/>
      <c r="M1164" s="148"/>
      <c r="N1164" s="148"/>
      <c r="O1164" s="158"/>
      <c r="P1164" s="148"/>
      <c r="Q1164" s="207"/>
      <c r="R1164" s="208"/>
      <c r="S1164" s="208"/>
      <c r="T1164" s="202"/>
    </row>
    <row r="1165" ht="15.75" customHeight="1">
      <c r="A1165" s="158"/>
      <c r="B1165" s="158"/>
      <c r="C1165" s="158"/>
      <c r="D1165" s="158"/>
      <c r="E1165" s="158"/>
      <c r="F1165" s="158"/>
      <c r="G1165" s="148"/>
      <c r="H1165" s="148"/>
      <c r="I1165" s="148"/>
      <c r="J1165" s="148"/>
      <c r="K1165" s="148"/>
      <c r="L1165" s="148"/>
      <c r="M1165" s="148"/>
      <c r="N1165" s="148"/>
      <c r="O1165" s="158"/>
      <c r="P1165" s="148"/>
      <c r="Q1165" s="207"/>
      <c r="R1165" s="208"/>
      <c r="S1165" s="208"/>
      <c r="T1165" s="202"/>
    </row>
    <row r="1166" ht="15.75" customHeight="1">
      <c r="A1166" s="158"/>
      <c r="B1166" s="158"/>
      <c r="C1166" s="158"/>
      <c r="D1166" s="158"/>
      <c r="E1166" s="158"/>
      <c r="F1166" s="158"/>
      <c r="G1166" s="148"/>
      <c r="H1166" s="148"/>
      <c r="I1166" s="148"/>
      <c r="J1166" s="148"/>
      <c r="K1166" s="148"/>
      <c r="L1166" s="148"/>
      <c r="M1166" s="148"/>
      <c r="N1166" s="148"/>
      <c r="O1166" s="158"/>
      <c r="P1166" s="148"/>
      <c r="Q1166" s="207"/>
      <c r="R1166" s="208"/>
      <c r="S1166" s="208"/>
      <c r="T1166" s="202"/>
    </row>
    <row r="1167" ht="15.75" customHeight="1">
      <c r="A1167" s="158"/>
      <c r="B1167" s="158"/>
      <c r="C1167" s="158"/>
      <c r="D1167" s="158"/>
      <c r="E1167" s="158"/>
      <c r="F1167" s="158"/>
      <c r="G1167" s="148"/>
      <c r="H1167" s="148"/>
      <c r="I1167" s="148"/>
      <c r="J1167" s="148"/>
      <c r="K1167" s="148"/>
      <c r="L1167" s="148"/>
      <c r="M1167" s="148"/>
      <c r="N1167" s="148"/>
      <c r="O1167" s="158"/>
      <c r="P1167" s="148"/>
      <c r="Q1167" s="207"/>
      <c r="R1167" s="208"/>
      <c r="S1167" s="208"/>
      <c r="T1167" s="202"/>
    </row>
    <row r="1168" ht="15.75" customHeight="1">
      <c r="A1168" s="158"/>
      <c r="B1168" s="158"/>
      <c r="C1168" s="158"/>
      <c r="D1168" s="158"/>
      <c r="E1168" s="158"/>
      <c r="F1168" s="158"/>
      <c r="G1168" s="148"/>
      <c r="H1168" s="148"/>
      <c r="I1168" s="148"/>
      <c r="J1168" s="148"/>
      <c r="K1168" s="148"/>
      <c r="L1168" s="148"/>
      <c r="M1168" s="148"/>
      <c r="N1168" s="148"/>
      <c r="O1168" s="158"/>
      <c r="P1168" s="148"/>
      <c r="Q1168" s="207"/>
      <c r="R1168" s="208"/>
      <c r="S1168" s="208"/>
      <c r="T1168" s="202"/>
    </row>
    <row r="1169" ht="15.75" customHeight="1">
      <c r="A1169" s="158"/>
      <c r="B1169" s="158"/>
      <c r="C1169" s="158"/>
      <c r="D1169" s="158"/>
      <c r="E1169" s="158"/>
      <c r="F1169" s="158"/>
      <c r="G1169" s="148"/>
      <c r="H1169" s="148"/>
      <c r="I1169" s="148"/>
      <c r="J1169" s="148"/>
      <c r="K1169" s="148"/>
      <c r="L1169" s="148"/>
      <c r="M1169" s="148"/>
      <c r="N1169" s="148"/>
      <c r="O1169" s="158"/>
      <c r="P1169" s="148"/>
      <c r="Q1169" s="207"/>
      <c r="R1169" s="208"/>
      <c r="S1169" s="208"/>
      <c r="T1169" s="202"/>
    </row>
    <row r="1170" ht="15.75" customHeight="1">
      <c r="A1170" s="158"/>
      <c r="B1170" s="158"/>
      <c r="C1170" s="158"/>
      <c r="D1170" s="158"/>
      <c r="E1170" s="158"/>
      <c r="F1170" s="158"/>
      <c r="G1170" s="148"/>
      <c r="H1170" s="148"/>
      <c r="I1170" s="148"/>
      <c r="J1170" s="148"/>
      <c r="K1170" s="148"/>
      <c r="L1170" s="148"/>
      <c r="M1170" s="148"/>
      <c r="N1170" s="148"/>
      <c r="O1170" s="158"/>
      <c r="P1170" s="148"/>
      <c r="Q1170" s="207"/>
      <c r="R1170" s="208"/>
      <c r="S1170" s="208"/>
      <c r="T1170" s="202"/>
    </row>
    <row r="1171" ht="15.75" customHeight="1">
      <c r="A1171" s="158"/>
      <c r="B1171" s="158"/>
      <c r="C1171" s="158"/>
      <c r="D1171" s="158"/>
      <c r="E1171" s="158"/>
      <c r="F1171" s="158"/>
      <c r="G1171" s="148"/>
      <c r="H1171" s="148"/>
      <c r="I1171" s="148"/>
      <c r="J1171" s="148"/>
      <c r="K1171" s="148"/>
      <c r="L1171" s="148"/>
      <c r="M1171" s="148"/>
      <c r="N1171" s="148"/>
      <c r="O1171" s="158"/>
      <c r="P1171" s="148"/>
      <c r="Q1171" s="207"/>
      <c r="R1171" s="208"/>
      <c r="S1171" s="208"/>
      <c r="T1171" s="202"/>
    </row>
    <row r="1172" ht="15.75" customHeight="1">
      <c r="A1172" s="158"/>
      <c r="B1172" s="158"/>
      <c r="C1172" s="158"/>
      <c r="D1172" s="158"/>
      <c r="E1172" s="158"/>
      <c r="F1172" s="158"/>
      <c r="G1172" s="148"/>
      <c r="H1172" s="148"/>
      <c r="I1172" s="148"/>
      <c r="J1172" s="148"/>
      <c r="K1172" s="148"/>
      <c r="L1172" s="148"/>
      <c r="M1172" s="148"/>
      <c r="N1172" s="148"/>
      <c r="O1172" s="158"/>
      <c r="P1172" s="148"/>
      <c r="Q1172" s="207"/>
      <c r="R1172" s="208"/>
      <c r="S1172" s="208"/>
      <c r="T1172" s="202"/>
    </row>
    <row r="1173" ht="15.75" customHeight="1">
      <c r="A1173" s="158"/>
      <c r="B1173" s="158"/>
      <c r="C1173" s="158"/>
      <c r="D1173" s="158"/>
      <c r="E1173" s="158"/>
      <c r="F1173" s="158"/>
      <c r="G1173" s="148"/>
      <c r="H1173" s="148"/>
      <c r="I1173" s="148"/>
      <c r="J1173" s="148"/>
      <c r="K1173" s="148"/>
      <c r="L1173" s="148"/>
      <c r="M1173" s="148"/>
      <c r="N1173" s="148"/>
      <c r="O1173" s="158"/>
      <c r="P1173" s="148"/>
      <c r="Q1173" s="207"/>
      <c r="R1173" s="208"/>
      <c r="S1173" s="208"/>
      <c r="T1173" s="202"/>
    </row>
    <row r="1174" ht="15.75" customHeight="1">
      <c r="A1174" s="158"/>
      <c r="B1174" s="158"/>
      <c r="C1174" s="158"/>
      <c r="D1174" s="158"/>
      <c r="E1174" s="158"/>
      <c r="F1174" s="158"/>
      <c r="G1174" s="148"/>
      <c r="H1174" s="148"/>
      <c r="I1174" s="148"/>
      <c r="J1174" s="148"/>
      <c r="K1174" s="148"/>
      <c r="L1174" s="148"/>
      <c r="M1174" s="148"/>
      <c r="N1174" s="148"/>
      <c r="O1174" s="158"/>
      <c r="P1174" s="148"/>
      <c r="Q1174" s="207"/>
      <c r="R1174" s="208"/>
      <c r="S1174" s="208"/>
      <c r="T1174" s="202"/>
    </row>
    <row r="1175" ht="15.75" customHeight="1">
      <c r="A1175" s="158"/>
      <c r="B1175" s="158"/>
      <c r="C1175" s="158"/>
      <c r="D1175" s="158"/>
      <c r="E1175" s="158"/>
      <c r="F1175" s="158"/>
      <c r="G1175" s="148"/>
      <c r="H1175" s="148"/>
      <c r="I1175" s="148"/>
      <c r="J1175" s="148"/>
      <c r="K1175" s="148"/>
      <c r="L1175" s="148"/>
      <c r="M1175" s="148"/>
      <c r="N1175" s="148"/>
      <c r="O1175" s="158"/>
      <c r="P1175" s="148"/>
      <c r="Q1175" s="207"/>
      <c r="R1175" s="208"/>
      <c r="S1175" s="208"/>
      <c r="T1175" s="202"/>
    </row>
    <row r="1176" ht="15.75" customHeight="1">
      <c r="A1176" s="158"/>
      <c r="B1176" s="158"/>
      <c r="C1176" s="158"/>
      <c r="D1176" s="158"/>
      <c r="E1176" s="158"/>
      <c r="F1176" s="158"/>
      <c r="G1176" s="148"/>
      <c r="H1176" s="148"/>
      <c r="I1176" s="148"/>
      <c r="J1176" s="148"/>
      <c r="K1176" s="148"/>
      <c r="L1176" s="148"/>
      <c r="M1176" s="148"/>
      <c r="N1176" s="148"/>
      <c r="O1176" s="158"/>
      <c r="P1176" s="148"/>
      <c r="Q1176" s="207"/>
      <c r="R1176" s="208"/>
      <c r="S1176" s="208"/>
      <c r="T1176" s="202"/>
    </row>
    <row r="1177" ht="15.75" customHeight="1">
      <c r="A1177" s="158"/>
      <c r="B1177" s="158"/>
      <c r="C1177" s="158"/>
      <c r="D1177" s="158"/>
      <c r="E1177" s="158"/>
      <c r="F1177" s="158"/>
      <c r="G1177" s="148"/>
      <c r="H1177" s="148"/>
      <c r="I1177" s="148"/>
      <c r="J1177" s="148"/>
      <c r="K1177" s="148"/>
      <c r="L1177" s="148"/>
      <c r="M1177" s="148"/>
      <c r="N1177" s="148"/>
      <c r="O1177" s="158"/>
      <c r="P1177" s="148"/>
      <c r="Q1177" s="207"/>
      <c r="R1177" s="208"/>
      <c r="S1177" s="208"/>
      <c r="T1177" s="202"/>
    </row>
    <row r="1178" ht="15.75" customHeight="1">
      <c r="A1178" s="158"/>
      <c r="B1178" s="158"/>
      <c r="C1178" s="158"/>
      <c r="D1178" s="158"/>
      <c r="E1178" s="158"/>
      <c r="F1178" s="158"/>
      <c r="G1178" s="148"/>
      <c r="H1178" s="148"/>
      <c r="I1178" s="148"/>
      <c r="J1178" s="148"/>
      <c r="K1178" s="148"/>
      <c r="L1178" s="148"/>
      <c r="M1178" s="148"/>
      <c r="N1178" s="148"/>
      <c r="O1178" s="158"/>
      <c r="P1178" s="148"/>
      <c r="Q1178" s="207"/>
      <c r="R1178" s="208"/>
      <c r="S1178" s="208"/>
      <c r="T1178" s="202"/>
    </row>
    <row r="1179" ht="15.75" customHeight="1">
      <c r="A1179" s="158"/>
      <c r="B1179" s="158"/>
      <c r="C1179" s="158"/>
      <c r="D1179" s="158"/>
      <c r="E1179" s="158"/>
      <c r="F1179" s="158"/>
      <c r="G1179" s="148"/>
      <c r="H1179" s="148"/>
      <c r="I1179" s="148"/>
      <c r="J1179" s="148"/>
      <c r="K1179" s="148"/>
      <c r="L1179" s="148"/>
      <c r="M1179" s="148"/>
      <c r="N1179" s="148"/>
      <c r="O1179" s="158"/>
      <c r="P1179" s="148"/>
      <c r="Q1179" s="207"/>
      <c r="R1179" s="208"/>
      <c r="S1179" s="208"/>
      <c r="T1179" s="202"/>
    </row>
    <row r="1180" ht="15.75" customHeight="1">
      <c r="A1180" s="158"/>
      <c r="B1180" s="158"/>
      <c r="C1180" s="158"/>
      <c r="D1180" s="158"/>
      <c r="E1180" s="158"/>
      <c r="F1180" s="158"/>
      <c r="G1180" s="148"/>
      <c r="H1180" s="148"/>
      <c r="I1180" s="148"/>
      <c r="J1180" s="148"/>
      <c r="K1180" s="148"/>
      <c r="L1180" s="148"/>
      <c r="M1180" s="148"/>
      <c r="N1180" s="148"/>
      <c r="O1180" s="158"/>
      <c r="P1180" s="148"/>
      <c r="Q1180" s="207"/>
      <c r="R1180" s="208"/>
      <c r="S1180" s="208"/>
      <c r="T1180" s="202"/>
    </row>
    <row r="1181" ht="15.75" customHeight="1">
      <c r="A1181" s="158"/>
      <c r="B1181" s="158"/>
      <c r="C1181" s="158"/>
      <c r="D1181" s="158"/>
      <c r="E1181" s="158"/>
      <c r="F1181" s="158"/>
      <c r="G1181" s="148"/>
      <c r="H1181" s="148"/>
      <c r="I1181" s="148"/>
      <c r="J1181" s="148"/>
      <c r="K1181" s="148"/>
      <c r="L1181" s="148"/>
      <c r="M1181" s="148"/>
      <c r="N1181" s="148"/>
      <c r="O1181" s="158"/>
      <c r="P1181" s="148"/>
      <c r="Q1181" s="207"/>
      <c r="R1181" s="208"/>
      <c r="S1181" s="208"/>
      <c r="T1181" s="202"/>
    </row>
    <row r="1182" ht="15.75" customHeight="1">
      <c r="A1182" s="158"/>
      <c r="B1182" s="158"/>
      <c r="C1182" s="158"/>
      <c r="D1182" s="158"/>
      <c r="E1182" s="158"/>
      <c r="F1182" s="158"/>
      <c r="G1182" s="148"/>
      <c r="H1182" s="148"/>
      <c r="I1182" s="148"/>
      <c r="J1182" s="148"/>
      <c r="K1182" s="148"/>
      <c r="L1182" s="148"/>
      <c r="M1182" s="148"/>
      <c r="N1182" s="148"/>
      <c r="O1182" s="158"/>
      <c r="P1182" s="148"/>
      <c r="Q1182" s="207"/>
      <c r="R1182" s="208"/>
      <c r="S1182" s="208"/>
      <c r="T1182" s="202"/>
    </row>
    <row r="1183" ht="15.75" customHeight="1">
      <c r="A1183" s="158"/>
      <c r="B1183" s="158"/>
      <c r="C1183" s="158"/>
      <c r="D1183" s="158"/>
      <c r="E1183" s="158"/>
      <c r="F1183" s="158"/>
      <c r="G1183" s="148"/>
      <c r="H1183" s="148"/>
      <c r="I1183" s="148"/>
      <c r="J1183" s="148"/>
      <c r="K1183" s="148"/>
      <c r="L1183" s="148"/>
      <c r="M1183" s="148"/>
      <c r="N1183" s="148"/>
      <c r="O1183" s="158"/>
      <c r="P1183" s="148"/>
      <c r="Q1183" s="207"/>
      <c r="R1183" s="208"/>
      <c r="S1183" s="208"/>
      <c r="T1183" s="202"/>
    </row>
    <row r="1184" ht="15.75" customHeight="1">
      <c r="A1184" s="158"/>
      <c r="B1184" s="158"/>
      <c r="C1184" s="158"/>
      <c r="D1184" s="158"/>
      <c r="E1184" s="158"/>
      <c r="F1184" s="158"/>
      <c r="G1184" s="148"/>
      <c r="H1184" s="148"/>
      <c r="I1184" s="148"/>
      <c r="J1184" s="148"/>
      <c r="K1184" s="148"/>
      <c r="L1184" s="148"/>
      <c r="M1184" s="148"/>
      <c r="N1184" s="148"/>
      <c r="O1184" s="158"/>
      <c r="P1184" s="148"/>
      <c r="Q1184" s="207"/>
      <c r="R1184" s="208"/>
      <c r="S1184" s="208"/>
      <c r="T1184" s="202"/>
    </row>
    <row r="1185" ht="15.75" customHeight="1">
      <c r="A1185" s="158"/>
      <c r="B1185" s="158"/>
      <c r="C1185" s="158"/>
      <c r="D1185" s="158"/>
      <c r="E1185" s="158"/>
      <c r="F1185" s="158"/>
      <c r="G1185" s="148"/>
      <c r="H1185" s="148"/>
      <c r="I1185" s="148"/>
      <c r="J1185" s="148"/>
      <c r="K1185" s="148"/>
      <c r="L1185" s="148"/>
      <c r="M1185" s="148"/>
      <c r="N1185" s="148"/>
      <c r="O1185" s="158"/>
      <c r="P1185" s="148"/>
      <c r="Q1185" s="207"/>
      <c r="R1185" s="208"/>
      <c r="S1185" s="208"/>
      <c r="T1185" s="202"/>
    </row>
    <row r="1186" ht="15.75" customHeight="1">
      <c r="A1186" s="158"/>
      <c r="B1186" s="158"/>
      <c r="C1186" s="158"/>
      <c r="D1186" s="158"/>
      <c r="E1186" s="158"/>
      <c r="F1186" s="158"/>
      <c r="G1186" s="148"/>
      <c r="H1186" s="148"/>
      <c r="I1186" s="148"/>
      <c r="J1186" s="148"/>
      <c r="K1186" s="148"/>
      <c r="L1186" s="148"/>
      <c r="M1186" s="148"/>
      <c r="N1186" s="148"/>
      <c r="O1186" s="158"/>
      <c r="P1186" s="148"/>
      <c r="Q1186" s="207"/>
      <c r="R1186" s="208"/>
      <c r="S1186" s="208"/>
      <c r="T1186" s="202"/>
    </row>
    <row r="1187" ht="15.75" customHeight="1">
      <c r="A1187" s="158"/>
      <c r="B1187" s="158"/>
      <c r="C1187" s="158"/>
      <c r="D1187" s="158"/>
      <c r="E1187" s="158"/>
      <c r="F1187" s="158"/>
      <c r="G1187" s="148"/>
      <c r="H1187" s="148"/>
      <c r="I1187" s="148"/>
      <c r="J1187" s="148"/>
      <c r="K1187" s="148"/>
      <c r="L1187" s="148"/>
      <c r="M1187" s="148"/>
      <c r="N1187" s="148"/>
      <c r="O1187" s="158"/>
      <c r="P1187" s="148"/>
      <c r="Q1187" s="207"/>
      <c r="R1187" s="208"/>
      <c r="S1187" s="208"/>
      <c r="T1187" s="202"/>
    </row>
    <row r="1188" ht="15.75" customHeight="1">
      <c r="A1188" s="158"/>
      <c r="B1188" s="158"/>
      <c r="C1188" s="158"/>
      <c r="D1188" s="158"/>
      <c r="E1188" s="158"/>
      <c r="F1188" s="158"/>
      <c r="G1188" s="148"/>
      <c r="H1188" s="148"/>
      <c r="I1188" s="148"/>
      <c r="J1188" s="148"/>
      <c r="K1188" s="148"/>
      <c r="L1188" s="148"/>
      <c r="M1188" s="148"/>
      <c r="N1188" s="148"/>
      <c r="O1188" s="158"/>
      <c r="P1188" s="148"/>
      <c r="Q1188" s="207"/>
      <c r="R1188" s="208"/>
      <c r="S1188" s="208"/>
      <c r="T1188" s="202"/>
    </row>
    <row r="1189" ht="15.75" customHeight="1">
      <c r="A1189" s="158"/>
      <c r="B1189" s="158"/>
      <c r="C1189" s="158"/>
      <c r="D1189" s="158"/>
      <c r="E1189" s="158"/>
      <c r="F1189" s="158"/>
      <c r="G1189" s="148"/>
      <c r="H1189" s="148"/>
      <c r="I1189" s="148"/>
      <c r="J1189" s="148"/>
      <c r="K1189" s="148"/>
      <c r="L1189" s="148"/>
      <c r="M1189" s="148"/>
      <c r="N1189" s="148"/>
      <c r="O1189" s="158"/>
      <c r="P1189" s="148"/>
      <c r="Q1189" s="207"/>
      <c r="R1189" s="208"/>
      <c r="S1189" s="208"/>
      <c r="T1189" s="202"/>
    </row>
    <row r="1190" ht="15.75" customHeight="1">
      <c r="A1190" s="158"/>
      <c r="B1190" s="158"/>
      <c r="C1190" s="158"/>
      <c r="D1190" s="158"/>
      <c r="E1190" s="158"/>
      <c r="F1190" s="158"/>
      <c r="G1190" s="148"/>
      <c r="H1190" s="148"/>
      <c r="I1190" s="148"/>
      <c r="J1190" s="148"/>
      <c r="K1190" s="148"/>
      <c r="L1190" s="148"/>
      <c r="M1190" s="148"/>
      <c r="N1190" s="148"/>
      <c r="O1190" s="158"/>
      <c r="P1190" s="148"/>
      <c r="Q1190" s="207"/>
      <c r="R1190" s="208"/>
      <c r="S1190" s="208"/>
      <c r="T1190" s="202"/>
    </row>
    <row r="1191" ht="15.75" customHeight="1">
      <c r="A1191" s="158"/>
      <c r="B1191" s="158"/>
      <c r="C1191" s="158"/>
      <c r="D1191" s="158"/>
      <c r="E1191" s="158"/>
      <c r="F1191" s="158"/>
      <c r="G1191" s="148"/>
      <c r="H1191" s="148"/>
      <c r="I1191" s="148"/>
      <c r="J1191" s="148"/>
      <c r="K1191" s="148"/>
      <c r="L1191" s="148"/>
      <c r="M1191" s="148"/>
      <c r="N1191" s="148"/>
      <c r="O1191" s="158"/>
      <c r="P1191" s="148"/>
      <c r="Q1191" s="207"/>
      <c r="R1191" s="208"/>
      <c r="S1191" s="208"/>
      <c r="T1191" s="202"/>
    </row>
    <row r="1192" ht="15.75" customHeight="1">
      <c r="A1192" s="158"/>
      <c r="B1192" s="158"/>
      <c r="C1192" s="158"/>
      <c r="D1192" s="158"/>
      <c r="E1192" s="158"/>
      <c r="F1192" s="158"/>
      <c r="G1192" s="148"/>
      <c r="H1192" s="148"/>
      <c r="I1192" s="148"/>
      <c r="J1192" s="148"/>
      <c r="K1192" s="148"/>
      <c r="L1192" s="148"/>
      <c r="M1192" s="148"/>
      <c r="N1192" s="148"/>
      <c r="O1192" s="158"/>
      <c r="P1192" s="148"/>
      <c r="Q1192" s="207"/>
      <c r="R1192" s="208"/>
      <c r="S1192" s="208"/>
      <c r="T1192" s="202"/>
    </row>
    <row r="1193" ht="15.75" customHeight="1">
      <c r="A1193" s="158"/>
      <c r="B1193" s="158"/>
      <c r="C1193" s="158"/>
      <c r="D1193" s="158"/>
      <c r="E1193" s="158"/>
      <c r="F1193" s="158"/>
      <c r="G1193" s="148"/>
      <c r="H1193" s="148"/>
      <c r="I1193" s="148"/>
      <c r="J1193" s="148"/>
      <c r="K1193" s="148"/>
      <c r="L1193" s="148"/>
      <c r="M1193" s="148"/>
      <c r="N1193" s="148"/>
      <c r="O1193" s="158"/>
      <c r="P1193" s="148"/>
      <c r="Q1193" s="207"/>
      <c r="R1193" s="208"/>
      <c r="S1193" s="208"/>
      <c r="T1193" s="202"/>
    </row>
    <row r="1194" ht="15.75" customHeight="1">
      <c r="A1194" s="158"/>
      <c r="B1194" s="158"/>
      <c r="C1194" s="158"/>
      <c r="D1194" s="158"/>
      <c r="E1194" s="158"/>
      <c r="F1194" s="158"/>
      <c r="G1194" s="148"/>
      <c r="H1194" s="148"/>
      <c r="I1194" s="148"/>
      <c r="J1194" s="148"/>
      <c r="K1194" s="148"/>
      <c r="L1194" s="148"/>
      <c r="M1194" s="148"/>
      <c r="N1194" s="148"/>
      <c r="O1194" s="158"/>
      <c r="P1194" s="148"/>
      <c r="Q1194" s="207"/>
      <c r="R1194" s="208"/>
      <c r="S1194" s="208"/>
      <c r="T1194" s="202"/>
    </row>
    <row r="1195" ht="15.75" customHeight="1">
      <c r="A1195" s="158"/>
      <c r="B1195" s="158"/>
      <c r="C1195" s="158"/>
      <c r="D1195" s="158"/>
      <c r="E1195" s="158"/>
      <c r="F1195" s="158"/>
      <c r="G1195" s="148"/>
      <c r="H1195" s="148"/>
      <c r="I1195" s="148"/>
      <c r="J1195" s="148"/>
      <c r="K1195" s="148"/>
      <c r="L1195" s="148"/>
      <c r="M1195" s="148"/>
      <c r="N1195" s="148"/>
      <c r="O1195" s="158"/>
      <c r="P1195" s="148"/>
      <c r="Q1195" s="207"/>
      <c r="R1195" s="208"/>
      <c r="S1195" s="208"/>
      <c r="T1195" s="202"/>
    </row>
    <row r="1196" ht="15.75" customHeight="1">
      <c r="A1196" s="158"/>
      <c r="B1196" s="158"/>
      <c r="C1196" s="158"/>
      <c r="D1196" s="158"/>
      <c r="E1196" s="158"/>
      <c r="F1196" s="158"/>
      <c r="G1196" s="148"/>
      <c r="H1196" s="148"/>
      <c r="I1196" s="148"/>
      <c r="J1196" s="148"/>
      <c r="K1196" s="148"/>
      <c r="L1196" s="148"/>
      <c r="M1196" s="148"/>
      <c r="N1196" s="148"/>
      <c r="O1196" s="158"/>
      <c r="P1196" s="148"/>
      <c r="Q1196" s="207"/>
      <c r="R1196" s="208"/>
      <c r="S1196" s="208"/>
      <c r="T1196" s="202"/>
    </row>
    <row r="1197" ht="15.75" customHeight="1">
      <c r="A1197" s="158"/>
      <c r="B1197" s="158"/>
      <c r="C1197" s="158"/>
      <c r="D1197" s="158"/>
      <c r="E1197" s="158"/>
      <c r="F1197" s="158"/>
      <c r="G1197" s="148"/>
      <c r="H1197" s="148"/>
      <c r="I1197" s="148"/>
      <c r="J1197" s="148"/>
      <c r="K1197" s="148"/>
      <c r="L1197" s="148"/>
      <c r="M1197" s="148"/>
      <c r="N1197" s="148"/>
      <c r="O1197" s="158"/>
      <c r="P1197" s="148"/>
      <c r="Q1197" s="207"/>
      <c r="R1197" s="208"/>
      <c r="S1197" s="208"/>
      <c r="T1197" s="202"/>
    </row>
    <row r="1198" ht="15.75" customHeight="1">
      <c r="A1198" s="158"/>
      <c r="B1198" s="158"/>
      <c r="C1198" s="158"/>
      <c r="D1198" s="158"/>
      <c r="E1198" s="158"/>
      <c r="F1198" s="158"/>
      <c r="G1198" s="148"/>
      <c r="H1198" s="148"/>
      <c r="I1198" s="148"/>
      <c r="J1198" s="148"/>
      <c r="K1198" s="148"/>
      <c r="L1198" s="148"/>
      <c r="M1198" s="148"/>
      <c r="N1198" s="148"/>
      <c r="O1198" s="158"/>
      <c r="P1198" s="148"/>
      <c r="Q1198" s="207"/>
      <c r="R1198" s="208"/>
      <c r="S1198" s="208"/>
      <c r="T1198" s="202"/>
    </row>
    <row r="1199" ht="15.75" customHeight="1">
      <c r="A1199" s="158"/>
      <c r="B1199" s="158"/>
      <c r="C1199" s="158"/>
      <c r="D1199" s="158"/>
      <c r="E1199" s="158"/>
      <c r="F1199" s="158"/>
      <c r="G1199" s="148"/>
      <c r="H1199" s="148"/>
      <c r="I1199" s="148"/>
      <c r="J1199" s="148"/>
      <c r="K1199" s="148"/>
      <c r="L1199" s="148"/>
      <c r="M1199" s="148"/>
      <c r="N1199" s="148"/>
      <c r="O1199" s="158"/>
      <c r="P1199" s="148"/>
      <c r="Q1199" s="207"/>
      <c r="R1199" s="208"/>
      <c r="S1199" s="208"/>
      <c r="T1199" s="202"/>
    </row>
    <row r="1200" ht="15.75" customHeight="1">
      <c r="A1200" s="158"/>
      <c r="B1200" s="158"/>
      <c r="C1200" s="158"/>
      <c r="D1200" s="158"/>
      <c r="E1200" s="158"/>
      <c r="F1200" s="158"/>
      <c r="G1200" s="148"/>
      <c r="H1200" s="148"/>
      <c r="I1200" s="148"/>
      <c r="J1200" s="148"/>
      <c r="K1200" s="148"/>
      <c r="L1200" s="148"/>
      <c r="M1200" s="148"/>
      <c r="N1200" s="148"/>
      <c r="O1200" s="158"/>
      <c r="P1200" s="148"/>
      <c r="Q1200" s="207"/>
      <c r="R1200" s="208"/>
      <c r="S1200" s="208"/>
      <c r="T1200" s="202"/>
    </row>
    <row r="1201" ht="15.75" customHeight="1">
      <c r="A1201" s="158"/>
      <c r="B1201" s="158"/>
      <c r="C1201" s="158"/>
      <c r="D1201" s="158"/>
      <c r="E1201" s="158"/>
      <c r="F1201" s="158"/>
      <c r="G1201" s="148"/>
      <c r="H1201" s="148"/>
      <c r="I1201" s="148"/>
      <c r="J1201" s="148"/>
      <c r="K1201" s="148"/>
      <c r="L1201" s="148"/>
      <c r="M1201" s="148"/>
      <c r="N1201" s="148"/>
      <c r="O1201" s="158"/>
      <c r="P1201" s="148"/>
      <c r="Q1201" s="207"/>
      <c r="R1201" s="208"/>
      <c r="S1201" s="208"/>
      <c r="T1201" s="202"/>
    </row>
    <row r="1202" ht="15.75" customHeight="1">
      <c r="A1202" s="158"/>
      <c r="B1202" s="158"/>
      <c r="C1202" s="158"/>
      <c r="D1202" s="158"/>
      <c r="E1202" s="158"/>
      <c r="F1202" s="158"/>
      <c r="G1202" s="148"/>
      <c r="H1202" s="148"/>
      <c r="I1202" s="148"/>
      <c r="J1202" s="148"/>
      <c r="K1202" s="148"/>
      <c r="L1202" s="148"/>
      <c r="M1202" s="148"/>
      <c r="N1202" s="148"/>
      <c r="O1202" s="158"/>
      <c r="P1202" s="148"/>
      <c r="Q1202" s="207"/>
      <c r="R1202" s="208"/>
      <c r="S1202" s="208"/>
      <c r="T1202" s="202"/>
    </row>
    <row r="1203" ht="15.75" customHeight="1">
      <c r="A1203" s="158"/>
      <c r="B1203" s="158"/>
      <c r="C1203" s="158"/>
      <c r="D1203" s="158"/>
      <c r="E1203" s="158"/>
      <c r="F1203" s="158"/>
      <c r="G1203" s="148"/>
      <c r="H1203" s="148"/>
      <c r="I1203" s="148"/>
      <c r="J1203" s="148"/>
      <c r="K1203" s="148"/>
      <c r="L1203" s="148"/>
      <c r="M1203" s="148"/>
      <c r="N1203" s="148"/>
      <c r="O1203" s="158"/>
      <c r="P1203" s="148"/>
      <c r="Q1203" s="207"/>
      <c r="R1203" s="208"/>
      <c r="S1203" s="208"/>
      <c r="T1203" s="202"/>
    </row>
  </sheetData>
  <autoFilter ref="$A$2:$P$319"/>
  <mergeCells count="57">
    <mergeCell ref="B170:B171"/>
    <mergeCell ref="B172:B176"/>
    <mergeCell ref="B177:B189"/>
    <mergeCell ref="B190:B193"/>
    <mergeCell ref="B194:B203"/>
    <mergeCell ref="B204:B227"/>
    <mergeCell ref="B228:B251"/>
    <mergeCell ref="B252:B260"/>
    <mergeCell ref="B261:B269"/>
    <mergeCell ref="B270:B276"/>
    <mergeCell ref="B277:B285"/>
    <mergeCell ref="B286:B288"/>
    <mergeCell ref="B289:B291"/>
    <mergeCell ref="B292:B296"/>
    <mergeCell ref="A1:T1"/>
    <mergeCell ref="A14:A25"/>
    <mergeCell ref="B14:B23"/>
    <mergeCell ref="A26:A34"/>
    <mergeCell ref="B26:B30"/>
    <mergeCell ref="B33:B34"/>
    <mergeCell ref="A35:A47"/>
    <mergeCell ref="B35:B44"/>
    <mergeCell ref="B45:B47"/>
    <mergeCell ref="A48:A86"/>
    <mergeCell ref="B48:B60"/>
    <mergeCell ref="B61:B65"/>
    <mergeCell ref="B66:B70"/>
    <mergeCell ref="B71:B84"/>
    <mergeCell ref="A87:A89"/>
    <mergeCell ref="A90:A92"/>
    <mergeCell ref="B90:B92"/>
    <mergeCell ref="A93:A97"/>
    <mergeCell ref="B93:B97"/>
    <mergeCell ref="B98:B99"/>
    <mergeCell ref="B114:B116"/>
    <mergeCell ref="B100:B104"/>
    <mergeCell ref="B105:B113"/>
    <mergeCell ref="B117:B120"/>
    <mergeCell ref="B121:B123"/>
    <mergeCell ref="B125:B135"/>
    <mergeCell ref="B136:B167"/>
    <mergeCell ref="B168:B169"/>
    <mergeCell ref="A204:A227"/>
    <mergeCell ref="A228:A276"/>
    <mergeCell ref="A277:A288"/>
    <mergeCell ref="A289:A309"/>
    <mergeCell ref="A310:A319"/>
    <mergeCell ref="A98:A115"/>
    <mergeCell ref="A117:A120"/>
    <mergeCell ref="A121:A123"/>
    <mergeCell ref="A125:A135"/>
    <mergeCell ref="A136:A176"/>
    <mergeCell ref="A177:A193"/>
    <mergeCell ref="A194:A203"/>
    <mergeCell ref="B298:B309"/>
    <mergeCell ref="B310:B312"/>
    <mergeCell ref="B313:B319"/>
  </mergeCells>
  <conditionalFormatting sqref="H2:H123 H125:H272 G259:G260 G273:G276 H277:H297 H310:H312 G319:G366 G369:G379 G392:G401 H426:H1203">
    <cfRule type="cellIs" dxfId="0" priority="1" operator="equal">
      <formula>"PASSED"</formula>
    </cfRule>
  </conditionalFormatting>
  <conditionalFormatting sqref="H2:H123 H125:H272 G259:G260 G273:G276 H277:H297 H310:H312 G319:G366 G369:G379 G392:G401 H426:H1203">
    <cfRule type="cellIs" dxfId="1" priority="2" operator="equal">
      <formula>"FAILED"</formula>
    </cfRule>
  </conditionalFormatting>
  <conditionalFormatting sqref="H2:H123 H125:H272 G259:G260 G273:G276 H277:H297 H310:H312 G319:G366 G369:G379 G392:G401 H426:H1203">
    <cfRule type="cellIs" dxfId="8" priority="3" operator="equal">
      <formula>"IN_PROGRESS"</formula>
    </cfRule>
  </conditionalFormatting>
  <conditionalFormatting sqref="H2:H123 H125:H272 G259:G260 G273:G276 H277:H297 H310:H312 G319:G366 G369:G379 G392:G401 H426:H1203">
    <cfRule type="cellIs" dxfId="9" priority="4" operator="equal">
      <formula>"BLOCKED"</formula>
    </cfRule>
  </conditionalFormatting>
  <conditionalFormatting sqref="H13:H123 H125:H272 G259:G260 G273:G276 H277:H297 H310:H312 G319:G366 G369:G379 G392:G401">
    <cfRule type="cellIs" dxfId="2" priority="5" operator="equal">
      <formula>"NOT_STARTED"</formula>
    </cfRule>
  </conditionalFormatting>
  <conditionalFormatting sqref="I2:I412 F3:F8 J13:J412 L13:L412 K125:K412 M125:M319 H259:H260 H273:H412 I426:I1203">
    <cfRule type="cellIs" dxfId="0" priority="6" operator="equal">
      <formula>"PASSED"</formula>
    </cfRule>
  </conditionalFormatting>
  <conditionalFormatting sqref="I2:I412 F3:F8 J13:J412 L13:L412 K125:K412 M125:M319 H259:H260 H273:H412 I426:I1203">
    <cfRule type="cellIs" dxfId="1" priority="7" operator="equal">
      <formula>"FAILED"</formula>
    </cfRule>
  </conditionalFormatting>
  <conditionalFormatting sqref="I2:K412 F3:F8 G13:G401 H13:H412 L13:L412 M125:M319 F259:F260 F265:F269 F273:F401 I426:K1203">
    <cfRule type="cellIs" dxfId="8" priority="8" operator="equal">
      <formula>"IN_PROGRESS"</formula>
    </cfRule>
  </conditionalFormatting>
  <conditionalFormatting sqref="I2:K412 F3:F8 G13:G401 H13:H412 L13:L412 M125:M319 F259:F260 F265:F269 F273:F401 I426:K1203">
    <cfRule type="cellIs" dxfId="9" priority="9" operator="equal">
      <formula>"BLOCKED"</formula>
    </cfRule>
  </conditionalFormatting>
  <conditionalFormatting sqref="I2:K412 F3:F8 G13:G401 H13:H412 L13:L412 M125:M319 F259:F260 F265:F269 F273:F401 I426:K1203">
    <cfRule type="cellIs" dxfId="2" priority="10" operator="equal">
      <formula>"NOT_STARTED"</formula>
    </cfRule>
  </conditionalFormatting>
  <conditionalFormatting sqref="G13:I123 K13:K123 G125:H401 I125:I319 K125:K412 L125:L319 F259:F260 J259:J260 F265:F269 F273:F401 J273:J412">
    <cfRule type="cellIs" dxfId="1" priority="11" operator="equal">
      <formula>"FAILED"</formula>
    </cfRule>
  </conditionalFormatting>
  <conditionalFormatting sqref="G13:I123 K13:K123 G125:H401 I125:I319 K125:K412 L125:L319 F259:F260 J259:J260 F265:F269 F273:F401 J273:J412">
    <cfRule type="cellIs" dxfId="0" priority="12" operator="equal">
      <formula>"PASSED"</formula>
    </cfRule>
  </conditionalFormatting>
  <dataValidations>
    <dataValidation type="list" allowBlank="1" showErrorMessage="1" sqref="H14:H123 H125:H319">
      <formula1>"Critical,Major,Minor,Other"</formula1>
    </dataValidation>
    <dataValidation type="list" allowBlank="1" showErrorMessage="1" sqref="K14:K123 K125:K319">
      <formula1>"YES,NO"</formula1>
    </dataValidation>
    <dataValidation type="list" allowBlank="1" sqref="J14:J123 L14:L123 J125:J319 L125:L319">
      <formula1>"NOT_STARTED,PASSED,FAILED,IN_PROGRESS,BLOCKED"</formula1>
    </dataValidation>
    <dataValidation type="list" allowBlank="1" showErrorMessage="1" sqref="G14:G123 G125:G319">
      <formula1>"P1,P2,P3,Other"</formula1>
    </dataValidation>
  </dataValidations>
  <hyperlinks>
    <hyperlink r:id="rId1" ref="N23"/>
    <hyperlink r:id="rId2" ref="N71"/>
    <hyperlink r:id="rId3" ref="N72"/>
    <hyperlink r:id="rId4" ref="N79"/>
    <hyperlink r:id="rId5" ref="N80"/>
    <hyperlink r:id="rId6" ref="N81"/>
    <hyperlink r:id="rId7" ref="N82"/>
    <hyperlink r:id="rId8" ref="N83"/>
    <hyperlink r:id="rId9" ref="N84"/>
    <hyperlink r:id="rId10" ref="N101"/>
    <hyperlink r:id="rId11" ref="N102"/>
    <hyperlink r:id="rId12" ref="N103"/>
    <hyperlink r:id="rId13" ref="N104"/>
    <hyperlink r:id="rId14" ref="N114"/>
    <hyperlink r:id="rId15" ref="N115"/>
    <hyperlink r:id="rId16" ref="N116"/>
  </hyperlinks>
  <printOptions/>
  <pageMargins bottom="0.75" footer="0.0" header="0.0" left="0.7" right="0.7" top="0.75"/>
  <pageSetup paperSize="9" orientation="portrait"/>
  <drawing r:id="rId1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61.14"/>
    <col customWidth="1" min="2" max="2" width="53.0"/>
    <col customWidth="1" min="3" max="3" width="55.0"/>
    <col customWidth="1" min="4" max="5" width="12.0"/>
    <col customWidth="1" min="6" max="6" width="32.43"/>
    <col customWidth="1" min="7" max="7" width="36.14"/>
    <col customWidth="1" min="8" max="8" width="35.71"/>
  </cols>
  <sheetData>
    <row r="1" ht="24.0" customHeight="1">
      <c r="A1" s="65" t="s">
        <v>50</v>
      </c>
      <c r="B1" s="66"/>
      <c r="C1" s="66"/>
      <c r="D1" s="66"/>
      <c r="E1" s="66"/>
      <c r="F1" s="66"/>
      <c r="G1" s="66"/>
      <c r="H1" s="66"/>
      <c r="I1" s="69"/>
      <c r="J1" s="69"/>
      <c r="K1" s="69"/>
      <c r="L1" s="69"/>
      <c r="M1" s="69"/>
      <c r="N1" s="69"/>
      <c r="O1" s="69"/>
      <c r="P1" s="69"/>
      <c r="Q1" s="69"/>
      <c r="R1" s="69"/>
      <c r="S1" s="69"/>
      <c r="T1" s="69"/>
      <c r="U1" s="69"/>
      <c r="V1" s="69"/>
      <c r="W1" s="69"/>
      <c r="X1" s="69"/>
      <c r="Y1" s="69"/>
      <c r="Z1" s="69"/>
    </row>
    <row r="2" ht="18.0" customHeight="1">
      <c r="A2" s="72" t="s">
        <v>3</v>
      </c>
      <c r="B2" s="73" t="s">
        <v>4</v>
      </c>
      <c r="C2" s="73" t="s">
        <v>5</v>
      </c>
      <c r="D2" s="75"/>
      <c r="E2" s="75"/>
      <c r="F2" s="69"/>
      <c r="G2" s="69"/>
      <c r="H2" s="69"/>
      <c r="I2" s="69"/>
      <c r="J2" s="69"/>
      <c r="K2" s="69"/>
      <c r="L2" s="69"/>
      <c r="M2" s="69"/>
      <c r="N2" s="69"/>
      <c r="O2" s="69"/>
      <c r="P2" s="69"/>
      <c r="Q2" s="69"/>
      <c r="R2" s="69"/>
      <c r="S2" s="69"/>
      <c r="T2" s="69"/>
      <c r="U2" s="69"/>
      <c r="V2" s="69"/>
      <c r="W2" s="69"/>
      <c r="X2" s="69"/>
      <c r="Y2" s="69"/>
      <c r="Z2" s="69"/>
    </row>
    <row r="3">
      <c r="A3" s="78" t="s">
        <v>10</v>
      </c>
      <c r="B3" s="78" t="s">
        <v>14</v>
      </c>
      <c r="C3" s="81">
        <f>SUM(C4:C8)</f>
        <v>119</v>
      </c>
      <c r="D3" s="75"/>
      <c r="E3" s="75"/>
      <c r="F3" s="69"/>
      <c r="G3" s="69"/>
      <c r="H3" s="69"/>
      <c r="I3" s="69"/>
      <c r="J3" s="69"/>
      <c r="K3" s="69"/>
      <c r="L3" s="69"/>
      <c r="M3" s="69"/>
      <c r="N3" s="69"/>
      <c r="O3" s="69"/>
      <c r="P3" s="69"/>
      <c r="Q3" s="69"/>
      <c r="R3" s="69"/>
      <c r="S3" s="69"/>
      <c r="T3" s="69"/>
      <c r="U3" s="69"/>
      <c r="V3" s="69"/>
      <c r="W3" s="69"/>
      <c r="X3" s="69"/>
      <c r="Y3" s="69"/>
      <c r="Z3" s="69"/>
    </row>
    <row r="4" ht="18.0" customHeight="1">
      <c r="A4" s="82" t="s">
        <v>12</v>
      </c>
      <c r="B4" s="82" t="s">
        <v>22</v>
      </c>
      <c r="C4" s="85">
        <f>COUNTIF('Regression Suite'!G13:G999,"PASSED")</f>
        <v>0</v>
      </c>
      <c r="D4" s="75"/>
      <c r="E4" s="75"/>
      <c r="F4" s="69"/>
      <c r="G4" s="69"/>
      <c r="H4" s="69"/>
      <c r="I4" s="69"/>
      <c r="J4" s="69"/>
      <c r="K4" s="69"/>
      <c r="L4" s="69"/>
      <c r="M4" s="69"/>
      <c r="N4" s="69"/>
      <c r="O4" s="69"/>
      <c r="P4" s="69"/>
      <c r="Q4" s="69"/>
      <c r="R4" s="69"/>
      <c r="S4" s="69"/>
      <c r="T4" s="69"/>
      <c r="U4" s="69"/>
      <c r="V4" s="69"/>
      <c r="W4" s="69"/>
      <c r="X4" s="69"/>
      <c r="Y4" s="69"/>
      <c r="Z4" s="69"/>
    </row>
    <row r="5" ht="18.0" customHeight="1">
      <c r="A5" s="88" t="s">
        <v>13</v>
      </c>
      <c r="B5" s="88" t="s">
        <v>24</v>
      </c>
      <c r="C5" s="90">
        <f>COUNTIF('Regression Suite'!G13:G999,"FAILED")</f>
        <v>0</v>
      </c>
      <c r="D5" s="75"/>
      <c r="E5" s="75"/>
      <c r="F5" s="69"/>
      <c r="G5" s="69"/>
      <c r="H5" s="69"/>
      <c r="I5" s="69"/>
      <c r="J5" s="69"/>
      <c r="K5" s="69"/>
      <c r="L5" s="69"/>
      <c r="M5" s="69"/>
      <c r="N5" s="69"/>
      <c r="O5" s="69"/>
      <c r="P5" s="69"/>
      <c r="Q5" s="69"/>
      <c r="R5" s="69"/>
      <c r="S5" s="69"/>
      <c r="T5" s="69"/>
      <c r="U5" s="69"/>
      <c r="V5" s="69"/>
      <c r="W5" s="69"/>
      <c r="X5" s="69"/>
      <c r="Y5" s="69"/>
      <c r="Z5" s="69"/>
    </row>
    <row r="6" ht="18.0" customHeight="1">
      <c r="A6" s="91" t="s">
        <v>27</v>
      </c>
      <c r="B6" s="91" t="s">
        <v>76</v>
      </c>
      <c r="C6" s="92">
        <f>COUNTIF('Regression Suite'!G13:G999,"NOT_STARTED")</f>
        <v>118</v>
      </c>
      <c r="D6" s="75"/>
      <c r="E6" s="75"/>
      <c r="F6" s="69"/>
      <c r="G6" s="69"/>
      <c r="H6" s="69"/>
      <c r="I6" s="69"/>
      <c r="J6" s="69"/>
      <c r="K6" s="69"/>
      <c r="L6" s="69"/>
      <c r="M6" s="69"/>
      <c r="N6" s="69"/>
      <c r="O6" s="69"/>
      <c r="P6" s="69"/>
      <c r="Q6" s="69"/>
      <c r="R6" s="69"/>
      <c r="S6" s="69"/>
      <c r="T6" s="69"/>
      <c r="U6" s="69"/>
      <c r="V6" s="69"/>
      <c r="W6" s="69"/>
      <c r="X6" s="69"/>
      <c r="Y6" s="69"/>
      <c r="Z6" s="69"/>
    </row>
    <row r="7" ht="18.0" customHeight="1">
      <c r="A7" s="93" t="s">
        <v>43</v>
      </c>
      <c r="B7" s="93" t="s">
        <v>77</v>
      </c>
      <c r="C7" s="94">
        <f>COUNTIF('Regression Suite'!G13:G999,"IN_PROGRESS")</f>
        <v>0</v>
      </c>
      <c r="D7" s="75"/>
      <c r="E7" s="75"/>
      <c r="F7" s="69"/>
      <c r="G7" s="69"/>
      <c r="H7" s="69"/>
      <c r="I7" s="69"/>
      <c r="J7" s="69"/>
      <c r="K7" s="69"/>
      <c r="L7" s="69"/>
      <c r="M7" s="69"/>
      <c r="N7" s="69"/>
      <c r="O7" s="69"/>
      <c r="P7" s="69"/>
      <c r="Q7" s="69"/>
      <c r="R7" s="69"/>
      <c r="S7" s="69"/>
      <c r="T7" s="69"/>
      <c r="U7" s="69"/>
      <c r="V7" s="69"/>
      <c r="W7" s="69"/>
      <c r="X7" s="69"/>
      <c r="Y7" s="69"/>
      <c r="Z7" s="69"/>
    </row>
    <row r="8" ht="18.0" customHeight="1">
      <c r="A8" s="96" t="s">
        <v>17</v>
      </c>
      <c r="B8" s="96" t="s">
        <v>45</v>
      </c>
      <c r="C8" s="99">
        <f>COUNTIF('Regression Suite'!G13:G999,"BLOCKED")</f>
        <v>1</v>
      </c>
      <c r="D8" s="75"/>
      <c r="E8" s="75"/>
      <c r="F8" s="69"/>
      <c r="G8" s="69"/>
      <c r="H8" s="69"/>
      <c r="I8" s="69"/>
      <c r="J8" s="69"/>
      <c r="K8" s="69"/>
      <c r="L8" s="69"/>
      <c r="M8" s="69"/>
      <c r="N8" s="69"/>
      <c r="O8" s="69"/>
      <c r="P8" s="69"/>
      <c r="Q8" s="69"/>
      <c r="R8" s="69"/>
      <c r="S8" s="69"/>
      <c r="T8" s="69"/>
      <c r="U8" s="69"/>
      <c r="V8" s="69"/>
      <c r="W8" s="69"/>
      <c r="X8" s="69"/>
      <c r="Y8" s="69"/>
      <c r="Z8" s="69"/>
    </row>
    <row r="9" ht="18.0" customHeight="1">
      <c r="A9" s="101"/>
      <c r="B9" s="102"/>
      <c r="C9" s="102"/>
      <c r="D9" s="102"/>
      <c r="E9" s="102"/>
      <c r="F9" s="75"/>
      <c r="G9" s="75"/>
      <c r="H9" s="75"/>
      <c r="I9" s="104"/>
      <c r="J9" s="105"/>
      <c r="K9" s="105"/>
      <c r="L9" s="105"/>
      <c r="M9" s="105"/>
      <c r="N9" s="105"/>
      <c r="O9" s="105"/>
      <c r="P9" s="105"/>
      <c r="Q9" s="105"/>
      <c r="R9" s="105"/>
      <c r="S9" s="105"/>
      <c r="T9" s="105"/>
      <c r="U9" s="105"/>
      <c r="V9" s="105"/>
      <c r="W9" s="105"/>
      <c r="X9" s="105"/>
      <c r="Y9" s="105"/>
      <c r="Z9" s="105"/>
    </row>
    <row r="10" ht="18.0" customHeight="1">
      <c r="A10" s="106"/>
      <c r="B10" s="69"/>
      <c r="C10" s="69"/>
      <c r="D10" s="69"/>
      <c r="E10" s="69"/>
      <c r="F10" s="69"/>
      <c r="G10" s="69"/>
      <c r="H10" s="69"/>
      <c r="I10" s="107"/>
      <c r="J10" s="108"/>
      <c r="K10" s="108"/>
      <c r="L10" s="108"/>
      <c r="M10" s="108"/>
      <c r="N10" s="108"/>
      <c r="O10" s="108"/>
      <c r="P10" s="108"/>
      <c r="Q10" s="108"/>
      <c r="R10" s="108"/>
      <c r="S10" s="108"/>
      <c r="T10" s="108"/>
      <c r="U10" s="108"/>
      <c r="V10" s="108"/>
      <c r="W10" s="108"/>
      <c r="X10" s="108"/>
      <c r="Y10" s="108"/>
      <c r="Z10" s="108"/>
    </row>
    <row r="11" ht="17.25" customHeight="1">
      <c r="A11" s="110" t="s">
        <v>90</v>
      </c>
      <c r="B11" s="69"/>
      <c r="C11" s="69"/>
      <c r="D11" s="69"/>
      <c r="E11" s="69"/>
      <c r="F11" s="69"/>
      <c r="G11" s="69"/>
      <c r="H11" s="69"/>
      <c r="I11" s="107"/>
      <c r="J11" s="108"/>
      <c r="K11" s="108"/>
      <c r="L11" s="108"/>
      <c r="M11" s="108"/>
      <c r="N11" s="108"/>
      <c r="O11" s="108"/>
      <c r="P11" s="108"/>
      <c r="Q11" s="108"/>
      <c r="R11" s="108"/>
      <c r="S11" s="108"/>
      <c r="T11" s="108"/>
      <c r="U11" s="108"/>
      <c r="V11" s="108"/>
      <c r="W11" s="108"/>
      <c r="X11" s="108"/>
      <c r="Y11" s="108"/>
      <c r="Z11" s="108"/>
    </row>
    <row r="12" ht="17.25" customHeight="1">
      <c r="A12" s="111" t="s">
        <v>93</v>
      </c>
      <c r="B12" s="69"/>
      <c r="C12" s="69"/>
      <c r="D12" s="69"/>
      <c r="E12" s="69"/>
      <c r="F12" s="69"/>
      <c r="G12" s="69"/>
      <c r="H12" s="69"/>
      <c r="I12" s="107"/>
      <c r="J12" s="108"/>
      <c r="K12" s="108"/>
      <c r="L12" s="108"/>
      <c r="M12" s="108"/>
      <c r="N12" s="108"/>
      <c r="O12" s="108"/>
      <c r="P12" s="108"/>
      <c r="Q12" s="108"/>
      <c r="R12" s="108"/>
      <c r="S12" s="108"/>
      <c r="T12" s="108"/>
      <c r="U12" s="108"/>
      <c r="V12" s="108"/>
      <c r="W12" s="108"/>
      <c r="X12" s="108"/>
      <c r="Y12" s="108"/>
      <c r="Z12" s="108"/>
    </row>
    <row r="13" ht="17.25" customHeight="1">
      <c r="A13" s="112" t="s">
        <v>32</v>
      </c>
      <c r="B13" s="113" t="s">
        <v>31</v>
      </c>
      <c r="C13" s="114" t="s">
        <v>52</v>
      </c>
      <c r="D13" s="113" t="s">
        <v>98</v>
      </c>
      <c r="E13" s="115" t="s">
        <v>56</v>
      </c>
      <c r="F13" s="113" t="s">
        <v>64</v>
      </c>
      <c r="G13" s="113" t="s">
        <v>60</v>
      </c>
      <c r="H13" s="116" t="s">
        <v>101</v>
      </c>
      <c r="I13" s="107"/>
      <c r="J13" s="108"/>
      <c r="K13" s="108"/>
      <c r="L13" s="108"/>
      <c r="M13" s="108"/>
      <c r="N13" s="108"/>
      <c r="O13" s="108"/>
      <c r="P13" s="108"/>
      <c r="Q13" s="108"/>
      <c r="R13" s="108"/>
      <c r="S13" s="108"/>
      <c r="T13" s="108"/>
      <c r="U13" s="108"/>
      <c r="V13" s="108"/>
      <c r="W13" s="108"/>
      <c r="X13" s="108"/>
      <c r="Y13" s="108"/>
      <c r="Z13" s="108"/>
    </row>
    <row r="14" ht="18.0" customHeight="1">
      <c r="A14" s="117" t="s">
        <v>102</v>
      </c>
      <c r="B14" s="69"/>
      <c r="C14" s="69"/>
      <c r="D14" s="69"/>
      <c r="E14" s="69"/>
      <c r="F14" s="69"/>
      <c r="G14" s="69"/>
      <c r="H14" s="69"/>
      <c r="I14" s="107"/>
      <c r="J14" s="108"/>
      <c r="K14" s="108"/>
      <c r="L14" s="108"/>
      <c r="M14" s="108"/>
      <c r="N14" s="108"/>
      <c r="O14" s="108"/>
      <c r="P14" s="108"/>
      <c r="Q14" s="108"/>
      <c r="R14" s="108"/>
      <c r="S14" s="108"/>
      <c r="T14" s="108"/>
      <c r="U14" s="108"/>
      <c r="V14" s="108"/>
      <c r="W14" s="108"/>
      <c r="X14" s="108"/>
      <c r="Y14" s="108"/>
      <c r="Z14" s="108"/>
    </row>
    <row r="15" ht="18.0" customHeight="1">
      <c r="A15" s="118" t="s">
        <v>106</v>
      </c>
      <c r="B15" s="119" t="s">
        <v>23</v>
      </c>
      <c r="C15" s="120" t="s">
        <v>107</v>
      </c>
      <c r="D15" s="121" t="s">
        <v>68</v>
      </c>
      <c r="E15" s="115" t="s">
        <v>74</v>
      </c>
      <c r="F15" s="119" t="s">
        <v>37</v>
      </c>
      <c r="G15" s="122" t="s">
        <v>27</v>
      </c>
      <c r="H15" s="123" t="s">
        <v>108</v>
      </c>
      <c r="I15" s="107"/>
      <c r="J15" s="108"/>
      <c r="K15" s="108"/>
      <c r="L15" s="108"/>
      <c r="M15" s="108"/>
      <c r="N15" s="108"/>
      <c r="O15" s="108"/>
      <c r="P15" s="108"/>
      <c r="Q15" s="108"/>
      <c r="R15" s="108"/>
      <c r="S15" s="108"/>
      <c r="T15" s="108"/>
      <c r="U15" s="108"/>
      <c r="V15" s="108"/>
      <c r="W15" s="108"/>
      <c r="X15" s="108"/>
      <c r="Y15" s="108"/>
      <c r="Z15" s="108"/>
    </row>
    <row r="16" ht="18.0" customHeight="1">
      <c r="A16" s="124" t="s">
        <v>109</v>
      </c>
      <c r="B16" s="125" t="s">
        <v>23</v>
      </c>
      <c r="C16" s="126" t="s">
        <v>110</v>
      </c>
      <c r="D16" s="127" t="s">
        <v>68</v>
      </c>
      <c r="E16" s="115" t="s">
        <v>74</v>
      </c>
      <c r="F16" s="125" t="s">
        <v>37</v>
      </c>
      <c r="G16" s="122" t="s">
        <v>27</v>
      </c>
      <c r="H16" s="123" t="s">
        <v>111</v>
      </c>
      <c r="I16" s="107"/>
      <c r="J16" s="108"/>
      <c r="K16" s="108"/>
      <c r="L16" s="108"/>
      <c r="M16" s="108"/>
      <c r="N16" s="108"/>
      <c r="O16" s="108"/>
      <c r="P16" s="108"/>
      <c r="Q16" s="108"/>
      <c r="R16" s="108"/>
      <c r="S16" s="108"/>
      <c r="T16" s="108"/>
      <c r="U16" s="108"/>
      <c r="V16" s="108"/>
      <c r="W16" s="108"/>
      <c r="X16" s="108"/>
      <c r="Y16" s="108"/>
      <c r="Z16" s="108"/>
    </row>
    <row r="17" ht="18.0" customHeight="1">
      <c r="A17" s="118" t="s">
        <v>114</v>
      </c>
      <c r="B17" s="119" t="s">
        <v>23</v>
      </c>
      <c r="C17" s="120" t="s">
        <v>115</v>
      </c>
      <c r="D17" s="121" t="s">
        <v>68</v>
      </c>
      <c r="E17" s="115" t="s">
        <v>74</v>
      </c>
      <c r="F17" s="119" t="s">
        <v>37</v>
      </c>
      <c r="G17" s="122" t="s">
        <v>27</v>
      </c>
      <c r="H17" s="123" t="s">
        <v>116</v>
      </c>
      <c r="I17" s="107"/>
      <c r="J17" s="108"/>
      <c r="K17" s="108"/>
      <c r="L17" s="108"/>
      <c r="M17" s="108"/>
      <c r="N17" s="108"/>
      <c r="O17" s="108"/>
      <c r="P17" s="108"/>
      <c r="Q17" s="108"/>
      <c r="R17" s="108"/>
      <c r="S17" s="108"/>
      <c r="T17" s="108"/>
      <c r="U17" s="108"/>
      <c r="V17" s="108"/>
      <c r="W17" s="108"/>
      <c r="X17" s="108"/>
      <c r="Y17" s="108"/>
      <c r="Z17" s="108"/>
    </row>
    <row r="18" ht="18.0" customHeight="1">
      <c r="A18" s="124" t="s">
        <v>118</v>
      </c>
      <c r="B18" s="125" t="s">
        <v>23</v>
      </c>
      <c r="C18" s="126" t="s">
        <v>120</v>
      </c>
      <c r="D18" s="127" t="s">
        <v>68</v>
      </c>
      <c r="E18" s="115" t="s">
        <v>74</v>
      </c>
      <c r="F18" s="125" t="s">
        <v>37</v>
      </c>
      <c r="G18" s="122" t="s">
        <v>27</v>
      </c>
      <c r="H18" s="123" t="s">
        <v>122</v>
      </c>
      <c r="I18" s="107"/>
      <c r="J18" s="108"/>
      <c r="K18" s="108"/>
      <c r="L18" s="108"/>
      <c r="M18" s="108"/>
      <c r="N18" s="108"/>
      <c r="O18" s="108"/>
      <c r="P18" s="108"/>
      <c r="Q18" s="108"/>
      <c r="R18" s="108"/>
      <c r="S18" s="108"/>
      <c r="T18" s="108"/>
      <c r="U18" s="108"/>
      <c r="V18" s="108"/>
      <c r="W18" s="108"/>
      <c r="X18" s="108"/>
      <c r="Y18" s="108"/>
      <c r="Z18" s="108"/>
    </row>
    <row r="19" ht="18.0" customHeight="1">
      <c r="A19" s="118" t="s">
        <v>123</v>
      </c>
      <c r="B19" s="119" t="s">
        <v>23</v>
      </c>
      <c r="C19" s="120" t="s">
        <v>124</v>
      </c>
      <c r="D19" s="121" t="s">
        <v>68</v>
      </c>
      <c r="E19" s="115" t="s">
        <v>74</v>
      </c>
      <c r="F19" s="119" t="s">
        <v>37</v>
      </c>
      <c r="G19" s="122" t="s">
        <v>27</v>
      </c>
      <c r="H19" s="123" t="s">
        <v>125</v>
      </c>
      <c r="I19" s="107"/>
      <c r="J19" s="108"/>
      <c r="K19" s="108"/>
      <c r="L19" s="108"/>
      <c r="M19" s="108"/>
      <c r="N19" s="108"/>
      <c r="O19" s="108"/>
      <c r="P19" s="108"/>
      <c r="Q19" s="108"/>
      <c r="R19" s="108"/>
      <c r="S19" s="108"/>
      <c r="T19" s="108"/>
      <c r="U19" s="108"/>
      <c r="V19" s="108"/>
      <c r="W19" s="108"/>
      <c r="X19" s="108"/>
      <c r="Y19" s="108"/>
      <c r="Z19" s="108"/>
    </row>
    <row r="20" ht="18.0" customHeight="1">
      <c r="A20" s="124" t="s">
        <v>127</v>
      </c>
      <c r="B20" s="125" t="s">
        <v>23</v>
      </c>
      <c r="C20" s="126" t="s">
        <v>130</v>
      </c>
      <c r="D20" s="127" t="s">
        <v>68</v>
      </c>
      <c r="E20" s="115" t="s">
        <v>74</v>
      </c>
      <c r="F20" s="125" t="s">
        <v>37</v>
      </c>
      <c r="G20" s="122" t="s">
        <v>27</v>
      </c>
      <c r="H20" s="123"/>
      <c r="I20" s="107"/>
      <c r="J20" s="108"/>
      <c r="K20" s="108"/>
      <c r="L20" s="108"/>
      <c r="M20" s="108"/>
      <c r="N20" s="108"/>
      <c r="O20" s="108"/>
      <c r="P20" s="108"/>
      <c r="Q20" s="108"/>
      <c r="R20" s="108"/>
      <c r="S20" s="108"/>
      <c r="T20" s="108"/>
      <c r="U20" s="108"/>
      <c r="V20" s="108"/>
      <c r="W20" s="108"/>
      <c r="X20" s="108"/>
      <c r="Y20" s="108"/>
      <c r="Z20" s="108"/>
    </row>
    <row r="21" ht="18.0" customHeight="1">
      <c r="A21" s="118" t="s">
        <v>131</v>
      </c>
      <c r="B21" s="119" t="s">
        <v>23</v>
      </c>
      <c r="C21" s="120" t="s">
        <v>133</v>
      </c>
      <c r="D21" s="121" t="s">
        <v>68</v>
      </c>
      <c r="E21" s="115" t="s">
        <v>74</v>
      </c>
      <c r="F21" s="119" t="s">
        <v>37</v>
      </c>
      <c r="G21" s="122" t="s">
        <v>27</v>
      </c>
      <c r="H21" s="123"/>
      <c r="I21" s="107"/>
      <c r="J21" s="108"/>
      <c r="K21" s="108"/>
      <c r="L21" s="108"/>
      <c r="M21" s="108"/>
      <c r="N21" s="108"/>
      <c r="O21" s="108"/>
      <c r="P21" s="108"/>
      <c r="Q21" s="108"/>
      <c r="R21" s="108"/>
      <c r="S21" s="108"/>
      <c r="T21" s="108"/>
      <c r="U21" s="108"/>
      <c r="V21" s="108"/>
      <c r="W21" s="108"/>
      <c r="X21" s="108"/>
      <c r="Y21" s="108"/>
      <c r="Z21" s="108"/>
    </row>
    <row r="22" ht="18.0" customHeight="1">
      <c r="A22" s="124" t="s">
        <v>135</v>
      </c>
      <c r="B22" s="125" t="s">
        <v>23</v>
      </c>
      <c r="C22" s="126" t="s">
        <v>136</v>
      </c>
      <c r="D22" s="127" t="s">
        <v>68</v>
      </c>
      <c r="E22" s="115" t="s">
        <v>74</v>
      </c>
      <c r="F22" s="125" t="s">
        <v>37</v>
      </c>
      <c r="G22" s="122" t="s">
        <v>27</v>
      </c>
      <c r="H22" s="123" t="s">
        <v>137</v>
      </c>
      <c r="I22" s="107"/>
      <c r="J22" s="108"/>
      <c r="K22" s="108"/>
      <c r="L22" s="108"/>
      <c r="M22" s="108"/>
      <c r="N22" s="108"/>
      <c r="O22" s="108"/>
      <c r="P22" s="108"/>
      <c r="Q22" s="108"/>
      <c r="R22" s="108"/>
      <c r="S22" s="108"/>
      <c r="T22" s="108"/>
      <c r="U22" s="108"/>
      <c r="V22" s="108"/>
      <c r="W22" s="108"/>
      <c r="X22" s="108"/>
      <c r="Y22" s="108"/>
      <c r="Z22" s="108"/>
    </row>
    <row r="23" ht="18.0" customHeight="1">
      <c r="A23" s="118" t="s">
        <v>138</v>
      </c>
      <c r="B23" s="119" t="s">
        <v>23</v>
      </c>
      <c r="C23" s="120" t="s">
        <v>140</v>
      </c>
      <c r="D23" s="121" t="s">
        <v>68</v>
      </c>
      <c r="E23" s="115" t="s">
        <v>74</v>
      </c>
      <c r="F23" s="119" t="s">
        <v>37</v>
      </c>
      <c r="G23" s="122" t="s">
        <v>27</v>
      </c>
      <c r="H23" s="123" t="s">
        <v>141</v>
      </c>
      <c r="I23" s="107"/>
      <c r="J23" s="108"/>
      <c r="K23" s="108"/>
      <c r="L23" s="108"/>
      <c r="M23" s="108"/>
      <c r="N23" s="108"/>
      <c r="O23" s="108"/>
      <c r="P23" s="108"/>
      <c r="Q23" s="108"/>
      <c r="R23" s="108"/>
      <c r="S23" s="108"/>
      <c r="T23" s="108"/>
      <c r="U23" s="108"/>
      <c r="V23" s="108"/>
      <c r="W23" s="108"/>
      <c r="X23" s="108"/>
      <c r="Y23" s="108"/>
      <c r="Z23" s="108"/>
    </row>
    <row r="24" ht="18.0" customHeight="1">
      <c r="A24" s="124" t="s">
        <v>143</v>
      </c>
      <c r="B24" s="125" t="s">
        <v>23</v>
      </c>
      <c r="C24" s="126" t="s">
        <v>145</v>
      </c>
      <c r="D24" s="127" t="s">
        <v>68</v>
      </c>
      <c r="E24" s="115" t="s">
        <v>74</v>
      </c>
      <c r="F24" s="125" t="s">
        <v>37</v>
      </c>
      <c r="G24" s="122" t="s">
        <v>27</v>
      </c>
      <c r="H24" s="123" t="s">
        <v>147</v>
      </c>
      <c r="I24" s="107"/>
      <c r="J24" s="108"/>
      <c r="K24" s="108"/>
      <c r="L24" s="108"/>
      <c r="M24" s="108"/>
      <c r="N24" s="108"/>
      <c r="O24" s="108"/>
      <c r="P24" s="108"/>
      <c r="Q24" s="108"/>
      <c r="R24" s="108"/>
      <c r="S24" s="108"/>
      <c r="T24" s="108"/>
      <c r="U24" s="108"/>
      <c r="V24" s="108"/>
      <c r="W24" s="108"/>
      <c r="X24" s="108"/>
      <c r="Y24" s="108"/>
      <c r="Z24" s="108"/>
    </row>
    <row r="25" ht="18.0" customHeight="1">
      <c r="A25" s="118" t="s">
        <v>148</v>
      </c>
      <c r="B25" s="119" t="s">
        <v>23</v>
      </c>
      <c r="C25" s="120" t="s">
        <v>150</v>
      </c>
      <c r="D25" s="121" t="s">
        <v>68</v>
      </c>
      <c r="E25" s="115" t="s">
        <v>74</v>
      </c>
      <c r="F25" s="119" t="s">
        <v>37</v>
      </c>
      <c r="G25" s="122" t="s">
        <v>27</v>
      </c>
      <c r="H25" s="123" t="s">
        <v>152</v>
      </c>
      <c r="I25" s="107"/>
      <c r="J25" s="108"/>
      <c r="K25" s="108"/>
      <c r="L25" s="108"/>
      <c r="M25" s="108"/>
      <c r="N25" s="108"/>
      <c r="O25" s="108"/>
      <c r="P25" s="108"/>
      <c r="Q25" s="108"/>
      <c r="R25" s="108"/>
      <c r="S25" s="108"/>
      <c r="T25" s="108"/>
      <c r="U25" s="108"/>
      <c r="V25" s="108"/>
      <c r="W25" s="108"/>
      <c r="X25" s="108"/>
      <c r="Y25" s="108"/>
      <c r="Z25" s="108"/>
    </row>
    <row r="26" ht="18.0" customHeight="1">
      <c r="A26" s="124" t="s">
        <v>153</v>
      </c>
      <c r="B26" s="125" t="s">
        <v>23</v>
      </c>
      <c r="C26" s="126" t="s">
        <v>154</v>
      </c>
      <c r="D26" s="127" t="s">
        <v>68</v>
      </c>
      <c r="E26" s="115" t="s">
        <v>74</v>
      </c>
      <c r="F26" s="125" t="s">
        <v>37</v>
      </c>
      <c r="G26" s="122" t="s">
        <v>27</v>
      </c>
      <c r="H26" s="123" t="s">
        <v>155</v>
      </c>
      <c r="I26" s="107"/>
      <c r="J26" s="108"/>
      <c r="K26" s="108"/>
      <c r="L26" s="108"/>
      <c r="M26" s="108"/>
      <c r="N26" s="108"/>
      <c r="O26" s="108"/>
      <c r="P26" s="108"/>
      <c r="Q26" s="108"/>
      <c r="R26" s="108"/>
      <c r="S26" s="108"/>
      <c r="T26" s="108"/>
      <c r="U26" s="108"/>
      <c r="V26" s="108"/>
      <c r="W26" s="108"/>
      <c r="X26" s="108"/>
      <c r="Y26" s="108"/>
      <c r="Z26" s="108"/>
    </row>
    <row r="27" ht="18.0" customHeight="1">
      <c r="A27" s="118" t="s">
        <v>157</v>
      </c>
      <c r="B27" s="119" t="s">
        <v>23</v>
      </c>
      <c r="C27" s="120" t="s">
        <v>158</v>
      </c>
      <c r="D27" s="121" t="s">
        <v>68</v>
      </c>
      <c r="E27" s="115" t="s">
        <v>74</v>
      </c>
      <c r="F27" s="119" t="s">
        <v>37</v>
      </c>
      <c r="G27" s="122" t="s">
        <v>27</v>
      </c>
      <c r="H27" s="123" t="s">
        <v>160</v>
      </c>
      <c r="I27" s="107"/>
      <c r="J27" s="108"/>
      <c r="K27" s="108"/>
      <c r="L27" s="108"/>
      <c r="M27" s="108"/>
      <c r="N27" s="108"/>
      <c r="O27" s="108"/>
      <c r="P27" s="108"/>
      <c r="Q27" s="108"/>
      <c r="R27" s="108"/>
      <c r="S27" s="108"/>
      <c r="T27" s="108"/>
      <c r="U27" s="108"/>
      <c r="V27" s="108"/>
      <c r="W27" s="108"/>
      <c r="X27" s="108"/>
      <c r="Y27" s="108"/>
      <c r="Z27" s="108"/>
    </row>
    <row r="28" ht="18.0" customHeight="1">
      <c r="A28" s="124" t="s">
        <v>161</v>
      </c>
      <c r="B28" s="125" t="s">
        <v>23</v>
      </c>
      <c r="C28" s="126" t="s">
        <v>162</v>
      </c>
      <c r="D28" s="127" t="s">
        <v>68</v>
      </c>
      <c r="E28" s="115" t="s">
        <v>74</v>
      </c>
      <c r="F28" s="125" t="s">
        <v>37</v>
      </c>
      <c r="G28" s="122" t="s">
        <v>27</v>
      </c>
      <c r="H28" s="123" t="s">
        <v>163</v>
      </c>
      <c r="I28" s="107"/>
      <c r="J28" s="108"/>
      <c r="K28" s="108"/>
      <c r="L28" s="108"/>
      <c r="M28" s="108"/>
      <c r="N28" s="108"/>
      <c r="O28" s="108"/>
      <c r="P28" s="108"/>
      <c r="Q28" s="108"/>
      <c r="R28" s="108"/>
      <c r="S28" s="108"/>
      <c r="T28" s="108"/>
      <c r="U28" s="108"/>
      <c r="V28" s="108"/>
      <c r="W28" s="108"/>
      <c r="X28" s="108"/>
      <c r="Y28" s="108"/>
      <c r="Z28" s="108"/>
    </row>
    <row r="29" ht="18.0" customHeight="1">
      <c r="A29" s="118" t="s">
        <v>165</v>
      </c>
      <c r="B29" s="119" t="s">
        <v>23</v>
      </c>
      <c r="C29" s="120" t="s">
        <v>166</v>
      </c>
      <c r="D29" s="121" t="s">
        <v>68</v>
      </c>
      <c r="E29" s="115" t="s">
        <v>74</v>
      </c>
      <c r="F29" s="119" t="s">
        <v>37</v>
      </c>
      <c r="G29" s="122" t="s">
        <v>27</v>
      </c>
      <c r="H29" s="123" t="s">
        <v>167</v>
      </c>
      <c r="I29" s="107"/>
      <c r="J29" s="108"/>
      <c r="K29" s="108"/>
      <c r="L29" s="108"/>
      <c r="M29" s="108"/>
      <c r="N29" s="108"/>
      <c r="O29" s="108"/>
      <c r="P29" s="108"/>
      <c r="Q29" s="108"/>
      <c r="R29" s="108"/>
      <c r="S29" s="108"/>
      <c r="T29" s="108"/>
      <c r="U29" s="108"/>
      <c r="V29" s="108"/>
      <c r="W29" s="108"/>
      <c r="X29" s="108"/>
      <c r="Y29" s="108"/>
      <c r="Z29" s="108"/>
    </row>
    <row r="30" ht="18.0" customHeight="1">
      <c r="A30" s="124" t="s">
        <v>170</v>
      </c>
      <c r="B30" s="125" t="s">
        <v>23</v>
      </c>
      <c r="C30" s="126" t="s">
        <v>171</v>
      </c>
      <c r="D30" s="127" t="s">
        <v>68</v>
      </c>
      <c r="E30" s="115" t="s">
        <v>74</v>
      </c>
      <c r="F30" s="125" t="s">
        <v>37</v>
      </c>
      <c r="G30" s="122" t="s">
        <v>27</v>
      </c>
      <c r="H30" s="123" t="s">
        <v>172</v>
      </c>
      <c r="I30" s="107"/>
      <c r="J30" s="108"/>
      <c r="K30" s="108"/>
      <c r="L30" s="108"/>
      <c r="M30" s="108"/>
      <c r="N30" s="108"/>
      <c r="O30" s="108"/>
      <c r="P30" s="108"/>
      <c r="Q30" s="108"/>
      <c r="R30" s="108"/>
      <c r="S30" s="108"/>
      <c r="T30" s="108"/>
      <c r="U30" s="108"/>
      <c r="V30" s="108"/>
      <c r="W30" s="108"/>
      <c r="X30" s="108"/>
      <c r="Y30" s="108"/>
      <c r="Z30" s="108"/>
    </row>
    <row r="31" ht="18.0" customHeight="1">
      <c r="A31" s="118" t="s">
        <v>173</v>
      </c>
      <c r="B31" s="119" t="s">
        <v>23</v>
      </c>
      <c r="C31" s="120" t="s">
        <v>174</v>
      </c>
      <c r="D31" s="121" t="s">
        <v>68</v>
      </c>
      <c r="E31" s="115" t="s">
        <v>74</v>
      </c>
      <c r="F31" s="119" t="s">
        <v>37</v>
      </c>
      <c r="G31" s="122" t="s">
        <v>27</v>
      </c>
      <c r="H31" s="123" t="s">
        <v>176</v>
      </c>
      <c r="I31" s="107"/>
      <c r="J31" s="108"/>
      <c r="K31" s="108"/>
      <c r="L31" s="108"/>
      <c r="M31" s="108"/>
      <c r="N31" s="108"/>
      <c r="O31" s="108"/>
      <c r="P31" s="108"/>
      <c r="Q31" s="108"/>
      <c r="R31" s="108"/>
      <c r="S31" s="108"/>
      <c r="T31" s="108"/>
      <c r="U31" s="108"/>
      <c r="V31" s="108"/>
      <c r="W31" s="108"/>
      <c r="X31" s="108"/>
      <c r="Y31" s="108"/>
      <c r="Z31" s="108"/>
    </row>
    <row r="32" ht="18.0" customHeight="1">
      <c r="A32" s="124" t="s">
        <v>177</v>
      </c>
      <c r="B32" s="125" t="s">
        <v>23</v>
      </c>
      <c r="C32" s="126" t="s">
        <v>178</v>
      </c>
      <c r="D32" s="127" t="s">
        <v>68</v>
      </c>
      <c r="E32" s="115" t="s">
        <v>74</v>
      </c>
      <c r="F32" s="125" t="s">
        <v>37</v>
      </c>
      <c r="G32" s="122" t="s">
        <v>27</v>
      </c>
      <c r="H32" s="123" t="s">
        <v>179</v>
      </c>
      <c r="I32" s="107"/>
      <c r="J32" s="108"/>
      <c r="K32" s="108"/>
      <c r="L32" s="108"/>
      <c r="M32" s="108"/>
      <c r="N32" s="108"/>
      <c r="O32" s="108"/>
      <c r="P32" s="108"/>
      <c r="Q32" s="108"/>
      <c r="R32" s="108"/>
      <c r="S32" s="108"/>
      <c r="T32" s="108"/>
      <c r="U32" s="108"/>
      <c r="V32" s="108"/>
      <c r="W32" s="108"/>
      <c r="X32" s="108"/>
      <c r="Y32" s="108"/>
      <c r="Z32" s="108"/>
    </row>
    <row r="33" ht="18.0" customHeight="1">
      <c r="A33" s="118" t="s">
        <v>180</v>
      </c>
      <c r="B33" s="119" t="s">
        <v>23</v>
      </c>
      <c r="C33" s="120" t="s">
        <v>181</v>
      </c>
      <c r="D33" s="121" t="s">
        <v>68</v>
      </c>
      <c r="E33" s="115" t="s">
        <v>74</v>
      </c>
      <c r="F33" s="119" t="s">
        <v>37</v>
      </c>
      <c r="G33" s="122" t="s">
        <v>27</v>
      </c>
      <c r="H33" s="123" t="s">
        <v>182</v>
      </c>
      <c r="I33" s="107"/>
      <c r="J33" s="108"/>
      <c r="K33" s="108"/>
      <c r="L33" s="108"/>
      <c r="M33" s="108"/>
      <c r="N33" s="108"/>
      <c r="O33" s="108"/>
      <c r="P33" s="108"/>
      <c r="Q33" s="108"/>
      <c r="R33" s="108"/>
      <c r="S33" s="108"/>
      <c r="T33" s="108"/>
      <c r="U33" s="108"/>
      <c r="V33" s="108"/>
      <c r="W33" s="108"/>
      <c r="X33" s="108"/>
      <c r="Y33" s="108"/>
      <c r="Z33" s="108"/>
    </row>
    <row r="34" ht="18.0" customHeight="1">
      <c r="A34" s="124" t="s">
        <v>183</v>
      </c>
      <c r="B34" s="125" t="s">
        <v>23</v>
      </c>
      <c r="C34" s="126" t="s">
        <v>184</v>
      </c>
      <c r="D34" s="127" t="s">
        <v>68</v>
      </c>
      <c r="E34" s="115" t="s">
        <v>74</v>
      </c>
      <c r="F34" s="125" t="s">
        <v>37</v>
      </c>
      <c r="G34" s="122" t="s">
        <v>27</v>
      </c>
      <c r="H34" s="123" t="s">
        <v>185</v>
      </c>
      <c r="I34" s="107"/>
      <c r="J34" s="108"/>
      <c r="K34" s="108"/>
      <c r="L34" s="108"/>
      <c r="M34" s="108"/>
      <c r="N34" s="108"/>
      <c r="O34" s="108"/>
      <c r="P34" s="108"/>
      <c r="Q34" s="108"/>
      <c r="R34" s="108"/>
      <c r="S34" s="108"/>
      <c r="T34" s="108"/>
      <c r="U34" s="108"/>
      <c r="V34" s="108"/>
      <c r="W34" s="108"/>
      <c r="X34" s="108"/>
      <c r="Y34" s="108"/>
      <c r="Z34" s="108"/>
    </row>
    <row r="35" ht="18.0" customHeight="1">
      <c r="A35" s="118" t="s">
        <v>186</v>
      </c>
      <c r="B35" s="119" t="s">
        <v>23</v>
      </c>
      <c r="C35" s="120" t="s">
        <v>187</v>
      </c>
      <c r="D35" s="121" t="s">
        <v>68</v>
      </c>
      <c r="E35" s="115" t="s">
        <v>74</v>
      </c>
      <c r="F35" s="119" t="s">
        <v>37</v>
      </c>
      <c r="G35" s="122" t="s">
        <v>27</v>
      </c>
      <c r="H35" s="123" t="s">
        <v>188</v>
      </c>
      <c r="I35" s="107"/>
      <c r="J35" s="108"/>
      <c r="K35" s="108"/>
      <c r="L35" s="108"/>
      <c r="M35" s="108"/>
      <c r="N35" s="108"/>
      <c r="O35" s="108"/>
      <c r="P35" s="108"/>
      <c r="Q35" s="108"/>
      <c r="R35" s="108"/>
      <c r="S35" s="108"/>
      <c r="T35" s="108"/>
      <c r="U35" s="108"/>
      <c r="V35" s="108"/>
      <c r="W35" s="108"/>
      <c r="X35" s="108"/>
      <c r="Y35" s="108"/>
      <c r="Z35" s="108"/>
    </row>
    <row r="36" ht="18.0" customHeight="1">
      <c r="A36" s="124" t="s">
        <v>189</v>
      </c>
      <c r="B36" s="125" t="s">
        <v>23</v>
      </c>
      <c r="C36" s="126" t="s">
        <v>190</v>
      </c>
      <c r="D36" s="127" t="s">
        <v>68</v>
      </c>
      <c r="E36" s="115" t="s">
        <v>74</v>
      </c>
      <c r="F36" s="125" t="s">
        <v>37</v>
      </c>
      <c r="G36" s="122" t="s">
        <v>27</v>
      </c>
      <c r="H36" s="123" t="s">
        <v>192</v>
      </c>
      <c r="I36" s="107"/>
      <c r="J36" s="108"/>
      <c r="K36" s="108"/>
      <c r="L36" s="108"/>
      <c r="M36" s="108"/>
      <c r="N36" s="108"/>
      <c r="O36" s="108"/>
      <c r="P36" s="108"/>
      <c r="Q36" s="108"/>
      <c r="R36" s="108"/>
      <c r="S36" s="108"/>
      <c r="T36" s="108"/>
      <c r="U36" s="108"/>
      <c r="V36" s="108"/>
      <c r="W36" s="108"/>
      <c r="X36" s="108"/>
      <c r="Y36" s="108"/>
      <c r="Z36" s="108"/>
    </row>
    <row r="37" ht="18.0" customHeight="1">
      <c r="A37" s="118" t="s">
        <v>193</v>
      </c>
      <c r="B37" s="119" t="s">
        <v>23</v>
      </c>
      <c r="C37" s="120" t="s">
        <v>195</v>
      </c>
      <c r="D37" s="121" t="s">
        <v>68</v>
      </c>
      <c r="E37" s="115" t="s">
        <v>74</v>
      </c>
      <c r="F37" s="119" t="s">
        <v>37</v>
      </c>
      <c r="G37" s="122" t="s">
        <v>27</v>
      </c>
      <c r="H37" s="123" t="s">
        <v>197</v>
      </c>
      <c r="I37" s="107"/>
      <c r="J37" s="108"/>
      <c r="K37" s="108"/>
      <c r="L37" s="108"/>
      <c r="M37" s="108"/>
      <c r="N37" s="108"/>
      <c r="O37" s="108"/>
      <c r="P37" s="108"/>
      <c r="Q37" s="108"/>
      <c r="R37" s="108"/>
      <c r="S37" s="108"/>
      <c r="T37" s="108"/>
      <c r="U37" s="108"/>
      <c r="V37" s="108"/>
      <c r="W37" s="108"/>
      <c r="X37" s="108"/>
      <c r="Y37" s="108"/>
      <c r="Z37" s="108"/>
    </row>
    <row r="38" ht="18.0" customHeight="1">
      <c r="A38" s="124" t="s">
        <v>199</v>
      </c>
      <c r="B38" s="125" t="s">
        <v>23</v>
      </c>
      <c r="C38" s="126" t="s">
        <v>200</v>
      </c>
      <c r="D38" s="127" t="s">
        <v>68</v>
      </c>
      <c r="E38" s="115" t="s">
        <v>74</v>
      </c>
      <c r="F38" s="125" t="s">
        <v>37</v>
      </c>
      <c r="G38" s="122" t="s">
        <v>27</v>
      </c>
      <c r="H38" s="123"/>
      <c r="I38" s="107"/>
      <c r="J38" s="108"/>
      <c r="K38" s="108"/>
      <c r="L38" s="108"/>
      <c r="M38" s="108"/>
      <c r="N38" s="108"/>
      <c r="O38" s="108"/>
      <c r="P38" s="108"/>
      <c r="Q38" s="108"/>
      <c r="R38" s="108"/>
      <c r="S38" s="108"/>
      <c r="T38" s="108"/>
      <c r="U38" s="108"/>
      <c r="V38" s="108"/>
      <c r="W38" s="108"/>
      <c r="X38" s="108"/>
      <c r="Y38" s="108"/>
      <c r="Z38" s="108"/>
    </row>
    <row r="39" ht="18.0" customHeight="1">
      <c r="A39" s="118" t="s">
        <v>201</v>
      </c>
      <c r="B39" s="119" t="s">
        <v>23</v>
      </c>
      <c r="C39" s="120" t="s">
        <v>202</v>
      </c>
      <c r="D39" s="121" t="s">
        <v>68</v>
      </c>
      <c r="E39" s="115" t="s">
        <v>74</v>
      </c>
      <c r="F39" s="119" t="s">
        <v>37</v>
      </c>
      <c r="G39" s="122" t="s">
        <v>27</v>
      </c>
      <c r="H39" s="123"/>
      <c r="I39" s="107"/>
      <c r="J39" s="108"/>
      <c r="K39" s="108"/>
      <c r="L39" s="108"/>
      <c r="M39" s="108"/>
      <c r="N39" s="108"/>
      <c r="O39" s="108"/>
      <c r="P39" s="108"/>
      <c r="Q39" s="108"/>
      <c r="R39" s="108"/>
      <c r="S39" s="108"/>
      <c r="T39" s="108"/>
      <c r="U39" s="108"/>
      <c r="V39" s="108"/>
      <c r="W39" s="108"/>
      <c r="X39" s="108"/>
      <c r="Y39" s="108"/>
      <c r="Z39" s="108"/>
    </row>
    <row r="40" ht="18.0" customHeight="1">
      <c r="A40" s="124" t="s">
        <v>205</v>
      </c>
      <c r="B40" s="125" t="s">
        <v>23</v>
      </c>
      <c r="C40" s="126" t="s">
        <v>206</v>
      </c>
      <c r="D40" s="127" t="s">
        <v>68</v>
      </c>
      <c r="E40" s="115" t="s">
        <v>74</v>
      </c>
      <c r="F40" s="125" t="s">
        <v>37</v>
      </c>
      <c r="G40" s="122" t="s">
        <v>27</v>
      </c>
      <c r="H40" s="123" t="s">
        <v>207</v>
      </c>
      <c r="I40" s="107"/>
      <c r="J40" s="108"/>
      <c r="K40" s="108"/>
      <c r="L40" s="108"/>
      <c r="M40" s="108"/>
      <c r="N40" s="108"/>
      <c r="O40" s="108"/>
      <c r="P40" s="108"/>
      <c r="Q40" s="108"/>
      <c r="R40" s="108"/>
      <c r="S40" s="108"/>
      <c r="T40" s="108"/>
      <c r="U40" s="108"/>
      <c r="V40" s="108"/>
      <c r="W40" s="108"/>
      <c r="X40" s="108"/>
      <c r="Y40" s="108"/>
      <c r="Z40" s="108"/>
    </row>
    <row r="41" ht="18.0" customHeight="1">
      <c r="A41" s="118" t="s">
        <v>211</v>
      </c>
      <c r="B41" s="119" t="s">
        <v>23</v>
      </c>
      <c r="C41" s="120" t="s">
        <v>212</v>
      </c>
      <c r="D41" s="121" t="s">
        <v>68</v>
      </c>
      <c r="E41" s="115" t="s">
        <v>74</v>
      </c>
      <c r="F41" s="119" t="s">
        <v>37</v>
      </c>
      <c r="G41" s="122" t="s">
        <v>27</v>
      </c>
      <c r="H41" s="123" t="s">
        <v>213</v>
      </c>
      <c r="I41" s="107"/>
      <c r="J41" s="108"/>
      <c r="K41" s="108"/>
      <c r="L41" s="108"/>
      <c r="M41" s="108"/>
      <c r="N41" s="108"/>
      <c r="O41" s="108"/>
      <c r="P41" s="108"/>
      <c r="Q41" s="108"/>
      <c r="R41" s="108"/>
      <c r="S41" s="108"/>
      <c r="T41" s="108"/>
      <c r="U41" s="108"/>
      <c r="V41" s="108"/>
      <c r="W41" s="108"/>
      <c r="X41" s="108"/>
      <c r="Y41" s="108"/>
      <c r="Z41" s="108"/>
    </row>
    <row r="42" ht="18.0" customHeight="1">
      <c r="A42" s="124" t="s">
        <v>215</v>
      </c>
      <c r="B42" s="125" t="s">
        <v>23</v>
      </c>
      <c r="C42" s="126" t="s">
        <v>217</v>
      </c>
      <c r="D42" s="127" t="s">
        <v>68</v>
      </c>
      <c r="E42" s="115" t="s">
        <v>74</v>
      </c>
      <c r="F42" s="125" t="s">
        <v>37</v>
      </c>
      <c r="G42" s="122" t="s">
        <v>27</v>
      </c>
      <c r="H42" s="123" t="s">
        <v>219</v>
      </c>
      <c r="I42" s="107"/>
      <c r="J42" s="108"/>
      <c r="K42" s="108"/>
      <c r="L42" s="108"/>
      <c r="M42" s="108"/>
      <c r="N42" s="108"/>
      <c r="O42" s="108"/>
      <c r="P42" s="108"/>
      <c r="Q42" s="108"/>
      <c r="R42" s="108"/>
      <c r="S42" s="108"/>
      <c r="T42" s="108"/>
      <c r="U42" s="108"/>
      <c r="V42" s="108"/>
      <c r="W42" s="108"/>
      <c r="X42" s="108"/>
      <c r="Y42" s="108"/>
      <c r="Z42" s="108"/>
    </row>
    <row r="43" ht="18.0" customHeight="1">
      <c r="A43" s="118" t="s">
        <v>220</v>
      </c>
      <c r="B43" s="119" t="s">
        <v>23</v>
      </c>
      <c r="C43" s="120" t="s">
        <v>221</v>
      </c>
      <c r="D43" s="121" t="s">
        <v>68</v>
      </c>
      <c r="E43" s="115" t="s">
        <v>74</v>
      </c>
      <c r="F43" s="119" t="s">
        <v>37</v>
      </c>
      <c r="G43" s="122" t="s">
        <v>27</v>
      </c>
      <c r="H43" s="123" t="s">
        <v>223</v>
      </c>
      <c r="I43" s="107"/>
      <c r="J43" s="108"/>
      <c r="K43" s="108"/>
      <c r="L43" s="108"/>
      <c r="M43" s="108"/>
      <c r="N43" s="108"/>
      <c r="O43" s="108"/>
      <c r="P43" s="108"/>
      <c r="Q43" s="108"/>
      <c r="R43" s="108"/>
      <c r="S43" s="108"/>
      <c r="T43" s="108"/>
      <c r="U43" s="108"/>
      <c r="V43" s="108"/>
      <c r="W43" s="108"/>
      <c r="X43" s="108"/>
      <c r="Y43" s="108"/>
      <c r="Z43" s="108"/>
    </row>
    <row r="44" ht="18.0" customHeight="1">
      <c r="A44" s="124" t="s">
        <v>224</v>
      </c>
      <c r="B44" s="125" t="s">
        <v>23</v>
      </c>
      <c r="C44" s="126" t="s">
        <v>226</v>
      </c>
      <c r="D44" s="127" t="s">
        <v>68</v>
      </c>
      <c r="E44" s="115" t="s">
        <v>74</v>
      </c>
      <c r="F44" s="125" t="s">
        <v>37</v>
      </c>
      <c r="G44" s="122" t="s">
        <v>27</v>
      </c>
      <c r="H44" s="123" t="s">
        <v>227</v>
      </c>
      <c r="I44" s="107"/>
      <c r="J44" s="108"/>
      <c r="K44" s="108"/>
      <c r="L44" s="108"/>
      <c r="M44" s="108"/>
      <c r="N44" s="108"/>
      <c r="O44" s="108"/>
      <c r="P44" s="108"/>
      <c r="Q44" s="108"/>
      <c r="R44" s="108"/>
      <c r="S44" s="108"/>
      <c r="T44" s="108"/>
      <c r="U44" s="108"/>
      <c r="V44" s="108"/>
      <c r="W44" s="108"/>
      <c r="X44" s="108"/>
      <c r="Y44" s="108"/>
      <c r="Z44" s="108"/>
    </row>
    <row r="45" ht="18.0" customHeight="1">
      <c r="A45" s="118" t="s">
        <v>228</v>
      </c>
      <c r="B45" s="119" t="s">
        <v>23</v>
      </c>
      <c r="C45" s="120" t="s">
        <v>229</v>
      </c>
      <c r="D45" s="121" t="s">
        <v>68</v>
      </c>
      <c r="E45" s="115" t="s">
        <v>74</v>
      </c>
      <c r="F45" s="119" t="s">
        <v>37</v>
      </c>
      <c r="G45" s="122" t="s">
        <v>27</v>
      </c>
      <c r="H45" s="123" t="s">
        <v>230</v>
      </c>
      <c r="I45" s="107"/>
      <c r="J45" s="108"/>
      <c r="K45" s="108"/>
      <c r="L45" s="108"/>
      <c r="M45" s="108"/>
      <c r="N45" s="108"/>
      <c r="O45" s="108"/>
      <c r="P45" s="108"/>
      <c r="Q45" s="108"/>
      <c r="R45" s="108"/>
      <c r="S45" s="108"/>
      <c r="T45" s="108"/>
      <c r="U45" s="108"/>
      <c r="V45" s="108"/>
      <c r="W45" s="108"/>
      <c r="X45" s="108"/>
      <c r="Y45" s="108"/>
      <c r="Z45" s="108"/>
    </row>
    <row r="46" ht="18.0" customHeight="1">
      <c r="A46" s="124" t="s">
        <v>71</v>
      </c>
      <c r="B46" s="125" t="s">
        <v>23</v>
      </c>
      <c r="C46" s="126" t="s">
        <v>72</v>
      </c>
      <c r="D46" s="127" t="s">
        <v>68</v>
      </c>
      <c r="E46" s="115" t="s">
        <v>74</v>
      </c>
      <c r="F46" s="125" t="s">
        <v>37</v>
      </c>
      <c r="G46" s="122" t="s">
        <v>27</v>
      </c>
      <c r="H46" s="123" t="s">
        <v>318</v>
      </c>
      <c r="I46" s="107"/>
      <c r="J46" s="108"/>
      <c r="K46" s="108"/>
      <c r="L46" s="108"/>
      <c r="M46" s="108"/>
      <c r="N46" s="108"/>
      <c r="O46" s="108"/>
      <c r="P46" s="108"/>
      <c r="Q46" s="108"/>
      <c r="R46" s="108"/>
      <c r="S46" s="108"/>
      <c r="T46" s="108"/>
      <c r="U46" s="108"/>
      <c r="V46" s="108"/>
      <c r="W46" s="108"/>
      <c r="X46" s="108"/>
      <c r="Y46" s="108"/>
      <c r="Z46" s="108"/>
    </row>
    <row r="47" ht="18.0" customHeight="1">
      <c r="A47" s="118" t="s">
        <v>83</v>
      </c>
      <c r="B47" s="119" t="s">
        <v>23</v>
      </c>
      <c r="C47" s="120" t="s">
        <v>84</v>
      </c>
      <c r="D47" s="121" t="s">
        <v>68</v>
      </c>
      <c r="E47" s="115" t="s">
        <v>74</v>
      </c>
      <c r="F47" s="119" t="s">
        <v>37</v>
      </c>
      <c r="G47" s="122" t="s">
        <v>27</v>
      </c>
      <c r="H47" s="123" t="s">
        <v>321</v>
      </c>
      <c r="I47" s="107"/>
      <c r="J47" s="108"/>
      <c r="K47" s="108"/>
      <c r="L47" s="108"/>
      <c r="M47" s="108"/>
      <c r="N47" s="108"/>
      <c r="O47" s="108"/>
      <c r="P47" s="108"/>
      <c r="Q47" s="108"/>
      <c r="R47" s="108"/>
      <c r="S47" s="108"/>
      <c r="T47" s="108"/>
      <c r="U47" s="108"/>
      <c r="V47" s="108"/>
      <c r="W47" s="108"/>
      <c r="X47" s="108"/>
      <c r="Y47" s="108"/>
      <c r="Z47" s="108"/>
    </row>
    <row r="48" ht="18.0" customHeight="1">
      <c r="A48" s="124" t="s">
        <v>94</v>
      </c>
      <c r="B48" s="125" t="s">
        <v>23</v>
      </c>
      <c r="C48" s="126" t="s">
        <v>95</v>
      </c>
      <c r="D48" s="127" t="s">
        <v>68</v>
      </c>
      <c r="E48" s="115" t="s">
        <v>74</v>
      </c>
      <c r="F48" s="125" t="s">
        <v>37</v>
      </c>
      <c r="G48" s="122" t="s">
        <v>27</v>
      </c>
      <c r="H48" s="123" t="s">
        <v>325</v>
      </c>
      <c r="I48" s="107"/>
      <c r="J48" s="108"/>
      <c r="K48" s="108"/>
      <c r="L48" s="108"/>
      <c r="M48" s="108"/>
      <c r="N48" s="108"/>
      <c r="O48" s="108"/>
      <c r="P48" s="108"/>
      <c r="Q48" s="108"/>
      <c r="R48" s="108"/>
      <c r="S48" s="108"/>
      <c r="T48" s="108"/>
      <c r="U48" s="108"/>
      <c r="V48" s="108"/>
      <c r="W48" s="108"/>
      <c r="X48" s="108"/>
      <c r="Y48" s="108"/>
      <c r="Z48" s="108"/>
    </row>
    <row r="49" ht="18.0" customHeight="1">
      <c r="A49" s="118" t="s">
        <v>99</v>
      </c>
      <c r="B49" s="119" t="s">
        <v>23</v>
      </c>
      <c r="C49" s="120" t="s">
        <v>100</v>
      </c>
      <c r="D49" s="121" t="s">
        <v>68</v>
      </c>
      <c r="E49" s="115" t="s">
        <v>74</v>
      </c>
      <c r="F49" s="119" t="s">
        <v>37</v>
      </c>
      <c r="G49" s="122" t="s">
        <v>27</v>
      </c>
      <c r="H49" s="123" t="s">
        <v>326</v>
      </c>
      <c r="I49" s="107"/>
      <c r="J49" s="108"/>
      <c r="K49" s="108"/>
      <c r="L49" s="108"/>
      <c r="M49" s="108"/>
      <c r="N49" s="108"/>
      <c r="O49" s="108"/>
      <c r="P49" s="108"/>
      <c r="Q49" s="108"/>
      <c r="R49" s="108"/>
      <c r="S49" s="108"/>
      <c r="T49" s="108"/>
      <c r="U49" s="108"/>
      <c r="V49" s="108"/>
      <c r="W49" s="108"/>
      <c r="X49" s="108"/>
      <c r="Y49" s="108"/>
      <c r="Z49" s="108"/>
    </row>
    <row r="50" ht="18.0" customHeight="1">
      <c r="A50" s="124" t="s">
        <v>104</v>
      </c>
      <c r="B50" s="125" t="s">
        <v>23</v>
      </c>
      <c r="C50" s="126" t="s">
        <v>105</v>
      </c>
      <c r="D50" s="127" t="s">
        <v>68</v>
      </c>
      <c r="E50" s="115" t="s">
        <v>74</v>
      </c>
      <c r="F50" s="125" t="s">
        <v>37</v>
      </c>
      <c r="G50" s="122" t="s">
        <v>27</v>
      </c>
      <c r="H50" s="123" t="s">
        <v>328</v>
      </c>
      <c r="I50" s="107"/>
      <c r="J50" s="108"/>
      <c r="K50" s="108"/>
      <c r="L50" s="108"/>
      <c r="M50" s="108"/>
      <c r="N50" s="108"/>
      <c r="O50" s="108"/>
      <c r="P50" s="108"/>
      <c r="Q50" s="108"/>
      <c r="R50" s="108"/>
      <c r="S50" s="108"/>
      <c r="T50" s="108"/>
      <c r="U50" s="108"/>
      <c r="V50" s="108"/>
      <c r="W50" s="108"/>
      <c r="X50" s="108"/>
      <c r="Y50" s="108"/>
      <c r="Z50" s="108"/>
    </row>
    <row r="51" ht="18.0" customHeight="1">
      <c r="A51" s="118" t="s">
        <v>117</v>
      </c>
      <c r="B51" s="119" t="s">
        <v>23</v>
      </c>
      <c r="C51" s="120" t="s">
        <v>119</v>
      </c>
      <c r="D51" s="121" t="s">
        <v>68</v>
      </c>
      <c r="E51" s="115" t="s">
        <v>74</v>
      </c>
      <c r="F51" s="119" t="s">
        <v>37</v>
      </c>
      <c r="G51" s="122" t="s">
        <v>27</v>
      </c>
      <c r="H51" s="123" t="s">
        <v>330</v>
      </c>
      <c r="I51" s="107"/>
      <c r="J51" s="108"/>
      <c r="K51" s="108"/>
      <c r="L51" s="108"/>
      <c r="M51" s="108"/>
      <c r="N51" s="108"/>
      <c r="O51" s="108"/>
      <c r="P51" s="108"/>
      <c r="Q51" s="108"/>
      <c r="R51" s="108"/>
      <c r="S51" s="108"/>
      <c r="T51" s="108"/>
      <c r="U51" s="108"/>
      <c r="V51" s="108"/>
      <c r="W51" s="108"/>
      <c r="X51" s="108"/>
      <c r="Y51" s="108"/>
      <c r="Z51" s="108"/>
    </row>
    <row r="52" ht="18.0" customHeight="1">
      <c r="A52" s="124" t="s">
        <v>132</v>
      </c>
      <c r="B52" s="125" t="s">
        <v>23</v>
      </c>
      <c r="C52" s="126" t="s">
        <v>134</v>
      </c>
      <c r="D52" s="127" t="s">
        <v>68</v>
      </c>
      <c r="E52" s="115" t="s">
        <v>74</v>
      </c>
      <c r="F52" s="125" t="s">
        <v>37</v>
      </c>
      <c r="G52" s="122" t="s">
        <v>27</v>
      </c>
      <c r="H52" s="123"/>
      <c r="I52" s="107"/>
      <c r="J52" s="108"/>
      <c r="K52" s="108"/>
      <c r="L52" s="108"/>
      <c r="M52" s="108"/>
      <c r="N52" s="108"/>
      <c r="O52" s="108"/>
      <c r="P52" s="108"/>
      <c r="Q52" s="108"/>
      <c r="R52" s="108"/>
      <c r="S52" s="108"/>
      <c r="T52" s="108"/>
      <c r="U52" s="108"/>
      <c r="V52" s="108"/>
      <c r="W52" s="108"/>
      <c r="X52" s="108"/>
      <c r="Y52" s="108"/>
      <c r="Z52" s="108"/>
    </row>
    <row r="53" ht="18.0" customHeight="1">
      <c r="A53" s="118" t="s">
        <v>333</v>
      </c>
      <c r="B53" s="119" t="s">
        <v>23</v>
      </c>
      <c r="C53" s="120" t="s">
        <v>335</v>
      </c>
      <c r="D53" s="121" t="s">
        <v>68</v>
      </c>
      <c r="E53" s="115" t="s">
        <v>74</v>
      </c>
      <c r="F53" s="119" t="s">
        <v>37</v>
      </c>
      <c r="G53" s="122" t="s">
        <v>27</v>
      </c>
      <c r="H53" s="123" t="s">
        <v>336</v>
      </c>
      <c r="I53" s="107"/>
      <c r="J53" s="108"/>
      <c r="K53" s="108"/>
      <c r="L53" s="108"/>
      <c r="M53" s="108"/>
      <c r="N53" s="108"/>
      <c r="O53" s="108"/>
      <c r="P53" s="108"/>
      <c r="Q53" s="108"/>
      <c r="R53" s="108"/>
      <c r="S53" s="108"/>
      <c r="T53" s="108"/>
      <c r="U53" s="108"/>
      <c r="V53" s="108"/>
      <c r="W53" s="108"/>
      <c r="X53" s="108"/>
      <c r="Y53" s="108"/>
      <c r="Z53" s="108"/>
    </row>
    <row r="54" ht="18.0" customHeight="1">
      <c r="A54" s="124" t="s">
        <v>338</v>
      </c>
      <c r="B54" s="125" t="s">
        <v>23</v>
      </c>
      <c r="C54" s="126" t="s">
        <v>339</v>
      </c>
      <c r="D54" s="127" t="s">
        <v>68</v>
      </c>
      <c r="E54" s="115" t="s">
        <v>74</v>
      </c>
      <c r="F54" s="125" t="s">
        <v>37</v>
      </c>
      <c r="G54" s="122" t="s">
        <v>27</v>
      </c>
      <c r="H54" s="123"/>
      <c r="I54" s="107"/>
      <c r="J54" s="108"/>
      <c r="K54" s="108"/>
      <c r="L54" s="108"/>
      <c r="M54" s="108"/>
      <c r="N54" s="108"/>
      <c r="O54" s="108"/>
      <c r="P54" s="108"/>
      <c r="Q54" s="108"/>
      <c r="R54" s="108"/>
      <c r="S54" s="108"/>
      <c r="T54" s="108"/>
      <c r="U54" s="108"/>
      <c r="V54" s="108"/>
      <c r="W54" s="108"/>
      <c r="X54" s="108"/>
      <c r="Y54" s="108"/>
      <c r="Z54" s="108"/>
    </row>
    <row r="55" ht="18.0" customHeight="1">
      <c r="A55" s="118" t="s">
        <v>340</v>
      </c>
      <c r="B55" s="119" t="s">
        <v>23</v>
      </c>
      <c r="C55" s="120" t="s">
        <v>341</v>
      </c>
      <c r="D55" s="121" t="s">
        <v>68</v>
      </c>
      <c r="E55" s="115" t="s">
        <v>74</v>
      </c>
      <c r="F55" s="119" t="s">
        <v>37</v>
      </c>
      <c r="G55" s="122" t="s">
        <v>27</v>
      </c>
      <c r="H55" s="123" t="s">
        <v>342</v>
      </c>
      <c r="I55" s="107"/>
      <c r="J55" s="108"/>
      <c r="K55" s="108"/>
      <c r="L55" s="108"/>
      <c r="M55" s="108"/>
      <c r="N55" s="108"/>
      <c r="O55" s="108"/>
      <c r="P55" s="108"/>
      <c r="Q55" s="108"/>
      <c r="R55" s="108"/>
      <c r="S55" s="108"/>
      <c r="T55" s="108"/>
      <c r="U55" s="108"/>
      <c r="V55" s="108"/>
      <c r="W55" s="108"/>
      <c r="X55" s="108"/>
      <c r="Y55" s="108"/>
      <c r="Z55" s="108"/>
    </row>
    <row r="56" ht="18.0" customHeight="1">
      <c r="A56" s="124" t="s">
        <v>344</v>
      </c>
      <c r="B56" s="125" t="s">
        <v>23</v>
      </c>
      <c r="C56" s="126" t="s">
        <v>346</v>
      </c>
      <c r="D56" s="127" t="s">
        <v>68</v>
      </c>
      <c r="E56" s="115" t="s">
        <v>74</v>
      </c>
      <c r="F56" s="125" t="s">
        <v>37</v>
      </c>
      <c r="G56" s="122" t="s">
        <v>27</v>
      </c>
      <c r="H56" s="123" t="s">
        <v>348</v>
      </c>
      <c r="I56" s="107"/>
      <c r="J56" s="108"/>
      <c r="K56" s="108"/>
      <c r="L56" s="108"/>
      <c r="M56" s="108"/>
      <c r="N56" s="108"/>
      <c r="O56" s="108"/>
      <c r="P56" s="108"/>
      <c r="Q56" s="108"/>
      <c r="R56" s="108"/>
      <c r="S56" s="108"/>
      <c r="T56" s="108"/>
      <c r="U56" s="108"/>
      <c r="V56" s="108"/>
      <c r="W56" s="108"/>
      <c r="X56" s="108"/>
      <c r="Y56" s="108"/>
      <c r="Z56" s="108"/>
    </row>
    <row r="57" ht="18.0" customHeight="1">
      <c r="A57" s="118" t="s">
        <v>351</v>
      </c>
      <c r="B57" s="119" t="s">
        <v>23</v>
      </c>
      <c r="C57" s="120" t="s">
        <v>352</v>
      </c>
      <c r="D57" s="121" t="s">
        <v>68</v>
      </c>
      <c r="E57" s="115" t="s">
        <v>74</v>
      </c>
      <c r="F57" s="119" t="s">
        <v>37</v>
      </c>
      <c r="G57" s="122" t="s">
        <v>27</v>
      </c>
      <c r="H57" s="123" t="s">
        <v>353</v>
      </c>
      <c r="I57" s="107"/>
      <c r="J57" s="108"/>
      <c r="K57" s="108"/>
      <c r="L57" s="108"/>
      <c r="M57" s="108"/>
      <c r="N57" s="108"/>
      <c r="O57" s="108"/>
      <c r="P57" s="108"/>
      <c r="Q57" s="108"/>
      <c r="R57" s="108"/>
      <c r="S57" s="108"/>
      <c r="T57" s="108"/>
      <c r="U57" s="108"/>
      <c r="V57" s="108"/>
      <c r="W57" s="108"/>
      <c r="X57" s="108"/>
      <c r="Y57" s="108"/>
      <c r="Z57" s="108"/>
    </row>
    <row r="58" ht="18.0" customHeight="1">
      <c r="A58" s="124" t="s">
        <v>354</v>
      </c>
      <c r="B58" s="125" t="s">
        <v>23</v>
      </c>
      <c r="C58" s="126" t="s">
        <v>355</v>
      </c>
      <c r="D58" s="127" t="s">
        <v>68</v>
      </c>
      <c r="E58" s="115" t="s">
        <v>74</v>
      </c>
      <c r="F58" s="125" t="s">
        <v>37</v>
      </c>
      <c r="G58" s="122" t="s">
        <v>27</v>
      </c>
      <c r="H58" s="123" t="s">
        <v>356</v>
      </c>
      <c r="I58" s="107"/>
      <c r="J58" s="108"/>
      <c r="K58" s="108"/>
      <c r="L58" s="108"/>
      <c r="M58" s="108"/>
      <c r="N58" s="108"/>
      <c r="O58" s="108"/>
      <c r="P58" s="108"/>
      <c r="Q58" s="108"/>
      <c r="R58" s="108"/>
      <c r="S58" s="108"/>
      <c r="T58" s="108"/>
      <c r="U58" s="108"/>
      <c r="V58" s="108"/>
      <c r="W58" s="108"/>
      <c r="X58" s="108"/>
      <c r="Y58" s="108"/>
      <c r="Z58" s="108"/>
    </row>
    <row r="59" ht="18.0" customHeight="1">
      <c r="A59" s="118" t="s">
        <v>360</v>
      </c>
      <c r="B59" s="119" t="s">
        <v>23</v>
      </c>
      <c r="C59" s="120" t="s">
        <v>361</v>
      </c>
      <c r="D59" s="121" t="s">
        <v>68</v>
      </c>
      <c r="E59" s="115" t="s">
        <v>74</v>
      </c>
      <c r="F59" s="119" t="s">
        <v>37</v>
      </c>
      <c r="G59" s="122" t="s">
        <v>27</v>
      </c>
      <c r="H59" s="123" t="s">
        <v>362</v>
      </c>
      <c r="I59" s="107"/>
      <c r="J59" s="108"/>
      <c r="K59" s="108"/>
      <c r="L59" s="108"/>
      <c r="M59" s="108"/>
      <c r="N59" s="108"/>
      <c r="O59" s="108"/>
      <c r="P59" s="108"/>
      <c r="Q59" s="108"/>
      <c r="R59" s="108"/>
      <c r="S59" s="108"/>
      <c r="T59" s="108"/>
      <c r="U59" s="108"/>
      <c r="V59" s="108"/>
      <c r="W59" s="108"/>
      <c r="X59" s="108"/>
      <c r="Y59" s="108"/>
      <c r="Z59" s="108"/>
    </row>
    <row r="60" ht="18.0" customHeight="1">
      <c r="A60" s="124" t="s">
        <v>363</v>
      </c>
      <c r="B60" s="125" t="s">
        <v>23</v>
      </c>
      <c r="C60" s="126" t="s">
        <v>364</v>
      </c>
      <c r="D60" s="127" t="s">
        <v>68</v>
      </c>
      <c r="E60" s="115" t="s">
        <v>74</v>
      </c>
      <c r="F60" s="125" t="s">
        <v>37</v>
      </c>
      <c r="G60" s="122" t="s">
        <v>27</v>
      </c>
      <c r="H60" s="123" t="s">
        <v>365</v>
      </c>
      <c r="I60" s="107"/>
      <c r="J60" s="108"/>
      <c r="K60" s="108"/>
      <c r="L60" s="108"/>
      <c r="M60" s="108"/>
      <c r="N60" s="108"/>
      <c r="O60" s="108"/>
      <c r="P60" s="108"/>
      <c r="Q60" s="108"/>
      <c r="R60" s="108"/>
      <c r="S60" s="108"/>
      <c r="T60" s="108"/>
      <c r="U60" s="108"/>
      <c r="V60" s="108"/>
      <c r="W60" s="108"/>
      <c r="X60" s="108"/>
      <c r="Y60" s="108"/>
      <c r="Z60" s="108"/>
    </row>
    <row r="61" ht="18.0" customHeight="1">
      <c r="A61" s="118" t="s">
        <v>366</v>
      </c>
      <c r="B61" s="119" t="s">
        <v>23</v>
      </c>
      <c r="C61" s="120" t="s">
        <v>368</v>
      </c>
      <c r="D61" s="121" t="s">
        <v>68</v>
      </c>
      <c r="E61" s="115" t="s">
        <v>74</v>
      </c>
      <c r="F61" s="119" t="s">
        <v>37</v>
      </c>
      <c r="G61" s="122" t="s">
        <v>27</v>
      </c>
      <c r="H61" s="123" t="s">
        <v>370</v>
      </c>
      <c r="I61" s="107"/>
      <c r="J61" s="108"/>
      <c r="K61" s="108"/>
      <c r="L61" s="108"/>
      <c r="M61" s="108"/>
      <c r="N61" s="108"/>
      <c r="O61" s="108"/>
      <c r="P61" s="108"/>
      <c r="Q61" s="108"/>
      <c r="R61" s="108"/>
      <c r="S61" s="108"/>
      <c r="T61" s="108"/>
      <c r="U61" s="108"/>
      <c r="V61" s="108"/>
      <c r="W61" s="108"/>
      <c r="X61" s="108"/>
      <c r="Y61" s="108"/>
      <c r="Z61" s="108"/>
    </row>
    <row r="62" ht="18.0" customHeight="1">
      <c r="A62" s="124" t="s">
        <v>371</v>
      </c>
      <c r="B62" s="125" t="s">
        <v>23</v>
      </c>
      <c r="C62" s="126" t="s">
        <v>372</v>
      </c>
      <c r="D62" s="127" t="s">
        <v>68</v>
      </c>
      <c r="E62" s="115" t="s">
        <v>74</v>
      </c>
      <c r="F62" s="125" t="s">
        <v>37</v>
      </c>
      <c r="G62" s="122" t="s">
        <v>27</v>
      </c>
      <c r="H62" s="123" t="s">
        <v>373</v>
      </c>
      <c r="I62" s="107"/>
      <c r="J62" s="108"/>
      <c r="K62" s="108"/>
      <c r="L62" s="108"/>
      <c r="M62" s="108"/>
      <c r="N62" s="108"/>
      <c r="O62" s="108"/>
      <c r="P62" s="108"/>
      <c r="Q62" s="108"/>
      <c r="R62" s="108"/>
      <c r="S62" s="108"/>
      <c r="T62" s="108"/>
      <c r="U62" s="108"/>
      <c r="V62" s="108"/>
      <c r="W62" s="108"/>
      <c r="X62" s="108"/>
      <c r="Y62" s="108"/>
      <c r="Z62" s="108"/>
    </row>
    <row r="63" ht="18.0" customHeight="1">
      <c r="A63" s="118" t="s">
        <v>374</v>
      </c>
      <c r="B63" s="119" t="s">
        <v>23</v>
      </c>
      <c r="C63" s="120" t="s">
        <v>376</v>
      </c>
      <c r="D63" s="121" t="s">
        <v>68</v>
      </c>
      <c r="E63" s="115" t="s">
        <v>74</v>
      </c>
      <c r="F63" s="119" t="s">
        <v>37</v>
      </c>
      <c r="G63" s="122" t="s">
        <v>27</v>
      </c>
      <c r="H63" s="123" t="s">
        <v>378</v>
      </c>
      <c r="I63" s="107"/>
      <c r="J63" s="108"/>
      <c r="K63" s="108"/>
      <c r="L63" s="108"/>
      <c r="M63" s="108"/>
      <c r="N63" s="108"/>
      <c r="O63" s="108"/>
      <c r="P63" s="108"/>
      <c r="Q63" s="108"/>
      <c r="R63" s="108"/>
      <c r="S63" s="108"/>
      <c r="T63" s="108"/>
      <c r="U63" s="108"/>
      <c r="V63" s="108"/>
      <c r="W63" s="108"/>
      <c r="X63" s="108"/>
      <c r="Y63" s="108"/>
      <c r="Z63" s="108"/>
    </row>
    <row r="64" ht="18.0" customHeight="1">
      <c r="A64" s="124" t="s">
        <v>381</v>
      </c>
      <c r="B64" s="125" t="s">
        <v>23</v>
      </c>
      <c r="C64" s="126" t="s">
        <v>382</v>
      </c>
      <c r="D64" s="127" t="s">
        <v>68</v>
      </c>
      <c r="E64" s="115" t="s">
        <v>74</v>
      </c>
      <c r="F64" s="125" t="s">
        <v>37</v>
      </c>
      <c r="G64" s="122" t="s">
        <v>27</v>
      </c>
      <c r="H64" s="123"/>
      <c r="I64" s="107"/>
      <c r="J64" s="108"/>
      <c r="K64" s="108"/>
      <c r="L64" s="108"/>
      <c r="M64" s="108"/>
      <c r="N64" s="108"/>
      <c r="O64" s="108"/>
      <c r="P64" s="108"/>
      <c r="Q64" s="108"/>
      <c r="R64" s="108"/>
      <c r="S64" s="108"/>
      <c r="T64" s="108"/>
      <c r="U64" s="108"/>
      <c r="V64" s="108"/>
      <c r="W64" s="108"/>
      <c r="X64" s="108"/>
      <c r="Y64" s="108"/>
      <c r="Z64" s="108"/>
    </row>
    <row r="65" ht="18.0" customHeight="1">
      <c r="A65" s="118" t="s">
        <v>383</v>
      </c>
      <c r="B65" s="119" t="s">
        <v>23</v>
      </c>
      <c r="C65" s="120" t="s">
        <v>384</v>
      </c>
      <c r="D65" s="121" t="s">
        <v>253</v>
      </c>
      <c r="E65" s="115" t="s">
        <v>74</v>
      </c>
      <c r="F65" s="119" t="s">
        <v>37</v>
      </c>
      <c r="G65" s="122" t="s">
        <v>27</v>
      </c>
      <c r="H65" s="123" t="s">
        <v>386</v>
      </c>
      <c r="I65" s="107"/>
      <c r="J65" s="108"/>
      <c r="K65" s="108"/>
      <c r="L65" s="108"/>
      <c r="M65" s="108"/>
      <c r="N65" s="108"/>
      <c r="O65" s="108"/>
      <c r="P65" s="108"/>
      <c r="Q65" s="108"/>
      <c r="R65" s="108"/>
      <c r="S65" s="108"/>
      <c r="T65" s="108"/>
      <c r="U65" s="108"/>
      <c r="V65" s="108"/>
      <c r="W65" s="108"/>
      <c r="X65" s="108"/>
      <c r="Y65" s="108"/>
      <c r="Z65" s="108"/>
    </row>
    <row r="66" ht="18.0" customHeight="1">
      <c r="A66" s="124" t="s">
        <v>388</v>
      </c>
      <c r="B66" s="125" t="s">
        <v>23</v>
      </c>
      <c r="C66" s="126" t="s">
        <v>389</v>
      </c>
      <c r="D66" s="127" t="s">
        <v>253</v>
      </c>
      <c r="E66" s="115" t="s">
        <v>74</v>
      </c>
      <c r="F66" s="125" t="s">
        <v>37</v>
      </c>
      <c r="G66" s="122" t="s">
        <v>27</v>
      </c>
      <c r="H66" s="123" t="s">
        <v>390</v>
      </c>
      <c r="I66" s="107"/>
      <c r="J66" s="108"/>
      <c r="K66" s="108"/>
      <c r="L66" s="108"/>
      <c r="M66" s="108"/>
      <c r="N66" s="108"/>
      <c r="O66" s="108"/>
      <c r="P66" s="108"/>
      <c r="Q66" s="108"/>
      <c r="R66" s="108"/>
      <c r="S66" s="108"/>
      <c r="T66" s="108"/>
      <c r="U66" s="108"/>
      <c r="V66" s="108"/>
      <c r="W66" s="108"/>
      <c r="X66" s="108"/>
      <c r="Y66" s="108"/>
      <c r="Z66" s="108"/>
    </row>
    <row r="67" ht="18.0" customHeight="1">
      <c r="A67" s="118" t="s">
        <v>391</v>
      </c>
      <c r="B67" s="119" t="s">
        <v>23</v>
      </c>
      <c r="C67" s="120" t="s">
        <v>392</v>
      </c>
      <c r="D67" s="121" t="s">
        <v>253</v>
      </c>
      <c r="E67" s="115" t="s">
        <v>74</v>
      </c>
      <c r="F67" s="119" t="s">
        <v>37</v>
      </c>
      <c r="G67" s="122" t="s">
        <v>27</v>
      </c>
      <c r="H67" s="123" t="s">
        <v>393</v>
      </c>
      <c r="I67" s="107"/>
      <c r="J67" s="108"/>
      <c r="K67" s="108"/>
      <c r="L67" s="108"/>
      <c r="M67" s="108"/>
      <c r="N67" s="108"/>
      <c r="O67" s="108"/>
      <c r="P67" s="108"/>
      <c r="Q67" s="108"/>
      <c r="R67" s="108"/>
      <c r="S67" s="108"/>
      <c r="T67" s="108"/>
      <c r="U67" s="108"/>
      <c r="V67" s="108"/>
      <c r="W67" s="108"/>
      <c r="X67" s="108"/>
      <c r="Y67" s="108"/>
      <c r="Z67" s="108"/>
    </row>
    <row r="68" ht="18.0" customHeight="1">
      <c r="A68" s="124" t="s">
        <v>394</v>
      </c>
      <c r="B68" s="125" t="s">
        <v>23</v>
      </c>
      <c r="C68" s="126" t="s">
        <v>396</v>
      </c>
      <c r="D68" s="127" t="s">
        <v>253</v>
      </c>
      <c r="E68" s="115" t="s">
        <v>74</v>
      </c>
      <c r="F68" s="125" t="s">
        <v>37</v>
      </c>
      <c r="G68" s="122" t="s">
        <v>27</v>
      </c>
      <c r="H68" s="123" t="s">
        <v>398</v>
      </c>
      <c r="I68" s="107"/>
      <c r="J68" s="108"/>
      <c r="K68" s="108"/>
      <c r="L68" s="108"/>
      <c r="M68" s="108"/>
      <c r="N68" s="108"/>
      <c r="O68" s="108"/>
      <c r="P68" s="108"/>
      <c r="Q68" s="108"/>
      <c r="R68" s="108"/>
      <c r="S68" s="108"/>
      <c r="T68" s="108"/>
      <c r="U68" s="108"/>
      <c r="V68" s="108"/>
      <c r="W68" s="108"/>
      <c r="X68" s="108"/>
      <c r="Y68" s="108"/>
      <c r="Z68" s="108"/>
    </row>
    <row r="69" ht="18.0" customHeight="1">
      <c r="A69" s="118" t="s">
        <v>399</v>
      </c>
      <c r="B69" s="119" t="s">
        <v>23</v>
      </c>
      <c r="C69" s="120" t="s">
        <v>400</v>
      </c>
      <c r="D69" s="121" t="s">
        <v>253</v>
      </c>
      <c r="E69" s="115" t="s">
        <v>74</v>
      </c>
      <c r="F69" s="119" t="s">
        <v>37</v>
      </c>
      <c r="G69" s="122" t="s">
        <v>27</v>
      </c>
      <c r="H69" s="123" t="s">
        <v>401</v>
      </c>
      <c r="I69" s="107"/>
      <c r="J69" s="108"/>
      <c r="K69" s="108"/>
      <c r="L69" s="108"/>
      <c r="M69" s="108"/>
      <c r="N69" s="108"/>
      <c r="O69" s="108"/>
      <c r="P69" s="108"/>
      <c r="Q69" s="108"/>
      <c r="R69" s="108"/>
      <c r="S69" s="108"/>
      <c r="T69" s="108"/>
      <c r="U69" s="108"/>
      <c r="V69" s="108"/>
      <c r="W69" s="108"/>
      <c r="X69" s="108"/>
      <c r="Y69" s="108"/>
      <c r="Z69" s="108"/>
    </row>
    <row r="70" ht="18.0" customHeight="1">
      <c r="A70" s="124" t="s">
        <v>402</v>
      </c>
      <c r="B70" s="125" t="s">
        <v>23</v>
      </c>
      <c r="C70" s="126" t="s">
        <v>403</v>
      </c>
      <c r="D70" s="127" t="s">
        <v>253</v>
      </c>
      <c r="E70" s="115" t="s">
        <v>74</v>
      </c>
      <c r="F70" s="125" t="s">
        <v>37</v>
      </c>
      <c r="G70" s="122" t="s">
        <v>27</v>
      </c>
      <c r="H70" s="123" t="s">
        <v>404</v>
      </c>
      <c r="I70" s="107"/>
      <c r="J70" s="108"/>
      <c r="K70" s="108"/>
      <c r="L70" s="108"/>
      <c r="M70" s="108"/>
      <c r="N70" s="108"/>
      <c r="O70" s="108"/>
      <c r="P70" s="108"/>
      <c r="Q70" s="108"/>
      <c r="R70" s="108"/>
      <c r="S70" s="108"/>
      <c r="T70" s="108"/>
      <c r="U70" s="108"/>
      <c r="V70" s="108"/>
      <c r="W70" s="108"/>
      <c r="X70" s="108"/>
      <c r="Y70" s="108"/>
      <c r="Z70" s="108"/>
    </row>
    <row r="71" ht="18.0" customHeight="1">
      <c r="A71" s="118" t="s">
        <v>405</v>
      </c>
      <c r="B71" s="119" t="s">
        <v>23</v>
      </c>
      <c r="C71" s="120" t="s">
        <v>407</v>
      </c>
      <c r="D71" s="121" t="s">
        <v>253</v>
      </c>
      <c r="E71" s="115" t="s">
        <v>74</v>
      </c>
      <c r="F71" s="119" t="s">
        <v>37</v>
      </c>
      <c r="G71" s="122" t="s">
        <v>27</v>
      </c>
      <c r="H71" s="123" t="s">
        <v>409</v>
      </c>
      <c r="I71" s="107"/>
      <c r="J71" s="108"/>
      <c r="K71" s="108"/>
      <c r="L71" s="108"/>
      <c r="M71" s="108"/>
      <c r="N71" s="108"/>
      <c r="O71" s="108"/>
      <c r="P71" s="108"/>
      <c r="Q71" s="108"/>
      <c r="R71" s="108"/>
      <c r="S71" s="108"/>
      <c r="T71" s="108"/>
      <c r="U71" s="108"/>
      <c r="V71" s="108"/>
      <c r="W71" s="108"/>
      <c r="X71" s="108"/>
      <c r="Y71" s="108"/>
      <c r="Z71" s="108"/>
    </row>
    <row r="72" ht="18.0" customHeight="1">
      <c r="A72" s="124" t="s">
        <v>411</v>
      </c>
      <c r="B72" s="125" t="s">
        <v>23</v>
      </c>
      <c r="C72" s="126" t="s">
        <v>412</v>
      </c>
      <c r="D72" s="127" t="s">
        <v>253</v>
      </c>
      <c r="E72" s="115" t="s">
        <v>74</v>
      </c>
      <c r="F72" s="125" t="s">
        <v>37</v>
      </c>
      <c r="G72" s="122" t="s">
        <v>27</v>
      </c>
      <c r="H72" s="123" t="s">
        <v>413</v>
      </c>
      <c r="I72" s="107"/>
      <c r="J72" s="108"/>
      <c r="K72" s="108"/>
      <c r="L72" s="108"/>
      <c r="M72" s="108"/>
      <c r="N72" s="108"/>
      <c r="O72" s="108"/>
      <c r="P72" s="108"/>
      <c r="Q72" s="108"/>
      <c r="R72" s="108"/>
      <c r="S72" s="108"/>
      <c r="T72" s="108"/>
      <c r="U72" s="108"/>
      <c r="V72" s="108"/>
      <c r="W72" s="108"/>
      <c r="X72" s="108"/>
      <c r="Y72" s="108"/>
      <c r="Z72" s="108"/>
    </row>
    <row r="73" ht="18.0" customHeight="1">
      <c r="A73" s="118" t="s">
        <v>415</v>
      </c>
      <c r="B73" s="119" t="s">
        <v>23</v>
      </c>
      <c r="C73" s="120" t="s">
        <v>416</v>
      </c>
      <c r="D73" s="121" t="s">
        <v>253</v>
      </c>
      <c r="E73" s="115" t="s">
        <v>74</v>
      </c>
      <c r="F73" s="119" t="s">
        <v>37</v>
      </c>
      <c r="G73" s="122" t="s">
        <v>27</v>
      </c>
      <c r="H73" s="123" t="s">
        <v>417</v>
      </c>
      <c r="I73" s="107"/>
      <c r="J73" s="108"/>
      <c r="K73" s="108"/>
      <c r="L73" s="108"/>
      <c r="M73" s="108"/>
      <c r="N73" s="108"/>
      <c r="O73" s="108"/>
      <c r="P73" s="108"/>
      <c r="Q73" s="108"/>
      <c r="R73" s="108"/>
      <c r="S73" s="108"/>
      <c r="T73" s="108"/>
      <c r="U73" s="108"/>
      <c r="V73" s="108"/>
      <c r="W73" s="108"/>
      <c r="X73" s="108"/>
      <c r="Y73" s="108"/>
      <c r="Z73" s="108"/>
    </row>
    <row r="74" ht="18.0" customHeight="1">
      <c r="A74" s="124" t="s">
        <v>418</v>
      </c>
      <c r="B74" s="125" t="s">
        <v>23</v>
      </c>
      <c r="C74" s="126" t="s">
        <v>419</v>
      </c>
      <c r="D74" s="127" t="s">
        <v>253</v>
      </c>
      <c r="E74" s="115" t="s">
        <v>74</v>
      </c>
      <c r="F74" s="125" t="s">
        <v>37</v>
      </c>
      <c r="G74" s="122" t="s">
        <v>27</v>
      </c>
      <c r="H74" s="123" t="s">
        <v>422</v>
      </c>
      <c r="I74" s="107"/>
      <c r="J74" s="108"/>
      <c r="K74" s="108"/>
      <c r="L74" s="108"/>
      <c r="M74" s="108"/>
      <c r="N74" s="108"/>
      <c r="O74" s="108"/>
      <c r="P74" s="108"/>
      <c r="Q74" s="108"/>
      <c r="R74" s="108"/>
      <c r="S74" s="108"/>
      <c r="T74" s="108"/>
      <c r="U74" s="108"/>
      <c r="V74" s="108"/>
      <c r="W74" s="108"/>
      <c r="X74" s="108"/>
      <c r="Y74" s="108"/>
      <c r="Z74" s="108"/>
    </row>
    <row r="75" ht="18.0" customHeight="1">
      <c r="A75" s="118" t="s">
        <v>424</v>
      </c>
      <c r="B75" s="119" t="s">
        <v>23</v>
      </c>
      <c r="C75" s="120" t="s">
        <v>425</v>
      </c>
      <c r="D75" s="121" t="s">
        <v>253</v>
      </c>
      <c r="E75" s="115" t="s">
        <v>74</v>
      </c>
      <c r="F75" s="119" t="s">
        <v>37</v>
      </c>
      <c r="G75" s="122" t="s">
        <v>27</v>
      </c>
      <c r="H75" s="123" t="s">
        <v>426</v>
      </c>
      <c r="I75" s="107"/>
      <c r="J75" s="108"/>
      <c r="K75" s="108"/>
      <c r="L75" s="108"/>
      <c r="M75" s="108"/>
      <c r="N75" s="108"/>
      <c r="O75" s="108"/>
      <c r="P75" s="108"/>
      <c r="Q75" s="108"/>
      <c r="R75" s="108"/>
      <c r="S75" s="108"/>
      <c r="T75" s="108"/>
      <c r="U75" s="108"/>
      <c r="V75" s="108"/>
      <c r="W75" s="108"/>
      <c r="X75" s="108"/>
      <c r="Y75" s="108"/>
      <c r="Z75" s="108"/>
    </row>
    <row r="76" ht="18.0" customHeight="1">
      <c r="A76" s="124" t="s">
        <v>427</v>
      </c>
      <c r="B76" s="125" t="s">
        <v>23</v>
      </c>
      <c r="C76" s="126" t="s">
        <v>428</v>
      </c>
      <c r="D76" s="127" t="s">
        <v>253</v>
      </c>
      <c r="E76" s="115" t="s">
        <v>74</v>
      </c>
      <c r="F76" s="125" t="s">
        <v>37</v>
      </c>
      <c r="G76" s="122" t="s">
        <v>27</v>
      </c>
      <c r="H76" s="123" t="s">
        <v>429</v>
      </c>
      <c r="I76" s="107"/>
      <c r="J76" s="108"/>
      <c r="K76" s="108"/>
      <c r="L76" s="108"/>
      <c r="M76" s="108"/>
      <c r="N76" s="108"/>
      <c r="O76" s="108"/>
      <c r="P76" s="108"/>
      <c r="Q76" s="108"/>
      <c r="R76" s="108"/>
      <c r="S76" s="108"/>
      <c r="T76" s="108"/>
      <c r="U76" s="108"/>
      <c r="V76" s="108"/>
      <c r="W76" s="108"/>
      <c r="X76" s="108"/>
      <c r="Y76" s="108"/>
      <c r="Z76" s="108"/>
    </row>
    <row r="77" ht="18.0" customHeight="1">
      <c r="A77" s="118" t="s">
        <v>430</v>
      </c>
      <c r="B77" s="119" t="s">
        <v>23</v>
      </c>
      <c r="C77" s="120" t="s">
        <v>431</v>
      </c>
      <c r="D77" s="121" t="s">
        <v>253</v>
      </c>
      <c r="E77" s="115" t="s">
        <v>74</v>
      </c>
      <c r="F77" s="119" t="s">
        <v>37</v>
      </c>
      <c r="G77" s="122" t="s">
        <v>27</v>
      </c>
      <c r="H77" s="123" t="s">
        <v>432</v>
      </c>
      <c r="I77" s="107"/>
      <c r="J77" s="108"/>
      <c r="K77" s="108"/>
      <c r="L77" s="108"/>
      <c r="M77" s="108"/>
      <c r="N77" s="108"/>
      <c r="O77" s="108"/>
      <c r="P77" s="108"/>
      <c r="Q77" s="108"/>
      <c r="R77" s="108"/>
      <c r="S77" s="108"/>
      <c r="T77" s="108"/>
      <c r="U77" s="108"/>
      <c r="V77" s="108"/>
      <c r="W77" s="108"/>
      <c r="X77" s="108"/>
      <c r="Y77" s="108"/>
      <c r="Z77" s="108"/>
    </row>
    <row r="78" ht="18.0" customHeight="1">
      <c r="A78" s="124" t="s">
        <v>433</v>
      </c>
      <c r="B78" s="125" t="s">
        <v>23</v>
      </c>
      <c r="C78" s="126" t="s">
        <v>434</v>
      </c>
      <c r="D78" s="127" t="s">
        <v>253</v>
      </c>
      <c r="E78" s="115" t="s">
        <v>74</v>
      </c>
      <c r="F78" s="125" t="s">
        <v>37</v>
      </c>
      <c r="G78" s="122" t="s">
        <v>27</v>
      </c>
      <c r="H78" s="123" t="s">
        <v>435</v>
      </c>
      <c r="I78" s="107"/>
      <c r="J78" s="108"/>
      <c r="K78" s="108"/>
      <c r="L78" s="108"/>
      <c r="M78" s="108"/>
      <c r="N78" s="108"/>
      <c r="O78" s="108"/>
      <c r="P78" s="108"/>
      <c r="Q78" s="108"/>
      <c r="R78" s="108"/>
      <c r="S78" s="108"/>
      <c r="T78" s="108"/>
      <c r="U78" s="108"/>
      <c r="V78" s="108"/>
      <c r="W78" s="108"/>
      <c r="X78" s="108"/>
      <c r="Y78" s="108"/>
      <c r="Z78" s="108"/>
    </row>
    <row r="79" ht="18.0" customHeight="1">
      <c r="A79" s="118" t="s">
        <v>437</v>
      </c>
      <c r="B79" s="119" t="s">
        <v>23</v>
      </c>
      <c r="C79" s="120" t="s">
        <v>439</v>
      </c>
      <c r="D79" s="121" t="s">
        <v>253</v>
      </c>
      <c r="E79" s="115" t="s">
        <v>74</v>
      </c>
      <c r="F79" s="119" t="s">
        <v>37</v>
      </c>
      <c r="G79" s="122" t="s">
        <v>27</v>
      </c>
      <c r="H79" s="123" t="s">
        <v>441</v>
      </c>
      <c r="I79" s="107"/>
      <c r="J79" s="108"/>
      <c r="K79" s="108"/>
      <c r="L79" s="108"/>
      <c r="M79" s="108"/>
      <c r="N79" s="108"/>
      <c r="O79" s="108"/>
      <c r="P79" s="108"/>
      <c r="Q79" s="108"/>
      <c r="R79" s="108"/>
      <c r="S79" s="108"/>
      <c r="T79" s="108"/>
      <c r="U79" s="108"/>
      <c r="V79" s="108"/>
      <c r="W79" s="108"/>
      <c r="X79" s="108"/>
      <c r="Y79" s="108"/>
      <c r="Z79" s="108"/>
    </row>
    <row r="80" ht="18.0" customHeight="1">
      <c r="A80" s="124" t="s">
        <v>442</v>
      </c>
      <c r="B80" s="125" t="s">
        <v>23</v>
      </c>
      <c r="C80" s="126" t="s">
        <v>444</v>
      </c>
      <c r="D80" s="127" t="s">
        <v>253</v>
      </c>
      <c r="E80" s="115" t="s">
        <v>74</v>
      </c>
      <c r="F80" s="125" t="s">
        <v>37</v>
      </c>
      <c r="G80" s="122" t="s">
        <v>27</v>
      </c>
      <c r="H80" s="123" t="s">
        <v>445</v>
      </c>
      <c r="I80" s="107"/>
      <c r="J80" s="108"/>
      <c r="K80" s="108"/>
      <c r="L80" s="108"/>
      <c r="M80" s="108"/>
      <c r="N80" s="108"/>
      <c r="O80" s="108"/>
      <c r="P80" s="108"/>
      <c r="Q80" s="108"/>
      <c r="R80" s="108"/>
      <c r="S80" s="108"/>
      <c r="T80" s="108"/>
      <c r="U80" s="108"/>
      <c r="V80" s="108"/>
      <c r="W80" s="108"/>
      <c r="X80" s="108"/>
      <c r="Y80" s="108"/>
      <c r="Z80" s="108"/>
    </row>
    <row r="81" ht="18.0" customHeight="1">
      <c r="A81" s="118" t="s">
        <v>446</v>
      </c>
      <c r="B81" s="119" t="s">
        <v>23</v>
      </c>
      <c r="C81" s="120" t="s">
        <v>447</v>
      </c>
      <c r="D81" s="121" t="s">
        <v>253</v>
      </c>
      <c r="E81" s="115" t="s">
        <v>74</v>
      </c>
      <c r="F81" s="119" t="s">
        <v>37</v>
      </c>
      <c r="G81" s="122" t="s">
        <v>27</v>
      </c>
      <c r="H81" s="123" t="s">
        <v>448</v>
      </c>
      <c r="I81" s="107"/>
      <c r="J81" s="108"/>
      <c r="K81" s="108"/>
      <c r="L81" s="108"/>
      <c r="M81" s="108"/>
      <c r="N81" s="108"/>
      <c r="O81" s="108"/>
      <c r="P81" s="108"/>
      <c r="Q81" s="108"/>
      <c r="R81" s="108"/>
      <c r="S81" s="108"/>
      <c r="T81" s="108"/>
      <c r="U81" s="108"/>
      <c r="V81" s="108"/>
      <c r="W81" s="108"/>
      <c r="X81" s="108"/>
      <c r="Y81" s="108"/>
      <c r="Z81" s="108"/>
    </row>
    <row r="82" ht="18.0" customHeight="1">
      <c r="A82" s="124" t="s">
        <v>449</v>
      </c>
      <c r="B82" s="125" t="s">
        <v>23</v>
      </c>
      <c r="C82" s="126" t="s">
        <v>450</v>
      </c>
      <c r="D82" s="127" t="s">
        <v>253</v>
      </c>
      <c r="E82" s="115" t="s">
        <v>74</v>
      </c>
      <c r="F82" s="125" t="s">
        <v>37</v>
      </c>
      <c r="G82" s="122" t="s">
        <v>27</v>
      </c>
      <c r="H82" s="123" t="s">
        <v>451</v>
      </c>
      <c r="I82" s="107"/>
      <c r="J82" s="108"/>
      <c r="K82" s="108"/>
      <c r="L82" s="108"/>
      <c r="M82" s="108"/>
      <c r="N82" s="108"/>
      <c r="O82" s="108"/>
      <c r="P82" s="108"/>
      <c r="Q82" s="108"/>
      <c r="R82" s="108"/>
      <c r="S82" s="108"/>
      <c r="T82" s="108"/>
      <c r="U82" s="108"/>
      <c r="V82" s="108"/>
      <c r="W82" s="108"/>
      <c r="X82" s="108"/>
      <c r="Y82" s="108"/>
      <c r="Z82" s="108"/>
    </row>
    <row r="83" ht="18.0" customHeight="1">
      <c r="A83" s="118" t="s">
        <v>454</v>
      </c>
      <c r="B83" s="119" t="s">
        <v>23</v>
      </c>
      <c r="C83" s="120" t="s">
        <v>455</v>
      </c>
      <c r="D83" s="121" t="s">
        <v>253</v>
      </c>
      <c r="E83" s="115" t="s">
        <v>74</v>
      </c>
      <c r="F83" s="119" t="s">
        <v>37</v>
      </c>
      <c r="G83" s="122" t="s">
        <v>27</v>
      </c>
      <c r="H83" s="123"/>
      <c r="I83" s="107"/>
      <c r="J83" s="108"/>
      <c r="K83" s="108"/>
      <c r="L83" s="108"/>
      <c r="M83" s="108"/>
      <c r="N83" s="108"/>
      <c r="O83" s="108"/>
      <c r="P83" s="108"/>
      <c r="Q83" s="108"/>
      <c r="R83" s="108"/>
      <c r="S83" s="108"/>
      <c r="T83" s="108"/>
      <c r="U83" s="108"/>
      <c r="V83" s="108"/>
      <c r="W83" s="108"/>
      <c r="X83" s="108"/>
      <c r="Y83" s="108"/>
      <c r="Z83" s="108"/>
    </row>
    <row r="84" ht="18.0" customHeight="1">
      <c r="A84" s="124" t="s">
        <v>459</v>
      </c>
      <c r="B84" s="125" t="s">
        <v>23</v>
      </c>
      <c r="C84" s="126" t="s">
        <v>460</v>
      </c>
      <c r="D84" s="127" t="s">
        <v>253</v>
      </c>
      <c r="E84" s="115" t="s">
        <v>74</v>
      </c>
      <c r="F84" s="125" t="s">
        <v>37</v>
      </c>
      <c r="G84" s="122" t="s">
        <v>27</v>
      </c>
      <c r="H84" s="123"/>
      <c r="I84" s="107"/>
      <c r="J84" s="108"/>
      <c r="K84" s="108"/>
      <c r="L84" s="108"/>
      <c r="M84" s="108"/>
      <c r="N84" s="108"/>
      <c r="O84" s="108"/>
      <c r="P84" s="108"/>
      <c r="Q84" s="108"/>
      <c r="R84" s="108"/>
      <c r="S84" s="108"/>
      <c r="T84" s="108"/>
      <c r="U84" s="108"/>
      <c r="V84" s="108"/>
      <c r="W84" s="108"/>
      <c r="X84" s="108"/>
      <c r="Y84" s="108"/>
      <c r="Z84" s="108"/>
    </row>
    <row r="85" ht="18.0" customHeight="1">
      <c r="A85" s="118" t="s">
        <v>461</v>
      </c>
      <c r="B85" s="119" t="s">
        <v>23</v>
      </c>
      <c r="C85" s="120" t="s">
        <v>462</v>
      </c>
      <c r="D85" s="121" t="s">
        <v>253</v>
      </c>
      <c r="E85" s="115" t="s">
        <v>74</v>
      </c>
      <c r="F85" s="119" t="s">
        <v>37</v>
      </c>
      <c r="G85" s="122" t="s">
        <v>27</v>
      </c>
      <c r="H85" s="123"/>
      <c r="I85" s="107"/>
      <c r="J85" s="108"/>
      <c r="K85" s="108"/>
      <c r="L85" s="108"/>
      <c r="M85" s="108"/>
      <c r="N85" s="108"/>
      <c r="O85" s="108"/>
      <c r="P85" s="108"/>
      <c r="Q85" s="108"/>
      <c r="R85" s="108"/>
      <c r="S85" s="108"/>
      <c r="T85" s="108"/>
      <c r="U85" s="108"/>
      <c r="V85" s="108"/>
      <c r="W85" s="108"/>
      <c r="X85" s="108"/>
      <c r="Y85" s="108"/>
      <c r="Z85" s="108"/>
    </row>
    <row r="86" ht="18.0" customHeight="1">
      <c r="A86" s="124" t="s">
        <v>465</v>
      </c>
      <c r="B86" s="125" t="s">
        <v>23</v>
      </c>
      <c r="C86" s="126" t="s">
        <v>466</v>
      </c>
      <c r="D86" s="127" t="s">
        <v>253</v>
      </c>
      <c r="E86" s="115" t="s">
        <v>74</v>
      </c>
      <c r="F86" s="125" t="s">
        <v>37</v>
      </c>
      <c r="G86" s="122" t="s">
        <v>27</v>
      </c>
      <c r="H86" s="123"/>
      <c r="I86" s="107"/>
      <c r="J86" s="108"/>
      <c r="K86" s="108"/>
      <c r="L86" s="108"/>
      <c r="M86" s="108"/>
      <c r="N86" s="108"/>
      <c r="O86" s="108"/>
      <c r="P86" s="108"/>
      <c r="Q86" s="108"/>
      <c r="R86" s="108"/>
      <c r="S86" s="108"/>
      <c r="T86" s="108"/>
      <c r="U86" s="108"/>
      <c r="V86" s="108"/>
      <c r="W86" s="108"/>
      <c r="X86" s="108"/>
      <c r="Y86" s="108"/>
      <c r="Z86" s="108"/>
    </row>
    <row r="87" ht="18.0" customHeight="1">
      <c r="A87" s="118" t="s">
        <v>467</v>
      </c>
      <c r="B87" s="119" t="s">
        <v>23</v>
      </c>
      <c r="C87" s="120" t="s">
        <v>468</v>
      </c>
      <c r="D87" s="121" t="s">
        <v>253</v>
      </c>
      <c r="E87" s="115" t="s">
        <v>74</v>
      </c>
      <c r="F87" s="119" t="s">
        <v>37</v>
      </c>
      <c r="G87" s="122" t="s">
        <v>27</v>
      </c>
      <c r="H87" s="123"/>
      <c r="I87" s="107"/>
      <c r="J87" s="108"/>
      <c r="K87" s="108"/>
      <c r="L87" s="108"/>
      <c r="M87" s="108"/>
      <c r="N87" s="108"/>
      <c r="O87" s="108"/>
      <c r="P87" s="108"/>
      <c r="Q87" s="108"/>
      <c r="R87" s="108"/>
      <c r="S87" s="108"/>
      <c r="T87" s="108"/>
      <c r="U87" s="108"/>
      <c r="V87" s="108"/>
      <c r="W87" s="108"/>
      <c r="X87" s="108"/>
      <c r="Y87" s="108"/>
      <c r="Z87" s="108"/>
    </row>
    <row r="88" ht="18.0" customHeight="1">
      <c r="A88" s="124" t="s">
        <v>471</v>
      </c>
      <c r="B88" s="125" t="s">
        <v>23</v>
      </c>
      <c r="C88" s="126" t="s">
        <v>473</v>
      </c>
      <c r="D88" s="127" t="s">
        <v>253</v>
      </c>
      <c r="E88" s="115" t="s">
        <v>74</v>
      </c>
      <c r="F88" s="125" t="s">
        <v>37</v>
      </c>
      <c r="G88" s="122" t="s">
        <v>27</v>
      </c>
      <c r="H88" s="123" t="s">
        <v>474</v>
      </c>
      <c r="I88" s="107"/>
      <c r="J88" s="108"/>
      <c r="K88" s="108"/>
      <c r="L88" s="108"/>
      <c r="M88" s="108"/>
      <c r="N88" s="108"/>
      <c r="O88" s="108"/>
      <c r="P88" s="108"/>
      <c r="Q88" s="108"/>
      <c r="R88" s="108"/>
      <c r="S88" s="108"/>
      <c r="T88" s="108"/>
      <c r="U88" s="108"/>
      <c r="V88" s="108"/>
      <c r="W88" s="108"/>
      <c r="X88" s="108"/>
      <c r="Y88" s="108"/>
      <c r="Z88" s="108"/>
    </row>
    <row r="89" ht="18.0" customHeight="1">
      <c r="A89" s="118" t="s">
        <v>475</v>
      </c>
      <c r="B89" s="119" t="s">
        <v>23</v>
      </c>
      <c r="C89" s="120" t="s">
        <v>476</v>
      </c>
      <c r="D89" s="121" t="s">
        <v>253</v>
      </c>
      <c r="E89" s="115" t="s">
        <v>74</v>
      </c>
      <c r="F89" s="119" t="s">
        <v>37</v>
      </c>
      <c r="G89" s="122" t="s">
        <v>27</v>
      </c>
      <c r="H89" s="123" t="s">
        <v>477</v>
      </c>
      <c r="I89" s="107"/>
      <c r="J89" s="108"/>
      <c r="K89" s="108"/>
      <c r="L89" s="108"/>
      <c r="M89" s="108"/>
      <c r="N89" s="108"/>
      <c r="O89" s="108"/>
      <c r="P89" s="108"/>
      <c r="Q89" s="108"/>
      <c r="R89" s="108"/>
      <c r="S89" s="108"/>
      <c r="T89" s="108"/>
      <c r="U89" s="108"/>
      <c r="V89" s="108"/>
      <c r="W89" s="108"/>
      <c r="X89" s="108"/>
      <c r="Y89" s="108"/>
      <c r="Z89" s="108"/>
    </row>
    <row r="90" ht="18.0" customHeight="1">
      <c r="A90" s="124" t="s">
        <v>479</v>
      </c>
      <c r="B90" s="125" t="s">
        <v>23</v>
      </c>
      <c r="C90" s="126" t="s">
        <v>481</v>
      </c>
      <c r="D90" s="127" t="s">
        <v>253</v>
      </c>
      <c r="E90" s="115" t="s">
        <v>74</v>
      </c>
      <c r="F90" s="125" t="s">
        <v>37</v>
      </c>
      <c r="G90" s="122" t="s">
        <v>27</v>
      </c>
      <c r="H90" s="123" t="s">
        <v>482</v>
      </c>
      <c r="I90" s="107"/>
      <c r="J90" s="108"/>
      <c r="K90" s="108"/>
      <c r="L90" s="108"/>
      <c r="M90" s="108"/>
      <c r="N90" s="108"/>
      <c r="O90" s="108"/>
      <c r="P90" s="108"/>
      <c r="Q90" s="108"/>
      <c r="R90" s="108"/>
      <c r="S90" s="108"/>
      <c r="T90" s="108"/>
      <c r="U90" s="108"/>
      <c r="V90" s="108"/>
      <c r="W90" s="108"/>
      <c r="X90" s="108"/>
      <c r="Y90" s="108"/>
      <c r="Z90" s="108"/>
    </row>
    <row r="91" ht="18.0" customHeight="1">
      <c r="A91" s="118" t="s">
        <v>483</v>
      </c>
      <c r="B91" s="119" t="s">
        <v>23</v>
      </c>
      <c r="C91" s="120" t="s">
        <v>484</v>
      </c>
      <c r="D91" s="121" t="s">
        <v>253</v>
      </c>
      <c r="E91" s="115" t="s">
        <v>74</v>
      </c>
      <c r="F91" s="119" t="s">
        <v>37</v>
      </c>
      <c r="G91" s="122" t="s">
        <v>27</v>
      </c>
      <c r="H91" s="123" t="s">
        <v>485</v>
      </c>
      <c r="I91" s="107"/>
      <c r="J91" s="108"/>
      <c r="K91" s="108"/>
      <c r="L91" s="108"/>
      <c r="M91" s="108"/>
      <c r="N91" s="108"/>
      <c r="O91" s="108"/>
      <c r="P91" s="108"/>
      <c r="Q91" s="108"/>
      <c r="R91" s="108"/>
      <c r="S91" s="108"/>
      <c r="T91" s="108"/>
      <c r="U91" s="108"/>
      <c r="V91" s="108"/>
      <c r="W91" s="108"/>
      <c r="X91" s="108"/>
      <c r="Y91" s="108"/>
      <c r="Z91" s="108"/>
    </row>
    <row r="92" ht="18.0" customHeight="1">
      <c r="A92" s="124" t="s">
        <v>486</v>
      </c>
      <c r="B92" s="125" t="s">
        <v>23</v>
      </c>
      <c r="C92" s="126" t="s">
        <v>487</v>
      </c>
      <c r="D92" s="127" t="s">
        <v>253</v>
      </c>
      <c r="E92" s="115" t="s">
        <v>74</v>
      </c>
      <c r="F92" s="125" t="s">
        <v>37</v>
      </c>
      <c r="G92" s="122" t="s">
        <v>27</v>
      </c>
      <c r="H92" s="123" t="s">
        <v>489</v>
      </c>
      <c r="I92" s="107"/>
      <c r="J92" s="108"/>
      <c r="K92" s="108"/>
      <c r="L92" s="108"/>
      <c r="M92" s="108"/>
      <c r="N92" s="108"/>
      <c r="O92" s="108"/>
      <c r="P92" s="108"/>
      <c r="Q92" s="108"/>
      <c r="R92" s="108"/>
      <c r="S92" s="108"/>
      <c r="T92" s="108"/>
      <c r="U92" s="108"/>
      <c r="V92" s="108"/>
      <c r="W92" s="108"/>
      <c r="X92" s="108"/>
      <c r="Y92" s="108"/>
      <c r="Z92" s="108"/>
    </row>
    <row r="93" ht="18.0" customHeight="1">
      <c r="A93" s="118" t="s">
        <v>490</v>
      </c>
      <c r="B93" s="119" t="s">
        <v>23</v>
      </c>
      <c r="C93" s="120" t="s">
        <v>491</v>
      </c>
      <c r="D93" s="121" t="s">
        <v>253</v>
      </c>
      <c r="E93" s="115" t="s">
        <v>74</v>
      </c>
      <c r="F93" s="119" t="s">
        <v>37</v>
      </c>
      <c r="G93" s="122" t="s">
        <v>27</v>
      </c>
      <c r="H93" s="123" t="s">
        <v>492</v>
      </c>
      <c r="I93" s="107"/>
      <c r="J93" s="108"/>
      <c r="K93" s="108"/>
      <c r="L93" s="108"/>
      <c r="M93" s="108"/>
      <c r="N93" s="108"/>
      <c r="O93" s="108"/>
      <c r="P93" s="108"/>
      <c r="Q93" s="108"/>
      <c r="R93" s="108"/>
      <c r="S93" s="108"/>
      <c r="T93" s="108"/>
      <c r="U93" s="108"/>
      <c r="V93" s="108"/>
      <c r="W93" s="108"/>
      <c r="X93" s="108"/>
      <c r="Y93" s="108"/>
      <c r="Z93" s="108"/>
    </row>
    <row r="94" ht="18.0" customHeight="1">
      <c r="A94" s="124" t="s">
        <v>495</v>
      </c>
      <c r="B94" s="125" t="s">
        <v>23</v>
      </c>
      <c r="C94" s="126" t="s">
        <v>496</v>
      </c>
      <c r="D94" s="127" t="s">
        <v>253</v>
      </c>
      <c r="E94" s="115" t="s">
        <v>74</v>
      </c>
      <c r="F94" s="125" t="s">
        <v>37</v>
      </c>
      <c r="G94" s="122" t="s">
        <v>27</v>
      </c>
      <c r="H94" s="123" t="s">
        <v>497</v>
      </c>
      <c r="I94" s="107"/>
      <c r="J94" s="108"/>
      <c r="K94" s="108"/>
      <c r="L94" s="108"/>
      <c r="M94" s="108"/>
      <c r="N94" s="108"/>
      <c r="O94" s="108"/>
      <c r="P94" s="108"/>
      <c r="Q94" s="108"/>
      <c r="R94" s="108"/>
      <c r="S94" s="108"/>
      <c r="T94" s="108"/>
      <c r="U94" s="108"/>
      <c r="V94" s="108"/>
      <c r="W94" s="108"/>
      <c r="X94" s="108"/>
      <c r="Y94" s="108"/>
      <c r="Z94" s="108"/>
    </row>
    <row r="95" ht="18.0" customHeight="1">
      <c r="A95" s="118" t="s">
        <v>499</v>
      </c>
      <c r="B95" s="119" t="s">
        <v>23</v>
      </c>
      <c r="C95" s="120" t="s">
        <v>500</v>
      </c>
      <c r="D95" s="121" t="s">
        <v>253</v>
      </c>
      <c r="E95" s="115" t="s">
        <v>74</v>
      </c>
      <c r="F95" s="119" t="s">
        <v>37</v>
      </c>
      <c r="G95" s="122" t="s">
        <v>27</v>
      </c>
      <c r="H95" s="123" t="s">
        <v>502</v>
      </c>
      <c r="I95" s="107"/>
      <c r="J95" s="108"/>
      <c r="K95" s="108"/>
      <c r="L95" s="108"/>
      <c r="M95" s="108"/>
      <c r="N95" s="108"/>
      <c r="O95" s="108"/>
      <c r="P95" s="108"/>
      <c r="Q95" s="108"/>
      <c r="R95" s="108"/>
      <c r="S95" s="108"/>
      <c r="T95" s="108"/>
      <c r="U95" s="108"/>
      <c r="V95" s="108"/>
      <c r="W95" s="108"/>
      <c r="X95" s="108"/>
      <c r="Y95" s="108"/>
      <c r="Z95" s="108"/>
    </row>
    <row r="96" ht="18.0" customHeight="1">
      <c r="A96" s="124" t="s">
        <v>503</v>
      </c>
      <c r="B96" s="125" t="s">
        <v>23</v>
      </c>
      <c r="C96" s="126" t="s">
        <v>505</v>
      </c>
      <c r="D96" s="127" t="s">
        <v>253</v>
      </c>
      <c r="E96" s="115" t="s">
        <v>74</v>
      </c>
      <c r="F96" s="125" t="s">
        <v>37</v>
      </c>
      <c r="G96" s="122" t="s">
        <v>27</v>
      </c>
      <c r="H96" s="123" t="s">
        <v>507</v>
      </c>
      <c r="I96" s="107"/>
      <c r="J96" s="108"/>
      <c r="K96" s="108"/>
      <c r="L96" s="108"/>
      <c r="M96" s="108"/>
      <c r="N96" s="108"/>
      <c r="O96" s="108"/>
      <c r="P96" s="108"/>
      <c r="Q96" s="108"/>
      <c r="R96" s="108"/>
      <c r="S96" s="108"/>
      <c r="T96" s="108"/>
      <c r="U96" s="108"/>
      <c r="V96" s="108"/>
      <c r="W96" s="108"/>
      <c r="X96" s="108"/>
      <c r="Y96" s="108"/>
      <c r="Z96" s="108"/>
    </row>
    <row r="97" ht="18.0" customHeight="1">
      <c r="A97" s="118" t="s">
        <v>508</v>
      </c>
      <c r="B97" s="119" t="s">
        <v>23</v>
      </c>
      <c r="C97" s="120" t="s">
        <v>509</v>
      </c>
      <c r="D97" s="121" t="s">
        <v>253</v>
      </c>
      <c r="E97" s="115" t="s">
        <v>74</v>
      </c>
      <c r="F97" s="119" t="s">
        <v>37</v>
      </c>
      <c r="G97" s="122" t="s">
        <v>27</v>
      </c>
      <c r="H97" s="123" t="s">
        <v>511</v>
      </c>
      <c r="I97" s="107"/>
      <c r="J97" s="108"/>
      <c r="K97" s="108"/>
      <c r="L97" s="108"/>
      <c r="M97" s="108"/>
      <c r="N97" s="108"/>
      <c r="O97" s="108"/>
      <c r="P97" s="108"/>
      <c r="Q97" s="108"/>
      <c r="R97" s="108"/>
      <c r="S97" s="108"/>
      <c r="T97" s="108"/>
      <c r="U97" s="108"/>
      <c r="V97" s="108"/>
      <c r="W97" s="108"/>
      <c r="X97" s="108"/>
      <c r="Y97" s="108"/>
      <c r="Z97" s="108"/>
    </row>
    <row r="98" ht="18.0" customHeight="1">
      <c r="A98" s="124" t="s">
        <v>512</v>
      </c>
      <c r="B98" s="125" t="s">
        <v>23</v>
      </c>
      <c r="C98" s="126" t="s">
        <v>513</v>
      </c>
      <c r="D98" s="127" t="s">
        <v>253</v>
      </c>
      <c r="E98" s="115" t="s">
        <v>74</v>
      </c>
      <c r="F98" s="125" t="s">
        <v>37</v>
      </c>
      <c r="G98" s="122" t="s">
        <v>27</v>
      </c>
      <c r="H98" s="123"/>
      <c r="I98" s="107"/>
      <c r="J98" s="108"/>
      <c r="K98" s="108"/>
      <c r="L98" s="108"/>
      <c r="M98" s="108"/>
      <c r="N98" s="108"/>
      <c r="O98" s="108"/>
      <c r="P98" s="108"/>
      <c r="Q98" s="108"/>
      <c r="R98" s="108"/>
      <c r="S98" s="108"/>
      <c r="T98" s="108"/>
      <c r="U98" s="108"/>
      <c r="V98" s="108"/>
      <c r="W98" s="108"/>
      <c r="X98" s="108"/>
      <c r="Y98" s="108"/>
      <c r="Z98" s="108"/>
    </row>
    <row r="99" ht="18.0" customHeight="1">
      <c r="A99" s="118" t="s">
        <v>516</v>
      </c>
      <c r="B99" s="119" t="s">
        <v>23</v>
      </c>
      <c r="C99" s="120" t="s">
        <v>517</v>
      </c>
      <c r="D99" s="121" t="s">
        <v>253</v>
      </c>
      <c r="E99" s="115" t="s">
        <v>74</v>
      </c>
      <c r="F99" s="119" t="s">
        <v>37</v>
      </c>
      <c r="G99" s="122" t="s">
        <v>27</v>
      </c>
      <c r="H99" s="123" t="s">
        <v>518</v>
      </c>
      <c r="I99" s="107"/>
      <c r="J99" s="108"/>
      <c r="K99" s="108"/>
      <c r="L99" s="108"/>
      <c r="M99" s="108"/>
      <c r="N99" s="108"/>
      <c r="O99" s="108"/>
      <c r="P99" s="108"/>
      <c r="Q99" s="108"/>
      <c r="R99" s="108"/>
      <c r="S99" s="108"/>
      <c r="T99" s="108"/>
      <c r="U99" s="108"/>
      <c r="V99" s="108"/>
      <c r="W99" s="108"/>
      <c r="X99" s="108"/>
      <c r="Y99" s="108"/>
      <c r="Z99" s="108"/>
    </row>
    <row r="100" ht="18.0" customHeight="1">
      <c r="A100" s="124" t="s">
        <v>520</v>
      </c>
      <c r="B100" s="125" t="s">
        <v>23</v>
      </c>
      <c r="C100" s="126" t="s">
        <v>521</v>
      </c>
      <c r="D100" s="127" t="s">
        <v>253</v>
      </c>
      <c r="E100" s="115" t="s">
        <v>74</v>
      </c>
      <c r="F100" s="125" t="s">
        <v>37</v>
      </c>
      <c r="G100" s="122" t="s">
        <v>27</v>
      </c>
      <c r="H100" s="123" t="s">
        <v>523</v>
      </c>
      <c r="I100" s="107"/>
      <c r="J100" s="108"/>
      <c r="K100" s="108"/>
      <c r="L100" s="108"/>
      <c r="M100" s="108"/>
      <c r="N100" s="108"/>
      <c r="O100" s="108"/>
      <c r="P100" s="108"/>
      <c r="Q100" s="108"/>
      <c r="R100" s="108"/>
      <c r="S100" s="108"/>
      <c r="T100" s="108"/>
      <c r="U100" s="108"/>
      <c r="V100" s="108"/>
      <c r="W100" s="108"/>
      <c r="X100" s="108"/>
      <c r="Y100" s="108"/>
      <c r="Z100" s="108"/>
    </row>
    <row r="101" ht="18.0" customHeight="1">
      <c r="A101" s="118" t="s">
        <v>525</v>
      </c>
      <c r="B101" s="119" t="s">
        <v>23</v>
      </c>
      <c r="C101" s="120" t="s">
        <v>526</v>
      </c>
      <c r="D101" s="121" t="s">
        <v>253</v>
      </c>
      <c r="E101" s="115" t="s">
        <v>74</v>
      </c>
      <c r="F101" s="119" t="s">
        <v>37</v>
      </c>
      <c r="G101" s="122" t="s">
        <v>27</v>
      </c>
      <c r="H101" s="123" t="s">
        <v>527</v>
      </c>
      <c r="I101" s="107"/>
      <c r="J101" s="108"/>
      <c r="K101" s="108"/>
      <c r="L101" s="108"/>
      <c r="M101" s="108"/>
      <c r="N101" s="108"/>
      <c r="O101" s="108"/>
      <c r="P101" s="108"/>
      <c r="Q101" s="108"/>
      <c r="R101" s="108"/>
      <c r="S101" s="108"/>
      <c r="T101" s="108"/>
      <c r="U101" s="108"/>
      <c r="V101" s="108"/>
      <c r="W101" s="108"/>
      <c r="X101" s="108"/>
      <c r="Y101" s="108"/>
      <c r="Z101" s="108"/>
    </row>
    <row r="102" ht="15.75" customHeight="1">
      <c r="A102" s="124" t="s">
        <v>531</v>
      </c>
      <c r="B102" s="125" t="s">
        <v>23</v>
      </c>
      <c r="C102" s="126" t="s">
        <v>532</v>
      </c>
      <c r="D102" s="127" t="s">
        <v>253</v>
      </c>
      <c r="E102" s="115" t="s">
        <v>74</v>
      </c>
      <c r="F102" s="125" t="s">
        <v>37</v>
      </c>
      <c r="G102" s="122" t="s">
        <v>27</v>
      </c>
      <c r="H102" s="123" t="s">
        <v>533</v>
      </c>
      <c r="I102" s="107"/>
      <c r="J102" s="108"/>
      <c r="K102" s="108"/>
      <c r="L102" s="108"/>
      <c r="M102" s="108"/>
      <c r="N102" s="108"/>
      <c r="O102" s="108"/>
      <c r="P102" s="108"/>
      <c r="Q102" s="108"/>
      <c r="R102" s="108"/>
      <c r="S102" s="108"/>
      <c r="T102" s="108"/>
      <c r="U102" s="108"/>
      <c r="V102" s="108"/>
      <c r="W102" s="108"/>
      <c r="X102" s="108"/>
      <c r="Y102" s="108"/>
      <c r="Z102" s="108"/>
    </row>
    <row r="103" ht="15.75" customHeight="1">
      <c r="A103" s="118" t="s">
        <v>536</v>
      </c>
      <c r="B103" s="119" t="s">
        <v>23</v>
      </c>
      <c r="C103" s="120" t="s">
        <v>537</v>
      </c>
      <c r="D103" s="121" t="s">
        <v>253</v>
      </c>
      <c r="E103" s="115" t="s">
        <v>74</v>
      </c>
      <c r="F103" s="119" t="s">
        <v>37</v>
      </c>
      <c r="G103" s="122" t="s">
        <v>27</v>
      </c>
      <c r="H103" s="123" t="s">
        <v>538</v>
      </c>
      <c r="I103" s="107"/>
      <c r="J103" s="108"/>
      <c r="K103" s="108"/>
      <c r="L103" s="108"/>
      <c r="M103" s="108"/>
      <c r="N103" s="108"/>
      <c r="O103" s="108"/>
      <c r="P103" s="108"/>
      <c r="Q103" s="108"/>
      <c r="R103" s="108"/>
      <c r="S103" s="108"/>
      <c r="T103" s="108"/>
      <c r="U103" s="108"/>
      <c r="V103" s="108"/>
      <c r="W103" s="108"/>
      <c r="X103" s="108"/>
      <c r="Y103" s="108"/>
      <c r="Z103" s="108"/>
    </row>
    <row r="104" ht="15.75" customHeight="1">
      <c r="A104" s="124" t="s">
        <v>540</v>
      </c>
      <c r="B104" s="125" t="s">
        <v>23</v>
      </c>
      <c r="C104" s="126" t="s">
        <v>542</v>
      </c>
      <c r="D104" s="127" t="s">
        <v>253</v>
      </c>
      <c r="E104" s="115" t="s">
        <v>74</v>
      </c>
      <c r="F104" s="125" t="s">
        <v>37</v>
      </c>
      <c r="G104" s="122" t="s">
        <v>27</v>
      </c>
      <c r="H104" s="123" t="s">
        <v>543</v>
      </c>
      <c r="I104" s="107"/>
      <c r="J104" s="108"/>
      <c r="K104" s="108"/>
      <c r="L104" s="108"/>
      <c r="M104" s="108"/>
      <c r="N104" s="108"/>
      <c r="O104" s="108"/>
      <c r="P104" s="108"/>
      <c r="Q104" s="108"/>
      <c r="R104" s="108"/>
      <c r="S104" s="108"/>
      <c r="T104" s="108"/>
      <c r="U104" s="108"/>
      <c r="V104" s="108"/>
      <c r="W104" s="108"/>
      <c r="X104" s="108"/>
      <c r="Y104" s="108"/>
      <c r="Z104" s="108"/>
    </row>
    <row r="105" ht="15.75" customHeight="1">
      <c r="A105" s="118" t="s">
        <v>544</v>
      </c>
      <c r="B105" s="119" t="s">
        <v>23</v>
      </c>
      <c r="C105" s="120" t="s">
        <v>545</v>
      </c>
      <c r="D105" s="121" t="s">
        <v>253</v>
      </c>
      <c r="E105" s="115" t="s">
        <v>74</v>
      </c>
      <c r="F105" s="119" t="s">
        <v>37</v>
      </c>
      <c r="G105" s="122" t="s">
        <v>27</v>
      </c>
      <c r="H105" s="123" t="s">
        <v>546</v>
      </c>
      <c r="I105" s="107"/>
      <c r="J105" s="108"/>
      <c r="K105" s="108"/>
      <c r="L105" s="108"/>
      <c r="M105" s="108"/>
      <c r="N105" s="108"/>
      <c r="O105" s="108"/>
      <c r="P105" s="108"/>
      <c r="Q105" s="108"/>
      <c r="R105" s="108"/>
      <c r="S105" s="108"/>
      <c r="T105" s="108"/>
      <c r="U105" s="108"/>
      <c r="V105" s="108"/>
      <c r="W105" s="108"/>
      <c r="X105" s="108"/>
      <c r="Y105" s="108"/>
      <c r="Z105" s="108"/>
    </row>
    <row r="106" ht="15.75" customHeight="1">
      <c r="A106" s="124" t="s">
        <v>549</v>
      </c>
      <c r="B106" s="125" t="s">
        <v>23</v>
      </c>
      <c r="C106" s="126" t="s">
        <v>550</v>
      </c>
      <c r="D106" s="127" t="s">
        <v>253</v>
      </c>
      <c r="E106" s="115" t="s">
        <v>74</v>
      </c>
      <c r="F106" s="125" t="s">
        <v>37</v>
      </c>
      <c r="G106" s="122" t="s">
        <v>27</v>
      </c>
      <c r="H106" s="123" t="s">
        <v>551</v>
      </c>
      <c r="I106" s="107"/>
      <c r="J106" s="108"/>
      <c r="K106" s="108"/>
      <c r="L106" s="108"/>
      <c r="M106" s="108"/>
      <c r="N106" s="108"/>
      <c r="O106" s="108"/>
      <c r="P106" s="108"/>
      <c r="Q106" s="108"/>
      <c r="R106" s="108"/>
      <c r="S106" s="108"/>
      <c r="T106" s="108"/>
      <c r="U106" s="108"/>
      <c r="V106" s="108"/>
      <c r="W106" s="108"/>
      <c r="X106" s="108"/>
      <c r="Y106" s="108"/>
      <c r="Z106" s="108"/>
    </row>
    <row r="107" ht="15.75" customHeight="1">
      <c r="A107" s="118" t="s">
        <v>553</v>
      </c>
      <c r="B107" s="119" t="s">
        <v>23</v>
      </c>
      <c r="C107" s="120" t="s">
        <v>554</v>
      </c>
      <c r="D107" s="121" t="s">
        <v>253</v>
      </c>
      <c r="E107" s="115" t="s">
        <v>74</v>
      </c>
      <c r="F107" s="119" t="s">
        <v>37</v>
      </c>
      <c r="G107" s="122" t="s">
        <v>27</v>
      </c>
      <c r="H107" s="123"/>
      <c r="I107" s="107"/>
      <c r="J107" s="108"/>
      <c r="K107" s="108"/>
      <c r="L107" s="108"/>
      <c r="M107" s="108"/>
      <c r="N107" s="108"/>
      <c r="O107" s="108"/>
      <c r="P107" s="108"/>
      <c r="Q107" s="108"/>
      <c r="R107" s="108"/>
      <c r="S107" s="108"/>
      <c r="T107" s="108"/>
      <c r="U107" s="108"/>
      <c r="V107" s="108"/>
      <c r="W107" s="108"/>
      <c r="X107" s="108"/>
      <c r="Y107" s="108"/>
      <c r="Z107" s="108"/>
    </row>
    <row r="108" ht="15.75" customHeight="1">
      <c r="A108" s="124" t="s">
        <v>557</v>
      </c>
      <c r="B108" s="125" t="s">
        <v>23</v>
      </c>
      <c r="C108" s="126" t="s">
        <v>558</v>
      </c>
      <c r="D108" s="127" t="s">
        <v>253</v>
      </c>
      <c r="E108" s="115" t="s">
        <v>74</v>
      </c>
      <c r="F108" s="125" t="s">
        <v>37</v>
      </c>
      <c r="G108" s="122" t="s">
        <v>27</v>
      </c>
      <c r="H108" s="123" t="s">
        <v>560</v>
      </c>
      <c r="I108" s="107"/>
      <c r="J108" s="108"/>
      <c r="K108" s="108"/>
      <c r="L108" s="108"/>
      <c r="M108" s="108"/>
      <c r="N108" s="108"/>
      <c r="O108" s="108"/>
      <c r="P108" s="108"/>
      <c r="Q108" s="108"/>
      <c r="R108" s="108"/>
      <c r="S108" s="108"/>
      <c r="T108" s="108"/>
      <c r="U108" s="108"/>
      <c r="V108" s="108"/>
      <c r="W108" s="108"/>
      <c r="X108" s="108"/>
      <c r="Y108" s="108"/>
      <c r="Z108" s="108"/>
    </row>
    <row r="109" ht="15.75" customHeight="1">
      <c r="A109" s="118" t="s">
        <v>561</v>
      </c>
      <c r="B109" s="119" t="s">
        <v>23</v>
      </c>
      <c r="C109" s="120" t="s">
        <v>563</v>
      </c>
      <c r="D109" s="121" t="s">
        <v>253</v>
      </c>
      <c r="E109" s="115" t="s">
        <v>74</v>
      </c>
      <c r="F109" s="119" t="s">
        <v>37</v>
      </c>
      <c r="G109" s="122" t="s">
        <v>27</v>
      </c>
      <c r="H109" s="123" t="s">
        <v>565</v>
      </c>
      <c r="I109" s="107"/>
      <c r="J109" s="108"/>
      <c r="K109" s="108"/>
      <c r="L109" s="108"/>
      <c r="M109" s="108"/>
      <c r="N109" s="108"/>
      <c r="O109" s="108"/>
      <c r="P109" s="108"/>
      <c r="Q109" s="108"/>
      <c r="R109" s="108"/>
      <c r="S109" s="108"/>
      <c r="T109" s="108"/>
      <c r="U109" s="108"/>
      <c r="V109" s="108"/>
      <c r="W109" s="108"/>
      <c r="X109" s="108"/>
      <c r="Y109" s="108"/>
      <c r="Z109" s="108"/>
    </row>
    <row r="110" ht="15.75" customHeight="1">
      <c r="A110" s="124" t="s">
        <v>566</v>
      </c>
      <c r="B110" s="125" t="s">
        <v>23</v>
      </c>
      <c r="C110" s="126" t="s">
        <v>567</v>
      </c>
      <c r="D110" s="127" t="s">
        <v>253</v>
      </c>
      <c r="E110" s="115" t="s">
        <v>74</v>
      </c>
      <c r="F110" s="125" t="s">
        <v>37</v>
      </c>
      <c r="G110" s="122" t="s">
        <v>27</v>
      </c>
      <c r="H110" s="123" t="s">
        <v>568</v>
      </c>
      <c r="I110" s="107"/>
      <c r="J110" s="108"/>
      <c r="K110" s="108"/>
      <c r="L110" s="108"/>
      <c r="M110" s="108"/>
      <c r="N110" s="108"/>
      <c r="O110" s="108"/>
      <c r="P110" s="108"/>
      <c r="Q110" s="108"/>
      <c r="R110" s="108"/>
      <c r="S110" s="108"/>
      <c r="T110" s="108"/>
      <c r="U110" s="108"/>
      <c r="V110" s="108"/>
      <c r="W110" s="108"/>
      <c r="X110" s="108"/>
      <c r="Y110" s="108"/>
      <c r="Z110" s="108"/>
    </row>
    <row r="111" ht="15.75" customHeight="1">
      <c r="A111" s="118" t="s">
        <v>726</v>
      </c>
      <c r="B111" s="119" t="s">
        <v>23</v>
      </c>
      <c r="C111" s="120" t="s">
        <v>728</v>
      </c>
      <c r="D111" s="121" t="s">
        <v>253</v>
      </c>
      <c r="E111" s="115" t="s">
        <v>74</v>
      </c>
      <c r="F111" s="119" t="s">
        <v>37</v>
      </c>
      <c r="G111" s="122" t="s">
        <v>27</v>
      </c>
      <c r="H111" s="123" t="s">
        <v>731</v>
      </c>
      <c r="I111" s="107"/>
      <c r="J111" s="108"/>
      <c r="K111" s="108"/>
      <c r="L111" s="108"/>
      <c r="M111" s="108"/>
      <c r="N111" s="108"/>
      <c r="O111" s="108"/>
      <c r="P111" s="108"/>
      <c r="Q111" s="108"/>
      <c r="R111" s="108"/>
      <c r="S111" s="108"/>
      <c r="T111" s="108"/>
      <c r="U111" s="108"/>
      <c r="V111" s="108"/>
      <c r="W111" s="108"/>
      <c r="X111" s="108"/>
      <c r="Y111" s="108"/>
      <c r="Z111" s="108"/>
    </row>
    <row r="112" ht="15.75" customHeight="1">
      <c r="A112" s="118" t="s">
        <v>732</v>
      </c>
      <c r="B112" s="119" t="s">
        <v>23</v>
      </c>
      <c r="C112" s="120" t="s">
        <v>733</v>
      </c>
      <c r="D112" s="121" t="s">
        <v>253</v>
      </c>
      <c r="E112" s="115" t="s">
        <v>74</v>
      </c>
      <c r="F112" s="119" t="s">
        <v>37</v>
      </c>
      <c r="G112" s="122" t="s">
        <v>27</v>
      </c>
      <c r="H112" s="123" t="s">
        <v>734</v>
      </c>
      <c r="I112" s="107"/>
      <c r="J112" s="108"/>
      <c r="K112" s="108"/>
      <c r="L112" s="108"/>
      <c r="M112" s="108"/>
      <c r="N112" s="108"/>
      <c r="O112" s="108"/>
      <c r="P112" s="108"/>
      <c r="Q112" s="108"/>
      <c r="R112" s="108"/>
      <c r="S112" s="108"/>
      <c r="T112" s="108"/>
      <c r="U112" s="108"/>
      <c r="V112" s="108"/>
      <c r="W112" s="108"/>
      <c r="X112" s="108"/>
      <c r="Y112" s="108"/>
      <c r="Z112" s="108"/>
    </row>
    <row r="113" ht="15.75" customHeight="1">
      <c r="A113" s="118" t="s">
        <v>738</v>
      </c>
      <c r="B113" s="119" t="s">
        <v>23</v>
      </c>
      <c r="C113" s="120" t="s">
        <v>739</v>
      </c>
      <c r="D113" s="121" t="s">
        <v>253</v>
      </c>
      <c r="E113" s="115" t="s">
        <v>74</v>
      </c>
      <c r="F113" s="119" t="s">
        <v>37</v>
      </c>
      <c r="G113" s="122" t="s">
        <v>27</v>
      </c>
      <c r="H113" s="123" t="s">
        <v>740</v>
      </c>
      <c r="I113" s="107"/>
      <c r="J113" s="108"/>
      <c r="K113" s="108"/>
      <c r="L113" s="108"/>
      <c r="M113" s="108"/>
      <c r="N113" s="108"/>
      <c r="O113" s="108"/>
      <c r="P113" s="108"/>
      <c r="Q113" s="108"/>
      <c r="R113" s="108"/>
      <c r="S113" s="108"/>
      <c r="T113" s="108"/>
      <c r="U113" s="108"/>
      <c r="V113" s="108"/>
      <c r="W113" s="108"/>
      <c r="X113" s="108"/>
      <c r="Y113" s="108"/>
      <c r="Z113" s="108"/>
    </row>
    <row r="114" ht="15.75" customHeight="1">
      <c r="A114" s="118" t="s">
        <v>742</v>
      </c>
      <c r="B114" s="119" t="s">
        <v>23</v>
      </c>
      <c r="C114" s="120" t="s">
        <v>743</v>
      </c>
      <c r="D114" s="121" t="s">
        <v>253</v>
      </c>
      <c r="E114" s="115" t="s">
        <v>74</v>
      </c>
      <c r="F114" s="119" t="s">
        <v>37</v>
      </c>
      <c r="G114" s="122" t="s">
        <v>27</v>
      </c>
      <c r="H114" s="123" t="s">
        <v>744</v>
      </c>
      <c r="I114" s="107"/>
      <c r="J114" s="108"/>
      <c r="K114" s="108"/>
      <c r="L114" s="108"/>
      <c r="M114" s="108"/>
      <c r="N114" s="108"/>
      <c r="O114" s="108"/>
      <c r="P114" s="108"/>
      <c r="Q114" s="108"/>
      <c r="R114" s="108"/>
      <c r="S114" s="108"/>
      <c r="T114" s="108"/>
      <c r="U114" s="108"/>
      <c r="V114" s="108"/>
      <c r="W114" s="108"/>
      <c r="X114" s="108"/>
      <c r="Y114" s="108"/>
      <c r="Z114" s="108"/>
    </row>
    <row r="115" ht="15.75" customHeight="1">
      <c r="A115" s="118" t="s">
        <v>745</v>
      </c>
      <c r="B115" s="119" t="s">
        <v>23</v>
      </c>
      <c r="C115" s="120" t="s">
        <v>746</v>
      </c>
      <c r="D115" s="121" t="s">
        <v>253</v>
      </c>
      <c r="E115" s="115" t="s">
        <v>74</v>
      </c>
      <c r="F115" s="119" t="s">
        <v>37</v>
      </c>
      <c r="G115" s="122" t="s">
        <v>27</v>
      </c>
      <c r="H115" s="123"/>
      <c r="I115" s="107"/>
      <c r="J115" s="108"/>
      <c r="K115" s="108"/>
      <c r="L115" s="108"/>
      <c r="M115" s="108"/>
      <c r="N115" s="108"/>
      <c r="O115" s="108"/>
      <c r="P115" s="108"/>
      <c r="Q115" s="108"/>
      <c r="R115" s="108"/>
      <c r="S115" s="108"/>
      <c r="T115" s="108"/>
      <c r="U115" s="108"/>
      <c r="V115" s="108"/>
      <c r="W115" s="108"/>
      <c r="X115" s="108"/>
      <c r="Y115" s="108"/>
      <c r="Z115" s="108"/>
    </row>
    <row r="116" ht="15.75" customHeight="1">
      <c r="A116" s="118" t="s">
        <v>747</v>
      </c>
      <c r="B116" s="119" t="s">
        <v>23</v>
      </c>
      <c r="C116" s="120" t="s">
        <v>748</v>
      </c>
      <c r="D116" s="121" t="s">
        <v>253</v>
      </c>
      <c r="E116" s="115" t="s">
        <v>74</v>
      </c>
      <c r="F116" s="119" t="s">
        <v>37</v>
      </c>
      <c r="G116" s="122" t="s">
        <v>27</v>
      </c>
      <c r="H116" s="123"/>
      <c r="I116" s="107"/>
      <c r="J116" s="108"/>
      <c r="K116" s="108"/>
      <c r="L116" s="108"/>
      <c r="M116" s="108"/>
      <c r="N116" s="108"/>
      <c r="O116" s="108"/>
      <c r="P116" s="108"/>
      <c r="Q116" s="108"/>
      <c r="R116" s="108"/>
      <c r="S116" s="108"/>
      <c r="T116" s="108"/>
      <c r="U116" s="108"/>
      <c r="V116" s="108"/>
      <c r="W116" s="108"/>
      <c r="X116" s="108"/>
      <c r="Y116" s="108"/>
      <c r="Z116" s="108"/>
    </row>
    <row r="117" ht="15.75" customHeight="1">
      <c r="A117" s="118" t="s">
        <v>751</v>
      </c>
      <c r="B117" s="119" t="s">
        <v>23</v>
      </c>
      <c r="C117" s="120" t="s">
        <v>753</v>
      </c>
      <c r="D117" s="121" t="s">
        <v>253</v>
      </c>
      <c r="E117" s="115" t="s">
        <v>74</v>
      </c>
      <c r="F117" s="119" t="s">
        <v>37</v>
      </c>
      <c r="G117" s="122" t="s">
        <v>27</v>
      </c>
      <c r="H117" s="123"/>
      <c r="I117" s="107"/>
      <c r="J117" s="108"/>
      <c r="K117" s="108"/>
      <c r="L117" s="108"/>
      <c r="M117" s="108"/>
      <c r="N117" s="108"/>
      <c r="O117" s="108"/>
      <c r="P117" s="108"/>
      <c r="Q117" s="108"/>
      <c r="R117" s="108"/>
      <c r="S117" s="108"/>
      <c r="T117" s="108"/>
      <c r="U117" s="108"/>
      <c r="V117" s="108"/>
      <c r="W117" s="108"/>
      <c r="X117" s="108"/>
      <c r="Y117" s="108"/>
      <c r="Z117" s="108"/>
    </row>
    <row r="118" ht="15.75" customHeight="1">
      <c r="A118" s="118" t="s">
        <v>754</v>
      </c>
      <c r="B118" s="119" t="s">
        <v>23</v>
      </c>
      <c r="C118" s="120" t="s">
        <v>756</v>
      </c>
      <c r="D118" s="121" t="s">
        <v>253</v>
      </c>
      <c r="E118" s="115" t="s">
        <v>74</v>
      </c>
      <c r="F118" s="119" t="s">
        <v>37</v>
      </c>
      <c r="G118" s="122" t="s">
        <v>27</v>
      </c>
      <c r="H118" s="123"/>
      <c r="I118" s="107"/>
      <c r="J118" s="108"/>
      <c r="K118" s="108"/>
      <c r="L118" s="108"/>
      <c r="M118" s="108"/>
      <c r="N118" s="108"/>
      <c r="O118" s="108"/>
      <c r="P118" s="108"/>
      <c r="Q118" s="108"/>
      <c r="R118" s="108"/>
      <c r="S118" s="108"/>
      <c r="T118" s="108"/>
      <c r="U118" s="108"/>
      <c r="V118" s="108"/>
      <c r="W118" s="108"/>
      <c r="X118" s="108"/>
      <c r="Y118" s="108"/>
      <c r="Z118" s="108"/>
    </row>
    <row r="119" ht="15.75" customHeight="1">
      <c r="A119" s="118" t="s">
        <v>758</v>
      </c>
      <c r="B119" s="119" t="s">
        <v>23</v>
      </c>
      <c r="C119" s="120" t="s">
        <v>759</v>
      </c>
      <c r="D119" s="121" t="s">
        <v>253</v>
      </c>
      <c r="E119" s="115" t="s">
        <v>74</v>
      </c>
      <c r="F119" s="119" t="s">
        <v>37</v>
      </c>
      <c r="G119" s="122" t="s">
        <v>27</v>
      </c>
      <c r="H119" s="123"/>
      <c r="I119" s="107"/>
      <c r="J119" s="108"/>
      <c r="K119" s="108"/>
      <c r="L119" s="108"/>
      <c r="M119" s="108"/>
      <c r="N119" s="108"/>
      <c r="O119" s="108"/>
      <c r="P119" s="108"/>
      <c r="Q119" s="108"/>
      <c r="R119" s="108"/>
      <c r="S119" s="108"/>
      <c r="T119" s="108"/>
      <c r="U119" s="108"/>
      <c r="V119" s="108"/>
      <c r="W119" s="108"/>
      <c r="X119" s="108"/>
      <c r="Y119" s="108"/>
      <c r="Z119" s="108"/>
    </row>
    <row r="120" ht="15.75" customHeight="1">
      <c r="A120" s="118" t="s">
        <v>762</v>
      </c>
      <c r="B120" s="119" t="s">
        <v>23</v>
      </c>
      <c r="C120" s="120" t="s">
        <v>763</v>
      </c>
      <c r="D120" s="121" t="s">
        <v>253</v>
      </c>
      <c r="E120" s="115" t="s">
        <v>74</v>
      </c>
      <c r="F120" s="119" t="s">
        <v>37</v>
      </c>
      <c r="G120" s="122" t="s">
        <v>27</v>
      </c>
      <c r="H120" s="123" t="s">
        <v>764</v>
      </c>
      <c r="I120" s="107"/>
      <c r="J120" s="108"/>
      <c r="K120" s="108"/>
      <c r="L120" s="108"/>
      <c r="M120" s="108"/>
      <c r="N120" s="108"/>
      <c r="O120" s="108"/>
      <c r="P120" s="108"/>
      <c r="Q120" s="108"/>
      <c r="R120" s="108"/>
      <c r="S120" s="108"/>
      <c r="T120" s="108"/>
      <c r="U120" s="108"/>
      <c r="V120" s="108"/>
      <c r="W120" s="108"/>
      <c r="X120" s="108"/>
      <c r="Y120" s="108"/>
      <c r="Z120" s="108"/>
    </row>
    <row r="121" ht="15.75" customHeight="1">
      <c r="A121" s="118" t="s">
        <v>767</v>
      </c>
      <c r="B121" s="119" t="s">
        <v>23</v>
      </c>
      <c r="C121" s="120" t="s">
        <v>768</v>
      </c>
      <c r="D121" s="121" t="s">
        <v>253</v>
      </c>
      <c r="E121" s="115" t="s">
        <v>74</v>
      </c>
      <c r="F121" s="119" t="s">
        <v>37</v>
      </c>
      <c r="G121" s="149" t="s">
        <v>17</v>
      </c>
      <c r="H121" s="123" t="s">
        <v>772</v>
      </c>
      <c r="I121" s="107"/>
      <c r="J121" s="108"/>
      <c r="K121" s="108"/>
      <c r="L121" s="108"/>
      <c r="M121" s="108"/>
      <c r="N121" s="108"/>
      <c r="O121" s="108"/>
      <c r="P121" s="108"/>
      <c r="Q121" s="108"/>
      <c r="R121" s="108"/>
      <c r="S121" s="108"/>
      <c r="T121" s="108"/>
      <c r="U121" s="108"/>
      <c r="V121" s="108"/>
      <c r="W121" s="108"/>
      <c r="X121" s="108"/>
      <c r="Y121" s="108"/>
      <c r="Z121" s="108"/>
    </row>
    <row r="122" ht="15.75" customHeight="1">
      <c r="A122" s="118" t="s">
        <v>773</v>
      </c>
      <c r="B122" s="119" t="s">
        <v>23</v>
      </c>
      <c r="C122" s="120" t="s">
        <v>774</v>
      </c>
      <c r="D122" s="121" t="s">
        <v>253</v>
      </c>
      <c r="E122" s="115" t="s">
        <v>74</v>
      </c>
      <c r="F122" s="119" t="s">
        <v>37</v>
      </c>
      <c r="G122" s="122" t="s">
        <v>27</v>
      </c>
      <c r="H122" s="123" t="s">
        <v>776</v>
      </c>
      <c r="I122" s="107"/>
      <c r="J122" s="108"/>
      <c r="K122" s="108"/>
      <c r="L122" s="108"/>
      <c r="M122" s="108"/>
      <c r="N122" s="108"/>
      <c r="O122" s="108"/>
      <c r="P122" s="108"/>
      <c r="Q122" s="108"/>
      <c r="R122" s="108"/>
      <c r="S122" s="108"/>
      <c r="T122" s="108"/>
      <c r="U122" s="108"/>
      <c r="V122" s="108"/>
      <c r="W122" s="108"/>
      <c r="X122" s="108"/>
      <c r="Y122" s="108"/>
      <c r="Z122" s="108"/>
    </row>
    <row r="123" ht="15.75" customHeight="1">
      <c r="A123" s="118" t="s">
        <v>778</v>
      </c>
      <c r="B123" s="119" t="s">
        <v>23</v>
      </c>
      <c r="C123" s="120" t="s">
        <v>779</v>
      </c>
      <c r="D123" s="121" t="s">
        <v>253</v>
      </c>
      <c r="E123" s="115" t="s">
        <v>74</v>
      </c>
      <c r="F123" s="119" t="s">
        <v>37</v>
      </c>
      <c r="G123" s="122" t="s">
        <v>27</v>
      </c>
      <c r="H123" s="123" t="s">
        <v>780</v>
      </c>
      <c r="I123" s="107"/>
      <c r="J123" s="108"/>
      <c r="K123" s="108"/>
      <c r="L123" s="108"/>
      <c r="M123" s="108"/>
      <c r="N123" s="108"/>
      <c r="O123" s="108"/>
      <c r="P123" s="108"/>
      <c r="Q123" s="108"/>
      <c r="R123" s="108"/>
      <c r="S123" s="108"/>
      <c r="T123" s="108"/>
      <c r="U123" s="108"/>
      <c r="V123" s="108"/>
      <c r="W123" s="108"/>
      <c r="X123" s="108"/>
      <c r="Y123" s="108"/>
      <c r="Z123" s="108"/>
    </row>
    <row r="124" ht="15.75" customHeight="1">
      <c r="A124" s="118" t="s">
        <v>782</v>
      </c>
      <c r="B124" s="119" t="s">
        <v>23</v>
      </c>
      <c r="C124" s="120" t="s">
        <v>784</v>
      </c>
      <c r="D124" s="121" t="s">
        <v>253</v>
      </c>
      <c r="E124" s="115" t="s">
        <v>74</v>
      </c>
      <c r="F124" s="119" t="s">
        <v>37</v>
      </c>
      <c r="G124" s="122" t="s">
        <v>27</v>
      </c>
      <c r="H124" s="123" t="s">
        <v>786</v>
      </c>
      <c r="I124" s="107"/>
      <c r="J124" s="108"/>
      <c r="K124" s="108"/>
      <c r="L124" s="108"/>
      <c r="M124" s="108"/>
      <c r="N124" s="108"/>
      <c r="O124" s="108"/>
      <c r="P124" s="108"/>
      <c r="Q124" s="108"/>
      <c r="R124" s="108"/>
      <c r="S124" s="108"/>
      <c r="T124" s="108"/>
      <c r="U124" s="108"/>
      <c r="V124" s="108"/>
      <c r="W124" s="108"/>
      <c r="X124" s="108"/>
      <c r="Y124" s="108"/>
      <c r="Z124" s="108"/>
    </row>
    <row r="125" ht="15.75" customHeight="1">
      <c r="A125" s="118" t="s">
        <v>788</v>
      </c>
      <c r="B125" s="119" t="s">
        <v>23</v>
      </c>
      <c r="C125" s="120" t="s">
        <v>789</v>
      </c>
      <c r="D125" s="121" t="s">
        <v>253</v>
      </c>
      <c r="E125" s="115" t="s">
        <v>74</v>
      </c>
      <c r="F125" s="119" t="s">
        <v>37</v>
      </c>
      <c r="G125" s="122" t="s">
        <v>27</v>
      </c>
      <c r="H125" s="123" t="s">
        <v>790</v>
      </c>
      <c r="I125" s="107"/>
      <c r="J125" s="108"/>
      <c r="K125" s="108"/>
      <c r="L125" s="108"/>
      <c r="M125" s="108"/>
      <c r="N125" s="108"/>
      <c r="O125" s="108"/>
      <c r="P125" s="108"/>
      <c r="Q125" s="108"/>
      <c r="R125" s="108"/>
      <c r="S125" s="108"/>
      <c r="T125" s="108"/>
      <c r="U125" s="108"/>
      <c r="V125" s="108"/>
      <c r="W125" s="108"/>
      <c r="X125" s="108"/>
      <c r="Y125" s="108"/>
      <c r="Z125" s="108"/>
    </row>
    <row r="126" ht="15.75" customHeight="1">
      <c r="A126" s="118" t="s">
        <v>793</v>
      </c>
      <c r="B126" s="119" t="s">
        <v>23</v>
      </c>
      <c r="C126" s="120" t="s">
        <v>794</v>
      </c>
      <c r="D126" s="121" t="s">
        <v>253</v>
      </c>
      <c r="E126" s="115" t="s">
        <v>74</v>
      </c>
      <c r="F126" s="119" t="s">
        <v>37</v>
      </c>
      <c r="G126" s="122" t="s">
        <v>27</v>
      </c>
      <c r="H126" s="123" t="s">
        <v>795</v>
      </c>
      <c r="I126" s="107"/>
      <c r="J126" s="108"/>
      <c r="K126" s="108"/>
      <c r="L126" s="108"/>
      <c r="M126" s="108"/>
      <c r="N126" s="108"/>
      <c r="O126" s="108"/>
      <c r="P126" s="108"/>
      <c r="Q126" s="108"/>
      <c r="R126" s="108"/>
      <c r="S126" s="108"/>
      <c r="T126" s="108"/>
      <c r="U126" s="108"/>
      <c r="V126" s="108"/>
      <c r="W126" s="108"/>
      <c r="X126" s="108"/>
      <c r="Y126" s="108"/>
      <c r="Z126" s="108"/>
    </row>
    <row r="127" ht="15.75" customHeight="1">
      <c r="A127" s="118" t="s">
        <v>796</v>
      </c>
      <c r="B127" s="119" t="s">
        <v>23</v>
      </c>
      <c r="C127" s="120" t="s">
        <v>797</v>
      </c>
      <c r="D127" s="121" t="s">
        <v>253</v>
      </c>
      <c r="E127" s="115" t="s">
        <v>74</v>
      </c>
      <c r="F127" s="119" t="s">
        <v>37</v>
      </c>
      <c r="G127" s="122" t="s">
        <v>27</v>
      </c>
      <c r="H127" s="123" t="s">
        <v>799</v>
      </c>
      <c r="I127" s="107"/>
      <c r="J127" s="108"/>
      <c r="K127" s="108"/>
      <c r="L127" s="108"/>
      <c r="M127" s="108"/>
      <c r="N127" s="108"/>
      <c r="O127" s="108"/>
      <c r="P127" s="108"/>
      <c r="Q127" s="108"/>
      <c r="R127" s="108"/>
      <c r="S127" s="108"/>
      <c r="T127" s="108"/>
      <c r="U127" s="108"/>
      <c r="V127" s="108"/>
      <c r="W127" s="108"/>
      <c r="X127" s="108"/>
      <c r="Y127" s="108"/>
      <c r="Z127" s="108"/>
    </row>
    <row r="128" ht="15.75" customHeight="1">
      <c r="A128" s="118" t="s">
        <v>800</v>
      </c>
      <c r="B128" s="119" t="s">
        <v>23</v>
      </c>
      <c r="C128" s="120" t="s">
        <v>801</v>
      </c>
      <c r="D128" s="121" t="s">
        <v>253</v>
      </c>
      <c r="E128" s="115" t="s">
        <v>74</v>
      </c>
      <c r="F128" s="119" t="s">
        <v>37</v>
      </c>
      <c r="G128" s="122" t="s">
        <v>27</v>
      </c>
      <c r="H128" s="123"/>
      <c r="I128" s="107"/>
      <c r="J128" s="108"/>
      <c r="K128" s="108"/>
      <c r="L128" s="108"/>
      <c r="M128" s="108"/>
      <c r="N128" s="108"/>
      <c r="O128" s="108"/>
      <c r="P128" s="108"/>
      <c r="Q128" s="108"/>
      <c r="R128" s="108"/>
      <c r="S128" s="108"/>
      <c r="T128" s="108"/>
      <c r="U128" s="108"/>
      <c r="V128" s="108"/>
      <c r="W128" s="108"/>
      <c r="X128" s="108"/>
      <c r="Y128" s="108"/>
      <c r="Z128" s="108"/>
    </row>
    <row r="129" ht="15.75" customHeight="1">
      <c r="A129" s="118" t="s">
        <v>804</v>
      </c>
      <c r="B129" s="119" t="s">
        <v>23</v>
      </c>
      <c r="C129" s="120" t="s">
        <v>805</v>
      </c>
      <c r="D129" s="121" t="s">
        <v>253</v>
      </c>
      <c r="E129" s="115" t="s">
        <v>74</v>
      </c>
      <c r="F129" s="119" t="s">
        <v>37</v>
      </c>
      <c r="G129" s="122" t="s">
        <v>27</v>
      </c>
      <c r="H129" s="123"/>
      <c r="I129" s="107"/>
      <c r="J129" s="108"/>
      <c r="K129" s="108"/>
      <c r="L129" s="108"/>
      <c r="M129" s="108"/>
      <c r="N129" s="108"/>
      <c r="O129" s="108"/>
      <c r="P129" s="108"/>
      <c r="Q129" s="108"/>
      <c r="R129" s="108"/>
      <c r="S129" s="108"/>
      <c r="T129" s="108"/>
      <c r="U129" s="108"/>
      <c r="V129" s="108"/>
      <c r="W129" s="108"/>
      <c r="X129" s="108"/>
      <c r="Y129" s="108"/>
      <c r="Z129" s="108"/>
    </row>
    <row r="130" ht="15.75" customHeight="1">
      <c r="A130" s="118" t="s">
        <v>806</v>
      </c>
      <c r="B130" s="119" t="s">
        <v>23</v>
      </c>
      <c r="C130" s="120" t="s">
        <v>807</v>
      </c>
      <c r="D130" s="121" t="s">
        <v>253</v>
      </c>
      <c r="E130" s="115" t="s">
        <v>74</v>
      </c>
      <c r="F130" s="119" t="s">
        <v>37</v>
      </c>
      <c r="G130" s="122" t="s">
        <v>27</v>
      </c>
      <c r="H130" s="123" t="s">
        <v>808</v>
      </c>
      <c r="I130" s="107"/>
      <c r="J130" s="108"/>
      <c r="K130" s="108"/>
      <c r="L130" s="108"/>
      <c r="M130" s="108"/>
      <c r="N130" s="108"/>
      <c r="O130" s="108"/>
      <c r="P130" s="108"/>
      <c r="Q130" s="108"/>
      <c r="R130" s="108"/>
      <c r="S130" s="108"/>
      <c r="T130" s="108"/>
      <c r="U130" s="108"/>
      <c r="V130" s="108"/>
      <c r="W130" s="108"/>
      <c r="X130" s="108"/>
      <c r="Y130" s="108"/>
      <c r="Z130" s="108"/>
    </row>
    <row r="131" ht="15.75" customHeight="1">
      <c r="A131" s="118" t="s">
        <v>810</v>
      </c>
      <c r="B131" s="119" t="s">
        <v>23</v>
      </c>
      <c r="C131" s="120" t="s">
        <v>811</v>
      </c>
      <c r="D131" s="121" t="s">
        <v>253</v>
      </c>
      <c r="E131" s="115" t="s">
        <v>74</v>
      </c>
      <c r="F131" s="119" t="s">
        <v>37</v>
      </c>
      <c r="G131" s="122" t="s">
        <v>27</v>
      </c>
      <c r="H131" s="123" t="s">
        <v>812</v>
      </c>
      <c r="I131" s="107"/>
      <c r="J131" s="108"/>
      <c r="K131" s="108"/>
      <c r="L131" s="108"/>
      <c r="M131" s="108"/>
      <c r="N131" s="108"/>
      <c r="O131" s="108"/>
      <c r="P131" s="108"/>
      <c r="Q131" s="108"/>
      <c r="R131" s="108"/>
      <c r="S131" s="108"/>
      <c r="T131" s="108"/>
      <c r="U131" s="108"/>
      <c r="V131" s="108"/>
      <c r="W131" s="108"/>
      <c r="X131" s="108"/>
      <c r="Y131" s="108"/>
      <c r="Z131" s="108"/>
    </row>
    <row r="132" ht="15.75" customHeight="1">
      <c r="A132" s="118" t="s">
        <v>813</v>
      </c>
      <c r="B132" s="119" t="s">
        <v>23</v>
      </c>
      <c r="C132" s="120" t="s">
        <v>814</v>
      </c>
      <c r="D132" s="121" t="s">
        <v>253</v>
      </c>
      <c r="E132" s="115" t="s">
        <v>74</v>
      </c>
      <c r="F132" s="119" t="s">
        <v>37</v>
      </c>
      <c r="G132" s="122" t="s">
        <v>27</v>
      </c>
      <c r="H132" s="123" t="s">
        <v>816</v>
      </c>
      <c r="I132" s="107"/>
      <c r="J132" s="108"/>
      <c r="K132" s="108"/>
      <c r="L132" s="108"/>
      <c r="M132" s="108"/>
      <c r="N132" s="108"/>
      <c r="O132" s="108"/>
      <c r="P132" s="108"/>
      <c r="Q132" s="108"/>
      <c r="R132" s="108"/>
      <c r="S132" s="108"/>
      <c r="T132" s="108"/>
      <c r="U132" s="108"/>
      <c r="V132" s="108"/>
      <c r="W132" s="108"/>
      <c r="X132" s="108"/>
      <c r="Y132" s="108"/>
      <c r="Z132" s="108"/>
    </row>
    <row r="133" ht="15.75" customHeight="1">
      <c r="A133" s="118" t="s">
        <v>818</v>
      </c>
      <c r="B133" s="119" t="s">
        <v>23</v>
      </c>
      <c r="C133" s="120" t="s">
        <v>819</v>
      </c>
      <c r="D133" s="121" t="s">
        <v>253</v>
      </c>
      <c r="E133" s="115" t="s">
        <v>74</v>
      </c>
      <c r="F133" s="119" t="s">
        <v>37</v>
      </c>
      <c r="G133" s="122" t="s">
        <v>27</v>
      </c>
      <c r="H133" s="123"/>
      <c r="I133" s="108"/>
      <c r="J133" s="108"/>
      <c r="K133" s="108"/>
      <c r="L133" s="108"/>
      <c r="M133" s="108"/>
      <c r="N133" s="108"/>
      <c r="O133" s="108"/>
      <c r="P133" s="108"/>
      <c r="Q133" s="108"/>
      <c r="R133" s="108"/>
      <c r="S133" s="108"/>
      <c r="T133" s="108"/>
      <c r="U133" s="108"/>
      <c r="V133" s="108"/>
      <c r="W133" s="108"/>
      <c r="X133" s="108"/>
      <c r="Y133" s="108"/>
      <c r="Z133" s="108"/>
    </row>
    <row r="134" ht="15.75" customHeight="1">
      <c r="A134" s="151"/>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15.75" customHeight="1">
      <c r="A135" s="151"/>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15.75" customHeight="1">
      <c r="A136" s="151"/>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15.75" customHeight="1">
      <c r="A137" s="151"/>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15.75" customHeight="1">
      <c r="A138" s="151"/>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15.75" customHeight="1">
      <c r="A139" s="151"/>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15.75" customHeight="1">
      <c r="A140" s="151"/>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15.75" customHeight="1">
      <c r="A141" s="151"/>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15.75" customHeight="1">
      <c r="A142" s="151"/>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15.75" customHeight="1">
      <c r="A143" s="151"/>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15.75" customHeight="1">
      <c r="A144" s="151"/>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15.75" customHeight="1">
      <c r="A145" s="151"/>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15.75" customHeight="1">
      <c r="A146" s="151"/>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15.75" customHeight="1">
      <c r="A147" s="151"/>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15.75" customHeight="1">
      <c r="A148" s="151"/>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15.75" customHeight="1">
      <c r="A149" s="151"/>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15.75" customHeight="1">
      <c r="A150" s="151"/>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15.75" customHeight="1">
      <c r="A151" s="151"/>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15.75" customHeight="1">
      <c r="A152" s="151"/>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15.75" customHeight="1">
      <c r="A153" s="151"/>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15.75" customHeight="1">
      <c r="A154" s="151"/>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15.75" customHeight="1">
      <c r="A155" s="151"/>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15.75" customHeight="1">
      <c r="A156" s="151"/>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15.75" customHeight="1">
      <c r="A157" s="151"/>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15.75" customHeight="1">
      <c r="A158" s="151"/>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15.75" customHeight="1">
      <c r="A159" s="151"/>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15.75" customHeight="1">
      <c r="A160" s="151"/>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15.75" customHeight="1">
      <c r="A161" s="151"/>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15.75" customHeight="1">
      <c r="A162" s="151"/>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15.75" customHeight="1">
      <c r="A163" s="151"/>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15.75" customHeight="1">
      <c r="A164" s="151"/>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15.75" customHeight="1">
      <c r="A165" s="151"/>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15.75" customHeight="1">
      <c r="A166" s="151"/>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15.75" customHeight="1">
      <c r="A167" s="151"/>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15.75" customHeight="1">
      <c r="A168" s="151"/>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15.75" customHeight="1">
      <c r="A169" s="151"/>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15.75" customHeight="1">
      <c r="A170" s="151"/>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15.75" customHeight="1">
      <c r="A171" s="151"/>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15.75" customHeight="1">
      <c r="A172" s="151"/>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15.75" customHeight="1">
      <c r="A173" s="151"/>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15.75" customHeight="1">
      <c r="A174" s="151"/>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15.75" customHeight="1">
      <c r="A175" s="151"/>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15.75" customHeight="1">
      <c r="A176" s="151"/>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15.75" customHeight="1">
      <c r="A177" s="151"/>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15.75" customHeight="1">
      <c r="A178" s="151"/>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15.75" customHeight="1">
      <c r="A179" s="151"/>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15.75" customHeight="1">
      <c r="A180" s="151"/>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15.75" customHeight="1">
      <c r="A181" s="151"/>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15.75" customHeight="1">
      <c r="A182" s="151"/>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15.75" customHeight="1">
      <c r="A183" s="151"/>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15.75" customHeight="1">
      <c r="A184" s="151"/>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15.75" customHeight="1">
      <c r="A185" s="151"/>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15.75" customHeight="1">
      <c r="A186" s="151"/>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15.75" customHeight="1">
      <c r="A187" s="151"/>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15.75" customHeight="1">
      <c r="A188" s="151"/>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15.75" customHeight="1">
      <c r="A189" s="151"/>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15.75" customHeight="1">
      <c r="A190" s="151"/>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15.75" customHeight="1">
      <c r="A191" s="151"/>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15.75" customHeight="1">
      <c r="A192" s="151"/>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15.75" customHeight="1">
      <c r="A193" s="151"/>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15.75" customHeight="1">
      <c r="A194" s="151"/>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15.75" customHeight="1">
      <c r="A195" s="151"/>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15.75" customHeight="1">
      <c r="A196" s="151"/>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15.75" customHeight="1">
      <c r="A197" s="151"/>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15.75" customHeight="1">
      <c r="A198" s="151"/>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15.75" customHeight="1">
      <c r="A199" s="151"/>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15.75" customHeight="1">
      <c r="A200" s="151"/>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15.75" customHeight="1">
      <c r="A201" s="151"/>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15.75" customHeight="1">
      <c r="A202" s="151"/>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15.75" customHeight="1">
      <c r="A203" s="151"/>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15.75" customHeight="1">
      <c r="A204" s="151"/>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15.75" customHeight="1">
      <c r="A205" s="151"/>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15.75" customHeight="1">
      <c r="A206" s="151"/>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15.75" customHeight="1">
      <c r="A207" s="151"/>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15.75" customHeight="1">
      <c r="A208" s="151"/>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15.75" customHeight="1">
      <c r="A209" s="151"/>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15.75" customHeight="1">
      <c r="A210" s="151"/>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15.75" customHeight="1">
      <c r="A211" s="151"/>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15.75" customHeight="1">
      <c r="A212" s="151"/>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15.75" customHeight="1">
      <c r="A213" s="151"/>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15.75" customHeight="1">
      <c r="A214" s="151"/>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15.75" customHeight="1">
      <c r="A215" s="151"/>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15.75" customHeight="1">
      <c r="A216" s="151"/>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15.75" customHeight="1">
      <c r="A217" s="151"/>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15.75" customHeight="1">
      <c r="A218" s="151"/>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15.75" customHeight="1">
      <c r="A219" s="151"/>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15.75" customHeight="1">
      <c r="A220" s="151"/>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15.75" customHeight="1">
      <c r="A221" s="151"/>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15.75" customHeight="1">
      <c r="A222" s="151"/>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15.75" customHeight="1">
      <c r="A223" s="151"/>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15.75" customHeight="1">
      <c r="A224" s="151"/>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15.75" customHeight="1">
      <c r="A225" s="151"/>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15.75" customHeight="1">
      <c r="A226" s="151"/>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15.75" customHeight="1">
      <c r="A227" s="151"/>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15.75" customHeight="1">
      <c r="A228" s="151"/>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15.75" customHeight="1">
      <c r="A229" s="151"/>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15.75" customHeight="1">
      <c r="A230" s="151"/>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15.75" customHeight="1">
      <c r="A231" s="151"/>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15.75" customHeight="1">
      <c r="A232" s="151"/>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15.75" customHeight="1">
      <c r="A233" s="151"/>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15.75" customHeight="1">
      <c r="A234" s="151"/>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15.75" customHeight="1">
      <c r="A235" s="151"/>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15.75" customHeight="1">
      <c r="A236" s="151"/>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15.75" customHeight="1">
      <c r="A237" s="151"/>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15.75" customHeight="1">
      <c r="A238" s="151"/>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15.75" customHeight="1">
      <c r="A239" s="151"/>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15.75" customHeight="1">
      <c r="A240" s="151"/>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15.75" customHeight="1">
      <c r="A241" s="151"/>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15.75" customHeight="1">
      <c r="A242" s="151"/>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15.75" customHeight="1">
      <c r="A243" s="151"/>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15.75" customHeight="1">
      <c r="A244" s="151"/>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15.75" customHeight="1">
      <c r="A245" s="151"/>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15.75" customHeight="1">
      <c r="A246" s="151"/>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15.75" customHeight="1">
      <c r="A247" s="151"/>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15.75" customHeight="1">
      <c r="A248" s="151"/>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15.75" customHeight="1">
      <c r="A249" s="151"/>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15.75" customHeight="1">
      <c r="A250" s="151"/>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15.75" customHeight="1">
      <c r="A251" s="151"/>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15.75" customHeight="1">
      <c r="A252" s="151"/>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15.75" customHeight="1">
      <c r="A253" s="151"/>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15.75" customHeight="1">
      <c r="A254" s="151"/>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15.75" customHeight="1">
      <c r="A255" s="151"/>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15.75" customHeight="1">
      <c r="A256" s="151"/>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15.75" customHeight="1">
      <c r="A257" s="151"/>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15.75" customHeight="1">
      <c r="A258" s="151"/>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15.75" customHeight="1">
      <c r="A259" s="151"/>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15.75" customHeight="1">
      <c r="A260" s="151"/>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15.75" customHeight="1">
      <c r="A261" s="151"/>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15.75" customHeight="1">
      <c r="A262" s="151"/>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15.75" customHeight="1">
      <c r="A263" s="151"/>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15.75" customHeight="1">
      <c r="A264" s="151"/>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15.75" customHeight="1">
      <c r="A265" s="151"/>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15.75" customHeight="1">
      <c r="A266" s="151"/>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15.75" customHeight="1">
      <c r="A267" s="151"/>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15.75" customHeight="1">
      <c r="A268" s="151"/>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15.75" customHeight="1">
      <c r="A269" s="151"/>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15.75" customHeight="1">
      <c r="A270" s="151"/>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15.75" customHeight="1">
      <c r="A271" s="151"/>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15.75" customHeight="1">
      <c r="A272" s="151"/>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15.75" customHeight="1">
      <c r="A273" s="151"/>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15.75" customHeight="1">
      <c r="A274" s="151"/>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15.75" customHeight="1">
      <c r="A275" s="151"/>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15.75" customHeight="1">
      <c r="A276" s="151"/>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15.75" customHeight="1">
      <c r="A277" s="151"/>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15.75" customHeight="1">
      <c r="A278" s="151"/>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15.75" customHeight="1">
      <c r="A279" s="151"/>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15.75" customHeight="1">
      <c r="A280" s="151"/>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15.75" customHeight="1">
      <c r="A281" s="151"/>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15.75" customHeight="1">
      <c r="A282" s="151"/>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15.75" customHeight="1">
      <c r="A283" s="151"/>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15.75" customHeight="1">
      <c r="A284" s="151"/>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15.75" customHeight="1">
      <c r="A285" s="151"/>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15.75" customHeight="1">
      <c r="A286" s="151"/>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15.75" customHeight="1">
      <c r="A287" s="151"/>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15.75" customHeight="1">
      <c r="A288" s="151"/>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15.75" customHeight="1">
      <c r="A289" s="151"/>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15.75" customHeight="1">
      <c r="A290" s="151"/>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15.75" customHeight="1">
      <c r="A291" s="151"/>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15.75" customHeight="1">
      <c r="A292" s="151"/>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15.75" customHeight="1">
      <c r="A293" s="151"/>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15.75" customHeight="1">
      <c r="A294" s="151"/>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15.75" customHeight="1">
      <c r="A295" s="151"/>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15.75" customHeight="1">
      <c r="A296" s="151"/>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15.75" customHeight="1">
      <c r="A297" s="151"/>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15.75" customHeight="1">
      <c r="A298" s="151"/>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15.75" customHeight="1">
      <c r="A299" s="151"/>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15.75" customHeight="1">
      <c r="A300" s="151"/>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15.75" customHeight="1">
      <c r="A301" s="151"/>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15.75" customHeight="1">
      <c r="A302" s="151"/>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15.75" customHeight="1">
      <c r="A303" s="151"/>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15.75" customHeight="1">
      <c r="A304" s="151"/>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15.75" customHeight="1">
      <c r="A305" s="151"/>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15.75" customHeight="1">
      <c r="A306" s="151"/>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15.75" customHeight="1">
      <c r="A307" s="151"/>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15.75" customHeight="1">
      <c r="A308" s="151"/>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15.75" customHeight="1">
      <c r="A309" s="151"/>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15.75" customHeight="1">
      <c r="A310" s="151"/>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15.75" customHeight="1">
      <c r="A311" s="151"/>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15.75" customHeight="1">
      <c r="A312" s="151"/>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15.75" customHeight="1">
      <c r="A313" s="151"/>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15.75" customHeight="1">
      <c r="A314" s="151"/>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15.75" customHeight="1">
      <c r="A315" s="151"/>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15.75" customHeight="1">
      <c r="A316" s="151"/>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15.75" customHeight="1">
      <c r="A317" s="151"/>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15.75" customHeight="1">
      <c r="A318" s="151"/>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15.75" customHeight="1">
      <c r="A319" s="151"/>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15.75" customHeight="1">
      <c r="A320" s="151"/>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15.75" customHeight="1">
      <c r="A321" s="151"/>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15.75" customHeight="1">
      <c r="A322" s="151"/>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15.75" customHeight="1">
      <c r="A323" s="151"/>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15.75" customHeight="1">
      <c r="A324" s="151"/>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15.75" customHeight="1">
      <c r="A325" s="151"/>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15.75" customHeight="1">
      <c r="A326" s="151"/>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15.75" customHeight="1">
      <c r="A327" s="151"/>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15.75" customHeight="1">
      <c r="A328" s="151"/>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15.75" customHeight="1">
      <c r="A329" s="151"/>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15.75" customHeight="1">
      <c r="A330" s="151"/>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15.75" customHeight="1">
      <c r="A331" s="151"/>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15.75" customHeight="1">
      <c r="A332" s="151"/>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15.75" customHeight="1">
      <c r="A333" s="151"/>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15.75" customHeight="1">
      <c r="A334" s="158"/>
      <c r="B334" s="148"/>
      <c r="C334" s="148"/>
      <c r="D334" s="148"/>
      <c r="E334" s="148"/>
      <c r="F334" s="148"/>
      <c r="G334" s="148"/>
      <c r="H334" s="148"/>
    </row>
    <row r="335" ht="15.75" customHeight="1">
      <c r="A335" s="158"/>
      <c r="B335" s="148"/>
      <c r="C335" s="148"/>
      <c r="D335" s="148"/>
      <c r="E335" s="148"/>
      <c r="F335" s="148"/>
      <c r="G335" s="148"/>
      <c r="H335" s="148"/>
    </row>
    <row r="336" ht="15.75" customHeight="1">
      <c r="A336" s="158"/>
      <c r="B336" s="148"/>
      <c r="C336" s="148"/>
      <c r="D336" s="148"/>
      <c r="E336" s="148"/>
      <c r="F336" s="148"/>
      <c r="G336" s="148"/>
      <c r="H336" s="148"/>
    </row>
    <row r="337" ht="15.75" customHeight="1">
      <c r="A337" s="158"/>
      <c r="B337" s="148"/>
      <c r="C337" s="148"/>
      <c r="D337" s="148"/>
      <c r="E337" s="148"/>
      <c r="F337" s="148"/>
      <c r="G337" s="148"/>
      <c r="H337" s="148"/>
    </row>
    <row r="338" ht="15.75" customHeight="1">
      <c r="A338" s="158"/>
      <c r="B338" s="148"/>
      <c r="C338" s="148"/>
      <c r="D338" s="148"/>
      <c r="E338" s="148"/>
      <c r="F338" s="148"/>
      <c r="G338" s="148"/>
      <c r="H338" s="148"/>
    </row>
    <row r="339" ht="15.75" customHeight="1">
      <c r="A339" s="158"/>
      <c r="B339" s="148"/>
      <c r="C339" s="148"/>
      <c r="D339" s="148"/>
      <c r="E339" s="148"/>
      <c r="F339" s="148"/>
      <c r="G339" s="148"/>
      <c r="H339" s="148"/>
    </row>
    <row r="340" ht="15.75" customHeight="1">
      <c r="A340" s="158"/>
      <c r="B340" s="148"/>
      <c r="C340" s="148"/>
      <c r="D340" s="148"/>
      <c r="E340" s="148"/>
      <c r="F340" s="148"/>
      <c r="G340" s="148"/>
      <c r="H340" s="148"/>
    </row>
    <row r="341" ht="15.75" customHeight="1">
      <c r="A341" s="158"/>
      <c r="B341" s="148"/>
      <c r="C341" s="148"/>
      <c r="D341" s="148"/>
      <c r="E341" s="148"/>
      <c r="F341" s="148"/>
      <c r="G341" s="148"/>
      <c r="H341" s="148"/>
    </row>
    <row r="342" ht="15.75" customHeight="1">
      <c r="A342" s="158"/>
      <c r="B342" s="148"/>
      <c r="C342" s="148"/>
      <c r="D342" s="148"/>
      <c r="E342" s="148"/>
      <c r="F342" s="148"/>
      <c r="G342" s="148"/>
      <c r="H342" s="148"/>
    </row>
    <row r="343" ht="15.75" customHeight="1">
      <c r="A343" s="158"/>
      <c r="B343" s="148"/>
      <c r="C343" s="148"/>
      <c r="D343" s="148"/>
      <c r="E343" s="148"/>
      <c r="F343" s="148"/>
      <c r="G343" s="148"/>
      <c r="H343" s="148"/>
    </row>
    <row r="344" ht="15.75" customHeight="1">
      <c r="A344" s="158"/>
      <c r="B344" s="148"/>
      <c r="C344" s="148"/>
      <c r="D344" s="148"/>
      <c r="E344" s="148"/>
      <c r="F344" s="148"/>
      <c r="G344" s="148"/>
      <c r="H344" s="148"/>
    </row>
    <row r="345" ht="15.75" customHeight="1">
      <c r="A345" s="158"/>
      <c r="B345" s="148"/>
      <c r="C345" s="148"/>
      <c r="D345" s="148"/>
      <c r="E345" s="148"/>
      <c r="F345" s="148"/>
      <c r="G345" s="148"/>
      <c r="H345" s="148"/>
    </row>
    <row r="346" ht="15.75" customHeight="1">
      <c r="A346" s="158"/>
      <c r="B346" s="148"/>
      <c r="C346" s="148"/>
      <c r="D346" s="148"/>
      <c r="E346" s="148"/>
      <c r="F346" s="148"/>
      <c r="G346" s="148"/>
      <c r="H346" s="148"/>
    </row>
    <row r="347" ht="15.75" customHeight="1">
      <c r="A347" s="158"/>
      <c r="B347" s="148"/>
      <c r="C347" s="148"/>
      <c r="D347" s="148"/>
      <c r="E347" s="148"/>
      <c r="F347" s="148"/>
      <c r="G347" s="148"/>
      <c r="H347" s="148"/>
    </row>
    <row r="348" ht="15.75" customHeight="1">
      <c r="A348" s="158"/>
      <c r="B348" s="148"/>
      <c r="C348" s="148"/>
      <c r="D348" s="148"/>
      <c r="E348" s="148"/>
      <c r="F348" s="148"/>
      <c r="G348" s="148"/>
      <c r="H348" s="148"/>
    </row>
    <row r="349" ht="15.75" customHeight="1">
      <c r="A349" s="158"/>
      <c r="B349" s="148"/>
      <c r="C349" s="148"/>
      <c r="D349" s="148"/>
      <c r="E349" s="148"/>
      <c r="F349" s="148"/>
      <c r="G349" s="148"/>
      <c r="H349" s="148"/>
    </row>
    <row r="350" ht="15.75" customHeight="1">
      <c r="A350" s="158"/>
      <c r="B350" s="148"/>
      <c r="C350" s="148"/>
      <c r="D350" s="148"/>
      <c r="E350" s="148"/>
      <c r="F350" s="148"/>
      <c r="G350" s="148"/>
      <c r="H350" s="148"/>
    </row>
    <row r="351" ht="15.75" customHeight="1">
      <c r="A351" s="158"/>
      <c r="B351" s="148"/>
      <c r="C351" s="148"/>
      <c r="D351" s="148"/>
      <c r="E351" s="148"/>
      <c r="F351" s="148"/>
      <c r="G351" s="148"/>
      <c r="H351" s="148"/>
    </row>
    <row r="352" ht="15.75" customHeight="1">
      <c r="A352" s="158"/>
      <c r="B352" s="148"/>
      <c r="C352" s="148"/>
      <c r="D352" s="148"/>
      <c r="E352" s="148"/>
      <c r="F352" s="148"/>
      <c r="G352" s="148"/>
      <c r="H352" s="148"/>
    </row>
    <row r="353" ht="15.75" customHeight="1">
      <c r="A353" s="158"/>
      <c r="B353" s="148"/>
      <c r="C353" s="148"/>
      <c r="D353" s="148"/>
      <c r="E353" s="148"/>
      <c r="F353" s="148"/>
      <c r="G353" s="148"/>
      <c r="H353" s="148"/>
    </row>
    <row r="354" ht="15.75" customHeight="1">
      <c r="A354" s="158"/>
      <c r="B354" s="148"/>
      <c r="C354" s="148"/>
      <c r="D354" s="148"/>
      <c r="E354" s="148"/>
      <c r="F354" s="148"/>
      <c r="G354" s="148"/>
      <c r="H354" s="148"/>
    </row>
    <row r="355" ht="15.75" customHeight="1">
      <c r="A355" s="158"/>
      <c r="B355" s="148"/>
      <c r="C355" s="148"/>
      <c r="D355" s="148"/>
      <c r="E355" s="148"/>
      <c r="F355" s="148"/>
      <c r="G355" s="148"/>
      <c r="H355" s="148"/>
    </row>
    <row r="356" ht="15.75" customHeight="1">
      <c r="A356" s="158"/>
      <c r="B356" s="148"/>
      <c r="C356" s="148"/>
      <c r="D356" s="148"/>
      <c r="E356" s="148"/>
      <c r="F356" s="148"/>
      <c r="G356" s="148"/>
      <c r="H356" s="148"/>
    </row>
    <row r="357" ht="15.75" customHeight="1">
      <c r="A357" s="158"/>
      <c r="B357" s="148"/>
      <c r="C357" s="148"/>
      <c r="D357" s="148"/>
      <c r="E357" s="148"/>
      <c r="F357" s="148"/>
      <c r="G357" s="148"/>
      <c r="H357" s="148"/>
    </row>
    <row r="358" ht="15.75" customHeight="1">
      <c r="A358" s="158"/>
      <c r="B358" s="148"/>
      <c r="C358" s="148"/>
      <c r="D358" s="148"/>
      <c r="E358" s="148"/>
      <c r="F358" s="148"/>
      <c r="G358" s="148"/>
      <c r="H358" s="148"/>
    </row>
    <row r="359" ht="15.75" customHeight="1">
      <c r="A359" s="158"/>
      <c r="B359" s="148"/>
      <c r="C359" s="148"/>
      <c r="D359" s="148"/>
      <c r="E359" s="148"/>
      <c r="F359" s="148"/>
      <c r="G359" s="148"/>
      <c r="H359" s="148"/>
    </row>
    <row r="360" ht="15.75" customHeight="1">
      <c r="A360" s="158"/>
      <c r="B360" s="148"/>
      <c r="C360" s="148"/>
      <c r="D360" s="148"/>
      <c r="E360" s="148"/>
      <c r="F360" s="148"/>
      <c r="G360" s="148"/>
      <c r="H360" s="148"/>
    </row>
    <row r="361" ht="15.75" customHeight="1">
      <c r="A361" s="158"/>
      <c r="B361" s="148"/>
      <c r="C361" s="148"/>
      <c r="D361" s="148"/>
      <c r="E361" s="148"/>
      <c r="F361" s="148"/>
      <c r="G361" s="148"/>
      <c r="H361" s="148"/>
    </row>
    <row r="362" ht="15.75" customHeight="1">
      <c r="A362" s="158"/>
      <c r="B362" s="148"/>
      <c r="C362" s="148"/>
      <c r="D362" s="148"/>
      <c r="E362" s="148"/>
      <c r="F362" s="148"/>
      <c r="G362" s="148"/>
      <c r="H362" s="148"/>
    </row>
    <row r="363" ht="15.75" customHeight="1">
      <c r="A363" s="158"/>
      <c r="B363" s="148"/>
      <c r="C363" s="148"/>
      <c r="D363" s="148"/>
      <c r="E363" s="148"/>
      <c r="F363" s="148"/>
      <c r="G363" s="148"/>
      <c r="H363" s="148"/>
    </row>
    <row r="364" ht="15.75" customHeight="1">
      <c r="A364" s="158"/>
      <c r="B364" s="148"/>
      <c r="C364" s="148"/>
      <c r="D364" s="148"/>
      <c r="E364" s="148"/>
      <c r="F364" s="148"/>
      <c r="G364" s="148"/>
      <c r="H364" s="148"/>
    </row>
    <row r="365" ht="15.75" customHeight="1">
      <c r="A365" s="158"/>
      <c r="B365" s="148"/>
      <c r="C365" s="148"/>
      <c r="D365" s="148"/>
      <c r="E365" s="148"/>
      <c r="F365" s="148"/>
      <c r="G365" s="148"/>
      <c r="H365" s="148"/>
    </row>
    <row r="366" ht="15.75" customHeight="1">
      <c r="A366" s="158"/>
      <c r="B366" s="148"/>
      <c r="C366" s="148"/>
      <c r="D366" s="148"/>
      <c r="E366" s="148"/>
      <c r="F366" s="148"/>
      <c r="G366" s="148"/>
      <c r="H366" s="148"/>
    </row>
    <row r="367" ht="15.75" customHeight="1">
      <c r="A367" s="158"/>
      <c r="B367" s="148"/>
      <c r="C367" s="148"/>
      <c r="D367" s="148"/>
      <c r="E367" s="148"/>
      <c r="F367" s="148"/>
      <c r="G367" s="148"/>
      <c r="H367" s="148"/>
    </row>
    <row r="368" ht="15.75" customHeight="1">
      <c r="A368" s="158"/>
      <c r="B368" s="148"/>
      <c r="C368" s="148"/>
      <c r="D368" s="148"/>
      <c r="E368" s="148"/>
      <c r="F368" s="148"/>
      <c r="G368" s="148"/>
      <c r="H368" s="148"/>
    </row>
    <row r="369" ht="15.75" customHeight="1">
      <c r="A369" s="158"/>
      <c r="B369" s="148"/>
      <c r="C369" s="148"/>
      <c r="D369" s="148"/>
      <c r="E369" s="148"/>
      <c r="F369" s="148"/>
      <c r="G369" s="148"/>
      <c r="H369" s="148"/>
    </row>
    <row r="370" ht="15.75" customHeight="1">
      <c r="A370" s="158"/>
      <c r="B370" s="148"/>
      <c r="C370" s="148"/>
      <c r="D370" s="148"/>
      <c r="E370" s="148"/>
      <c r="F370" s="148"/>
      <c r="G370" s="148"/>
      <c r="H370" s="148"/>
    </row>
    <row r="371" ht="15.75" customHeight="1">
      <c r="A371" s="158"/>
      <c r="B371" s="148"/>
      <c r="C371" s="148"/>
      <c r="D371" s="148"/>
      <c r="E371" s="148"/>
      <c r="F371" s="148"/>
      <c r="G371" s="148"/>
      <c r="H371" s="148"/>
    </row>
    <row r="372" ht="15.75" customHeight="1">
      <c r="A372" s="158"/>
      <c r="B372" s="148"/>
      <c r="C372" s="148"/>
      <c r="D372" s="148"/>
      <c r="E372" s="148"/>
      <c r="F372" s="148"/>
      <c r="G372" s="148"/>
      <c r="H372" s="148"/>
    </row>
    <row r="373" ht="15.75" customHeight="1">
      <c r="A373" s="158"/>
      <c r="B373" s="148"/>
      <c r="C373" s="148"/>
      <c r="D373" s="148"/>
      <c r="E373" s="148"/>
      <c r="F373" s="148"/>
      <c r="G373" s="148"/>
      <c r="H373" s="148"/>
    </row>
    <row r="374" ht="15.75" customHeight="1">
      <c r="A374" s="158"/>
      <c r="B374" s="148"/>
      <c r="C374" s="148"/>
      <c r="D374" s="148"/>
      <c r="E374" s="148"/>
      <c r="F374" s="148"/>
      <c r="G374" s="148"/>
      <c r="H374" s="148"/>
    </row>
    <row r="375" ht="15.75" customHeight="1">
      <c r="A375" s="158"/>
      <c r="B375" s="148"/>
      <c r="C375" s="148"/>
      <c r="D375" s="148"/>
      <c r="E375" s="148"/>
      <c r="F375" s="148"/>
      <c r="G375" s="148"/>
      <c r="H375" s="148"/>
    </row>
    <row r="376" ht="15.75" customHeight="1">
      <c r="A376" s="158"/>
      <c r="B376" s="148"/>
      <c r="C376" s="148"/>
      <c r="D376" s="148"/>
      <c r="E376" s="148"/>
      <c r="F376" s="148"/>
      <c r="G376" s="148"/>
      <c r="H376" s="148"/>
    </row>
    <row r="377" ht="15.75" customHeight="1">
      <c r="A377" s="158"/>
      <c r="B377" s="148"/>
      <c r="C377" s="148"/>
      <c r="D377" s="148"/>
      <c r="E377" s="148"/>
      <c r="F377" s="148"/>
      <c r="G377" s="148"/>
      <c r="H377" s="148"/>
    </row>
    <row r="378" ht="15.75" customHeight="1">
      <c r="A378" s="158"/>
      <c r="B378" s="148"/>
      <c r="C378" s="148"/>
      <c r="D378" s="148"/>
      <c r="E378" s="148"/>
      <c r="F378" s="148"/>
      <c r="G378" s="148"/>
      <c r="H378" s="148"/>
    </row>
    <row r="379" ht="15.75" customHeight="1">
      <c r="A379" s="158"/>
      <c r="B379" s="148"/>
      <c r="C379" s="148"/>
      <c r="D379" s="148"/>
      <c r="E379" s="148"/>
      <c r="F379" s="148"/>
      <c r="G379" s="148"/>
      <c r="H379" s="148"/>
    </row>
    <row r="380" ht="15.75" customHeight="1">
      <c r="A380" s="158"/>
      <c r="B380" s="148"/>
      <c r="C380" s="148"/>
      <c r="D380" s="148"/>
      <c r="E380" s="148"/>
      <c r="F380" s="148"/>
      <c r="G380" s="148"/>
      <c r="H380" s="148"/>
    </row>
    <row r="381" ht="15.75" customHeight="1">
      <c r="A381" s="158"/>
      <c r="B381" s="148"/>
      <c r="C381" s="148"/>
      <c r="D381" s="148"/>
      <c r="E381" s="148"/>
      <c r="F381" s="148"/>
      <c r="G381" s="148"/>
      <c r="H381" s="148"/>
    </row>
    <row r="382" ht="15.75" customHeight="1">
      <c r="A382" s="158"/>
      <c r="B382" s="148"/>
      <c r="C382" s="148"/>
      <c r="D382" s="148"/>
      <c r="E382" s="148"/>
      <c r="F382" s="148"/>
      <c r="G382" s="148"/>
      <c r="H382" s="148"/>
    </row>
    <row r="383" ht="15.75" customHeight="1">
      <c r="A383" s="158"/>
      <c r="B383" s="148"/>
      <c r="C383" s="148"/>
      <c r="D383" s="148"/>
      <c r="E383" s="148"/>
      <c r="F383" s="148"/>
      <c r="G383" s="148"/>
      <c r="H383" s="148"/>
    </row>
    <row r="384" ht="15.75" customHeight="1">
      <c r="A384" s="158"/>
      <c r="B384" s="148"/>
      <c r="C384" s="148"/>
      <c r="D384" s="148"/>
      <c r="E384" s="148"/>
      <c r="F384" s="148"/>
      <c r="G384" s="148"/>
      <c r="H384" s="148"/>
    </row>
    <row r="385" ht="15.75" customHeight="1">
      <c r="A385" s="158"/>
      <c r="B385" s="148"/>
      <c r="C385" s="148"/>
      <c r="D385" s="148"/>
      <c r="E385" s="148"/>
      <c r="F385" s="148"/>
      <c r="G385" s="148"/>
      <c r="H385" s="148"/>
    </row>
    <row r="386" ht="15.75" customHeight="1">
      <c r="A386" s="158"/>
      <c r="B386" s="148"/>
      <c r="C386" s="148"/>
      <c r="D386" s="148"/>
      <c r="E386" s="148"/>
      <c r="F386" s="148"/>
      <c r="G386" s="148"/>
      <c r="H386" s="148"/>
    </row>
    <row r="387" ht="15.75" customHeight="1">
      <c r="A387" s="158"/>
      <c r="B387" s="148"/>
      <c r="C387" s="148"/>
      <c r="D387" s="148"/>
      <c r="E387" s="148"/>
      <c r="F387" s="148"/>
      <c r="G387" s="148"/>
      <c r="H387" s="148"/>
    </row>
    <row r="388" ht="15.75" customHeight="1">
      <c r="A388" s="158"/>
      <c r="B388" s="148"/>
      <c r="C388" s="148"/>
      <c r="D388" s="148"/>
      <c r="E388" s="148"/>
      <c r="F388" s="148"/>
      <c r="G388" s="148"/>
      <c r="H388" s="148"/>
    </row>
    <row r="389" ht="15.75" customHeight="1">
      <c r="A389" s="158"/>
      <c r="B389" s="148"/>
      <c r="C389" s="148"/>
      <c r="D389" s="148"/>
      <c r="E389" s="148"/>
      <c r="F389" s="148"/>
      <c r="G389" s="148"/>
      <c r="H389" s="148"/>
    </row>
    <row r="390" ht="15.75" customHeight="1">
      <c r="A390" s="158"/>
      <c r="B390" s="148"/>
      <c r="C390" s="148"/>
      <c r="D390" s="148"/>
      <c r="E390" s="148"/>
      <c r="F390" s="148"/>
      <c r="G390" s="148"/>
      <c r="H390" s="148"/>
    </row>
    <row r="391" ht="15.75" customHeight="1">
      <c r="A391" s="158"/>
      <c r="B391" s="148"/>
      <c r="C391" s="148"/>
      <c r="D391" s="148"/>
      <c r="E391" s="148"/>
      <c r="F391" s="148"/>
      <c r="G391" s="148"/>
      <c r="H391" s="148"/>
    </row>
    <row r="392" ht="15.75" customHeight="1">
      <c r="A392" s="158"/>
      <c r="B392" s="148"/>
      <c r="C392" s="148"/>
      <c r="D392" s="148"/>
      <c r="E392" s="148"/>
      <c r="F392" s="148"/>
      <c r="G392" s="148"/>
      <c r="H392" s="148"/>
    </row>
    <row r="393" ht="15.75" customHeight="1">
      <c r="A393" s="158"/>
      <c r="B393" s="148"/>
      <c r="C393" s="148"/>
      <c r="D393" s="148"/>
      <c r="E393" s="148"/>
      <c r="F393" s="148"/>
      <c r="G393" s="148"/>
      <c r="H393" s="148"/>
    </row>
    <row r="394" ht="15.75" customHeight="1">
      <c r="A394" s="158"/>
      <c r="B394" s="148"/>
      <c r="C394" s="148"/>
      <c r="D394" s="148"/>
      <c r="E394" s="148"/>
      <c r="F394" s="148"/>
      <c r="G394" s="148"/>
      <c r="H394" s="148"/>
    </row>
    <row r="395" ht="15.75" customHeight="1">
      <c r="A395" s="158"/>
      <c r="B395" s="148"/>
      <c r="C395" s="148"/>
      <c r="D395" s="148"/>
      <c r="E395" s="148"/>
      <c r="F395" s="148"/>
      <c r="G395" s="148"/>
      <c r="H395" s="148"/>
    </row>
    <row r="396" ht="15.75" customHeight="1">
      <c r="A396" s="158"/>
      <c r="B396" s="148"/>
      <c r="C396" s="148"/>
      <c r="D396" s="148"/>
      <c r="E396" s="148"/>
      <c r="F396" s="148"/>
      <c r="G396" s="148"/>
      <c r="H396" s="148"/>
    </row>
    <row r="397" ht="15.75" customHeight="1">
      <c r="A397" s="158"/>
      <c r="B397" s="148"/>
      <c r="C397" s="148"/>
      <c r="D397" s="148"/>
      <c r="E397" s="148"/>
      <c r="F397" s="148"/>
      <c r="G397" s="148"/>
      <c r="H397" s="148"/>
    </row>
    <row r="398" ht="15.75" customHeight="1">
      <c r="A398" s="158"/>
      <c r="B398" s="148"/>
      <c r="C398" s="148"/>
      <c r="D398" s="148"/>
      <c r="E398" s="148"/>
      <c r="F398" s="148"/>
      <c r="G398" s="148"/>
      <c r="H398" s="148"/>
    </row>
    <row r="399" ht="15.75" customHeight="1">
      <c r="A399" s="158"/>
      <c r="B399" s="148"/>
      <c r="C399" s="148"/>
      <c r="D399" s="148"/>
      <c r="E399" s="148"/>
      <c r="F399" s="148"/>
      <c r="G399" s="148"/>
      <c r="H399" s="148"/>
    </row>
    <row r="400" ht="15.75" customHeight="1">
      <c r="A400" s="158"/>
      <c r="B400" s="148"/>
      <c r="C400" s="148"/>
      <c r="D400" s="148"/>
      <c r="E400" s="148"/>
      <c r="F400" s="148"/>
      <c r="G400" s="148"/>
      <c r="H400" s="148"/>
    </row>
    <row r="401" ht="15.75" customHeight="1">
      <c r="A401" s="158"/>
      <c r="B401" s="148"/>
      <c r="C401" s="148"/>
      <c r="D401" s="148"/>
      <c r="E401" s="148"/>
      <c r="F401" s="148"/>
      <c r="G401" s="148"/>
      <c r="H401" s="148"/>
    </row>
    <row r="402" ht="15.75" customHeight="1">
      <c r="A402" s="158"/>
      <c r="B402" s="148"/>
      <c r="C402" s="148"/>
      <c r="D402" s="148"/>
      <c r="E402" s="148"/>
      <c r="F402" s="148"/>
      <c r="G402" s="148"/>
      <c r="H402" s="148"/>
    </row>
    <row r="403" ht="15.75" customHeight="1">
      <c r="A403" s="158"/>
      <c r="B403" s="148"/>
      <c r="C403" s="148"/>
      <c r="D403" s="148"/>
      <c r="E403" s="148"/>
      <c r="F403" s="148"/>
      <c r="G403" s="148"/>
      <c r="H403" s="148"/>
    </row>
    <row r="404" ht="15.75" customHeight="1">
      <c r="A404" s="158"/>
      <c r="B404" s="148"/>
      <c r="C404" s="148"/>
      <c r="D404" s="148"/>
      <c r="E404" s="148"/>
      <c r="F404" s="148"/>
      <c r="G404" s="148"/>
      <c r="H404" s="148"/>
    </row>
    <row r="405" ht="15.75" customHeight="1">
      <c r="A405" s="158"/>
      <c r="B405" s="148"/>
      <c r="C405" s="148"/>
      <c r="D405" s="148"/>
      <c r="E405" s="148"/>
      <c r="F405" s="148"/>
      <c r="G405" s="148"/>
      <c r="H405" s="148"/>
    </row>
    <row r="406" ht="15.75" customHeight="1">
      <c r="A406" s="158"/>
      <c r="B406" s="148"/>
      <c r="C406" s="148"/>
      <c r="D406" s="148"/>
      <c r="E406" s="148"/>
      <c r="F406" s="148"/>
      <c r="G406" s="148"/>
      <c r="H406" s="148"/>
    </row>
    <row r="407" ht="15.75" customHeight="1">
      <c r="A407" s="158"/>
      <c r="B407" s="148"/>
      <c r="C407" s="148"/>
      <c r="D407" s="148"/>
      <c r="E407" s="148"/>
      <c r="F407" s="148"/>
      <c r="G407" s="148"/>
      <c r="H407" s="148"/>
    </row>
    <row r="408" ht="15.75" customHeight="1">
      <c r="A408" s="158"/>
      <c r="B408" s="148"/>
      <c r="C408" s="148"/>
      <c r="D408" s="148"/>
      <c r="E408" s="148"/>
      <c r="F408" s="148"/>
      <c r="G408" s="148"/>
      <c r="H408" s="148"/>
    </row>
    <row r="409" ht="15.75" customHeight="1">
      <c r="A409" s="158"/>
      <c r="B409" s="148"/>
      <c r="C409" s="148"/>
      <c r="D409" s="148"/>
      <c r="E409" s="148"/>
      <c r="F409" s="148"/>
      <c r="G409" s="148"/>
      <c r="H409" s="148"/>
    </row>
    <row r="410" ht="15.75" customHeight="1">
      <c r="A410" s="158"/>
      <c r="B410" s="148"/>
      <c r="C410" s="148"/>
      <c r="D410" s="148"/>
      <c r="E410" s="148"/>
      <c r="F410" s="148"/>
      <c r="G410" s="148"/>
      <c r="H410" s="148"/>
    </row>
    <row r="411" ht="15.75" customHeight="1">
      <c r="A411" s="158"/>
      <c r="B411" s="148"/>
      <c r="C411" s="148"/>
      <c r="D411" s="148"/>
      <c r="E411" s="148"/>
      <c r="F411" s="148"/>
      <c r="G411" s="148"/>
      <c r="H411" s="148"/>
    </row>
    <row r="412" ht="15.75" customHeight="1">
      <c r="A412" s="158"/>
      <c r="B412" s="148"/>
      <c r="C412" s="148"/>
      <c r="D412" s="148"/>
      <c r="E412" s="148"/>
      <c r="F412" s="148"/>
      <c r="G412" s="148"/>
      <c r="H412" s="148"/>
    </row>
    <row r="413" ht="15.75" customHeight="1">
      <c r="A413" s="158"/>
      <c r="B413" s="148"/>
      <c r="C413" s="148"/>
      <c r="D413" s="148"/>
      <c r="E413" s="148"/>
      <c r="F413" s="148"/>
      <c r="G413" s="148"/>
      <c r="H413" s="148"/>
    </row>
    <row r="414" ht="15.75" customHeight="1">
      <c r="A414" s="158"/>
      <c r="B414" s="148"/>
      <c r="C414" s="148"/>
      <c r="D414" s="148"/>
      <c r="E414" s="148"/>
      <c r="F414" s="148"/>
      <c r="G414" s="148"/>
      <c r="H414" s="148"/>
    </row>
    <row r="415" ht="15.75" customHeight="1">
      <c r="A415" s="158"/>
      <c r="B415" s="148"/>
      <c r="C415" s="148"/>
      <c r="D415" s="148"/>
      <c r="E415" s="148"/>
      <c r="F415" s="148"/>
      <c r="G415" s="148"/>
      <c r="H415" s="148"/>
    </row>
    <row r="416" ht="15.75" customHeight="1">
      <c r="A416" s="158"/>
      <c r="B416" s="148"/>
      <c r="C416" s="148"/>
      <c r="D416" s="148"/>
      <c r="E416" s="148"/>
      <c r="F416" s="148"/>
      <c r="G416" s="148"/>
      <c r="H416" s="148"/>
    </row>
    <row r="417" ht="15.75" customHeight="1">
      <c r="A417" s="158"/>
      <c r="B417" s="148"/>
      <c r="C417" s="148"/>
      <c r="D417" s="148"/>
      <c r="E417" s="148"/>
      <c r="F417" s="148"/>
      <c r="G417" s="148"/>
      <c r="H417" s="148"/>
    </row>
    <row r="418" ht="15.75" customHeight="1">
      <c r="A418" s="158"/>
      <c r="B418" s="148"/>
      <c r="C418" s="148"/>
      <c r="D418" s="148"/>
      <c r="E418" s="148"/>
      <c r="F418" s="148"/>
      <c r="G418" s="148"/>
      <c r="H418" s="148"/>
    </row>
    <row r="419" ht="15.75" customHeight="1">
      <c r="A419" s="158"/>
      <c r="B419" s="148"/>
      <c r="C419" s="148"/>
      <c r="D419" s="148"/>
      <c r="E419" s="148"/>
      <c r="F419" s="148"/>
      <c r="G419" s="148"/>
      <c r="H419" s="148"/>
    </row>
    <row r="420" ht="15.75" customHeight="1">
      <c r="A420" s="158"/>
      <c r="B420" s="148"/>
      <c r="C420" s="148"/>
      <c r="D420" s="148"/>
      <c r="E420" s="148"/>
      <c r="F420" s="148"/>
      <c r="G420" s="148"/>
      <c r="H420" s="148"/>
    </row>
    <row r="421" ht="15.75" customHeight="1">
      <c r="A421" s="158"/>
      <c r="B421" s="148"/>
      <c r="C421" s="148"/>
      <c r="D421" s="148"/>
      <c r="E421" s="148"/>
      <c r="F421" s="148"/>
      <c r="G421" s="148"/>
      <c r="H421" s="148"/>
    </row>
    <row r="422" ht="15.75" customHeight="1">
      <c r="A422" s="158"/>
      <c r="B422" s="148"/>
      <c r="C422" s="148"/>
      <c r="D422" s="148"/>
      <c r="E422" s="148"/>
      <c r="F422" s="148"/>
      <c r="G422" s="148"/>
      <c r="H422" s="148"/>
    </row>
    <row r="423" ht="15.75" customHeight="1">
      <c r="A423" s="158"/>
      <c r="B423" s="148"/>
      <c r="C423" s="148"/>
      <c r="D423" s="148"/>
      <c r="E423" s="148"/>
      <c r="F423" s="148"/>
      <c r="G423" s="148"/>
      <c r="H423" s="148"/>
    </row>
    <row r="424" ht="15.75" customHeight="1">
      <c r="A424" s="158"/>
      <c r="B424" s="148"/>
      <c r="C424" s="148"/>
      <c r="D424" s="148"/>
      <c r="E424" s="148"/>
      <c r="F424" s="148"/>
      <c r="G424" s="148"/>
      <c r="H424" s="148"/>
    </row>
    <row r="425" ht="15.75" customHeight="1">
      <c r="A425" s="158"/>
      <c r="B425" s="148"/>
      <c r="C425" s="148"/>
      <c r="D425" s="148"/>
      <c r="E425" s="148"/>
      <c r="F425" s="148"/>
      <c r="G425" s="148"/>
      <c r="H425" s="148"/>
    </row>
    <row r="426" ht="15.75" customHeight="1">
      <c r="A426" s="158"/>
      <c r="B426" s="148"/>
      <c r="C426" s="148"/>
      <c r="D426" s="148"/>
      <c r="E426" s="148"/>
      <c r="F426" s="148"/>
      <c r="G426" s="148"/>
      <c r="H426" s="148"/>
    </row>
    <row r="427" ht="15.75" customHeight="1">
      <c r="A427" s="158"/>
      <c r="B427" s="148"/>
      <c r="C427" s="148"/>
      <c r="D427" s="148"/>
      <c r="E427" s="148"/>
      <c r="F427" s="148"/>
      <c r="G427" s="148"/>
      <c r="H427" s="148"/>
    </row>
    <row r="428" ht="15.75" customHeight="1">
      <c r="A428" s="158"/>
      <c r="B428" s="148"/>
      <c r="C428" s="148"/>
      <c r="D428" s="148"/>
      <c r="E428" s="148"/>
      <c r="F428" s="148"/>
      <c r="G428" s="148"/>
      <c r="H428" s="148"/>
    </row>
    <row r="429" ht="15.75" customHeight="1">
      <c r="A429" s="158"/>
      <c r="B429" s="148"/>
      <c r="C429" s="148"/>
      <c r="D429" s="148"/>
      <c r="E429" s="148"/>
      <c r="F429" s="148"/>
      <c r="G429" s="148"/>
      <c r="H429" s="148"/>
    </row>
    <row r="430" ht="15.75" customHeight="1">
      <c r="A430" s="158"/>
      <c r="B430" s="148"/>
      <c r="C430" s="148"/>
      <c r="D430" s="148"/>
      <c r="E430" s="148"/>
      <c r="F430" s="148"/>
      <c r="G430" s="148"/>
      <c r="H430" s="148"/>
    </row>
    <row r="431" ht="15.75" customHeight="1">
      <c r="A431" s="158"/>
      <c r="B431" s="148"/>
      <c r="C431" s="148"/>
      <c r="D431" s="148"/>
      <c r="E431" s="148"/>
      <c r="F431" s="148"/>
      <c r="G431" s="148"/>
      <c r="H431" s="148"/>
    </row>
    <row r="432" ht="15.75" customHeight="1">
      <c r="A432" s="158"/>
      <c r="B432" s="148"/>
      <c r="C432" s="148"/>
      <c r="D432" s="148"/>
      <c r="E432" s="148"/>
      <c r="F432" s="148"/>
      <c r="G432" s="148"/>
      <c r="H432" s="148"/>
    </row>
    <row r="433" ht="15.75" customHeight="1">
      <c r="A433" s="158"/>
      <c r="B433" s="148"/>
      <c r="C433" s="148"/>
      <c r="D433" s="148"/>
      <c r="E433" s="148"/>
      <c r="F433" s="148"/>
      <c r="G433" s="148"/>
      <c r="H433" s="148"/>
    </row>
    <row r="434" ht="15.75" customHeight="1">
      <c r="A434" s="158"/>
      <c r="B434" s="148"/>
      <c r="C434" s="148"/>
      <c r="D434" s="148"/>
      <c r="E434" s="148"/>
      <c r="F434" s="148"/>
      <c r="G434" s="148"/>
      <c r="H434" s="148"/>
    </row>
    <row r="435" ht="15.75" customHeight="1">
      <c r="A435" s="158"/>
      <c r="B435" s="148"/>
      <c r="C435" s="148"/>
      <c r="D435" s="148"/>
      <c r="E435" s="148"/>
      <c r="F435" s="148"/>
      <c r="G435" s="148"/>
      <c r="H435" s="148"/>
    </row>
    <row r="436" ht="15.75" customHeight="1">
      <c r="A436" s="158"/>
      <c r="B436" s="148"/>
      <c r="C436" s="148"/>
      <c r="D436" s="148"/>
      <c r="E436" s="148"/>
      <c r="F436" s="148"/>
      <c r="G436" s="148"/>
      <c r="H436" s="148"/>
    </row>
    <row r="437" ht="15.75" customHeight="1">
      <c r="A437" s="158"/>
      <c r="B437" s="148"/>
      <c r="C437" s="148"/>
      <c r="D437" s="148"/>
      <c r="E437" s="148"/>
      <c r="F437" s="148"/>
      <c r="G437" s="148"/>
      <c r="H437" s="148"/>
    </row>
    <row r="438" ht="15.75" customHeight="1">
      <c r="A438" s="158"/>
      <c r="B438" s="148"/>
      <c r="C438" s="148"/>
      <c r="D438" s="148"/>
      <c r="E438" s="148"/>
      <c r="F438" s="148"/>
      <c r="G438" s="148"/>
      <c r="H438" s="148"/>
    </row>
    <row r="439" ht="15.75" customHeight="1">
      <c r="A439" s="158"/>
      <c r="B439" s="148"/>
      <c r="C439" s="148"/>
      <c r="D439" s="148"/>
      <c r="E439" s="148"/>
      <c r="F439" s="148"/>
      <c r="G439" s="148"/>
      <c r="H439" s="148"/>
    </row>
    <row r="440" ht="15.75" customHeight="1">
      <c r="A440" s="158"/>
      <c r="B440" s="148"/>
      <c r="C440" s="148"/>
      <c r="D440" s="148"/>
      <c r="E440" s="148"/>
      <c r="F440" s="148"/>
      <c r="G440" s="148"/>
      <c r="H440" s="148"/>
    </row>
    <row r="441" ht="15.75" customHeight="1">
      <c r="A441" s="158"/>
      <c r="B441" s="148"/>
      <c r="C441" s="148"/>
      <c r="D441" s="148"/>
      <c r="E441" s="148"/>
      <c r="F441" s="148"/>
      <c r="G441" s="148"/>
      <c r="H441" s="148"/>
    </row>
    <row r="442" ht="15.75" customHeight="1">
      <c r="A442" s="158"/>
      <c r="B442" s="148"/>
      <c r="C442" s="148"/>
      <c r="D442" s="148"/>
      <c r="E442" s="148"/>
      <c r="F442" s="148"/>
      <c r="G442" s="148"/>
      <c r="H442" s="148"/>
    </row>
    <row r="443" ht="15.75" customHeight="1">
      <c r="A443" s="158"/>
      <c r="B443" s="148"/>
      <c r="C443" s="148"/>
      <c r="D443" s="148"/>
      <c r="E443" s="148"/>
      <c r="F443" s="148"/>
      <c r="G443" s="148"/>
      <c r="H443" s="148"/>
    </row>
    <row r="444" ht="15.75" customHeight="1">
      <c r="A444" s="158"/>
      <c r="B444" s="148"/>
      <c r="C444" s="148"/>
      <c r="D444" s="148"/>
      <c r="E444" s="148"/>
      <c r="F444" s="148"/>
      <c r="G444" s="148"/>
      <c r="H444" s="148"/>
    </row>
    <row r="445" ht="15.75" customHeight="1">
      <c r="A445" s="158"/>
      <c r="B445" s="148"/>
      <c r="C445" s="148"/>
      <c r="D445" s="148"/>
      <c r="E445" s="148"/>
      <c r="F445" s="148"/>
      <c r="G445" s="148"/>
      <c r="H445" s="148"/>
    </row>
    <row r="446" ht="15.75" customHeight="1">
      <c r="A446" s="158"/>
      <c r="B446" s="148"/>
      <c r="C446" s="148"/>
      <c r="D446" s="148"/>
      <c r="E446" s="148"/>
      <c r="F446" s="148"/>
      <c r="G446" s="148"/>
      <c r="H446" s="148"/>
    </row>
    <row r="447" ht="15.75" customHeight="1">
      <c r="A447" s="158"/>
      <c r="B447" s="148"/>
      <c r="C447" s="148"/>
      <c r="D447" s="148"/>
      <c r="E447" s="148"/>
      <c r="F447" s="148"/>
      <c r="G447" s="148"/>
      <c r="H447" s="148"/>
    </row>
    <row r="448" ht="15.75" customHeight="1">
      <c r="A448" s="158"/>
      <c r="B448" s="148"/>
      <c r="C448" s="148"/>
      <c r="D448" s="148"/>
      <c r="E448" s="148"/>
      <c r="F448" s="148"/>
      <c r="G448" s="148"/>
      <c r="H448" s="148"/>
    </row>
    <row r="449" ht="15.75" customHeight="1">
      <c r="A449" s="158"/>
      <c r="B449" s="148"/>
      <c r="C449" s="148"/>
      <c r="D449" s="148"/>
      <c r="E449" s="148"/>
      <c r="F449" s="148"/>
      <c r="G449" s="148"/>
      <c r="H449" s="148"/>
    </row>
    <row r="450" ht="15.75" customHeight="1">
      <c r="A450" s="158"/>
      <c r="B450" s="148"/>
      <c r="C450" s="148"/>
      <c r="D450" s="148"/>
      <c r="E450" s="148"/>
      <c r="F450" s="148"/>
      <c r="G450" s="148"/>
      <c r="H450" s="148"/>
    </row>
    <row r="451" ht="15.75" customHeight="1">
      <c r="A451" s="158"/>
      <c r="B451" s="148"/>
      <c r="C451" s="148"/>
      <c r="D451" s="148"/>
      <c r="E451" s="148"/>
      <c r="F451" s="148"/>
      <c r="G451" s="148"/>
      <c r="H451" s="148"/>
    </row>
    <row r="452" ht="15.75" customHeight="1">
      <c r="A452" s="158"/>
      <c r="B452" s="148"/>
      <c r="C452" s="148"/>
      <c r="D452" s="148"/>
      <c r="E452" s="148"/>
      <c r="F452" s="148"/>
      <c r="G452" s="148"/>
      <c r="H452" s="148"/>
    </row>
    <row r="453" ht="15.75" customHeight="1">
      <c r="A453" s="158"/>
      <c r="B453" s="148"/>
      <c r="C453" s="148"/>
      <c r="D453" s="148"/>
      <c r="E453" s="148"/>
      <c r="F453" s="148"/>
      <c r="G453" s="148"/>
      <c r="H453" s="148"/>
    </row>
    <row r="454" ht="15.75" customHeight="1">
      <c r="A454" s="158"/>
      <c r="B454" s="148"/>
      <c r="C454" s="148"/>
      <c r="D454" s="148"/>
      <c r="E454" s="148"/>
      <c r="F454" s="148"/>
      <c r="G454" s="148"/>
      <c r="H454" s="148"/>
    </row>
    <row r="455" ht="15.75" customHeight="1">
      <c r="A455" s="158"/>
      <c r="B455" s="148"/>
      <c r="C455" s="148"/>
      <c r="D455" s="148"/>
      <c r="E455" s="148"/>
      <c r="F455" s="148"/>
      <c r="G455" s="148"/>
      <c r="H455" s="148"/>
    </row>
    <row r="456" ht="15.75" customHeight="1">
      <c r="A456" s="158"/>
      <c r="B456" s="148"/>
      <c r="C456" s="148"/>
      <c r="D456" s="148"/>
      <c r="E456" s="148"/>
      <c r="F456" s="148"/>
      <c r="G456" s="148"/>
      <c r="H456" s="148"/>
    </row>
    <row r="457" ht="15.75" customHeight="1">
      <c r="A457" s="158"/>
      <c r="B457" s="148"/>
      <c r="C457" s="148"/>
      <c r="D457" s="148"/>
      <c r="E457" s="148"/>
      <c r="F457" s="148"/>
      <c r="G457" s="148"/>
      <c r="H457" s="148"/>
    </row>
    <row r="458" ht="15.75" customHeight="1">
      <c r="A458" s="158"/>
      <c r="B458" s="148"/>
      <c r="C458" s="148"/>
      <c r="D458" s="148"/>
      <c r="E458" s="148"/>
      <c r="F458" s="148"/>
      <c r="G458" s="148"/>
      <c r="H458" s="148"/>
    </row>
    <row r="459" ht="15.75" customHeight="1">
      <c r="A459" s="158"/>
      <c r="B459" s="148"/>
      <c r="C459" s="148"/>
      <c r="D459" s="148"/>
      <c r="E459" s="148"/>
      <c r="F459" s="148"/>
      <c r="G459" s="148"/>
      <c r="H459" s="148"/>
    </row>
    <row r="460" ht="15.75" customHeight="1">
      <c r="A460" s="158"/>
      <c r="B460" s="148"/>
      <c r="C460" s="148"/>
      <c r="D460" s="148"/>
      <c r="E460" s="148"/>
      <c r="F460" s="148"/>
      <c r="G460" s="148"/>
      <c r="H460" s="148"/>
    </row>
    <row r="461" ht="15.75" customHeight="1">
      <c r="A461" s="158"/>
      <c r="B461" s="148"/>
      <c r="C461" s="148"/>
      <c r="D461" s="148"/>
      <c r="E461" s="148"/>
      <c r="F461" s="148"/>
      <c r="G461" s="148"/>
      <c r="H461" s="148"/>
    </row>
    <row r="462" ht="15.75" customHeight="1">
      <c r="A462" s="158"/>
      <c r="B462" s="148"/>
      <c r="C462" s="148"/>
      <c r="D462" s="148"/>
      <c r="E462" s="148"/>
      <c r="F462" s="148"/>
      <c r="G462" s="148"/>
      <c r="H462" s="148"/>
    </row>
    <row r="463" ht="15.75" customHeight="1">
      <c r="A463" s="158"/>
      <c r="B463" s="148"/>
      <c r="C463" s="148"/>
      <c r="D463" s="148"/>
      <c r="E463" s="148"/>
      <c r="F463" s="148"/>
      <c r="G463" s="148"/>
      <c r="H463" s="148"/>
    </row>
    <row r="464" ht="15.75" customHeight="1">
      <c r="A464" s="158"/>
      <c r="B464" s="148"/>
      <c r="C464" s="148"/>
      <c r="D464" s="148"/>
      <c r="E464" s="148"/>
      <c r="F464" s="148"/>
      <c r="G464" s="148"/>
      <c r="H464" s="148"/>
    </row>
    <row r="465" ht="15.75" customHeight="1">
      <c r="A465" s="158"/>
      <c r="B465" s="148"/>
      <c r="C465" s="148"/>
      <c r="D465" s="148"/>
      <c r="E465" s="148"/>
      <c r="F465" s="148"/>
      <c r="G465" s="148"/>
      <c r="H465" s="148"/>
    </row>
    <row r="466" ht="15.75" customHeight="1">
      <c r="A466" s="158"/>
      <c r="B466" s="148"/>
      <c r="C466" s="148"/>
      <c r="D466" s="148"/>
      <c r="E466" s="148"/>
      <c r="F466" s="148"/>
      <c r="G466" s="148"/>
      <c r="H466" s="148"/>
    </row>
    <row r="467" ht="15.75" customHeight="1">
      <c r="A467" s="158"/>
      <c r="B467" s="148"/>
      <c r="C467" s="148"/>
      <c r="D467" s="148"/>
      <c r="E467" s="148"/>
      <c r="F467" s="148"/>
      <c r="G467" s="148"/>
      <c r="H467" s="148"/>
    </row>
    <row r="468" ht="15.75" customHeight="1">
      <c r="A468" s="158"/>
      <c r="B468" s="148"/>
      <c r="C468" s="148"/>
      <c r="D468" s="148"/>
      <c r="E468" s="148"/>
      <c r="F468" s="148"/>
      <c r="G468" s="148"/>
      <c r="H468" s="148"/>
    </row>
    <row r="469" ht="15.75" customHeight="1">
      <c r="A469" s="158"/>
      <c r="B469" s="148"/>
      <c r="C469" s="148"/>
      <c r="D469" s="148"/>
      <c r="E469" s="148"/>
      <c r="F469" s="148"/>
      <c r="G469" s="148"/>
      <c r="H469" s="148"/>
    </row>
    <row r="470" ht="15.75" customHeight="1">
      <c r="A470" s="158"/>
      <c r="B470" s="148"/>
      <c r="C470" s="148"/>
      <c r="D470" s="148"/>
      <c r="E470" s="148"/>
      <c r="F470" s="148"/>
      <c r="G470" s="148"/>
      <c r="H470" s="148"/>
    </row>
    <row r="471" ht="15.75" customHeight="1">
      <c r="A471" s="158"/>
      <c r="B471" s="148"/>
      <c r="C471" s="148"/>
      <c r="D471" s="148"/>
      <c r="E471" s="148"/>
      <c r="F471" s="148"/>
      <c r="G471" s="148"/>
      <c r="H471" s="148"/>
    </row>
    <row r="472" ht="15.75" customHeight="1">
      <c r="A472" s="158"/>
      <c r="B472" s="148"/>
      <c r="C472" s="148"/>
      <c r="D472" s="148"/>
      <c r="E472" s="148"/>
      <c r="F472" s="148"/>
      <c r="G472" s="148"/>
      <c r="H472" s="148"/>
    </row>
    <row r="473" ht="15.75" customHeight="1">
      <c r="A473" s="158"/>
      <c r="B473" s="148"/>
      <c r="C473" s="148"/>
      <c r="D473" s="148"/>
      <c r="E473" s="148"/>
      <c r="F473" s="148"/>
      <c r="G473" s="148"/>
      <c r="H473" s="148"/>
    </row>
    <row r="474" ht="15.75" customHeight="1">
      <c r="A474" s="158"/>
      <c r="B474" s="148"/>
      <c r="C474" s="148"/>
      <c r="D474" s="148"/>
      <c r="E474" s="148"/>
      <c r="F474" s="148"/>
      <c r="G474" s="148"/>
      <c r="H474" s="148"/>
    </row>
    <row r="475" ht="15.75" customHeight="1">
      <c r="A475" s="158"/>
      <c r="B475" s="148"/>
      <c r="C475" s="148"/>
      <c r="D475" s="148"/>
      <c r="E475" s="148"/>
      <c r="F475" s="148"/>
      <c r="G475" s="148"/>
      <c r="H475" s="148"/>
    </row>
    <row r="476" ht="15.75" customHeight="1">
      <c r="A476" s="158"/>
      <c r="B476" s="148"/>
      <c r="C476" s="148"/>
      <c r="D476" s="148"/>
      <c r="E476" s="148"/>
      <c r="F476" s="148"/>
      <c r="G476" s="148"/>
      <c r="H476" s="148"/>
    </row>
    <row r="477" ht="15.75" customHeight="1">
      <c r="A477" s="158"/>
      <c r="B477" s="148"/>
      <c r="C477" s="148"/>
      <c r="D477" s="148"/>
      <c r="E477" s="148"/>
      <c r="F477" s="148"/>
      <c r="G477" s="148"/>
      <c r="H477" s="148"/>
    </row>
    <row r="478" ht="15.75" customHeight="1">
      <c r="A478" s="158"/>
      <c r="B478" s="148"/>
      <c r="C478" s="148"/>
      <c r="D478" s="148"/>
      <c r="E478" s="148"/>
      <c r="F478" s="148"/>
      <c r="G478" s="148"/>
      <c r="H478" s="148"/>
    </row>
    <row r="479" ht="15.75" customHeight="1">
      <c r="A479" s="158"/>
      <c r="B479" s="148"/>
      <c r="C479" s="148"/>
      <c r="D479" s="148"/>
      <c r="E479" s="148"/>
      <c r="F479" s="148"/>
      <c r="G479" s="148"/>
      <c r="H479" s="148"/>
    </row>
    <row r="480" ht="15.75" customHeight="1">
      <c r="A480" s="158"/>
      <c r="B480" s="148"/>
      <c r="C480" s="148"/>
      <c r="D480" s="148"/>
      <c r="E480" s="148"/>
      <c r="F480" s="148"/>
      <c r="G480" s="148"/>
      <c r="H480" s="148"/>
    </row>
    <row r="481" ht="15.75" customHeight="1">
      <c r="A481" s="158"/>
      <c r="B481" s="148"/>
      <c r="C481" s="148"/>
      <c r="D481" s="148"/>
      <c r="E481" s="148"/>
      <c r="F481" s="148"/>
      <c r="G481" s="148"/>
      <c r="H481" s="148"/>
    </row>
    <row r="482" ht="15.75" customHeight="1">
      <c r="A482" s="158"/>
      <c r="B482" s="148"/>
      <c r="C482" s="148"/>
      <c r="D482" s="148"/>
      <c r="E482" s="148"/>
      <c r="F482" s="148"/>
      <c r="G482" s="148"/>
      <c r="H482" s="148"/>
    </row>
    <row r="483" ht="15.75" customHeight="1">
      <c r="A483" s="158"/>
      <c r="B483" s="148"/>
      <c r="C483" s="148"/>
      <c r="D483" s="148"/>
      <c r="E483" s="148"/>
      <c r="F483" s="148"/>
      <c r="G483" s="148"/>
      <c r="H483" s="148"/>
    </row>
    <row r="484" ht="15.75" customHeight="1">
      <c r="A484" s="158"/>
      <c r="B484" s="148"/>
      <c r="C484" s="148"/>
      <c r="D484" s="148"/>
      <c r="E484" s="148"/>
      <c r="F484" s="148"/>
      <c r="G484" s="148"/>
      <c r="H484" s="148"/>
    </row>
    <row r="485" ht="15.75" customHeight="1">
      <c r="A485" s="158"/>
      <c r="B485" s="148"/>
      <c r="C485" s="148"/>
      <c r="D485" s="148"/>
      <c r="E485" s="148"/>
      <c r="F485" s="148"/>
      <c r="G485" s="148"/>
      <c r="H485" s="148"/>
    </row>
    <row r="486" ht="15.75" customHeight="1">
      <c r="A486" s="158"/>
      <c r="B486" s="148"/>
      <c r="C486" s="148"/>
      <c r="D486" s="148"/>
      <c r="E486" s="148"/>
      <c r="F486" s="148"/>
      <c r="G486" s="148"/>
      <c r="H486" s="148"/>
    </row>
    <row r="487" ht="15.75" customHeight="1">
      <c r="A487" s="158"/>
      <c r="B487" s="148"/>
      <c r="C487" s="148"/>
      <c r="D487" s="148"/>
      <c r="E487" s="148"/>
      <c r="F487" s="148"/>
      <c r="G487" s="148"/>
      <c r="H487" s="148"/>
    </row>
    <row r="488" ht="15.75" customHeight="1">
      <c r="A488" s="158"/>
      <c r="B488" s="148"/>
      <c r="C488" s="148"/>
      <c r="D488" s="148"/>
      <c r="E488" s="148"/>
      <c r="F488" s="148"/>
      <c r="G488" s="148"/>
      <c r="H488" s="148"/>
    </row>
    <row r="489" ht="15.75" customHeight="1">
      <c r="A489" s="158"/>
      <c r="B489" s="148"/>
      <c r="C489" s="148"/>
      <c r="D489" s="148"/>
      <c r="E489" s="148"/>
      <c r="F489" s="148"/>
      <c r="G489" s="148"/>
      <c r="H489" s="148"/>
    </row>
    <row r="490" ht="15.75" customHeight="1">
      <c r="A490" s="158"/>
      <c r="B490" s="148"/>
      <c r="C490" s="148"/>
      <c r="D490" s="148"/>
      <c r="E490" s="148"/>
      <c r="F490" s="148"/>
      <c r="G490" s="148"/>
      <c r="H490" s="148"/>
    </row>
    <row r="491" ht="15.75" customHeight="1">
      <c r="A491" s="158"/>
      <c r="B491" s="148"/>
      <c r="C491" s="148"/>
      <c r="D491" s="148"/>
      <c r="E491" s="148"/>
      <c r="F491" s="148"/>
      <c r="G491" s="148"/>
      <c r="H491" s="148"/>
    </row>
    <row r="492" ht="15.75" customHeight="1">
      <c r="A492" s="158"/>
      <c r="B492" s="148"/>
      <c r="C492" s="148"/>
      <c r="D492" s="148"/>
      <c r="E492" s="148"/>
      <c r="F492" s="148"/>
      <c r="G492" s="148"/>
      <c r="H492" s="148"/>
    </row>
    <row r="493" ht="15.75" customHeight="1">
      <c r="A493" s="158"/>
      <c r="B493" s="148"/>
      <c r="C493" s="148"/>
      <c r="D493" s="148"/>
      <c r="E493" s="148"/>
      <c r="F493" s="148"/>
      <c r="G493" s="148"/>
      <c r="H493" s="148"/>
    </row>
    <row r="494" ht="15.75" customHeight="1">
      <c r="A494" s="158"/>
      <c r="B494" s="148"/>
      <c r="C494" s="148"/>
      <c r="D494" s="148"/>
      <c r="E494" s="148"/>
      <c r="F494" s="148"/>
      <c r="G494" s="148"/>
      <c r="H494" s="148"/>
    </row>
    <row r="495" ht="15.75" customHeight="1">
      <c r="A495" s="158"/>
      <c r="B495" s="148"/>
      <c r="C495" s="148"/>
      <c r="D495" s="148"/>
      <c r="E495" s="148"/>
      <c r="F495" s="148"/>
      <c r="G495" s="148"/>
      <c r="H495" s="148"/>
    </row>
    <row r="496" ht="15.75" customHeight="1">
      <c r="A496" s="158"/>
      <c r="B496" s="148"/>
      <c r="C496" s="148"/>
      <c r="D496" s="148"/>
      <c r="E496" s="148"/>
      <c r="F496" s="148"/>
      <c r="G496" s="148"/>
      <c r="H496" s="148"/>
    </row>
    <row r="497" ht="15.75" customHeight="1">
      <c r="A497" s="158"/>
      <c r="B497" s="148"/>
      <c r="C497" s="148"/>
      <c r="D497" s="148"/>
      <c r="E497" s="148"/>
      <c r="F497" s="148"/>
      <c r="G497" s="148"/>
      <c r="H497" s="148"/>
    </row>
    <row r="498" ht="15.75" customHeight="1">
      <c r="A498" s="158"/>
      <c r="B498" s="148"/>
      <c r="C498" s="148"/>
      <c r="D498" s="148"/>
      <c r="E498" s="148"/>
      <c r="F498" s="148"/>
      <c r="G498" s="148"/>
      <c r="H498" s="148"/>
    </row>
    <row r="499" ht="15.75" customHeight="1">
      <c r="A499" s="158"/>
      <c r="B499" s="148"/>
      <c r="C499" s="148"/>
      <c r="D499" s="148"/>
      <c r="E499" s="148"/>
      <c r="F499" s="148"/>
      <c r="G499" s="148"/>
      <c r="H499" s="148"/>
    </row>
    <row r="500" ht="15.75" customHeight="1">
      <c r="A500" s="158"/>
      <c r="B500" s="148"/>
      <c r="C500" s="148"/>
      <c r="D500" s="148"/>
      <c r="E500" s="148"/>
      <c r="F500" s="148"/>
      <c r="G500" s="148"/>
      <c r="H500" s="148"/>
    </row>
    <row r="501" ht="15.75" customHeight="1">
      <c r="A501" s="158"/>
      <c r="B501" s="148"/>
      <c r="C501" s="148"/>
      <c r="D501" s="148"/>
      <c r="E501" s="148"/>
      <c r="F501" s="148"/>
      <c r="G501" s="148"/>
      <c r="H501" s="148"/>
    </row>
    <row r="502" ht="15.75" customHeight="1">
      <c r="A502" s="158"/>
      <c r="B502" s="148"/>
      <c r="C502" s="148"/>
      <c r="D502" s="148"/>
      <c r="E502" s="148"/>
      <c r="F502" s="148"/>
      <c r="G502" s="148"/>
      <c r="H502" s="148"/>
    </row>
    <row r="503" ht="15.75" customHeight="1">
      <c r="A503" s="158"/>
      <c r="B503" s="148"/>
      <c r="C503" s="148"/>
      <c r="D503" s="148"/>
      <c r="E503" s="148"/>
      <c r="F503" s="148"/>
      <c r="G503" s="148"/>
      <c r="H503" s="148"/>
    </row>
    <row r="504" ht="15.75" customHeight="1">
      <c r="A504" s="158"/>
      <c r="B504" s="148"/>
      <c r="C504" s="148"/>
      <c r="D504" s="148"/>
      <c r="E504" s="148"/>
      <c r="F504" s="148"/>
      <c r="G504" s="148"/>
      <c r="H504" s="148"/>
    </row>
    <row r="505" ht="15.75" customHeight="1">
      <c r="A505" s="158"/>
      <c r="B505" s="148"/>
      <c r="C505" s="148"/>
      <c r="D505" s="148"/>
      <c r="E505" s="148"/>
      <c r="F505" s="148"/>
      <c r="G505" s="148"/>
      <c r="H505" s="148"/>
    </row>
    <row r="506" ht="15.75" customHeight="1">
      <c r="A506" s="158"/>
      <c r="B506" s="148"/>
      <c r="C506" s="148"/>
      <c r="D506" s="148"/>
      <c r="E506" s="148"/>
      <c r="F506" s="148"/>
      <c r="G506" s="148"/>
      <c r="H506" s="148"/>
    </row>
    <row r="507" ht="15.75" customHeight="1">
      <c r="A507" s="158"/>
      <c r="B507" s="148"/>
      <c r="C507" s="148"/>
      <c r="D507" s="148"/>
      <c r="E507" s="148"/>
      <c r="F507" s="148"/>
      <c r="G507" s="148"/>
      <c r="H507" s="148"/>
    </row>
    <row r="508" ht="15.75" customHeight="1">
      <c r="A508" s="158"/>
      <c r="B508" s="148"/>
      <c r="C508" s="148"/>
      <c r="D508" s="148"/>
      <c r="E508" s="148"/>
      <c r="F508" s="148"/>
      <c r="G508" s="148"/>
      <c r="H508" s="148"/>
    </row>
    <row r="509" ht="15.75" customHeight="1">
      <c r="A509" s="158"/>
      <c r="B509" s="148"/>
      <c r="C509" s="148"/>
      <c r="D509" s="148"/>
      <c r="E509" s="148"/>
      <c r="F509" s="148"/>
      <c r="G509" s="148"/>
      <c r="H509" s="148"/>
    </row>
    <row r="510" ht="15.75" customHeight="1">
      <c r="A510" s="158"/>
      <c r="B510" s="148"/>
      <c r="C510" s="148"/>
      <c r="D510" s="148"/>
      <c r="E510" s="148"/>
      <c r="F510" s="148"/>
      <c r="G510" s="148"/>
      <c r="H510" s="148"/>
    </row>
    <row r="511" ht="15.75" customHeight="1">
      <c r="A511" s="158"/>
      <c r="B511" s="148"/>
      <c r="C511" s="148"/>
      <c r="D511" s="148"/>
      <c r="E511" s="148"/>
      <c r="F511" s="148"/>
      <c r="G511" s="148"/>
      <c r="H511" s="148"/>
    </row>
    <row r="512" ht="15.75" customHeight="1">
      <c r="A512" s="158"/>
      <c r="B512" s="148"/>
      <c r="C512" s="148"/>
      <c r="D512" s="148"/>
      <c r="E512" s="148"/>
      <c r="F512" s="148"/>
      <c r="G512" s="148"/>
      <c r="H512" s="148"/>
    </row>
    <row r="513" ht="15.75" customHeight="1">
      <c r="A513" s="158"/>
      <c r="B513" s="148"/>
      <c r="C513" s="148"/>
      <c r="D513" s="148"/>
      <c r="E513" s="148"/>
      <c r="F513" s="148"/>
      <c r="G513" s="148"/>
      <c r="H513" s="148"/>
    </row>
    <row r="514" ht="15.75" customHeight="1">
      <c r="A514" s="158"/>
      <c r="B514" s="148"/>
      <c r="C514" s="148"/>
      <c r="D514" s="148"/>
      <c r="E514" s="148"/>
      <c r="F514" s="148"/>
      <c r="G514" s="148"/>
      <c r="H514" s="148"/>
    </row>
    <row r="515" ht="15.75" customHeight="1">
      <c r="A515" s="158"/>
      <c r="B515" s="148"/>
      <c r="C515" s="148"/>
      <c r="D515" s="148"/>
      <c r="E515" s="148"/>
      <c r="F515" s="148"/>
      <c r="G515" s="148"/>
      <c r="H515" s="148"/>
    </row>
    <row r="516" ht="15.75" customHeight="1">
      <c r="A516" s="158"/>
      <c r="B516" s="148"/>
      <c r="C516" s="148"/>
      <c r="D516" s="148"/>
      <c r="E516" s="148"/>
      <c r="F516" s="148"/>
      <c r="G516" s="148"/>
      <c r="H516" s="148"/>
    </row>
    <row r="517" ht="15.75" customHeight="1">
      <c r="A517" s="158"/>
      <c r="B517" s="148"/>
      <c r="C517" s="148"/>
      <c r="D517" s="148"/>
      <c r="E517" s="148"/>
      <c r="F517" s="148"/>
      <c r="G517" s="148"/>
      <c r="H517" s="148"/>
    </row>
    <row r="518" ht="15.75" customHeight="1">
      <c r="A518" s="158"/>
      <c r="B518" s="148"/>
      <c r="C518" s="148"/>
      <c r="D518" s="148"/>
      <c r="E518" s="148"/>
      <c r="F518" s="148"/>
      <c r="G518" s="148"/>
      <c r="H518" s="148"/>
    </row>
    <row r="519" ht="15.75" customHeight="1">
      <c r="A519" s="158"/>
      <c r="B519" s="148"/>
      <c r="C519" s="148"/>
      <c r="D519" s="148"/>
      <c r="E519" s="148"/>
      <c r="F519" s="148"/>
      <c r="G519" s="148"/>
      <c r="H519" s="148"/>
    </row>
    <row r="520" ht="15.75" customHeight="1">
      <c r="A520" s="158"/>
      <c r="B520" s="148"/>
      <c r="C520" s="148"/>
      <c r="D520" s="148"/>
      <c r="E520" s="148"/>
      <c r="F520" s="148"/>
      <c r="G520" s="148"/>
      <c r="H520" s="148"/>
    </row>
    <row r="521" ht="15.75" customHeight="1">
      <c r="A521" s="158"/>
      <c r="B521" s="148"/>
      <c r="C521" s="148"/>
      <c r="D521" s="148"/>
      <c r="E521" s="148"/>
      <c r="F521" s="148"/>
      <c r="G521" s="148"/>
      <c r="H521" s="148"/>
    </row>
    <row r="522" ht="15.75" customHeight="1">
      <c r="A522" s="158"/>
      <c r="B522" s="148"/>
      <c r="C522" s="148"/>
      <c r="D522" s="148"/>
      <c r="E522" s="148"/>
      <c r="F522" s="148"/>
      <c r="G522" s="148"/>
      <c r="H522" s="148"/>
    </row>
    <row r="523" ht="15.75" customHeight="1">
      <c r="A523" s="158"/>
      <c r="B523" s="148"/>
      <c r="C523" s="148"/>
      <c r="D523" s="148"/>
      <c r="E523" s="148"/>
      <c r="F523" s="148"/>
      <c r="G523" s="148"/>
      <c r="H523" s="148"/>
    </row>
    <row r="524" ht="15.75" customHeight="1">
      <c r="A524" s="158"/>
      <c r="B524" s="148"/>
      <c r="C524" s="148"/>
      <c r="D524" s="148"/>
      <c r="E524" s="148"/>
      <c r="F524" s="148"/>
      <c r="G524" s="148"/>
      <c r="H524" s="148"/>
    </row>
    <row r="525" ht="15.75" customHeight="1">
      <c r="A525" s="158"/>
      <c r="B525" s="148"/>
      <c r="C525" s="148"/>
      <c r="D525" s="148"/>
      <c r="E525" s="148"/>
      <c r="F525" s="148"/>
      <c r="G525" s="148"/>
      <c r="H525" s="148"/>
    </row>
    <row r="526" ht="15.75" customHeight="1">
      <c r="A526" s="158"/>
      <c r="B526" s="148"/>
      <c r="C526" s="148"/>
      <c r="D526" s="148"/>
      <c r="E526" s="148"/>
      <c r="F526" s="148"/>
      <c r="G526" s="148"/>
      <c r="H526" s="148"/>
    </row>
    <row r="527" ht="15.75" customHeight="1">
      <c r="A527" s="158"/>
      <c r="B527" s="148"/>
      <c r="C527" s="148"/>
      <c r="D527" s="148"/>
      <c r="E527" s="148"/>
      <c r="F527" s="148"/>
      <c r="G527" s="148"/>
      <c r="H527" s="148"/>
    </row>
    <row r="528" ht="15.75" customHeight="1">
      <c r="A528" s="158"/>
      <c r="B528" s="148"/>
      <c r="C528" s="148"/>
      <c r="D528" s="148"/>
      <c r="E528" s="148"/>
      <c r="F528" s="148"/>
      <c r="G528" s="148"/>
      <c r="H528" s="148"/>
    </row>
    <row r="529" ht="15.75" customHeight="1">
      <c r="A529" s="158"/>
      <c r="B529" s="148"/>
      <c r="C529" s="148"/>
      <c r="D529" s="148"/>
      <c r="E529" s="148"/>
      <c r="F529" s="148"/>
      <c r="G529" s="148"/>
      <c r="H529" s="148"/>
    </row>
    <row r="530" ht="15.75" customHeight="1">
      <c r="A530" s="158"/>
      <c r="B530" s="148"/>
      <c r="C530" s="148"/>
      <c r="D530" s="148"/>
      <c r="E530" s="148"/>
      <c r="F530" s="148"/>
      <c r="G530" s="148"/>
      <c r="H530" s="148"/>
    </row>
    <row r="531" ht="15.75" customHeight="1">
      <c r="A531" s="158"/>
      <c r="B531" s="148"/>
      <c r="C531" s="148"/>
      <c r="D531" s="148"/>
      <c r="E531" s="148"/>
      <c r="F531" s="148"/>
      <c r="G531" s="148"/>
      <c r="H531" s="148"/>
    </row>
    <row r="532" ht="15.75" customHeight="1">
      <c r="A532" s="158"/>
      <c r="B532" s="148"/>
      <c r="C532" s="148"/>
      <c r="D532" s="148"/>
      <c r="E532" s="148"/>
      <c r="F532" s="148"/>
      <c r="G532" s="148"/>
      <c r="H532" s="148"/>
    </row>
    <row r="533" ht="15.75" customHeight="1">
      <c r="A533" s="158"/>
      <c r="B533" s="148"/>
      <c r="C533" s="148"/>
      <c r="D533" s="148"/>
      <c r="E533" s="148"/>
      <c r="F533" s="148"/>
      <c r="G533" s="148"/>
      <c r="H533" s="148"/>
    </row>
    <row r="534" ht="15.75" customHeight="1">
      <c r="A534" s="158"/>
      <c r="B534" s="148"/>
      <c r="C534" s="148"/>
      <c r="D534" s="148"/>
      <c r="E534" s="148"/>
      <c r="F534" s="148"/>
      <c r="G534" s="148"/>
      <c r="H534" s="148"/>
    </row>
    <row r="535" ht="15.75" customHeight="1">
      <c r="A535" s="158"/>
      <c r="B535" s="148"/>
      <c r="C535" s="148"/>
      <c r="D535" s="148"/>
      <c r="E535" s="148"/>
      <c r="F535" s="148"/>
      <c r="G535" s="148"/>
      <c r="H535" s="148"/>
    </row>
    <row r="536" ht="15.75" customHeight="1">
      <c r="A536" s="158"/>
      <c r="B536" s="148"/>
      <c r="C536" s="148"/>
      <c r="D536" s="148"/>
      <c r="E536" s="148"/>
      <c r="F536" s="148"/>
      <c r="G536" s="148"/>
      <c r="H536" s="148"/>
    </row>
    <row r="537" ht="15.75" customHeight="1">
      <c r="A537" s="158"/>
      <c r="B537" s="148"/>
      <c r="C537" s="148"/>
      <c r="D537" s="148"/>
      <c r="E537" s="148"/>
      <c r="F537" s="148"/>
      <c r="G537" s="148"/>
      <c r="H537" s="148"/>
    </row>
    <row r="538" ht="15.75" customHeight="1">
      <c r="A538" s="158"/>
      <c r="B538" s="148"/>
      <c r="C538" s="148"/>
      <c r="D538" s="148"/>
      <c r="E538" s="148"/>
      <c r="F538" s="148"/>
      <c r="G538" s="148"/>
      <c r="H538" s="148"/>
    </row>
    <row r="539" ht="15.75" customHeight="1">
      <c r="A539" s="158"/>
      <c r="B539" s="148"/>
      <c r="C539" s="148"/>
      <c r="D539" s="148"/>
      <c r="E539" s="148"/>
      <c r="F539" s="148"/>
      <c r="G539" s="148"/>
      <c r="H539" s="148"/>
    </row>
    <row r="540" ht="15.75" customHeight="1">
      <c r="A540" s="158"/>
      <c r="B540" s="148"/>
      <c r="C540" s="148"/>
      <c r="D540" s="148"/>
      <c r="E540" s="148"/>
      <c r="F540" s="148"/>
      <c r="G540" s="148"/>
      <c r="H540" s="148"/>
    </row>
    <row r="541" ht="15.75" customHeight="1">
      <c r="A541" s="158"/>
      <c r="B541" s="148"/>
      <c r="C541" s="148"/>
      <c r="D541" s="148"/>
      <c r="E541" s="148"/>
      <c r="F541" s="148"/>
      <c r="G541" s="148"/>
      <c r="H541" s="148"/>
    </row>
    <row r="542" ht="15.75" customHeight="1">
      <c r="A542" s="158"/>
      <c r="B542" s="148"/>
      <c r="C542" s="148"/>
      <c r="D542" s="148"/>
      <c r="E542" s="148"/>
      <c r="F542" s="148"/>
      <c r="G542" s="148"/>
      <c r="H542" s="148"/>
    </row>
    <row r="543" ht="15.75" customHeight="1">
      <c r="A543" s="158"/>
      <c r="B543" s="148"/>
      <c r="C543" s="148"/>
      <c r="D543" s="148"/>
      <c r="E543" s="148"/>
      <c r="F543" s="148"/>
      <c r="G543" s="148"/>
      <c r="H543" s="148"/>
    </row>
    <row r="544" ht="15.75" customHeight="1">
      <c r="A544" s="158"/>
      <c r="B544" s="148"/>
      <c r="C544" s="148"/>
      <c r="D544" s="148"/>
      <c r="E544" s="148"/>
      <c r="F544" s="148"/>
      <c r="G544" s="148"/>
      <c r="H544" s="148"/>
    </row>
    <row r="545" ht="15.75" customHeight="1">
      <c r="A545" s="158"/>
      <c r="B545" s="148"/>
      <c r="C545" s="148"/>
      <c r="D545" s="148"/>
      <c r="E545" s="148"/>
      <c r="F545" s="148"/>
      <c r="G545" s="148"/>
      <c r="H545" s="148"/>
    </row>
    <row r="546" ht="15.75" customHeight="1">
      <c r="A546" s="158"/>
      <c r="B546" s="148"/>
      <c r="C546" s="148"/>
      <c r="D546" s="148"/>
      <c r="E546" s="148"/>
      <c r="F546" s="148"/>
      <c r="G546" s="148"/>
      <c r="H546" s="148"/>
    </row>
    <row r="547" ht="15.75" customHeight="1">
      <c r="A547" s="158"/>
      <c r="B547" s="148"/>
      <c r="C547" s="148"/>
      <c r="D547" s="148"/>
      <c r="E547" s="148"/>
      <c r="F547" s="148"/>
      <c r="G547" s="148"/>
      <c r="H547" s="148"/>
    </row>
    <row r="548" ht="15.75" customHeight="1">
      <c r="A548" s="158"/>
      <c r="B548" s="148"/>
      <c r="C548" s="148"/>
      <c r="D548" s="148"/>
      <c r="E548" s="148"/>
      <c r="F548" s="148"/>
      <c r="G548" s="148"/>
      <c r="H548" s="148"/>
    </row>
    <row r="549" ht="15.75" customHeight="1">
      <c r="A549" s="158"/>
      <c r="B549" s="148"/>
      <c r="C549" s="148"/>
      <c r="D549" s="148"/>
      <c r="E549" s="148"/>
      <c r="F549" s="148"/>
      <c r="G549" s="148"/>
      <c r="H549" s="148"/>
    </row>
    <row r="550" ht="15.75" customHeight="1">
      <c r="A550" s="158"/>
      <c r="B550" s="148"/>
      <c r="C550" s="148"/>
      <c r="D550" s="148"/>
      <c r="E550" s="148"/>
      <c r="F550" s="148"/>
      <c r="G550" s="148"/>
      <c r="H550" s="148"/>
    </row>
    <row r="551" ht="15.75" customHeight="1">
      <c r="A551" s="158"/>
      <c r="B551" s="148"/>
      <c r="C551" s="148"/>
      <c r="D551" s="148"/>
      <c r="E551" s="148"/>
      <c r="F551" s="148"/>
      <c r="G551" s="148"/>
      <c r="H551" s="148"/>
    </row>
    <row r="552" ht="15.75" customHeight="1">
      <c r="A552" s="158"/>
      <c r="B552" s="148"/>
      <c r="C552" s="148"/>
      <c r="D552" s="148"/>
      <c r="E552" s="148"/>
      <c r="F552" s="148"/>
      <c r="G552" s="148"/>
      <c r="H552" s="148"/>
    </row>
    <row r="553" ht="15.75" customHeight="1">
      <c r="A553" s="158"/>
      <c r="B553" s="148"/>
      <c r="C553" s="148"/>
      <c r="D553" s="148"/>
      <c r="E553" s="148"/>
      <c r="F553" s="148"/>
      <c r="G553" s="148"/>
      <c r="H553" s="148"/>
    </row>
    <row r="554" ht="15.75" customHeight="1">
      <c r="A554" s="158"/>
      <c r="B554" s="148"/>
      <c r="C554" s="148"/>
      <c r="D554" s="148"/>
      <c r="E554" s="148"/>
      <c r="F554" s="148"/>
      <c r="G554" s="148"/>
      <c r="H554" s="148"/>
    </row>
    <row r="555" ht="15.75" customHeight="1">
      <c r="A555" s="158"/>
      <c r="B555" s="148"/>
      <c r="C555" s="148"/>
      <c r="D555" s="148"/>
      <c r="E555" s="148"/>
      <c r="F555" s="148"/>
      <c r="G555" s="148"/>
      <c r="H555" s="148"/>
    </row>
    <row r="556" ht="15.75" customHeight="1">
      <c r="A556" s="158"/>
      <c r="B556" s="148"/>
      <c r="C556" s="148"/>
      <c r="D556" s="148"/>
      <c r="E556" s="148"/>
      <c r="F556" s="148"/>
      <c r="G556" s="148"/>
      <c r="H556" s="148"/>
    </row>
    <row r="557" ht="15.75" customHeight="1">
      <c r="A557" s="158"/>
      <c r="B557" s="148"/>
      <c r="C557" s="148"/>
      <c r="D557" s="148"/>
      <c r="E557" s="148"/>
      <c r="F557" s="148"/>
      <c r="G557" s="148"/>
      <c r="H557" s="148"/>
    </row>
    <row r="558" ht="15.75" customHeight="1">
      <c r="A558" s="158"/>
      <c r="B558" s="148"/>
      <c r="C558" s="148"/>
      <c r="D558" s="148"/>
      <c r="E558" s="148"/>
      <c r="F558" s="148"/>
      <c r="G558" s="148"/>
      <c r="H558" s="148"/>
    </row>
    <row r="559" ht="15.75" customHeight="1">
      <c r="A559" s="158"/>
      <c r="B559" s="148"/>
      <c r="C559" s="148"/>
      <c r="D559" s="148"/>
      <c r="E559" s="148"/>
      <c r="F559" s="148"/>
      <c r="G559" s="148"/>
      <c r="H559" s="148"/>
    </row>
    <row r="560" ht="15.75" customHeight="1">
      <c r="A560" s="158"/>
      <c r="B560" s="148"/>
      <c r="C560" s="148"/>
      <c r="D560" s="148"/>
      <c r="E560" s="148"/>
      <c r="F560" s="148"/>
      <c r="G560" s="148"/>
      <c r="H560" s="148"/>
    </row>
    <row r="561" ht="15.75" customHeight="1">
      <c r="A561" s="158"/>
      <c r="B561" s="148"/>
      <c r="C561" s="148"/>
      <c r="D561" s="148"/>
      <c r="E561" s="148"/>
      <c r="F561" s="148"/>
      <c r="G561" s="148"/>
      <c r="H561" s="148"/>
    </row>
    <row r="562" ht="15.75" customHeight="1">
      <c r="A562" s="158"/>
      <c r="B562" s="148"/>
      <c r="C562" s="148"/>
      <c r="D562" s="148"/>
      <c r="E562" s="148"/>
      <c r="F562" s="148"/>
      <c r="G562" s="148"/>
      <c r="H562" s="148"/>
    </row>
    <row r="563" ht="15.75" customHeight="1">
      <c r="A563" s="158"/>
      <c r="B563" s="148"/>
      <c r="C563" s="148"/>
      <c r="D563" s="148"/>
      <c r="E563" s="148"/>
      <c r="F563" s="148"/>
      <c r="G563" s="148"/>
      <c r="H563" s="148"/>
    </row>
    <row r="564" ht="15.75" customHeight="1">
      <c r="A564" s="158"/>
      <c r="B564" s="148"/>
      <c r="C564" s="148"/>
      <c r="D564" s="148"/>
      <c r="E564" s="148"/>
      <c r="F564" s="148"/>
      <c r="G564" s="148"/>
      <c r="H564" s="148"/>
    </row>
    <row r="565" ht="15.75" customHeight="1">
      <c r="A565" s="158"/>
      <c r="B565" s="148"/>
      <c r="C565" s="148"/>
      <c r="D565" s="148"/>
      <c r="E565" s="148"/>
      <c r="F565" s="148"/>
      <c r="G565" s="148"/>
      <c r="H565" s="148"/>
    </row>
    <row r="566" ht="15.75" customHeight="1">
      <c r="A566" s="158"/>
      <c r="B566" s="148"/>
      <c r="C566" s="148"/>
      <c r="D566" s="148"/>
      <c r="E566" s="148"/>
      <c r="F566" s="148"/>
      <c r="G566" s="148"/>
      <c r="H566" s="148"/>
    </row>
    <row r="567" ht="15.75" customHeight="1">
      <c r="A567" s="158"/>
      <c r="B567" s="148"/>
      <c r="C567" s="148"/>
      <c r="D567" s="148"/>
      <c r="E567" s="148"/>
      <c r="F567" s="148"/>
      <c r="G567" s="148"/>
      <c r="H567" s="148"/>
    </row>
    <row r="568" ht="15.75" customHeight="1">
      <c r="A568" s="158"/>
      <c r="B568" s="148"/>
      <c r="C568" s="148"/>
      <c r="D568" s="148"/>
      <c r="E568" s="148"/>
      <c r="F568" s="148"/>
      <c r="G568" s="148"/>
      <c r="H568" s="148"/>
    </row>
    <row r="569" ht="15.75" customHeight="1">
      <c r="A569" s="158"/>
      <c r="B569" s="148"/>
      <c r="C569" s="148"/>
      <c r="D569" s="148"/>
      <c r="E569" s="148"/>
      <c r="F569" s="148"/>
      <c r="G569" s="148"/>
      <c r="H569" s="148"/>
    </row>
    <row r="570" ht="15.75" customHeight="1">
      <c r="A570" s="158"/>
      <c r="B570" s="148"/>
      <c r="C570" s="148"/>
      <c r="D570" s="148"/>
      <c r="E570" s="148"/>
      <c r="F570" s="148"/>
      <c r="G570" s="148"/>
      <c r="H570" s="148"/>
    </row>
    <row r="571" ht="15.75" customHeight="1">
      <c r="A571" s="158"/>
      <c r="B571" s="148"/>
      <c r="C571" s="148"/>
      <c r="D571" s="148"/>
      <c r="E571" s="148"/>
      <c r="F571" s="148"/>
      <c r="G571" s="148"/>
      <c r="H571" s="148"/>
    </row>
    <row r="572" ht="15.75" customHeight="1">
      <c r="A572" s="158"/>
      <c r="B572" s="148"/>
      <c r="C572" s="148"/>
      <c r="D572" s="148"/>
      <c r="E572" s="148"/>
      <c r="F572" s="148"/>
      <c r="G572" s="148"/>
      <c r="H572" s="148"/>
    </row>
    <row r="573" ht="15.75" customHeight="1">
      <c r="A573" s="158"/>
      <c r="B573" s="148"/>
      <c r="C573" s="148"/>
      <c r="D573" s="148"/>
      <c r="E573" s="148"/>
      <c r="F573" s="148"/>
      <c r="G573" s="148"/>
      <c r="H573" s="148"/>
    </row>
    <row r="574" ht="15.75" customHeight="1">
      <c r="A574" s="158"/>
      <c r="B574" s="148"/>
      <c r="C574" s="148"/>
      <c r="D574" s="148"/>
      <c r="E574" s="148"/>
      <c r="F574" s="148"/>
      <c r="G574" s="148"/>
      <c r="H574" s="148"/>
    </row>
    <row r="575" ht="15.75" customHeight="1">
      <c r="A575" s="158"/>
      <c r="B575" s="148"/>
      <c r="C575" s="148"/>
      <c r="D575" s="148"/>
      <c r="E575" s="148"/>
      <c r="F575" s="148"/>
      <c r="G575" s="148"/>
      <c r="H575" s="148"/>
    </row>
    <row r="576" ht="15.75" customHeight="1">
      <c r="A576" s="158"/>
      <c r="B576" s="148"/>
      <c r="C576" s="148"/>
      <c r="D576" s="148"/>
      <c r="E576" s="148"/>
      <c r="F576" s="148"/>
      <c r="G576" s="148"/>
      <c r="H576" s="148"/>
    </row>
    <row r="577" ht="15.75" customHeight="1">
      <c r="A577" s="158"/>
      <c r="B577" s="148"/>
      <c r="C577" s="148"/>
      <c r="D577" s="148"/>
      <c r="E577" s="148"/>
      <c r="F577" s="148"/>
      <c r="G577" s="148"/>
      <c r="H577" s="148"/>
    </row>
    <row r="578" ht="15.75" customHeight="1">
      <c r="A578" s="158"/>
      <c r="B578" s="148"/>
      <c r="C578" s="148"/>
      <c r="D578" s="148"/>
      <c r="E578" s="148"/>
      <c r="F578" s="148"/>
      <c r="G578" s="148"/>
      <c r="H578" s="148"/>
    </row>
    <row r="579" ht="15.75" customHeight="1">
      <c r="A579" s="158"/>
      <c r="B579" s="148"/>
      <c r="C579" s="148"/>
      <c r="D579" s="148"/>
      <c r="E579" s="148"/>
      <c r="F579" s="148"/>
      <c r="G579" s="148"/>
      <c r="H579" s="148"/>
    </row>
    <row r="580" ht="15.75" customHeight="1">
      <c r="A580" s="158"/>
      <c r="B580" s="148"/>
      <c r="C580" s="148"/>
      <c r="D580" s="148"/>
      <c r="E580" s="148"/>
      <c r="F580" s="148"/>
      <c r="G580" s="148"/>
      <c r="H580" s="148"/>
    </row>
    <row r="581" ht="15.75" customHeight="1">
      <c r="A581" s="158"/>
      <c r="B581" s="148"/>
      <c r="C581" s="148"/>
      <c r="D581" s="148"/>
      <c r="E581" s="148"/>
      <c r="F581" s="148"/>
      <c r="G581" s="148"/>
      <c r="H581" s="148"/>
    </row>
    <row r="582" ht="15.75" customHeight="1">
      <c r="A582" s="158"/>
      <c r="B582" s="148"/>
      <c r="C582" s="148"/>
      <c r="D582" s="148"/>
      <c r="E582" s="148"/>
      <c r="F582" s="148"/>
      <c r="G582" s="148"/>
      <c r="H582" s="148"/>
    </row>
    <row r="583" ht="15.75" customHeight="1">
      <c r="A583" s="158"/>
      <c r="B583" s="148"/>
      <c r="C583" s="148"/>
      <c r="D583" s="148"/>
      <c r="E583" s="148"/>
      <c r="F583" s="148"/>
      <c r="G583" s="148"/>
      <c r="H583" s="148"/>
    </row>
    <row r="584" ht="15.75" customHeight="1">
      <c r="A584" s="158"/>
      <c r="B584" s="148"/>
      <c r="C584" s="148"/>
      <c r="D584" s="148"/>
      <c r="E584" s="148"/>
      <c r="F584" s="148"/>
      <c r="G584" s="148"/>
      <c r="H584" s="148"/>
    </row>
    <row r="585" ht="15.75" customHeight="1">
      <c r="A585" s="158"/>
      <c r="B585" s="148"/>
      <c r="C585" s="148"/>
      <c r="D585" s="148"/>
      <c r="E585" s="148"/>
      <c r="F585" s="148"/>
      <c r="G585" s="148"/>
      <c r="H585" s="148"/>
    </row>
    <row r="586" ht="15.75" customHeight="1">
      <c r="A586" s="158"/>
      <c r="B586" s="148"/>
      <c r="C586" s="148"/>
      <c r="D586" s="148"/>
      <c r="E586" s="148"/>
      <c r="F586" s="148"/>
      <c r="G586" s="148"/>
      <c r="H586" s="148"/>
    </row>
    <row r="587" ht="15.75" customHeight="1">
      <c r="A587" s="158"/>
      <c r="B587" s="148"/>
      <c r="C587" s="148"/>
      <c r="D587" s="148"/>
      <c r="E587" s="148"/>
      <c r="F587" s="148"/>
      <c r="G587" s="148"/>
      <c r="H587" s="148"/>
    </row>
    <row r="588" ht="15.75" customHeight="1">
      <c r="A588" s="158"/>
      <c r="B588" s="148"/>
      <c r="C588" s="148"/>
      <c r="D588" s="148"/>
      <c r="E588" s="148"/>
      <c r="F588" s="148"/>
      <c r="G588" s="148"/>
      <c r="H588" s="148"/>
    </row>
    <row r="589" ht="15.75" customHeight="1">
      <c r="A589" s="158"/>
      <c r="B589" s="148"/>
      <c r="C589" s="148"/>
      <c r="D589" s="148"/>
      <c r="E589" s="148"/>
      <c r="F589" s="148"/>
      <c r="G589" s="148"/>
      <c r="H589" s="148"/>
    </row>
    <row r="590" ht="15.75" customHeight="1">
      <c r="A590" s="158"/>
      <c r="B590" s="148"/>
      <c r="C590" s="148"/>
      <c r="D590" s="148"/>
      <c r="E590" s="148"/>
      <c r="F590" s="148"/>
      <c r="G590" s="148"/>
      <c r="H590" s="148"/>
    </row>
    <row r="591" ht="15.75" customHeight="1">
      <c r="A591" s="158"/>
      <c r="B591" s="148"/>
      <c r="C591" s="148"/>
      <c r="D591" s="148"/>
      <c r="E591" s="148"/>
      <c r="F591" s="148"/>
      <c r="G591" s="148"/>
      <c r="H591" s="148"/>
    </row>
    <row r="592" ht="15.75" customHeight="1">
      <c r="A592" s="158"/>
      <c r="B592" s="148"/>
      <c r="C592" s="148"/>
      <c r="D592" s="148"/>
      <c r="E592" s="148"/>
      <c r="F592" s="148"/>
      <c r="G592" s="148"/>
      <c r="H592" s="148"/>
    </row>
    <row r="593" ht="15.75" customHeight="1">
      <c r="A593" s="158"/>
      <c r="B593" s="148"/>
      <c r="C593" s="148"/>
      <c r="D593" s="148"/>
      <c r="E593" s="148"/>
      <c r="F593" s="148"/>
      <c r="G593" s="148"/>
      <c r="H593" s="148"/>
    </row>
    <row r="594" ht="15.75" customHeight="1">
      <c r="A594" s="158"/>
      <c r="B594" s="148"/>
      <c r="C594" s="148"/>
      <c r="D594" s="148"/>
      <c r="E594" s="148"/>
      <c r="F594" s="148"/>
      <c r="G594" s="148"/>
      <c r="H594" s="148"/>
    </row>
    <row r="595" ht="15.75" customHeight="1">
      <c r="A595" s="158"/>
      <c r="B595" s="148"/>
      <c r="C595" s="148"/>
      <c r="D595" s="148"/>
      <c r="E595" s="148"/>
      <c r="F595" s="148"/>
      <c r="G595" s="148"/>
      <c r="H595" s="148"/>
    </row>
    <row r="596" ht="15.75" customHeight="1">
      <c r="A596" s="158"/>
      <c r="B596" s="148"/>
      <c r="C596" s="148"/>
      <c r="D596" s="148"/>
      <c r="E596" s="148"/>
      <c r="F596" s="148"/>
      <c r="G596" s="148"/>
      <c r="H596" s="148"/>
    </row>
    <row r="597" ht="15.75" customHeight="1">
      <c r="A597" s="158"/>
      <c r="B597" s="148"/>
      <c r="C597" s="148"/>
      <c r="D597" s="148"/>
      <c r="E597" s="148"/>
      <c r="F597" s="148"/>
      <c r="G597" s="148"/>
      <c r="H597" s="148"/>
    </row>
    <row r="598" ht="15.75" customHeight="1">
      <c r="A598" s="158"/>
      <c r="B598" s="148"/>
      <c r="C598" s="148"/>
      <c r="D598" s="148"/>
      <c r="E598" s="148"/>
      <c r="F598" s="148"/>
      <c r="G598" s="148"/>
      <c r="H598" s="148"/>
    </row>
    <row r="599" ht="15.75" customHeight="1">
      <c r="A599" s="158"/>
      <c r="B599" s="148"/>
      <c r="C599" s="148"/>
      <c r="D599" s="148"/>
      <c r="E599" s="148"/>
      <c r="F599" s="148"/>
      <c r="G599" s="148"/>
      <c r="H599" s="148"/>
    </row>
    <row r="600" ht="15.75" customHeight="1">
      <c r="A600" s="158"/>
      <c r="B600" s="148"/>
      <c r="C600" s="148"/>
      <c r="D600" s="148"/>
      <c r="E600" s="148"/>
      <c r="F600" s="148"/>
      <c r="G600" s="148"/>
      <c r="H600" s="148"/>
    </row>
    <row r="601" ht="15.75" customHeight="1">
      <c r="A601" s="158"/>
      <c r="B601" s="148"/>
      <c r="C601" s="148"/>
      <c r="D601" s="148"/>
      <c r="E601" s="148"/>
      <c r="F601" s="148"/>
      <c r="G601" s="148"/>
      <c r="H601" s="148"/>
    </row>
    <row r="602" ht="15.75" customHeight="1">
      <c r="A602" s="158"/>
      <c r="B602" s="148"/>
      <c r="C602" s="148"/>
      <c r="D602" s="148"/>
      <c r="E602" s="148"/>
      <c r="F602" s="148"/>
      <c r="G602" s="148"/>
      <c r="H602" s="148"/>
    </row>
    <row r="603" ht="15.75" customHeight="1">
      <c r="A603" s="158"/>
      <c r="B603" s="148"/>
      <c r="C603" s="148"/>
      <c r="D603" s="148"/>
      <c r="E603" s="148"/>
      <c r="F603" s="148"/>
      <c r="G603" s="148"/>
      <c r="H603" s="148"/>
    </row>
    <row r="604" ht="15.75" customHeight="1">
      <c r="A604" s="158"/>
      <c r="B604" s="148"/>
      <c r="C604" s="148"/>
      <c r="D604" s="148"/>
      <c r="E604" s="148"/>
      <c r="F604" s="148"/>
      <c r="G604" s="148"/>
      <c r="H604" s="148"/>
    </row>
    <row r="605" ht="15.75" customHeight="1">
      <c r="A605" s="158"/>
      <c r="B605" s="148"/>
      <c r="C605" s="148"/>
      <c r="D605" s="148"/>
      <c r="E605" s="148"/>
      <c r="F605" s="148"/>
      <c r="G605" s="148"/>
      <c r="H605" s="148"/>
    </row>
    <row r="606" ht="15.75" customHeight="1">
      <c r="A606" s="158"/>
      <c r="B606" s="148"/>
      <c r="C606" s="148"/>
      <c r="D606" s="148"/>
      <c r="E606" s="148"/>
      <c r="F606" s="148"/>
      <c r="G606" s="148"/>
      <c r="H606" s="148"/>
    </row>
    <row r="607" ht="15.75" customHeight="1">
      <c r="A607" s="158"/>
      <c r="B607" s="148"/>
      <c r="C607" s="148"/>
      <c r="D607" s="148"/>
      <c r="E607" s="148"/>
      <c r="F607" s="148"/>
      <c r="G607" s="148"/>
      <c r="H607" s="148"/>
    </row>
    <row r="608" ht="15.75" customHeight="1">
      <c r="A608" s="158"/>
      <c r="B608" s="148"/>
      <c r="C608" s="148"/>
      <c r="D608" s="148"/>
      <c r="E608" s="148"/>
      <c r="F608" s="148"/>
      <c r="G608" s="148"/>
      <c r="H608" s="148"/>
    </row>
    <row r="609" ht="15.75" customHeight="1">
      <c r="A609" s="158"/>
      <c r="B609" s="148"/>
      <c r="C609" s="148"/>
      <c r="D609" s="148"/>
      <c r="E609" s="148"/>
      <c r="F609" s="148"/>
      <c r="G609" s="148"/>
      <c r="H609" s="148"/>
    </row>
    <row r="610" ht="15.75" customHeight="1">
      <c r="A610" s="158"/>
      <c r="B610" s="148"/>
      <c r="C610" s="148"/>
      <c r="D610" s="148"/>
      <c r="E610" s="148"/>
      <c r="F610" s="148"/>
      <c r="G610" s="148"/>
      <c r="H610" s="148"/>
    </row>
    <row r="611" ht="15.75" customHeight="1">
      <c r="A611" s="158"/>
      <c r="B611" s="148"/>
      <c r="C611" s="148"/>
      <c r="D611" s="148"/>
      <c r="E611" s="148"/>
      <c r="F611" s="148"/>
      <c r="G611" s="148"/>
      <c r="H611" s="148"/>
    </row>
    <row r="612" ht="15.75" customHeight="1">
      <c r="A612" s="158"/>
      <c r="B612" s="148"/>
      <c r="C612" s="148"/>
      <c r="D612" s="148"/>
      <c r="E612" s="148"/>
      <c r="F612" s="148"/>
      <c r="G612" s="148"/>
      <c r="H612" s="148"/>
    </row>
    <row r="613" ht="15.75" customHeight="1">
      <c r="A613" s="158"/>
      <c r="B613" s="148"/>
      <c r="C613" s="148"/>
      <c r="D613" s="148"/>
      <c r="E613" s="148"/>
      <c r="F613" s="148"/>
      <c r="G613" s="148"/>
      <c r="H613" s="148"/>
    </row>
    <row r="614" ht="15.75" customHeight="1">
      <c r="A614" s="158"/>
      <c r="B614" s="148"/>
      <c r="C614" s="148"/>
      <c r="D614" s="148"/>
      <c r="E614" s="148"/>
      <c r="F614" s="148"/>
      <c r="G614" s="148"/>
      <c r="H614" s="148"/>
    </row>
    <row r="615" ht="15.75" customHeight="1">
      <c r="A615" s="158"/>
      <c r="B615" s="148"/>
      <c r="C615" s="148"/>
      <c r="D615" s="148"/>
      <c r="E615" s="148"/>
      <c r="F615" s="148"/>
      <c r="G615" s="148"/>
      <c r="H615" s="148"/>
    </row>
    <row r="616" ht="15.75" customHeight="1">
      <c r="A616" s="158"/>
      <c r="B616" s="148"/>
      <c r="C616" s="148"/>
      <c r="D616" s="148"/>
      <c r="E616" s="148"/>
      <c r="F616" s="148"/>
      <c r="G616" s="148"/>
      <c r="H616" s="148"/>
    </row>
    <row r="617" ht="15.75" customHeight="1">
      <c r="A617" s="158"/>
      <c r="B617" s="148"/>
      <c r="C617" s="148"/>
      <c r="D617" s="148"/>
      <c r="E617" s="148"/>
      <c r="F617" s="148"/>
      <c r="G617" s="148"/>
      <c r="H617" s="148"/>
    </row>
    <row r="618" ht="15.75" customHeight="1">
      <c r="A618" s="158"/>
      <c r="B618" s="148"/>
      <c r="C618" s="148"/>
      <c r="D618" s="148"/>
      <c r="E618" s="148"/>
      <c r="F618" s="148"/>
      <c r="G618" s="148"/>
      <c r="H618" s="148"/>
    </row>
    <row r="619" ht="15.75" customHeight="1">
      <c r="A619" s="158"/>
      <c r="B619" s="148"/>
      <c r="C619" s="148"/>
      <c r="D619" s="148"/>
      <c r="E619" s="148"/>
      <c r="F619" s="148"/>
      <c r="G619" s="148"/>
      <c r="H619" s="148"/>
    </row>
    <row r="620" ht="15.75" customHeight="1">
      <c r="A620" s="158"/>
      <c r="B620" s="148"/>
      <c r="C620" s="148"/>
      <c r="D620" s="148"/>
      <c r="E620" s="148"/>
      <c r="F620" s="148"/>
      <c r="G620" s="148"/>
      <c r="H620" s="148"/>
    </row>
    <row r="621" ht="15.75" customHeight="1">
      <c r="A621" s="158"/>
      <c r="B621" s="148"/>
      <c r="C621" s="148"/>
      <c r="D621" s="148"/>
      <c r="E621" s="148"/>
      <c r="F621" s="148"/>
      <c r="G621" s="148"/>
      <c r="H621" s="148"/>
    </row>
    <row r="622" ht="15.75" customHeight="1">
      <c r="A622" s="158"/>
      <c r="B622" s="148"/>
      <c r="C622" s="148"/>
      <c r="D622" s="148"/>
      <c r="E622" s="148"/>
      <c r="F622" s="148"/>
      <c r="G622" s="148"/>
      <c r="H622" s="148"/>
    </row>
    <row r="623" ht="15.75" customHeight="1">
      <c r="A623" s="158"/>
      <c r="B623" s="148"/>
      <c r="C623" s="148"/>
      <c r="D623" s="148"/>
      <c r="E623" s="148"/>
      <c r="F623" s="148"/>
      <c r="G623" s="148"/>
      <c r="H623" s="148"/>
    </row>
    <row r="624" ht="15.75" customHeight="1">
      <c r="A624" s="158"/>
      <c r="B624" s="148"/>
      <c r="C624" s="148"/>
      <c r="D624" s="148"/>
      <c r="E624" s="148"/>
      <c r="F624" s="148"/>
      <c r="G624" s="148"/>
      <c r="H624" s="148"/>
    </row>
    <row r="625" ht="15.75" customHeight="1">
      <c r="A625" s="158"/>
      <c r="B625" s="148"/>
      <c r="C625" s="148"/>
      <c r="D625" s="148"/>
      <c r="E625" s="148"/>
      <c r="F625" s="148"/>
      <c r="G625" s="148"/>
      <c r="H625" s="148"/>
    </row>
    <row r="626" ht="15.75" customHeight="1">
      <c r="A626" s="158"/>
      <c r="B626" s="148"/>
      <c r="C626" s="148"/>
      <c r="D626" s="148"/>
      <c r="E626" s="148"/>
      <c r="F626" s="148"/>
      <c r="G626" s="148"/>
      <c r="H626" s="148"/>
    </row>
    <row r="627" ht="15.75" customHeight="1">
      <c r="A627" s="158"/>
      <c r="B627" s="148"/>
      <c r="C627" s="148"/>
      <c r="D627" s="148"/>
      <c r="E627" s="148"/>
      <c r="F627" s="148"/>
      <c r="G627" s="148"/>
      <c r="H627" s="148"/>
    </row>
    <row r="628" ht="15.75" customHeight="1">
      <c r="A628" s="158"/>
      <c r="B628" s="148"/>
      <c r="C628" s="148"/>
      <c r="D628" s="148"/>
      <c r="E628" s="148"/>
      <c r="F628" s="148"/>
      <c r="G628" s="148"/>
      <c r="H628" s="148"/>
    </row>
    <row r="629" ht="15.75" customHeight="1">
      <c r="A629" s="158"/>
      <c r="B629" s="148"/>
      <c r="C629" s="148"/>
      <c r="D629" s="148"/>
      <c r="E629" s="148"/>
      <c r="F629" s="148"/>
      <c r="G629" s="148"/>
      <c r="H629" s="148"/>
    </row>
    <row r="630" ht="15.75" customHeight="1">
      <c r="A630" s="158"/>
      <c r="B630" s="148"/>
      <c r="C630" s="148"/>
      <c r="D630" s="148"/>
      <c r="E630" s="148"/>
      <c r="F630" s="148"/>
      <c r="G630" s="148"/>
      <c r="H630" s="148"/>
    </row>
    <row r="631" ht="15.75" customHeight="1">
      <c r="A631" s="158"/>
      <c r="B631" s="148"/>
      <c r="C631" s="148"/>
      <c r="D631" s="148"/>
      <c r="E631" s="148"/>
      <c r="F631" s="148"/>
      <c r="G631" s="148"/>
      <c r="H631" s="148"/>
    </row>
    <row r="632" ht="15.75" customHeight="1">
      <c r="A632" s="158"/>
      <c r="B632" s="148"/>
      <c r="C632" s="148"/>
      <c r="D632" s="148"/>
      <c r="E632" s="148"/>
      <c r="F632" s="148"/>
      <c r="G632" s="148"/>
      <c r="H632" s="148"/>
    </row>
    <row r="633" ht="15.75" customHeight="1">
      <c r="A633" s="158"/>
      <c r="B633" s="148"/>
      <c r="C633" s="148"/>
      <c r="D633" s="148"/>
      <c r="E633" s="148"/>
      <c r="F633" s="148"/>
      <c r="G633" s="148"/>
      <c r="H633" s="148"/>
    </row>
    <row r="634" ht="15.75" customHeight="1">
      <c r="A634" s="158"/>
      <c r="B634" s="148"/>
      <c r="C634" s="148"/>
      <c r="D634" s="148"/>
      <c r="E634" s="148"/>
      <c r="F634" s="148"/>
      <c r="G634" s="148"/>
      <c r="H634" s="148"/>
    </row>
    <row r="635" ht="15.75" customHeight="1">
      <c r="A635" s="158"/>
      <c r="B635" s="148"/>
      <c r="C635" s="148"/>
      <c r="D635" s="148"/>
      <c r="E635" s="148"/>
      <c r="F635" s="148"/>
      <c r="G635" s="148"/>
      <c r="H635" s="148"/>
    </row>
    <row r="636" ht="15.75" customHeight="1">
      <c r="A636" s="158"/>
      <c r="B636" s="148"/>
      <c r="C636" s="148"/>
      <c r="D636" s="148"/>
      <c r="E636" s="148"/>
      <c r="F636" s="148"/>
      <c r="G636" s="148"/>
      <c r="H636" s="148"/>
    </row>
    <row r="637" ht="15.75" customHeight="1">
      <c r="A637" s="158"/>
      <c r="B637" s="148"/>
      <c r="C637" s="148"/>
      <c r="D637" s="148"/>
      <c r="E637" s="148"/>
      <c r="F637" s="148"/>
      <c r="G637" s="148"/>
      <c r="H637" s="148"/>
    </row>
    <row r="638" ht="15.75" customHeight="1">
      <c r="A638" s="158"/>
      <c r="B638" s="148"/>
      <c r="C638" s="148"/>
      <c r="D638" s="148"/>
      <c r="E638" s="148"/>
      <c r="F638" s="148"/>
      <c r="G638" s="148"/>
      <c r="H638" s="148"/>
    </row>
    <row r="639" ht="15.75" customHeight="1">
      <c r="A639" s="158"/>
      <c r="B639" s="148"/>
      <c r="C639" s="148"/>
      <c r="D639" s="148"/>
      <c r="E639" s="148"/>
      <c r="F639" s="148"/>
      <c r="G639" s="148"/>
      <c r="H639" s="148"/>
    </row>
    <row r="640" ht="15.75" customHeight="1">
      <c r="A640" s="158"/>
      <c r="B640" s="148"/>
      <c r="C640" s="148"/>
      <c r="D640" s="148"/>
      <c r="E640" s="148"/>
      <c r="F640" s="148"/>
      <c r="G640" s="148"/>
      <c r="H640" s="148"/>
    </row>
    <row r="641" ht="15.75" customHeight="1">
      <c r="A641" s="158"/>
      <c r="B641" s="148"/>
      <c r="C641" s="148"/>
      <c r="D641" s="148"/>
      <c r="E641" s="148"/>
      <c r="F641" s="148"/>
      <c r="G641" s="148"/>
      <c r="H641" s="148"/>
    </row>
    <row r="642" ht="15.75" customHeight="1">
      <c r="A642" s="158"/>
      <c r="B642" s="148"/>
      <c r="C642" s="148"/>
      <c r="D642" s="148"/>
      <c r="E642" s="148"/>
      <c r="F642" s="148"/>
      <c r="G642" s="148"/>
      <c r="H642" s="148"/>
    </row>
    <row r="643" ht="15.75" customHeight="1">
      <c r="A643" s="158"/>
      <c r="B643" s="148"/>
      <c r="C643" s="148"/>
      <c r="D643" s="148"/>
      <c r="E643" s="148"/>
      <c r="F643" s="148"/>
      <c r="G643" s="148"/>
      <c r="H643" s="148"/>
    </row>
    <row r="644" ht="15.75" customHeight="1">
      <c r="A644" s="158"/>
      <c r="B644" s="148"/>
      <c r="C644" s="148"/>
      <c r="D644" s="148"/>
      <c r="E644" s="148"/>
      <c r="F644" s="148"/>
      <c r="G644" s="148"/>
      <c r="H644" s="148"/>
    </row>
    <row r="645" ht="15.75" customHeight="1">
      <c r="A645" s="158"/>
      <c r="B645" s="148"/>
      <c r="C645" s="148"/>
      <c r="D645" s="148"/>
      <c r="E645" s="148"/>
      <c r="F645" s="148"/>
      <c r="G645" s="148"/>
      <c r="H645" s="148"/>
    </row>
    <row r="646" ht="15.75" customHeight="1">
      <c r="A646" s="158"/>
      <c r="B646" s="148"/>
      <c r="C646" s="148"/>
      <c r="D646" s="148"/>
      <c r="E646" s="148"/>
      <c r="F646" s="148"/>
      <c r="G646" s="148"/>
      <c r="H646" s="148"/>
    </row>
    <row r="647" ht="15.75" customHeight="1">
      <c r="A647" s="158"/>
      <c r="B647" s="148"/>
      <c r="C647" s="148"/>
      <c r="D647" s="148"/>
      <c r="E647" s="148"/>
      <c r="F647" s="148"/>
      <c r="G647" s="148"/>
      <c r="H647" s="148"/>
    </row>
    <row r="648" ht="15.75" customHeight="1">
      <c r="A648" s="158"/>
      <c r="B648" s="148"/>
      <c r="C648" s="148"/>
      <c r="D648" s="148"/>
      <c r="E648" s="148"/>
      <c r="F648" s="148"/>
      <c r="G648" s="148"/>
      <c r="H648" s="148"/>
    </row>
    <row r="649" ht="15.75" customHeight="1">
      <c r="A649" s="158"/>
      <c r="B649" s="148"/>
      <c r="C649" s="148"/>
      <c r="D649" s="148"/>
      <c r="E649" s="148"/>
      <c r="F649" s="148"/>
      <c r="G649" s="148"/>
      <c r="H649" s="148"/>
    </row>
    <row r="650" ht="15.75" customHeight="1">
      <c r="A650" s="158"/>
      <c r="B650" s="148"/>
      <c r="C650" s="148"/>
      <c r="D650" s="148"/>
      <c r="E650" s="148"/>
      <c r="F650" s="148"/>
      <c r="G650" s="148"/>
      <c r="H650" s="148"/>
    </row>
    <row r="651" ht="15.75" customHeight="1">
      <c r="A651" s="158"/>
      <c r="B651" s="148"/>
      <c r="C651" s="148"/>
      <c r="D651" s="148"/>
      <c r="E651" s="148"/>
      <c r="F651" s="148"/>
      <c r="G651" s="148"/>
      <c r="H651" s="148"/>
    </row>
    <row r="652" ht="15.75" customHeight="1">
      <c r="A652" s="158"/>
      <c r="B652" s="148"/>
      <c r="C652" s="148"/>
      <c r="D652" s="148"/>
      <c r="E652" s="148"/>
      <c r="F652" s="148"/>
      <c r="G652" s="148"/>
      <c r="H652" s="148"/>
    </row>
    <row r="653" ht="15.75" customHeight="1">
      <c r="A653" s="158"/>
      <c r="B653" s="148"/>
      <c r="C653" s="148"/>
      <c r="D653" s="148"/>
      <c r="E653" s="148"/>
      <c r="F653" s="148"/>
      <c r="G653" s="148"/>
      <c r="H653" s="148"/>
    </row>
    <row r="654" ht="15.75" customHeight="1">
      <c r="A654" s="158"/>
      <c r="B654" s="148"/>
      <c r="C654" s="148"/>
      <c r="D654" s="148"/>
      <c r="E654" s="148"/>
      <c r="F654" s="148"/>
      <c r="G654" s="148"/>
      <c r="H654" s="148"/>
    </row>
    <row r="655" ht="15.75" customHeight="1">
      <c r="A655" s="158"/>
      <c r="B655" s="148"/>
      <c r="C655" s="148"/>
      <c r="D655" s="148"/>
      <c r="E655" s="148"/>
      <c r="F655" s="148"/>
      <c r="G655" s="148"/>
      <c r="H655" s="148"/>
    </row>
    <row r="656" ht="15.75" customHeight="1">
      <c r="A656" s="158"/>
      <c r="B656" s="148"/>
      <c r="C656" s="148"/>
      <c r="D656" s="148"/>
      <c r="E656" s="148"/>
      <c r="F656" s="148"/>
      <c r="G656" s="148"/>
      <c r="H656" s="148"/>
    </row>
    <row r="657" ht="15.75" customHeight="1">
      <c r="A657" s="158"/>
      <c r="B657" s="148"/>
      <c r="C657" s="148"/>
      <c r="D657" s="148"/>
      <c r="E657" s="148"/>
      <c r="F657" s="148"/>
      <c r="G657" s="148"/>
      <c r="H657" s="148"/>
    </row>
    <row r="658" ht="15.75" customHeight="1">
      <c r="A658" s="158"/>
      <c r="B658" s="148"/>
      <c r="C658" s="148"/>
      <c r="D658" s="148"/>
      <c r="E658" s="148"/>
      <c r="F658" s="148"/>
      <c r="G658" s="148"/>
      <c r="H658" s="148"/>
    </row>
    <row r="659" ht="15.75" customHeight="1">
      <c r="A659" s="158"/>
      <c r="B659" s="148"/>
      <c r="C659" s="148"/>
      <c r="D659" s="148"/>
      <c r="E659" s="148"/>
      <c r="F659" s="148"/>
      <c r="G659" s="148"/>
      <c r="H659" s="148"/>
    </row>
    <row r="660" ht="15.75" customHeight="1">
      <c r="A660" s="158"/>
      <c r="B660" s="148"/>
      <c r="C660" s="148"/>
      <c r="D660" s="148"/>
      <c r="E660" s="148"/>
      <c r="F660" s="148"/>
      <c r="G660" s="148"/>
      <c r="H660" s="148"/>
    </row>
    <row r="661" ht="15.75" customHeight="1">
      <c r="A661" s="158"/>
      <c r="B661" s="148"/>
      <c r="C661" s="148"/>
      <c r="D661" s="148"/>
      <c r="E661" s="148"/>
      <c r="F661" s="148"/>
      <c r="G661" s="148"/>
      <c r="H661" s="148"/>
    </row>
    <row r="662" ht="15.75" customHeight="1">
      <c r="A662" s="158"/>
      <c r="B662" s="148"/>
      <c r="C662" s="148"/>
      <c r="D662" s="148"/>
      <c r="E662" s="148"/>
      <c r="F662" s="148"/>
      <c r="G662" s="148"/>
      <c r="H662" s="148"/>
    </row>
    <row r="663" ht="15.75" customHeight="1">
      <c r="A663" s="158"/>
      <c r="B663" s="148"/>
      <c r="C663" s="148"/>
      <c r="D663" s="148"/>
      <c r="E663" s="148"/>
      <c r="F663" s="148"/>
      <c r="G663" s="148"/>
      <c r="H663" s="148"/>
    </row>
    <row r="664" ht="15.75" customHeight="1">
      <c r="A664" s="158"/>
      <c r="B664" s="148"/>
      <c r="C664" s="148"/>
      <c r="D664" s="148"/>
      <c r="E664" s="148"/>
      <c r="F664" s="148"/>
      <c r="G664" s="148"/>
      <c r="H664" s="148"/>
    </row>
    <row r="665" ht="15.75" customHeight="1">
      <c r="A665" s="158"/>
      <c r="B665" s="148"/>
      <c r="C665" s="148"/>
      <c r="D665" s="148"/>
      <c r="E665" s="148"/>
      <c r="F665" s="148"/>
      <c r="G665" s="148"/>
      <c r="H665" s="148"/>
    </row>
    <row r="666" ht="15.75" customHeight="1">
      <c r="A666" s="158"/>
      <c r="B666" s="148"/>
      <c r="C666" s="148"/>
      <c r="D666" s="148"/>
      <c r="E666" s="148"/>
      <c r="F666" s="148"/>
      <c r="G666" s="148"/>
      <c r="H666" s="148"/>
    </row>
    <row r="667" ht="15.75" customHeight="1">
      <c r="A667" s="158"/>
      <c r="B667" s="148"/>
      <c r="C667" s="148"/>
      <c r="D667" s="148"/>
      <c r="E667" s="148"/>
      <c r="F667" s="148"/>
      <c r="G667" s="148"/>
      <c r="H667" s="148"/>
    </row>
    <row r="668" ht="15.75" customHeight="1">
      <c r="A668" s="158"/>
      <c r="B668" s="148"/>
      <c r="C668" s="148"/>
      <c r="D668" s="148"/>
      <c r="E668" s="148"/>
      <c r="F668" s="148"/>
      <c r="G668" s="148"/>
      <c r="H668" s="148"/>
    </row>
    <row r="669" ht="15.75" customHeight="1">
      <c r="A669" s="158"/>
      <c r="B669" s="148"/>
      <c r="C669" s="148"/>
      <c r="D669" s="148"/>
      <c r="E669" s="148"/>
      <c r="F669" s="148"/>
      <c r="G669" s="148"/>
      <c r="H669" s="148"/>
    </row>
    <row r="670" ht="15.75" customHeight="1">
      <c r="A670" s="158"/>
      <c r="B670" s="148"/>
      <c r="C670" s="148"/>
      <c r="D670" s="148"/>
      <c r="E670" s="148"/>
      <c r="F670" s="148"/>
      <c r="G670" s="148"/>
      <c r="H670" s="148"/>
    </row>
    <row r="671" ht="15.75" customHeight="1">
      <c r="A671" s="158"/>
      <c r="B671" s="148"/>
      <c r="C671" s="148"/>
      <c r="D671" s="148"/>
      <c r="E671" s="148"/>
      <c r="F671" s="148"/>
      <c r="G671" s="148"/>
      <c r="H671" s="148"/>
    </row>
    <row r="672" ht="15.75" customHeight="1">
      <c r="A672" s="158"/>
      <c r="B672" s="148"/>
      <c r="C672" s="148"/>
      <c r="D672" s="148"/>
      <c r="E672" s="148"/>
      <c r="F672" s="148"/>
      <c r="G672" s="148"/>
      <c r="H672" s="148"/>
    </row>
    <row r="673" ht="15.75" customHeight="1">
      <c r="A673" s="158"/>
      <c r="B673" s="148"/>
      <c r="C673" s="148"/>
      <c r="D673" s="148"/>
      <c r="E673" s="148"/>
      <c r="F673" s="148"/>
      <c r="G673" s="148"/>
      <c r="H673" s="148"/>
    </row>
    <row r="674" ht="15.75" customHeight="1">
      <c r="A674" s="158"/>
      <c r="B674" s="148"/>
      <c r="C674" s="148"/>
      <c r="D674" s="148"/>
      <c r="E674" s="148"/>
      <c r="F674" s="148"/>
      <c r="G674" s="148"/>
      <c r="H674" s="148"/>
    </row>
    <row r="675" ht="15.75" customHeight="1">
      <c r="A675" s="158"/>
      <c r="B675" s="148"/>
      <c r="C675" s="148"/>
      <c r="D675" s="148"/>
      <c r="E675" s="148"/>
      <c r="F675" s="148"/>
      <c r="G675" s="148"/>
      <c r="H675" s="148"/>
    </row>
    <row r="676" ht="15.75" customHeight="1">
      <c r="A676" s="158"/>
      <c r="B676" s="148"/>
      <c r="C676" s="148"/>
      <c r="D676" s="148"/>
      <c r="E676" s="148"/>
      <c r="F676" s="148"/>
      <c r="G676" s="148"/>
      <c r="H676" s="148"/>
    </row>
    <row r="677" ht="15.75" customHeight="1">
      <c r="A677" s="158"/>
      <c r="B677" s="148"/>
      <c r="C677" s="148"/>
      <c r="D677" s="148"/>
      <c r="E677" s="148"/>
      <c r="F677" s="148"/>
      <c r="G677" s="148"/>
      <c r="H677" s="148"/>
    </row>
    <row r="678" ht="15.75" customHeight="1">
      <c r="A678" s="158"/>
      <c r="B678" s="148"/>
      <c r="C678" s="148"/>
      <c r="D678" s="148"/>
      <c r="E678" s="148"/>
      <c r="F678" s="148"/>
      <c r="G678" s="148"/>
      <c r="H678" s="148"/>
    </row>
    <row r="679" ht="15.75" customHeight="1">
      <c r="A679" s="158"/>
      <c r="B679" s="148"/>
      <c r="C679" s="148"/>
      <c r="D679" s="148"/>
      <c r="E679" s="148"/>
      <c r="F679" s="148"/>
      <c r="G679" s="148"/>
      <c r="H679" s="148"/>
    </row>
    <row r="680" ht="15.75" customHeight="1">
      <c r="A680" s="158"/>
      <c r="B680" s="148"/>
      <c r="C680" s="148"/>
      <c r="D680" s="148"/>
      <c r="E680" s="148"/>
      <c r="F680" s="148"/>
      <c r="G680" s="148"/>
      <c r="H680" s="148"/>
    </row>
    <row r="681" ht="15.75" customHeight="1">
      <c r="A681" s="158"/>
      <c r="B681" s="148"/>
      <c r="C681" s="148"/>
      <c r="D681" s="148"/>
      <c r="E681" s="148"/>
      <c r="F681" s="148"/>
      <c r="G681" s="148"/>
      <c r="H681" s="148"/>
    </row>
    <row r="682" ht="15.75" customHeight="1">
      <c r="A682" s="158"/>
      <c r="B682" s="148"/>
      <c r="C682" s="148"/>
      <c r="D682" s="148"/>
      <c r="E682" s="148"/>
      <c r="F682" s="148"/>
      <c r="G682" s="148"/>
      <c r="H682" s="148"/>
    </row>
    <row r="683" ht="15.75" customHeight="1">
      <c r="A683" s="158"/>
      <c r="B683" s="148"/>
      <c r="C683" s="148"/>
      <c r="D683" s="148"/>
      <c r="E683" s="148"/>
      <c r="F683" s="148"/>
      <c r="G683" s="148"/>
      <c r="H683" s="148"/>
    </row>
    <row r="684" ht="15.75" customHeight="1">
      <c r="A684" s="158"/>
      <c r="B684" s="148"/>
      <c r="C684" s="148"/>
      <c r="D684" s="148"/>
      <c r="E684" s="148"/>
      <c r="F684" s="148"/>
      <c r="G684" s="148"/>
      <c r="H684" s="148"/>
    </row>
    <row r="685" ht="15.75" customHeight="1">
      <c r="A685" s="158"/>
      <c r="B685" s="148"/>
      <c r="C685" s="148"/>
      <c r="D685" s="148"/>
      <c r="E685" s="148"/>
      <c r="F685" s="148"/>
      <c r="G685" s="148"/>
      <c r="H685" s="148"/>
    </row>
    <row r="686" ht="15.75" customHeight="1">
      <c r="A686" s="158"/>
      <c r="B686" s="148"/>
      <c r="C686" s="148"/>
      <c r="D686" s="148"/>
      <c r="E686" s="148"/>
      <c r="F686" s="148"/>
      <c r="G686" s="148"/>
      <c r="H686" s="148"/>
    </row>
    <row r="687" ht="15.75" customHeight="1">
      <c r="A687" s="158"/>
      <c r="B687" s="148"/>
      <c r="C687" s="148"/>
      <c r="D687" s="148"/>
      <c r="E687" s="148"/>
      <c r="F687" s="148"/>
      <c r="G687" s="148"/>
      <c r="H687" s="148"/>
    </row>
    <row r="688" ht="15.75" customHeight="1">
      <c r="A688" s="158"/>
      <c r="B688" s="148"/>
      <c r="C688" s="148"/>
      <c r="D688" s="148"/>
      <c r="E688" s="148"/>
      <c r="F688" s="148"/>
      <c r="G688" s="148"/>
      <c r="H688" s="148"/>
    </row>
    <row r="689" ht="15.75" customHeight="1">
      <c r="A689" s="158"/>
      <c r="B689" s="148"/>
      <c r="C689" s="148"/>
      <c r="D689" s="148"/>
      <c r="E689" s="148"/>
      <c r="F689" s="148"/>
      <c r="G689" s="148"/>
      <c r="H689" s="148"/>
    </row>
    <row r="690" ht="15.75" customHeight="1">
      <c r="A690" s="158"/>
      <c r="B690" s="148"/>
      <c r="C690" s="148"/>
      <c r="D690" s="148"/>
      <c r="E690" s="148"/>
      <c r="F690" s="148"/>
      <c r="G690" s="148"/>
      <c r="H690" s="148"/>
    </row>
    <row r="691" ht="15.75" customHeight="1">
      <c r="A691" s="158"/>
      <c r="B691" s="148"/>
      <c r="C691" s="148"/>
      <c r="D691" s="148"/>
      <c r="E691" s="148"/>
      <c r="F691" s="148"/>
      <c r="G691" s="148"/>
      <c r="H691" s="148"/>
    </row>
    <row r="692" ht="15.75" customHeight="1">
      <c r="A692" s="158"/>
      <c r="B692" s="148"/>
      <c r="C692" s="148"/>
      <c r="D692" s="148"/>
      <c r="E692" s="148"/>
      <c r="F692" s="148"/>
      <c r="G692" s="148"/>
      <c r="H692" s="148"/>
    </row>
    <row r="693" ht="15.75" customHeight="1">
      <c r="A693" s="158"/>
      <c r="B693" s="148"/>
      <c r="C693" s="148"/>
      <c r="D693" s="148"/>
      <c r="E693" s="148"/>
      <c r="F693" s="148"/>
      <c r="G693" s="148"/>
      <c r="H693" s="148"/>
    </row>
    <row r="694" ht="15.75" customHeight="1">
      <c r="A694" s="158"/>
      <c r="B694" s="148"/>
      <c r="C694" s="148"/>
      <c r="D694" s="148"/>
      <c r="E694" s="148"/>
      <c r="F694" s="148"/>
      <c r="G694" s="148"/>
      <c r="H694" s="148"/>
    </row>
    <row r="695" ht="15.75" customHeight="1">
      <c r="A695" s="158"/>
      <c r="B695" s="148"/>
      <c r="C695" s="148"/>
      <c r="D695" s="148"/>
      <c r="E695" s="148"/>
      <c r="F695" s="148"/>
      <c r="G695" s="148"/>
      <c r="H695" s="148"/>
    </row>
    <row r="696" ht="15.75" customHeight="1">
      <c r="A696" s="158"/>
      <c r="B696" s="148"/>
      <c r="C696" s="148"/>
      <c r="D696" s="148"/>
      <c r="E696" s="148"/>
      <c r="F696" s="148"/>
      <c r="G696" s="148"/>
      <c r="H696" s="148"/>
    </row>
    <row r="697" ht="15.75" customHeight="1">
      <c r="A697" s="158"/>
      <c r="B697" s="148"/>
      <c r="C697" s="148"/>
      <c r="D697" s="148"/>
      <c r="E697" s="148"/>
      <c r="F697" s="148"/>
      <c r="G697" s="148"/>
      <c r="H697" s="148"/>
    </row>
    <row r="698" ht="15.75" customHeight="1">
      <c r="A698" s="158"/>
      <c r="B698" s="148"/>
      <c r="C698" s="148"/>
      <c r="D698" s="148"/>
      <c r="E698" s="148"/>
      <c r="F698" s="148"/>
      <c r="G698" s="148"/>
      <c r="H698" s="148"/>
    </row>
    <row r="699" ht="15.75" customHeight="1">
      <c r="A699" s="158"/>
      <c r="B699" s="148"/>
      <c r="C699" s="148"/>
      <c r="D699" s="148"/>
      <c r="E699" s="148"/>
      <c r="F699" s="148"/>
      <c r="G699" s="148"/>
      <c r="H699" s="148"/>
    </row>
    <row r="700" ht="15.75" customHeight="1">
      <c r="A700" s="158"/>
      <c r="B700" s="148"/>
      <c r="C700" s="148"/>
      <c r="D700" s="148"/>
      <c r="E700" s="148"/>
      <c r="F700" s="148"/>
      <c r="G700" s="148"/>
      <c r="H700" s="148"/>
    </row>
    <row r="701" ht="15.75" customHeight="1">
      <c r="A701" s="158"/>
      <c r="B701" s="148"/>
      <c r="C701" s="148"/>
      <c r="D701" s="148"/>
      <c r="E701" s="148"/>
      <c r="F701" s="148"/>
      <c r="G701" s="148"/>
      <c r="H701" s="148"/>
    </row>
    <row r="702" ht="15.75" customHeight="1">
      <c r="A702" s="158"/>
      <c r="B702" s="148"/>
      <c r="C702" s="148"/>
      <c r="D702" s="148"/>
      <c r="E702" s="148"/>
      <c r="F702" s="148"/>
      <c r="G702" s="148"/>
      <c r="H702" s="148"/>
    </row>
    <row r="703" ht="15.75" customHeight="1">
      <c r="A703" s="158"/>
      <c r="B703" s="148"/>
      <c r="C703" s="148"/>
      <c r="D703" s="148"/>
      <c r="E703" s="148"/>
      <c r="F703" s="148"/>
      <c r="G703" s="148"/>
      <c r="H703" s="148"/>
    </row>
    <row r="704" ht="15.75" customHeight="1">
      <c r="A704" s="158"/>
      <c r="B704" s="148"/>
      <c r="C704" s="148"/>
      <c r="D704" s="148"/>
      <c r="E704" s="148"/>
      <c r="F704" s="148"/>
      <c r="G704" s="148"/>
      <c r="H704" s="148"/>
    </row>
    <row r="705" ht="15.75" customHeight="1">
      <c r="A705" s="158"/>
      <c r="B705" s="148"/>
      <c r="C705" s="148"/>
      <c r="D705" s="148"/>
      <c r="E705" s="148"/>
      <c r="F705" s="148"/>
      <c r="G705" s="148"/>
      <c r="H705" s="148"/>
    </row>
    <row r="706" ht="15.75" customHeight="1">
      <c r="A706" s="158"/>
      <c r="B706" s="148"/>
      <c r="C706" s="148"/>
      <c r="D706" s="148"/>
      <c r="E706" s="148"/>
      <c r="F706" s="148"/>
      <c r="G706" s="148"/>
      <c r="H706" s="148"/>
    </row>
    <row r="707" ht="15.75" customHeight="1">
      <c r="A707" s="158"/>
      <c r="B707" s="148"/>
      <c r="C707" s="148"/>
      <c r="D707" s="148"/>
      <c r="E707" s="148"/>
      <c r="F707" s="148"/>
      <c r="G707" s="148"/>
      <c r="H707" s="148"/>
    </row>
    <row r="708" ht="15.75" customHeight="1">
      <c r="A708" s="158"/>
      <c r="B708" s="148"/>
      <c r="C708" s="148"/>
      <c r="D708" s="148"/>
      <c r="E708" s="148"/>
      <c r="F708" s="148"/>
      <c r="G708" s="148"/>
      <c r="H708" s="148"/>
    </row>
    <row r="709" ht="15.75" customHeight="1">
      <c r="A709" s="158"/>
      <c r="B709" s="148"/>
      <c r="C709" s="148"/>
      <c r="D709" s="148"/>
      <c r="E709" s="148"/>
      <c r="F709" s="148"/>
      <c r="G709" s="148"/>
      <c r="H709" s="148"/>
    </row>
    <row r="710" ht="15.75" customHeight="1">
      <c r="A710" s="158"/>
      <c r="B710" s="148"/>
      <c r="C710" s="148"/>
      <c r="D710" s="148"/>
      <c r="E710" s="148"/>
      <c r="F710" s="148"/>
      <c r="G710" s="148"/>
      <c r="H710" s="148"/>
    </row>
    <row r="711" ht="15.75" customHeight="1">
      <c r="A711" s="158"/>
      <c r="B711" s="148"/>
      <c r="C711" s="148"/>
      <c r="D711" s="148"/>
      <c r="E711" s="148"/>
      <c r="F711" s="148"/>
      <c r="G711" s="148"/>
      <c r="H711" s="148"/>
    </row>
    <row r="712" ht="15.75" customHeight="1">
      <c r="A712" s="158"/>
      <c r="B712" s="148"/>
      <c r="C712" s="148"/>
      <c r="D712" s="148"/>
      <c r="E712" s="148"/>
      <c r="F712" s="148"/>
      <c r="G712" s="148"/>
      <c r="H712" s="148"/>
    </row>
    <row r="713" ht="15.75" customHeight="1">
      <c r="A713" s="158"/>
      <c r="B713" s="148"/>
      <c r="C713" s="148"/>
      <c r="D713" s="148"/>
      <c r="E713" s="148"/>
      <c r="F713" s="148"/>
      <c r="G713" s="148"/>
      <c r="H713" s="148"/>
    </row>
    <row r="714" ht="15.75" customHeight="1">
      <c r="A714" s="158"/>
      <c r="B714" s="148"/>
      <c r="C714" s="148"/>
      <c r="D714" s="148"/>
      <c r="E714" s="148"/>
      <c r="F714" s="148"/>
      <c r="G714" s="148"/>
      <c r="H714" s="148"/>
    </row>
    <row r="715" ht="15.75" customHeight="1">
      <c r="A715" s="158"/>
      <c r="B715" s="148"/>
      <c r="C715" s="148"/>
      <c r="D715" s="148"/>
      <c r="E715" s="148"/>
      <c r="F715" s="148"/>
      <c r="G715" s="148"/>
      <c r="H715" s="148"/>
    </row>
    <row r="716" ht="15.75" customHeight="1">
      <c r="A716" s="158"/>
      <c r="B716" s="148"/>
      <c r="C716" s="148"/>
      <c r="D716" s="148"/>
      <c r="E716" s="148"/>
      <c r="F716" s="148"/>
      <c r="G716" s="148"/>
      <c r="H716" s="148"/>
    </row>
    <row r="717" ht="15.75" customHeight="1">
      <c r="A717" s="158"/>
      <c r="B717" s="148"/>
      <c r="C717" s="148"/>
      <c r="D717" s="148"/>
      <c r="E717" s="148"/>
      <c r="F717" s="148"/>
      <c r="G717" s="148"/>
      <c r="H717" s="148"/>
    </row>
    <row r="718" ht="15.75" customHeight="1">
      <c r="A718" s="158"/>
      <c r="B718" s="148"/>
      <c r="C718" s="148"/>
      <c r="D718" s="148"/>
      <c r="E718" s="148"/>
      <c r="F718" s="148"/>
      <c r="G718" s="148"/>
      <c r="H718" s="148"/>
    </row>
    <row r="719" ht="15.75" customHeight="1">
      <c r="A719" s="158"/>
      <c r="B719" s="148"/>
      <c r="C719" s="148"/>
      <c r="D719" s="148"/>
      <c r="E719" s="148"/>
      <c r="F719" s="148"/>
      <c r="G719" s="148"/>
      <c r="H719" s="148"/>
    </row>
    <row r="720" ht="15.75" customHeight="1">
      <c r="A720" s="158"/>
      <c r="B720" s="148"/>
      <c r="C720" s="148"/>
      <c r="D720" s="148"/>
      <c r="E720" s="148"/>
      <c r="F720" s="148"/>
      <c r="G720" s="148"/>
      <c r="H720" s="148"/>
    </row>
    <row r="721" ht="15.75" customHeight="1">
      <c r="A721" s="158"/>
      <c r="B721" s="148"/>
      <c r="C721" s="148"/>
      <c r="D721" s="148"/>
      <c r="E721" s="148"/>
      <c r="F721" s="148"/>
      <c r="G721" s="148"/>
      <c r="H721" s="148"/>
    </row>
    <row r="722" ht="15.75" customHeight="1">
      <c r="A722" s="158"/>
      <c r="B722" s="148"/>
      <c r="C722" s="148"/>
      <c r="D722" s="148"/>
      <c r="E722" s="148"/>
      <c r="F722" s="148"/>
      <c r="G722" s="148"/>
      <c r="H722" s="148"/>
    </row>
    <row r="723" ht="15.75" customHeight="1">
      <c r="A723" s="158"/>
      <c r="B723" s="148"/>
      <c r="C723" s="148"/>
      <c r="D723" s="148"/>
      <c r="E723" s="148"/>
      <c r="F723" s="148"/>
      <c r="G723" s="148"/>
      <c r="H723" s="148"/>
    </row>
    <row r="724" ht="15.75" customHeight="1">
      <c r="A724" s="158"/>
      <c r="B724" s="148"/>
      <c r="C724" s="148"/>
      <c r="D724" s="148"/>
      <c r="E724" s="148"/>
      <c r="F724" s="148"/>
      <c r="G724" s="148"/>
      <c r="H724" s="148"/>
    </row>
    <row r="725" ht="15.75" customHeight="1">
      <c r="A725" s="158"/>
      <c r="B725" s="148"/>
      <c r="C725" s="148"/>
      <c r="D725" s="148"/>
      <c r="E725" s="148"/>
      <c r="F725" s="148"/>
      <c r="G725" s="148"/>
      <c r="H725" s="148"/>
    </row>
    <row r="726" ht="15.75" customHeight="1">
      <c r="A726" s="158"/>
      <c r="B726" s="148"/>
      <c r="C726" s="148"/>
      <c r="D726" s="148"/>
      <c r="E726" s="148"/>
      <c r="F726" s="148"/>
      <c r="G726" s="148"/>
      <c r="H726" s="148"/>
    </row>
    <row r="727" ht="15.75" customHeight="1">
      <c r="A727" s="158"/>
      <c r="B727" s="148"/>
      <c r="C727" s="148"/>
      <c r="D727" s="148"/>
      <c r="E727" s="148"/>
      <c r="F727" s="148"/>
      <c r="G727" s="148"/>
      <c r="H727" s="148"/>
    </row>
    <row r="728" ht="15.75" customHeight="1">
      <c r="A728" s="158"/>
      <c r="B728" s="148"/>
      <c r="C728" s="148"/>
      <c r="D728" s="148"/>
      <c r="E728" s="148"/>
      <c r="F728" s="148"/>
      <c r="G728" s="148"/>
      <c r="H728" s="148"/>
    </row>
    <row r="729" ht="15.75" customHeight="1">
      <c r="A729" s="158"/>
      <c r="B729" s="148"/>
      <c r="C729" s="148"/>
      <c r="D729" s="148"/>
      <c r="E729" s="148"/>
      <c r="F729" s="148"/>
      <c r="G729" s="148"/>
      <c r="H729" s="148"/>
    </row>
    <row r="730" ht="15.75" customHeight="1">
      <c r="A730" s="158"/>
      <c r="B730" s="148"/>
      <c r="C730" s="148"/>
      <c r="D730" s="148"/>
      <c r="E730" s="148"/>
      <c r="F730" s="148"/>
      <c r="G730" s="148"/>
      <c r="H730" s="148"/>
    </row>
    <row r="731" ht="15.75" customHeight="1">
      <c r="A731" s="158"/>
      <c r="B731" s="148"/>
      <c r="C731" s="148"/>
      <c r="D731" s="148"/>
      <c r="E731" s="148"/>
      <c r="F731" s="148"/>
      <c r="G731" s="148"/>
      <c r="H731" s="148"/>
    </row>
    <row r="732" ht="15.75" customHeight="1">
      <c r="A732" s="158"/>
      <c r="B732" s="148"/>
      <c r="C732" s="148"/>
      <c r="D732" s="148"/>
      <c r="E732" s="148"/>
      <c r="F732" s="148"/>
      <c r="G732" s="148"/>
      <c r="H732" s="148"/>
    </row>
    <row r="733" ht="15.75" customHeight="1">
      <c r="A733" s="158"/>
      <c r="B733" s="148"/>
      <c r="C733" s="148"/>
      <c r="D733" s="148"/>
      <c r="E733" s="148"/>
      <c r="F733" s="148"/>
      <c r="G733" s="148"/>
      <c r="H733" s="148"/>
    </row>
    <row r="734" ht="15.75" customHeight="1">
      <c r="A734" s="158"/>
      <c r="B734" s="148"/>
      <c r="C734" s="148"/>
      <c r="D734" s="148"/>
      <c r="E734" s="148"/>
      <c r="F734" s="148"/>
      <c r="G734" s="148"/>
      <c r="H734" s="148"/>
    </row>
    <row r="735" ht="15.75" customHeight="1">
      <c r="A735" s="158"/>
      <c r="B735" s="148"/>
      <c r="C735" s="148"/>
      <c r="D735" s="148"/>
      <c r="E735" s="148"/>
      <c r="F735" s="148"/>
      <c r="G735" s="148"/>
      <c r="H735" s="148"/>
    </row>
    <row r="736" ht="15.75" customHeight="1">
      <c r="A736" s="158"/>
      <c r="B736" s="148"/>
      <c r="C736" s="148"/>
      <c r="D736" s="148"/>
      <c r="E736" s="148"/>
      <c r="F736" s="148"/>
      <c r="G736" s="148"/>
      <c r="H736" s="148"/>
    </row>
    <row r="737" ht="15.75" customHeight="1">
      <c r="A737" s="158"/>
      <c r="B737" s="148"/>
      <c r="C737" s="148"/>
      <c r="D737" s="148"/>
      <c r="E737" s="148"/>
      <c r="F737" s="148"/>
      <c r="G737" s="148"/>
      <c r="H737" s="148"/>
    </row>
    <row r="738" ht="15.75" customHeight="1">
      <c r="A738" s="158"/>
      <c r="B738" s="148"/>
      <c r="C738" s="148"/>
      <c r="D738" s="148"/>
      <c r="E738" s="148"/>
      <c r="F738" s="148"/>
      <c r="G738" s="148"/>
      <c r="H738" s="148"/>
    </row>
    <row r="739" ht="15.75" customHeight="1">
      <c r="A739" s="158"/>
      <c r="B739" s="148"/>
      <c r="C739" s="148"/>
      <c r="D739" s="148"/>
      <c r="E739" s="148"/>
      <c r="F739" s="148"/>
      <c r="G739" s="148"/>
      <c r="H739" s="148"/>
    </row>
    <row r="740" ht="15.75" customHeight="1">
      <c r="A740" s="158"/>
      <c r="B740" s="148"/>
      <c r="C740" s="148"/>
      <c r="D740" s="148"/>
      <c r="E740" s="148"/>
      <c r="F740" s="148"/>
      <c r="G740" s="148"/>
      <c r="H740" s="148"/>
    </row>
    <row r="741" ht="15.75" customHeight="1">
      <c r="A741" s="158"/>
      <c r="B741" s="148"/>
      <c r="C741" s="148"/>
      <c r="D741" s="148"/>
      <c r="E741" s="148"/>
      <c r="F741" s="148"/>
      <c r="G741" s="148"/>
      <c r="H741" s="148"/>
    </row>
    <row r="742" ht="15.75" customHeight="1">
      <c r="A742" s="158"/>
      <c r="B742" s="148"/>
      <c r="C742" s="148"/>
      <c r="D742" s="148"/>
      <c r="E742" s="148"/>
      <c r="F742" s="148"/>
      <c r="G742" s="148"/>
      <c r="H742" s="148"/>
    </row>
    <row r="743" ht="15.75" customHeight="1">
      <c r="A743" s="158"/>
      <c r="B743" s="148"/>
      <c r="C743" s="148"/>
      <c r="D743" s="148"/>
      <c r="E743" s="148"/>
      <c r="F743" s="148"/>
      <c r="G743" s="148"/>
      <c r="H743" s="148"/>
    </row>
    <row r="744" ht="15.75" customHeight="1">
      <c r="A744" s="158"/>
      <c r="B744" s="148"/>
      <c r="C744" s="148"/>
      <c r="D744" s="148"/>
      <c r="E744" s="148"/>
      <c r="F744" s="148"/>
      <c r="G744" s="148"/>
      <c r="H744" s="148"/>
    </row>
    <row r="745" ht="15.75" customHeight="1">
      <c r="A745" s="158"/>
      <c r="B745" s="148"/>
      <c r="C745" s="148"/>
      <c r="D745" s="148"/>
      <c r="E745" s="148"/>
      <c r="F745" s="148"/>
      <c r="G745" s="148"/>
      <c r="H745" s="148"/>
    </row>
    <row r="746" ht="15.75" customHeight="1">
      <c r="A746" s="158"/>
      <c r="B746" s="148"/>
      <c r="C746" s="148"/>
      <c r="D746" s="148"/>
      <c r="E746" s="148"/>
      <c r="F746" s="148"/>
      <c r="G746" s="148"/>
      <c r="H746" s="148"/>
    </row>
    <row r="747" ht="15.75" customHeight="1">
      <c r="A747" s="158"/>
      <c r="B747" s="148"/>
      <c r="C747" s="148"/>
      <c r="D747" s="148"/>
      <c r="E747" s="148"/>
      <c r="F747" s="148"/>
      <c r="G747" s="148"/>
      <c r="H747" s="148"/>
    </row>
    <row r="748" ht="15.75" customHeight="1">
      <c r="A748" s="158"/>
      <c r="B748" s="148"/>
      <c r="C748" s="148"/>
      <c r="D748" s="148"/>
      <c r="E748" s="148"/>
      <c r="F748" s="148"/>
      <c r="G748" s="148"/>
      <c r="H748" s="148"/>
    </row>
    <row r="749" ht="15.75" customHeight="1">
      <c r="A749" s="158"/>
      <c r="B749" s="148"/>
      <c r="C749" s="148"/>
      <c r="D749" s="148"/>
      <c r="E749" s="148"/>
      <c r="F749" s="148"/>
      <c r="G749" s="148"/>
      <c r="H749" s="148"/>
    </row>
    <row r="750" ht="15.75" customHeight="1">
      <c r="A750" s="158"/>
      <c r="B750" s="148"/>
      <c r="C750" s="148"/>
      <c r="D750" s="148"/>
      <c r="E750" s="148"/>
      <c r="F750" s="148"/>
      <c r="G750" s="148"/>
      <c r="H750" s="148"/>
    </row>
    <row r="751" ht="15.75" customHeight="1">
      <c r="A751" s="158"/>
      <c r="B751" s="148"/>
      <c r="C751" s="148"/>
      <c r="D751" s="148"/>
      <c r="E751" s="148"/>
      <c r="F751" s="148"/>
      <c r="G751" s="148"/>
      <c r="H751" s="148"/>
    </row>
    <row r="752" ht="15.75" customHeight="1">
      <c r="A752" s="158"/>
      <c r="B752" s="148"/>
      <c r="C752" s="148"/>
      <c r="D752" s="148"/>
      <c r="E752" s="148"/>
      <c r="F752" s="148"/>
      <c r="G752" s="148"/>
      <c r="H752" s="148"/>
    </row>
    <row r="753" ht="15.75" customHeight="1">
      <c r="A753" s="158"/>
      <c r="B753" s="148"/>
      <c r="C753" s="148"/>
      <c r="D753" s="148"/>
      <c r="E753" s="148"/>
      <c r="F753" s="148"/>
      <c r="G753" s="148"/>
      <c r="H753" s="148"/>
    </row>
    <row r="754" ht="15.75" customHeight="1">
      <c r="A754" s="158"/>
      <c r="B754" s="148"/>
      <c r="C754" s="148"/>
      <c r="D754" s="148"/>
      <c r="E754" s="148"/>
      <c r="F754" s="148"/>
      <c r="G754" s="148"/>
      <c r="H754" s="148"/>
    </row>
    <row r="755" ht="15.75" customHeight="1">
      <c r="A755" s="158"/>
      <c r="B755" s="148"/>
      <c r="C755" s="148"/>
      <c r="D755" s="148"/>
      <c r="E755" s="148"/>
      <c r="F755" s="148"/>
      <c r="G755" s="148"/>
      <c r="H755" s="148"/>
    </row>
    <row r="756" ht="15.75" customHeight="1">
      <c r="A756" s="158"/>
      <c r="B756" s="148"/>
      <c r="C756" s="148"/>
      <c r="D756" s="148"/>
      <c r="E756" s="148"/>
      <c r="F756" s="148"/>
      <c r="G756" s="148"/>
      <c r="H756" s="148"/>
    </row>
    <row r="757" ht="15.75" customHeight="1">
      <c r="A757" s="158"/>
      <c r="B757" s="148"/>
      <c r="C757" s="148"/>
      <c r="D757" s="148"/>
      <c r="E757" s="148"/>
      <c r="F757" s="148"/>
      <c r="G757" s="148"/>
      <c r="H757" s="148"/>
    </row>
    <row r="758" ht="15.75" customHeight="1">
      <c r="A758" s="158"/>
      <c r="B758" s="148"/>
      <c r="C758" s="148"/>
      <c r="D758" s="148"/>
      <c r="E758" s="148"/>
      <c r="F758" s="148"/>
      <c r="G758" s="148"/>
      <c r="H758" s="148"/>
    </row>
    <row r="759" ht="15.75" customHeight="1">
      <c r="A759" s="158"/>
      <c r="B759" s="148"/>
      <c r="C759" s="148"/>
      <c r="D759" s="148"/>
      <c r="E759" s="148"/>
      <c r="F759" s="148"/>
      <c r="G759" s="148"/>
      <c r="H759" s="148"/>
    </row>
    <row r="760" ht="15.75" customHeight="1">
      <c r="A760" s="158"/>
      <c r="B760" s="148"/>
      <c r="C760" s="148"/>
      <c r="D760" s="148"/>
      <c r="E760" s="148"/>
      <c r="F760" s="148"/>
      <c r="G760" s="148"/>
      <c r="H760" s="148"/>
    </row>
    <row r="761" ht="15.75" customHeight="1">
      <c r="A761" s="158"/>
      <c r="B761" s="148"/>
      <c r="C761" s="148"/>
      <c r="D761" s="148"/>
      <c r="E761" s="148"/>
      <c r="F761" s="148"/>
      <c r="G761" s="148"/>
      <c r="H761" s="148"/>
    </row>
    <row r="762" ht="15.75" customHeight="1">
      <c r="A762" s="158"/>
      <c r="B762" s="148"/>
      <c r="C762" s="148"/>
      <c r="D762" s="148"/>
      <c r="E762" s="148"/>
      <c r="F762" s="148"/>
      <c r="G762" s="148"/>
      <c r="H762" s="148"/>
    </row>
    <row r="763" ht="15.75" customHeight="1">
      <c r="A763" s="158"/>
      <c r="B763" s="148"/>
      <c r="C763" s="148"/>
      <c r="D763" s="148"/>
      <c r="E763" s="148"/>
      <c r="F763" s="148"/>
      <c r="G763" s="148"/>
      <c r="H763" s="148"/>
    </row>
    <row r="764" ht="15.75" customHeight="1">
      <c r="A764" s="158"/>
      <c r="B764" s="148"/>
      <c r="C764" s="148"/>
      <c r="D764" s="148"/>
      <c r="E764" s="148"/>
      <c r="F764" s="148"/>
      <c r="G764" s="148"/>
      <c r="H764" s="148"/>
    </row>
    <row r="765" ht="15.75" customHeight="1">
      <c r="A765" s="158"/>
      <c r="B765" s="148"/>
      <c r="C765" s="148"/>
      <c r="D765" s="148"/>
      <c r="E765" s="148"/>
      <c r="F765" s="148"/>
      <c r="G765" s="148"/>
      <c r="H765" s="148"/>
    </row>
    <row r="766" ht="15.75" customHeight="1">
      <c r="A766" s="158"/>
      <c r="B766" s="148"/>
      <c r="C766" s="148"/>
      <c r="D766" s="148"/>
      <c r="E766" s="148"/>
      <c r="F766" s="148"/>
      <c r="G766" s="148"/>
      <c r="H766" s="148"/>
    </row>
    <row r="767" ht="15.75" customHeight="1">
      <c r="A767" s="158"/>
      <c r="B767" s="148"/>
      <c r="C767" s="148"/>
      <c r="D767" s="148"/>
      <c r="E767" s="148"/>
      <c r="F767" s="148"/>
      <c r="G767" s="148"/>
      <c r="H767" s="148"/>
    </row>
    <row r="768" ht="15.75" customHeight="1">
      <c r="A768" s="158"/>
      <c r="B768" s="148"/>
      <c r="C768" s="148"/>
      <c r="D768" s="148"/>
      <c r="E768" s="148"/>
      <c r="F768" s="148"/>
      <c r="G768" s="148"/>
      <c r="H768" s="148"/>
    </row>
    <row r="769" ht="15.75" customHeight="1">
      <c r="A769" s="158"/>
      <c r="B769" s="148"/>
      <c r="C769" s="148"/>
      <c r="D769" s="148"/>
      <c r="E769" s="148"/>
      <c r="F769" s="148"/>
      <c r="G769" s="148"/>
      <c r="H769" s="148"/>
    </row>
    <row r="770" ht="15.75" customHeight="1">
      <c r="A770" s="158"/>
      <c r="B770" s="148"/>
      <c r="C770" s="148"/>
      <c r="D770" s="148"/>
      <c r="E770" s="148"/>
      <c r="F770" s="148"/>
      <c r="G770" s="148"/>
      <c r="H770" s="148"/>
    </row>
    <row r="771" ht="15.75" customHeight="1">
      <c r="A771" s="158"/>
      <c r="B771" s="148"/>
      <c r="C771" s="148"/>
      <c r="D771" s="148"/>
      <c r="E771" s="148"/>
      <c r="F771" s="148"/>
      <c r="G771" s="148"/>
      <c r="H771" s="148"/>
    </row>
    <row r="772" ht="15.75" customHeight="1">
      <c r="A772" s="158"/>
      <c r="B772" s="148"/>
      <c r="C772" s="148"/>
      <c r="D772" s="148"/>
      <c r="E772" s="148"/>
      <c r="F772" s="148"/>
      <c r="G772" s="148"/>
      <c r="H772" s="148"/>
    </row>
    <row r="773" ht="15.75" customHeight="1">
      <c r="A773" s="158"/>
      <c r="B773" s="148"/>
      <c r="C773" s="148"/>
      <c r="D773" s="148"/>
      <c r="E773" s="148"/>
      <c r="F773" s="148"/>
      <c r="G773" s="148"/>
      <c r="H773" s="148"/>
    </row>
    <row r="774" ht="15.75" customHeight="1">
      <c r="A774" s="158"/>
      <c r="B774" s="148"/>
      <c r="C774" s="148"/>
      <c r="D774" s="148"/>
      <c r="E774" s="148"/>
      <c r="F774" s="148"/>
      <c r="G774" s="148"/>
      <c r="H774" s="148"/>
    </row>
    <row r="775" ht="15.75" customHeight="1">
      <c r="A775" s="158"/>
      <c r="B775" s="148"/>
      <c r="C775" s="148"/>
      <c r="D775" s="148"/>
      <c r="E775" s="148"/>
      <c r="F775" s="148"/>
      <c r="G775" s="148"/>
      <c r="H775" s="148"/>
    </row>
    <row r="776" ht="15.75" customHeight="1">
      <c r="A776" s="158"/>
      <c r="B776" s="148"/>
      <c r="C776" s="148"/>
      <c r="D776" s="148"/>
      <c r="E776" s="148"/>
      <c r="F776" s="148"/>
      <c r="G776" s="148"/>
      <c r="H776" s="148"/>
    </row>
    <row r="777" ht="15.75" customHeight="1">
      <c r="A777" s="158"/>
      <c r="B777" s="148"/>
      <c r="C777" s="148"/>
      <c r="D777" s="148"/>
      <c r="E777" s="148"/>
      <c r="F777" s="148"/>
      <c r="G777" s="148"/>
      <c r="H777" s="148"/>
    </row>
    <row r="778" ht="15.75" customHeight="1">
      <c r="A778" s="158"/>
      <c r="B778" s="148"/>
      <c r="C778" s="148"/>
      <c r="D778" s="148"/>
      <c r="E778" s="148"/>
      <c r="F778" s="148"/>
      <c r="G778" s="148"/>
      <c r="H778" s="148"/>
    </row>
    <row r="779" ht="15.75" customHeight="1">
      <c r="A779" s="158"/>
      <c r="B779" s="148"/>
      <c r="C779" s="148"/>
      <c r="D779" s="148"/>
      <c r="E779" s="148"/>
      <c r="F779" s="148"/>
      <c r="G779" s="148"/>
      <c r="H779" s="148"/>
    </row>
    <row r="780" ht="15.75" customHeight="1">
      <c r="A780" s="158"/>
      <c r="B780" s="148"/>
      <c r="C780" s="148"/>
      <c r="D780" s="148"/>
      <c r="E780" s="148"/>
      <c r="F780" s="148"/>
      <c r="G780" s="148"/>
      <c r="H780" s="148"/>
    </row>
    <row r="781" ht="15.75" customHeight="1">
      <c r="A781" s="158"/>
      <c r="B781" s="148"/>
      <c r="C781" s="148"/>
      <c r="D781" s="148"/>
      <c r="E781" s="148"/>
      <c r="F781" s="148"/>
      <c r="G781" s="148"/>
      <c r="H781" s="148"/>
    </row>
    <row r="782" ht="15.75" customHeight="1">
      <c r="A782" s="158"/>
      <c r="B782" s="148"/>
      <c r="C782" s="148"/>
      <c r="D782" s="148"/>
      <c r="E782" s="148"/>
      <c r="F782" s="148"/>
      <c r="G782" s="148"/>
      <c r="H782" s="148"/>
    </row>
    <row r="783" ht="15.75" customHeight="1">
      <c r="A783" s="158"/>
      <c r="B783" s="148"/>
      <c r="C783" s="148"/>
      <c r="D783" s="148"/>
      <c r="E783" s="148"/>
      <c r="F783" s="148"/>
      <c r="G783" s="148"/>
      <c r="H783" s="148"/>
    </row>
    <row r="784" ht="15.75" customHeight="1">
      <c r="A784" s="158"/>
      <c r="B784" s="148"/>
      <c r="C784" s="148"/>
      <c r="D784" s="148"/>
      <c r="E784" s="148"/>
      <c r="F784" s="148"/>
      <c r="G784" s="148"/>
      <c r="H784" s="148"/>
    </row>
    <row r="785" ht="15.75" customHeight="1">
      <c r="A785" s="158"/>
      <c r="B785" s="148"/>
      <c r="C785" s="148"/>
      <c r="D785" s="148"/>
      <c r="E785" s="148"/>
      <c r="F785" s="148"/>
      <c r="G785" s="148"/>
      <c r="H785" s="148"/>
    </row>
    <row r="786" ht="15.75" customHeight="1">
      <c r="A786" s="158"/>
      <c r="B786" s="148"/>
      <c r="C786" s="148"/>
      <c r="D786" s="148"/>
      <c r="E786" s="148"/>
      <c r="F786" s="148"/>
      <c r="G786" s="148"/>
      <c r="H786" s="148"/>
    </row>
    <row r="787" ht="15.75" customHeight="1">
      <c r="A787" s="158"/>
      <c r="B787" s="148"/>
      <c r="C787" s="148"/>
      <c r="D787" s="148"/>
      <c r="E787" s="148"/>
      <c r="F787" s="148"/>
      <c r="G787" s="148"/>
      <c r="H787" s="148"/>
    </row>
    <row r="788" ht="15.75" customHeight="1">
      <c r="A788" s="158"/>
      <c r="B788" s="148"/>
      <c r="C788" s="148"/>
      <c r="D788" s="148"/>
      <c r="E788" s="148"/>
      <c r="F788" s="148"/>
      <c r="G788" s="148"/>
      <c r="H788" s="148"/>
    </row>
    <row r="789" ht="15.75" customHeight="1">
      <c r="A789" s="158"/>
      <c r="B789" s="148"/>
      <c r="C789" s="148"/>
      <c r="D789" s="148"/>
      <c r="E789" s="148"/>
      <c r="F789" s="148"/>
      <c r="G789" s="148"/>
      <c r="H789" s="148"/>
    </row>
    <row r="790" ht="15.75" customHeight="1">
      <c r="A790" s="158"/>
      <c r="B790" s="148"/>
      <c r="C790" s="148"/>
      <c r="D790" s="148"/>
      <c r="E790" s="148"/>
      <c r="F790" s="148"/>
      <c r="G790" s="148"/>
      <c r="H790" s="148"/>
    </row>
    <row r="791" ht="15.75" customHeight="1">
      <c r="A791" s="158"/>
      <c r="B791" s="148"/>
      <c r="C791" s="148"/>
      <c r="D791" s="148"/>
      <c r="E791" s="148"/>
      <c r="F791" s="148"/>
      <c r="G791" s="148"/>
      <c r="H791" s="148"/>
    </row>
    <row r="792" ht="15.75" customHeight="1">
      <c r="A792" s="158"/>
      <c r="B792" s="148"/>
      <c r="C792" s="148"/>
      <c r="D792" s="148"/>
      <c r="E792" s="148"/>
      <c r="F792" s="148"/>
      <c r="G792" s="148"/>
      <c r="H792" s="148"/>
    </row>
    <row r="793" ht="15.75" customHeight="1">
      <c r="A793" s="158"/>
      <c r="B793" s="148"/>
      <c r="C793" s="148"/>
      <c r="D793" s="148"/>
      <c r="E793" s="148"/>
      <c r="F793" s="148"/>
      <c r="G793" s="148"/>
      <c r="H793" s="148"/>
    </row>
    <row r="794" ht="15.75" customHeight="1">
      <c r="A794" s="158"/>
      <c r="B794" s="148"/>
      <c r="C794" s="148"/>
      <c r="D794" s="148"/>
      <c r="E794" s="148"/>
      <c r="F794" s="148"/>
      <c r="G794" s="148"/>
      <c r="H794" s="148"/>
    </row>
    <row r="795" ht="15.75" customHeight="1">
      <c r="A795" s="158"/>
      <c r="B795" s="148"/>
      <c r="C795" s="148"/>
      <c r="D795" s="148"/>
      <c r="E795" s="148"/>
      <c r="F795" s="148"/>
      <c r="G795" s="148"/>
      <c r="H795" s="148"/>
    </row>
    <row r="796" ht="15.75" customHeight="1">
      <c r="A796" s="158"/>
      <c r="B796" s="148"/>
      <c r="C796" s="148"/>
      <c r="D796" s="148"/>
      <c r="E796" s="148"/>
      <c r="F796" s="148"/>
      <c r="G796" s="148"/>
      <c r="H796" s="148"/>
    </row>
    <row r="797" ht="15.75" customHeight="1">
      <c r="A797" s="158"/>
      <c r="B797" s="148"/>
      <c r="C797" s="148"/>
      <c r="D797" s="148"/>
      <c r="E797" s="148"/>
      <c r="F797" s="148"/>
      <c r="G797" s="148"/>
      <c r="H797" s="148"/>
    </row>
    <row r="798" ht="15.75" customHeight="1">
      <c r="A798" s="158"/>
      <c r="B798" s="148"/>
      <c r="C798" s="148"/>
      <c r="D798" s="148"/>
      <c r="E798" s="148"/>
      <c r="F798" s="148"/>
      <c r="G798" s="148"/>
      <c r="H798" s="148"/>
    </row>
    <row r="799" ht="15.75" customHeight="1">
      <c r="A799" s="158"/>
      <c r="B799" s="148"/>
      <c r="C799" s="148"/>
      <c r="D799" s="148"/>
      <c r="E799" s="148"/>
      <c r="F799" s="148"/>
      <c r="G799" s="148"/>
      <c r="H799" s="148"/>
    </row>
    <row r="800" ht="15.75" customHeight="1">
      <c r="A800" s="158"/>
      <c r="B800" s="148"/>
      <c r="C800" s="148"/>
      <c r="D800" s="148"/>
      <c r="E800" s="148"/>
      <c r="F800" s="148"/>
      <c r="G800" s="148"/>
      <c r="H800" s="148"/>
    </row>
    <row r="801" ht="15.75" customHeight="1">
      <c r="A801" s="158"/>
      <c r="B801" s="148"/>
      <c r="C801" s="148"/>
      <c r="D801" s="148"/>
      <c r="E801" s="148"/>
      <c r="F801" s="148"/>
      <c r="G801" s="148"/>
      <c r="H801" s="148"/>
    </row>
    <row r="802" ht="15.75" customHeight="1">
      <c r="A802" s="158"/>
      <c r="B802" s="148"/>
      <c r="C802" s="148"/>
      <c r="D802" s="148"/>
      <c r="E802" s="148"/>
      <c r="F802" s="148"/>
      <c r="G802" s="148"/>
      <c r="H802" s="148"/>
    </row>
    <row r="803" ht="15.75" customHeight="1">
      <c r="A803" s="158"/>
      <c r="B803" s="148"/>
      <c r="C803" s="148"/>
      <c r="D803" s="148"/>
      <c r="E803" s="148"/>
      <c r="F803" s="148"/>
      <c r="G803" s="148"/>
      <c r="H803" s="148"/>
    </row>
    <row r="804" ht="15.75" customHeight="1">
      <c r="A804" s="158"/>
      <c r="B804" s="148"/>
      <c r="C804" s="148"/>
      <c r="D804" s="148"/>
      <c r="E804" s="148"/>
      <c r="F804" s="148"/>
      <c r="G804" s="148"/>
      <c r="H804" s="148"/>
    </row>
    <row r="805" ht="15.75" customHeight="1">
      <c r="A805" s="158"/>
      <c r="B805" s="148"/>
      <c r="C805" s="148"/>
      <c r="D805" s="148"/>
      <c r="E805" s="148"/>
      <c r="F805" s="148"/>
      <c r="G805" s="148"/>
      <c r="H805" s="148"/>
    </row>
    <row r="806" ht="15.75" customHeight="1">
      <c r="A806" s="158"/>
      <c r="B806" s="148"/>
      <c r="C806" s="148"/>
      <c r="D806" s="148"/>
      <c r="E806" s="148"/>
      <c r="F806" s="148"/>
      <c r="G806" s="148"/>
      <c r="H806" s="148"/>
    </row>
    <row r="807" ht="15.75" customHeight="1">
      <c r="A807" s="158"/>
      <c r="B807" s="148"/>
      <c r="C807" s="148"/>
      <c r="D807" s="148"/>
      <c r="E807" s="148"/>
      <c r="F807" s="148"/>
      <c r="G807" s="148"/>
      <c r="H807" s="148"/>
    </row>
    <row r="808" ht="15.75" customHeight="1">
      <c r="A808" s="158"/>
      <c r="B808" s="148"/>
      <c r="C808" s="148"/>
      <c r="D808" s="148"/>
      <c r="E808" s="148"/>
      <c r="F808" s="148"/>
      <c r="G808" s="148"/>
      <c r="H808" s="148"/>
    </row>
    <row r="809" ht="15.75" customHeight="1">
      <c r="A809" s="158"/>
      <c r="B809" s="148"/>
      <c r="C809" s="148"/>
      <c r="D809" s="148"/>
      <c r="E809" s="148"/>
      <c r="F809" s="148"/>
      <c r="G809" s="148"/>
      <c r="H809" s="148"/>
    </row>
    <row r="810" ht="15.75" customHeight="1">
      <c r="A810" s="158"/>
      <c r="B810" s="148"/>
      <c r="C810" s="148"/>
      <c r="D810" s="148"/>
      <c r="E810" s="148"/>
      <c r="F810" s="148"/>
      <c r="G810" s="148"/>
      <c r="H810" s="148"/>
    </row>
    <row r="811" ht="15.75" customHeight="1">
      <c r="A811" s="158"/>
      <c r="B811" s="148"/>
      <c r="C811" s="148"/>
      <c r="D811" s="148"/>
      <c r="E811" s="148"/>
      <c r="F811" s="148"/>
      <c r="G811" s="148"/>
      <c r="H811" s="148"/>
    </row>
    <row r="812" ht="15.75" customHeight="1">
      <c r="A812" s="158"/>
      <c r="B812" s="148"/>
      <c r="C812" s="148"/>
      <c r="D812" s="148"/>
      <c r="E812" s="148"/>
      <c r="F812" s="148"/>
      <c r="G812" s="148"/>
      <c r="H812" s="148"/>
    </row>
    <row r="813" ht="15.75" customHeight="1">
      <c r="A813" s="158"/>
      <c r="B813" s="148"/>
      <c r="C813" s="148"/>
      <c r="D813" s="148"/>
      <c r="E813" s="148"/>
      <c r="F813" s="148"/>
      <c r="G813" s="148"/>
      <c r="H813" s="148"/>
    </row>
    <row r="814" ht="15.75" customHeight="1">
      <c r="A814" s="158"/>
      <c r="B814" s="148"/>
      <c r="C814" s="148"/>
      <c r="D814" s="148"/>
      <c r="E814" s="148"/>
      <c r="F814" s="148"/>
      <c r="G814" s="148"/>
      <c r="H814" s="148"/>
    </row>
    <row r="815" ht="15.75" customHeight="1">
      <c r="A815" s="158"/>
      <c r="B815" s="148"/>
      <c r="C815" s="148"/>
      <c r="D815" s="148"/>
      <c r="E815" s="148"/>
      <c r="F815" s="148"/>
      <c r="G815" s="148"/>
      <c r="H815" s="148"/>
    </row>
    <row r="816" ht="15.75" customHeight="1">
      <c r="A816" s="158"/>
      <c r="B816" s="148"/>
      <c r="C816" s="148"/>
      <c r="D816" s="148"/>
      <c r="E816" s="148"/>
      <c r="F816" s="148"/>
      <c r="G816" s="148"/>
      <c r="H816" s="148"/>
    </row>
    <row r="817" ht="15.75" customHeight="1">
      <c r="A817" s="158"/>
      <c r="B817" s="148"/>
      <c r="C817" s="148"/>
      <c r="D817" s="148"/>
      <c r="E817" s="148"/>
      <c r="F817" s="148"/>
      <c r="G817" s="148"/>
      <c r="H817" s="148"/>
    </row>
    <row r="818" ht="15.75" customHeight="1">
      <c r="A818" s="158"/>
      <c r="B818" s="148"/>
      <c r="C818" s="148"/>
      <c r="D818" s="148"/>
      <c r="E818" s="148"/>
      <c r="F818" s="148"/>
      <c r="G818" s="148"/>
      <c r="H818" s="148"/>
    </row>
    <row r="819" ht="15.75" customHeight="1">
      <c r="A819" s="158"/>
      <c r="B819" s="148"/>
      <c r="C819" s="148"/>
      <c r="D819" s="148"/>
      <c r="E819" s="148"/>
      <c r="F819" s="148"/>
      <c r="G819" s="148"/>
      <c r="H819" s="148"/>
    </row>
    <row r="820" ht="15.75" customHeight="1">
      <c r="A820" s="158"/>
      <c r="B820" s="148"/>
      <c r="C820" s="148"/>
      <c r="D820" s="148"/>
      <c r="E820" s="148"/>
      <c r="F820" s="148"/>
      <c r="G820" s="148"/>
      <c r="H820" s="148"/>
    </row>
    <row r="821" ht="15.75" customHeight="1">
      <c r="A821" s="158"/>
      <c r="B821" s="148"/>
      <c r="C821" s="148"/>
      <c r="D821" s="148"/>
      <c r="E821" s="148"/>
      <c r="F821" s="148"/>
      <c r="G821" s="148"/>
      <c r="H821" s="148"/>
    </row>
    <row r="822" ht="15.75" customHeight="1">
      <c r="A822" s="158"/>
      <c r="B822" s="148"/>
      <c r="C822" s="148"/>
      <c r="D822" s="148"/>
      <c r="E822" s="148"/>
      <c r="F822" s="148"/>
      <c r="G822" s="148"/>
      <c r="H822" s="148"/>
    </row>
    <row r="823" ht="15.75" customHeight="1">
      <c r="A823" s="158"/>
      <c r="B823" s="148"/>
      <c r="C823" s="148"/>
      <c r="D823" s="148"/>
      <c r="E823" s="148"/>
      <c r="F823" s="148"/>
      <c r="G823" s="148"/>
      <c r="H823" s="148"/>
    </row>
    <row r="824" ht="15.75" customHeight="1">
      <c r="A824" s="158"/>
      <c r="B824" s="148"/>
      <c r="C824" s="148"/>
      <c r="D824" s="148"/>
      <c r="E824" s="148"/>
      <c r="F824" s="148"/>
      <c r="G824" s="148"/>
      <c r="H824" s="148"/>
    </row>
    <row r="825" ht="15.75" customHeight="1">
      <c r="A825" s="158"/>
      <c r="B825" s="148"/>
      <c r="C825" s="148"/>
      <c r="D825" s="148"/>
      <c r="E825" s="148"/>
      <c r="F825" s="148"/>
      <c r="G825" s="148"/>
      <c r="H825" s="148"/>
    </row>
    <row r="826" ht="15.75" customHeight="1">
      <c r="A826" s="158"/>
      <c r="B826" s="148"/>
      <c r="C826" s="148"/>
      <c r="D826" s="148"/>
      <c r="E826" s="148"/>
      <c r="F826" s="148"/>
      <c r="G826" s="148"/>
      <c r="H826" s="148"/>
    </row>
    <row r="827" ht="15.75" customHeight="1">
      <c r="A827" s="158"/>
      <c r="B827" s="148"/>
      <c r="C827" s="148"/>
      <c r="D827" s="148"/>
      <c r="E827" s="148"/>
      <c r="F827" s="148"/>
      <c r="G827" s="148"/>
      <c r="H827" s="148"/>
    </row>
    <row r="828" ht="15.75" customHeight="1">
      <c r="A828" s="158"/>
      <c r="B828" s="148"/>
      <c r="C828" s="148"/>
      <c r="D828" s="148"/>
      <c r="E828" s="148"/>
      <c r="F828" s="148"/>
      <c r="G828" s="148"/>
      <c r="H828" s="148"/>
    </row>
    <row r="829" ht="15.75" customHeight="1">
      <c r="A829" s="158"/>
      <c r="B829" s="148"/>
      <c r="C829" s="148"/>
      <c r="D829" s="148"/>
      <c r="E829" s="148"/>
      <c r="F829" s="148"/>
      <c r="G829" s="148"/>
      <c r="H829" s="148"/>
    </row>
    <row r="830" ht="15.75" customHeight="1">
      <c r="A830" s="158"/>
      <c r="B830" s="148"/>
      <c r="C830" s="148"/>
      <c r="D830" s="148"/>
      <c r="E830" s="148"/>
      <c r="F830" s="148"/>
      <c r="G830" s="148"/>
      <c r="H830" s="148"/>
    </row>
    <row r="831" ht="15.75" customHeight="1">
      <c r="A831" s="158"/>
      <c r="B831" s="148"/>
      <c r="C831" s="148"/>
      <c r="D831" s="148"/>
      <c r="E831" s="148"/>
      <c r="F831" s="148"/>
      <c r="G831" s="148"/>
      <c r="H831" s="148"/>
    </row>
    <row r="832" ht="15.75" customHeight="1">
      <c r="A832" s="158"/>
      <c r="B832" s="148"/>
      <c r="C832" s="148"/>
      <c r="D832" s="148"/>
      <c r="E832" s="148"/>
      <c r="F832" s="148"/>
      <c r="G832" s="148"/>
      <c r="H832" s="148"/>
    </row>
    <row r="833" ht="15.75" customHeight="1">
      <c r="A833" s="158"/>
      <c r="B833" s="148"/>
      <c r="C833" s="148"/>
      <c r="D833" s="148"/>
      <c r="E833" s="148"/>
      <c r="F833" s="148"/>
      <c r="G833" s="148"/>
      <c r="H833" s="148"/>
    </row>
    <row r="834" ht="15.75" customHeight="1">
      <c r="A834" s="158"/>
      <c r="B834" s="148"/>
      <c r="C834" s="148"/>
      <c r="D834" s="148"/>
      <c r="E834" s="148"/>
      <c r="F834" s="148"/>
      <c r="G834" s="148"/>
      <c r="H834" s="148"/>
    </row>
    <row r="835" ht="15.75" customHeight="1">
      <c r="A835" s="158"/>
      <c r="B835" s="148"/>
      <c r="C835" s="148"/>
      <c r="D835" s="148"/>
      <c r="E835" s="148"/>
      <c r="F835" s="148"/>
      <c r="G835" s="148"/>
      <c r="H835" s="148"/>
    </row>
    <row r="836" ht="15.75" customHeight="1">
      <c r="A836" s="158"/>
      <c r="B836" s="148"/>
      <c r="C836" s="148"/>
      <c r="D836" s="148"/>
      <c r="E836" s="148"/>
      <c r="F836" s="148"/>
      <c r="G836" s="148"/>
      <c r="H836" s="148"/>
    </row>
    <row r="837" ht="15.75" customHeight="1">
      <c r="A837" s="158"/>
      <c r="B837" s="148"/>
      <c r="C837" s="148"/>
      <c r="D837" s="148"/>
      <c r="E837" s="148"/>
      <c r="F837" s="148"/>
      <c r="G837" s="148"/>
      <c r="H837" s="148"/>
    </row>
    <row r="838" ht="15.75" customHeight="1">
      <c r="A838" s="158"/>
      <c r="B838" s="148"/>
      <c r="C838" s="148"/>
      <c r="D838" s="148"/>
      <c r="E838" s="148"/>
      <c r="F838" s="148"/>
      <c r="G838" s="148"/>
      <c r="H838" s="148"/>
    </row>
    <row r="839" ht="15.75" customHeight="1">
      <c r="A839" s="158"/>
      <c r="B839" s="148"/>
      <c r="C839" s="148"/>
      <c r="D839" s="148"/>
      <c r="E839" s="148"/>
      <c r="F839" s="148"/>
      <c r="G839" s="148"/>
      <c r="H839" s="148"/>
    </row>
    <row r="840" ht="15.75" customHeight="1">
      <c r="A840" s="158"/>
      <c r="B840" s="148"/>
      <c r="C840" s="148"/>
      <c r="D840" s="148"/>
      <c r="E840" s="148"/>
      <c r="F840" s="148"/>
      <c r="G840" s="148"/>
      <c r="H840" s="148"/>
    </row>
    <row r="841" ht="15.75" customHeight="1">
      <c r="A841" s="158"/>
      <c r="B841" s="148"/>
      <c r="C841" s="148"/>
      <c r="D841" s="148"/>
      <c r="E841" s="148"/>
      <c r="F841" s="148"/>
      <c r="G841" s="148"/>
      <c r="H841" s="148"/>
    </row>
    <row r="842" ht="15.75" customHeight="1">
      <c r="A842" s="158"/>
      <c r="B842" s="148"/>
      <c r="C842" s="148"/>
      <c r="D842" s="148"/>
      <c r="E842" s="148"/>
      <c r="F842" s="148"/>
      <c r="G842" s="148"/>
      <c r="H842" s="148"/>
    </row>
    <row r="843" ht="15.75" customHeight="1">
      <c r="A843" s="158"/>
      <c r="B843" s="148"/>
      <c r="C843" s="148"/>
      <c r="D843" s="148"/>
      <c r="E843" s="148"/>
      <c r="F843" s="148"/>
      <c r="G843" s="148"/>
      <c r="H843" s="148"/>
    </row>
    <row r="844" ht="15.75" customHeight="1">
      <c r="A844" s="158"/>
      <c r="B844" s="148"/>
      <c r="C844" s="148"/>
      <c r="D844" s="148"/>
      <c r="E844" s="148"/>
      <c r="F844" s="148"/>
      <c r="G844" s="148"/>
      <c r="H844" s="148"/>
    </row>
    <row r="845" ht="15.75" customHeight="1">
      <c r="A845" s="158"/>
      <c r="B845" s="148"/>
      <c r="C845" s="148"/>
      <c r="D845" s="148"/>
      <c r="E845" s="148"/>
      <c r="F845" s="148"/>
      <c r="G845" s="148"/>
      <c r="H845" s="148"/>
    </row>
    <row r="846" ht="15.75" customHeight="1">
      <c r="A846" s="158"/>
      <c r="B846" s="148"/>
      <c r="C846" s="148"/>
      <c r="D846" s="148"/>
      <c r="E846" s="148"/>
      <c r="F846" s="148"/>
      <c r="G846" s="148"/>
      <c r="H846" s="148"/>
    </row>
    <row r="847" ht="15.75" customHeight="1">
      <c r="A847" s="158"/>
      <c r="B847" s="148"/>
      <c r="C847" s="148"/>
      <c r="D847" s="148"/>
      <c r="E847" s="148"/>
      <c r="F847" s="148"/>
      <c r="G847" s="148"/>
      <c r="H847" s="148"/>
    </row>
    <row r="848" ht="15.75" customHeight="1">
      <c r="A848" s="158"/>
      <c r="B848" s="148"/>
      <c r="C848" s="148"/>
      <c r="D848" s="148"/>
      <c r="E848" s="148"/>
      <c r="F848" s="148"/>
      <c r="G848" s="148"/>
      <c r="H848" s="148"/>
    </row>
    <row r="849" ht="15.75" customHeight="1">
      <c r="A849" s="158"/>
      <c r="B849" s="148"/>
      <c r="C849" s="148"/>
      <c r="D849" s="148"/>
      <c r="E849" s="148"/>
      <c r="F849" s="148"/>
      <c r="G849" s="148"/>
      <c r="H849" s="148"/>
    </row>
    <row r="850" ht="15.75" customHeight="1">
      <c r="A850" s="158"/>
      <c r="B850" s="148"/>
      <c r="C850" s="148"/>
      <c r="D850" s="148"/>
      <c r="E850" s="148"/>
      <c r="F850" s="148"/>
      <c r="G850" s="148"/>
      <c r="H850" s="148"/>
    </row>
    <row r="851" ht="15.75" customHeight="1">
      <c r="A851" s="158"/>
      <c r="B851" s="148"/>
      <c r="C851" s="148"/>
      <c r="D851" s="148"/>
      <c r="E851" s="148"/>
      <c r="F851" s="148"/>
      <c r="G851" s="148"/>
      <c r="H851" s="148"/>
    </row>
    <row r="852" ht="15.75" customHeight="1">
      <c r="A852" s="158"/>
      <c r="B852" s="148"/>
      <c r="C852" s="148"/>
      <c r="D852" s="148"/>
      <c r="E852" s="148"/>
      <c r="F852" s="148"/>
      <c r="G852" s="148"/>
      <c r="H852" s="148"/>
    </row>
    <row r="853" ht="15.75" customHeight="1">
      <c r="A853" s="158"/>
      <c r="B853" s="148"/>
      <c r="C853" s="148"/>
      <c r="D853" s="148"/>
      <c r="E853" s="148"/>
      <c r="F853" s="148"/>
      <c r="G853" s="148"/>
      <c r="H853" s="148"/>
    </row>
    <row r="854" ht="15.75" customHeight="1">
      <c r="A854" s="158"/>
      <c r="B854" s="148"/>
      <c r="C854" s="148"/>
      <c r="D854" s="148"/>
      <c r="E854" s="148"/>
      <c r="F854" s="148"/>
      <c r="G854" s="148"/>
      <c r="H854" s="148"/>
    </row>
    <row r="855" ht="15.75" customHeight="1">
      <c r="A855" s="158"/>
      <c r="B855" s="148"/>
      <c r="C855" s="148"/>
      <c r="D855" s="148"/>
      <c r="E855" s="148"/>
      <c r="F855" s="148"/>
      <c r="G855" s="148"/>
      <c r="H855" s="148"/>
    </row>
    <row r="856" ht="15.75" customHeight="1">
      <c r="A856" s="158"/>
      <c r="B856" s="148"/>
      <c r="C856" s="148"/>
      <c r="D856" s="148"/>
      <c r="E856" s="148"/>
      <c r="F856" s="148"/>
      <c r="G856" s="148"/>
      <c r="H856" s="148"/>
    </row>
    <row r="857" ht="15.75" customHeight="1">
      <c r="A857" s="158"/>
      <c r="B857" s="148"/>
      <c r="C857" s="148"/>
      <c r="D857" s="148"/>
      <c r="E857" s="148"/>
      <c r="F857" s="148"/>
      <c r="G857" s="148"/>
      <c r="H857" s="148"/>
    </row>
    <row r="858" ht="15.75" customHeight="1">
      <c r="A858" s="158"/>
      <c r="B858" s="148"/>
      <c r="C858" s="148"/>
      <c r="D858" s="148"/>
      <c r="E858" s="148"/>
      <c r="F858" s="148"/>
      <c r="G858" s="148"/>
      <c r="H858" s="148"/>
    </row>
    <row r="859" ht="15.75" customHeight="1">
      <c r="A859" s="158"/>
      <c r="B859" s="148"/>
      <c r="C859" s="148"/>
      <c r="D859" s="148"/>
      <c r="E859" s="148"/>
      <c r="F859" s="148"/>
      <c r="G859" s="148"/>
      <c r="H859" s="148"/>
    </row>
    <row r="860" ht="15.75" customHeight="1">
      <c r="A860" s="158"/>
      <c r="B860" s="148"/>
      <c r="C860" s="148"/>
      <c r="D860" s="148"/>
      <c r="E860" s="148"/>
      <c r="F860" s="148"/>
      <c r="G860" s="148"/>
      <c r="H860" s="148"/>
    </row>
    <row r="861" ht="15.75" customHeight="1">
      <c r="A861" s="158"/>
      <c r="B861" s="148"/>
      <c r="C861" s="148"/>
      <c r="D861" s="148"/>
      <c r="E861" s="148"/>
      <c r="F861" s="148"/>
      <c r="G861" s="148"/>
      <c r="H861" s="148"/>
    </row>
    <row r="862" ht="15.75" customHeight="1">
      <c r="A862" s="158"/>
      <c r="B862" s="148"/>
      <c r="C862" s="148"/>
      <c r="D862" s="148"/>
      <c r="E862" s="148"/>
      <c r="F862" s="148"/>
      <c r="G862" s="148"/>
      <c r="H862" s="148"/>
    </row>
    <row r="863" ht="15.75" customHeight="1">
      <c r="A863" s="158"/>
      <c r="B863" s="148"/>
      <c r="C863" s="148"/>
      <c r="D863" s="148"/>
      <c r="E863" s="148"/>
      <c r="F863" s="148"/>
      <c r="G863" s="148"/>
      <c r="H863" s="148"/>
    </row>
    <row r="864" ht="15.75" customHeight="1">
      <c r="A864" s="158"/>
      <c r="B864" s="148"/>
      <c r="C864" s="148"/>
      <c r="D864" s="148"/>
      <c r="E864" s="148"/>
      <c r="F864" s="148"/>
      <c r="G864" s="148"/>
      <c r="H864" s="148"/>
    </row>
    <row r="865" ht="15.75" customHeight="1">
      <c r="A865" s="158"/>
      <c r="B865" s="148"/>
      <c r="C865" s="148"/>
      <c r="D865" s="148"/>
      <c r="E865" s="148"/>
      <c r="F865" s="148"/>
      <c r="G865" s="148"/>
      <c r="H865" s="148"/>
    </row>
    <row r="866" ht="15.75" customHeight="1">
      <c r="A866" s="158"/>
      <c r="B866" s="148"/>
      <c r="C866" s="148"/>
      <c r="D866" s="148"/>
      <c r="E866" s="148"/>
      <c r="F866" s="148"/>
      <c r="G866" s="148"/>
      <c r="H866" s="148"/>
    </row>
    <row r="867" ht="15.75" customHeight="1">
      <c r="A867" s="158"/>
      <c r="B867" s="148"/>
      <c r="C867" s="148"/>
      <c r="D867" s="148"/>
      <c r="E867" s="148"/>
      <c r="F867" s="148"/>
      <c r="G867" s="148"/>
      <c r="H867" s="148"/>
    </row>
    <row r="868" ht="15.75" customHeight="1">
      <c r="A868" s="158"/>
      <c r="B868" s="148"/>
      <c r="C868" s="148"/>
      <c r="D868" s="148"/>
      <c r="E868" s="148"/>
      <c r="F868" s="148"/>
      <c r="G868" s="148"/>
      <c r="H868" s="148"/>
    </row>
    <row r="869" ht="15.75" customHeight="1">
      <c r="A869" s="158"/>
      <c r="B869" s="148"/>
      <c r="C869" s="148"/>
      <c r="D869" s="148"/>
      <c r="E869" s="148"/>
      <c r="F869" s="148"/>
      <c r="G869" s="148"/>
      <c r="H869" s="148"/>
    </row>
    <row r="870" ht="15.75" customHeight="1">
      <c r="A870" s="158"/>
      <c r="B870" s="148"/>
      <c r="C870" s="148"/>
      <c r="D870" s="148"/>
      <c r="E870" s="148"/>
      <c r="F870" s="148"/>
      <c r="G870" s="148"/>
      <c r="H870" s="148"/>
    </row>
    <row r="871" ht="15.75" customHeight="1">
      <c r="A871" s="158"/>
      <c r="B871" s="148"/>
      <c r="C871" s="148"/>
      <c r="D871" s="148"/>
      <c r="E871" s="148"/>
      <c r="F871" s="148"/>
      <c r="G871" s="148"/>
      <c r="H871" s="148"/>
    </row>
    <row r="872" ht="15.75" customHeight="1">
      <c r="A872" s="158"/>
      <c r="B872" s="148"/>
      <c r="C872" s="148"/>
      <c r="D872" s="148"/>
      <c r="E872" s="148"/>
      <c r="F872" s="148"/>
      <c r="G872" s="148"/>
      <c r="H872" s="148"/>
    </row>
    <row r="873" ht="15.75" customHeight="1">
      <c r="A873" s="158"/>
      <c r="B873" s="148"/>
      <c r="C873" s="148"/>
      <c r="D873" s="148"/>
      <c r="E873" s="148"/>
      <c r="F873" s="148"/>
      <c r="G873" s="148"/>
      <c r="H873" s="148"/>
    </row>
    <row r="874" ht="15.75" customHeight="1">
      <c r="A874" s="158"/>
      <c r="B874" s="148"/>
      <c r="C874" s="148"/>
      <c r="D874" s="148"/>
      <c r="E874" s="148"/>
      <c r="F874" s="148"/>
      <c r="G874" s="148"/>
      <c r="H874" s="148"/>
    </row>
    <row r="875" ht="15.75" customHeight="1">
      <c r="A875" s="158"/>
      <c r="B875" s="148"/>
      <c r="C875" s="148"/>
      <c r="D875" s="148"/>
      <c r="E875" s="148"/>
      <c r="F875" s="148"/>
      <c r="G875" s="148"/>
      <c r="H875" s="148"/>
    </row>
    <row r="876" ht="15.75" customHeight="1">
      <c r="A876" s="158"/>
      <c r="B876" s="148"/>
      <c r="C876" s="148"/>
      <c r="D876" s="148"/>
      <c r="E876" s="148"/>
      <c r="F876" s="148"/>
      <c r="G876" s="148"/>
      <c r="H876" s="148"/>
    </row>
    <row r="877" ht="15.75" customHeight="1">
      <c r="A877" s="158"/>
      <c r="B877" s="148"/>
      <c r="C877" s="148"/>
      <c r="D877" s="148"/>
      <c r="E877" s="148"/>
      <c r="F877" s="148"/>
      <c r="G877" s="148"/>
      <c r="H877" s="148"/>
    </row>
    <row r="878" ht="15.75" customHeight="1">
      <c r="A878" s="158"/>
      <c r="B878" s="148"/>
      <c r="C878" s="148"/>
      <c r="D878" s="148"/>
      <c r="E878" s="148"/>
      <c r="F878" s="148"/>
      <c r="G878" s="148"/>
      <c r="H878" s="148"/>
    </row>
    <row r="879" ht="15.75" customHeight="1">
      <c r="A879" s="158"/>
      <c r="B879" s="148"/>
      <c r="C879" s="148"/>
      <c r="D879" s="148"/>
      <c r="E879" s="148"/>
      <c r="F879" s="148"/>
      <c r="G879" s="148"/>
      <c r="H879" s="148"/>
    </row>
    <row r="880" ht="15.75" customHeight="1">
      <c r="A880" s="158"/>
      <c r="B880" s="148"/>
      <c r="C880" s="148"/>
      <c r="D880" s="148"/>
      <c r="E880" s="148"/>
      <c r="F880" s="148"/>
      <c r="G880" s="148"/>
      <c r="H880" s="148"/>
    </row>
    <row r="881" ht="15.75" customHeight="1">
      <c r="A881" s="158"/>
      <c r="B881" s="148"/>
      <c r="C881" s="148"/>
      <c r="D881" s="148"/>
      <c r="E881" s="148"/>
      <c r="F881" s="148"/>
      <c r="G881" s="148"/>
      <c r="H881" s="148"/>
    </row>
    <row r="882" ht="15.75" customHeight="1">
      <c r="A882" s="158"/>
      <c r="B882" s="148"/>
      <c r="C882" s="148"/>
      <c r="D882" s="148"/>
      <c r="E882" s="148"/>
      <c r="F882" s="148"/>
      <c r="G882" s="148"/>
      <c r="H882" s="148"/>
    </row>
    <row r="883" ht="15.75" customHeight="1">
      <c r="A883" s="158"/>
      <c r="B883" s="148"/>
      <c r="C883" s="148"/>
      <c r="D883" s="148"/>
      <c r="E883" s="148"/>
      <c r="F883" s="148"/>
      <c r="G883" s="148"/>
      <c r="H883" s="148"/>
    </row>
    <row r="884" ht="15.75" customHeight="1">
      <c r="A884" s="158"/>
      <c r="B884" s="148"/>
      <c r="C884" s="148"/>
      <c r="D884" s="148"/>
      <c r="E884" s="148"/>
      <c r="F884" s="148"/>
      <c r="G884" s="148"/>
      <c r="H884" s="148"/>
    </row>
    <row r="885" ht="15.75" customHeight="1">
      <c r="A885" s="158"/>
      <c r="B885" s="148"/>
      <c r="C885" s="148"/>
      <c r="D885" s="148"/>
      <c r="E885" s="148"/>
      <c r="F885" s="148"/>
      <c r="G885" s="148"/>
      <c r="H885" s="148"/>
    </row>
    <row r="886" ht="15.75" customHeight="1">
      <c r="A886" s="158"/>
      <c r="B886" s="148"/>
      <c r="C886" s="148"/>
      <c r="D886" s="148"/>
      <c r="E886" s="148"/>
      <c r="F886" s="148"/>
      <c r="G886" s="148"/>
      <c r="H886" s="148"/>
    </row>
    <row r="887" ht="15.75" customHeight="1">
      <c r="A887" s="158"/>
      <c r="B887" s="148"/>
      <c r="C887" s="148"/>
      <c r="D887" s="148"/>
      <c r="E887" s="148"/>
      <c r="F887" s="148"/>
      <c r="G887" s="148"/>
      <c r="H887" s="148"/>
    </row>
    <row r="888" ht="15.75" customHeight="1">
      <c r="A888" s="158"/>
      <c r="B888" s="148"/>
      <c r="C888" s="148"/>
      <c r="D888" s="148"/>
      <c r="E888" s="148"/>
      <c r="F888" s="148"/>
      <c r="G888" s="148"/>
      <c r="H888" s="148"/>
    </row>
    <row r="889" ht="15.75" customHeight="1">
      <c r="A889" s="158"/>
      <c r="B889" s="148"/>
      <c r="C889" s="148"/>
      <c r="D889" s="148"/>
      <c r="E889" s="148"/>
      <c r="F889" s="148"/>
      <c r="G889" s="148"/>
      <c r="H889" s="148"/>
    </row>
    <row r="890" ht="15.75" customHeight="1">
      <c r="A890" s="158"/>
      <c r="B890" s="148"/>
      <c r="C890" s="148"/>
      <c r="D890" s="148"/>
      <c r="E890" s="148"/>
      <c r="F890" s="148"/>
      <c r="G890" s="148"/>
      <c r="H890" s="148"/>
    </row>
    <row r="891" ht="15.75" customHeight="1">
      <c r="A891" s="158"/>
      <c r="B891" s="148"/>
      <c r="C891" s="148"/>
      <c r="D891" s="148"/>
      <c r="E891" s="148"/>
      <c r="F891" s="148"/>
      <c r="G891" s="148"/>
      <c r="H891" s="148"/>
    </row>
    <row r="892" ht="15.75" customHeight="1">
      <c r="A892" s="158"/>
      <c r="B892" s="148"/>
      <c r="C892" s="148"/>
      <c r="D892" s="148"/>
      <c r="E892" s="148"/>
      <c r="F892" s="148"/>
      <c r="G892" s="148"/>
      <c r="H892" s="148"/>
    </row>
    <row r="893" ht="15.75" customHeight="1">
      <c r="A893" s="158"/>
      <c r="B893" s="148"/>
      <c r="C893" s="148"/>
      <c r="D893" s="148"/>
      <c r="E893" s="148"/>
      <c r="F893" s="148"/>
      <c r="G893" s="148"/>
      <c r="H893" s="148"/>
    </row>
    <row r="894" ht="15.75" customHeight="1">
      <c r="A894" s="158"/>
      <c r="B894" s="148"/>
      <c r="C894" s="148"/>
      <c r="D894" s="148"/>
      <c r="E894" s="148"/>
      <c r="F894" s="148"/>
      <c r="G894" s="148"/>
      <c r="H894" s="148"/>
    </row>
    <row r="895" ht="15.75" customHeight="1">
      <c r="A895" s="158"/>
      <c r="B895" s="148"/>
      <c r="C895" s="148"/>
      <c r="D895" s="148"/>
      <c r="E895" s="148"/>
      <c r="F895" s="148"/>
      <c r="G895" s="148"/>
      <c r="H895" s="148"/>
    </row>
    <row r="896" ht="15.75" customHeight="1">
      <c r="A896" s="158"/>
      <c r="B896" s="148"/>
      <c r="C896" s="148"/>
      <c r="D896" s="148"/>
      <c r="E896" s="148"/>
      <c r="F896" s="148"/>
      <c r="G896" s="148"/>
      <c r="H896" s="148"/>
    </row>
    <row r="897" ht="15.75" customHeight="1">
      <c r="A897" s="158"/>
      <c r="B897" s="148"/>
      <c r="C897" s="148"/>
      <c r="D897" s="148"/>
      <c r="E897" s="148"/>
      <c r="F897" s="148"/>
      <c r="G897" s="148"/>
      <c r="H897" s="148"/>
    </row>
    <row r="898" ht="15.75" customHeight="1">
      <c r="A898" s="158"/>
      <c r="B898" s="148"/>
      <c r="C898" s="148"/>
      <c r="D898" s="148"/>
      <c r="E898" s="148"/>
      <c r="F898" s="148"/>
      <c r="G898" s="148"/>
      <c r="H898" s="148"/>
    </row>
    <row r="899" ht="15.75" customHeight="1">
      <c r="A899" s="158"/>
      <c r="B899" s="148"/>
      <c r="C899" s="148"/>
      <c r="D899" s="148"/>
      <c r="E899" s="148"/>
      <c r="F899" s="148"/>
      <c r="G899" s="148"/>
      <c r="H899" s="148"/>
    </row>
    <row r="900" ht="15.75" customHeight="1">
      <c r="A900" s="158"/>
      <c r="B900" s="148"/>
      <c r="C900" s="148"/>
      <c r="D900" s="148"/>
      <c r="E900" s="148"/>
      <c r="F900" s="148"/>
      <c r="G900" s="148"/>
      <c r="H900" s="148"/>
    </row>
    <row r="901" ht="15.75" customHeight="1">
      <c r="A901" s="158"/>
      <c r="B901" s="148"/>
      <c r="C901" s="148"/>
      <c r="D901" s="148"/>
      <c r="E901" s="148"/>
      <c r="F901" s="148"/>
      <c r="G901" s="148"/>
      <c r="H901" s="148"/>
    </row>
    <row r="902" ht="15.75" customHeight="1">
      <c r="A902" s="158"/>
      <c r="B902" s="148"/>
      <c r="C902" s="148"/>
      <c r="D902" s="148"/>
      <c r="E902" s="148"/>
      <c r="F902" s="148"/>
      <c r="G902" s="148"/>
      <c r="H902" s="148"/>
    </row>
    <row r="903" ht="15.75" customHeight="1">
      <c r="A903" s="158"/>
      <c r="B903" s="148"/>
      <c r="C903" s="148"/>
      <c r="D903" s="148"/>
      <c r="E903" s="148"/>
      <c r="F903" s="148"/>
      <c r="G903" s="148"/>
      <c r="H903" s="148"/>
    </row>
    <row r="904" ht="15.75" customHeight="1">
      <c r="A904" s="158"/>
      <c r="B904" s="148"/>
      <c r="C904" s="148"/>
      <c r="D904" s="148"/>
      <c r="E904" s="148"/>
      <c r="F904" s="148"/>
      <c r="G904" s="148"/>
      <c r="H904" s="148"/>
    </row>
    <row r="905" ht="15.75" customHeight="1">
      <c r="A905" s="158"/>
      <c r="B905" s="148"/>
      <c r="C905" s="148"/>
      <c r="D905" s="148"/>
      <c r="E905" s="148"/>
      <c r="F905" s="148"/>
      <c r="G905" s="148"/>
      <c r="H905" s="148"/>
    </row>
    <row r="906" ht="15.75" customHeight="1">
      <c r="A906" s="158"/>
      <c r="B906" s="148"/>
      <c r="C906" s="148"/>
      <c r="D906" s="148"/>
      <c r="E906" s="148"/>
      <c r="F906" s="148"/>
      <c r="G906" s="148"/>
      <c r="H906" s="148"/>
    </row>
    <row r="907" ht="15.75" customHeight="1">
      <c r="A907" s="158"/>
      <c r="B907" s="148"/>
      <c r="C907" s="148"/>
      <c r="D907" s="148"/>
      <c r="E907" s="148"/>
      <c r="F907" s="148"/>
      <c r="G907" s="148"/>
      <c r="H907" s="148"/>
    </row>
    <row r="908" ht="15.75" customHeight="1">
      <c r="A908" s="158"/>
      <c r="B908" s="148"/>
      <c r="C908" s="148"/>
      <c r="D908" s="148"/>
      <c r="E908" s="148"/>
      <c r="F908" s="148"/>
      <c r="G908" s="148"/>
      <c r="H908" s="148"/>
    </row>
    <row r="909" ht="15.75" customHeight="1">
      <c r="A909" s="158"/>
      <c r="B909" s="148"/>
      <c r="C909" s="148"/>
      <c r="D909" s="148"/>
      <c r="E909" s="148"/>
      <c r="F909" s="148"/>
      <c r="G909" s="148"/>
      <c r="H909" s="148"/>
    </row>
    <row r="910" ht="15.75" customHeight="1">
      <c r="A910" s="158"/>
      <c r="B910" s="148"/>
      <c r="C910" s="148"/>
      <c r="D910" s="148"/>
      <c r="E910" s="148"/>
      <c r="F910" s="148"/>
      <c r="G910" s="148"/>
      <c r="H910" s="148"/>
    </row>
    <row r="911" ht="15.75" customHeight="1">
      <c r="A911" s="158"/>
      <c r="B911" s="148"/>
      <c r="C911" s="148"/>
      <c r="D911" s="148"/>
      <c r="E911" s="148"/>
      <c r="F911" s="148"/>
      <c r="G911" s="148"/>
      <c r="H911" s="148"/>
    </row>
    <row r="912" ht="15.75" customHeight="1">
      <c r="A912" s="158"/>
      <c r="B912" s="148"/>
      <c r="C912" s="148"/>
      <c r="D912" s="148"/>
      <c r="E912" s="148"/>
      <c r="F912" s="148"/>
      <c r="G912" s="148"/>
      <c r="H912" s="148"/>
    </row>
    <row r="913" ht="15.75" customHeight="1">
      <c r="A913" s="158"/>
      <c r="B913" s="148"/>
      <c r="C913" s="148"/>
      <c r="D913" s="148"/>
      <c r="E913" s="148"/>
      <c r="F913" s="148"/>
      <c r="G913" s="148"/>
      <c r="H913" s="148"/>
    </row>
    <row r="914" ht="15.75" customHeight="1">
      <c r="A914" s="158"/>
      <c r="B914" s="148"/>
      <c r="C914" s="148"/>
      <c r="D914" s="148"/>
      <c r="E914" s="148"/>
      <c r="F914" s="148"/>
      <c r="G914" s="148"/>
      <c r="H914" s="148"/>
    </row>
    <row r="915" ht="15.75" customHeight="1">
      <c r="A915" s="158"/>
      <c r="B915" s="148"/>
      <c r="C915" s="148"/>
      <c r="D915" s="148"/>
      <c r="E915" s="148"/>
      <c r="F915" s="148"/>
      <c r="G915" s="148"/>
      <c r="H915" s="148"/>
    </row>
    <row r="916" ht="15.75" customHeight="1">
      <c r="A916" s="158"/>
      <c r="B916" s="148"/>
      <c r="C916" s="148"/>
      <c r="D916" s="148"/>
      <c r="E916" s="148"/>
      <c r="F916" s="148"/>
      <c r="G916" s="148"/>
      <c r="H916" s="148"/>
    </row>
    <row r="917" ht="15.75" customHeight="1">
      <c r="A917" s="158"/>
      <c r="B917" s="148"/>
      <c r="C917" s="148"/>
      <c r="D917" s="148"/>
      <c r="E917" s="148"/>
      <c r="F917" s="148"/>
      <c r="G917" s="148"/>
      <c r="H917" s="148"/>
    </row>
    <row r="918" ht="15.75" customHeight="1">
      <c r="A918" s="158"/>
      <c r="B918" s="148"/>
      <c r="C918" s="148"/>
      <c r="D918" s="148"/>
      <c r="E918" s="148"/>
      <c r="F918" s="148"/>
      <c r="G918" s="148"/>
      <c r="H918" s="148"/>
    </row>
    <row r="919" ht="15.75" customHeight="1">
      <c r="A919" s="158"/>
      <c r="B919" s="148"/>
      <c r="C919" s="148"/>
      <c r="D919" s="148"/>
      <c r="E919" s="148"/>
      <c r="F919" s="148"/>
      <c r="G919" s="148"/>
      <c r="H919" s="148"/>
    </row>
    <row r="920" ht="15.75" customHeight="1">
      <c r="A920" s="158"/>
      <c r="B920" s="148"/>
      <c r="C920" s="148"/>
      <c r="D920" s="148"/>
      <c r="E920" s="148"/>
      <c r="F920" s="148"/>
      <c r="G920" s="148"/>
      <c r="H920" s="148"/>
    </row>
    <row r="921" ht="15.75" customHeight="1">
      <c r="A921" s="158"/>
      <c r="B921" s="148"/>
      <c r="C921" s="148"/>
      <c r="D921" s="148"/>
      <c r="E921" s="148"/>
      <c r="F921" s="148"/>
      <c r="G921" s="148"/>
      <c r="H921" s="148"/>
    </row>
    <row r="922" ht="15.75" customHeight="1">
      <c r="A922" s="158"/>
      <c r="B922" s="148"/>
      <c r="C922" s="148"/>
      <c r="D922" s="148"/>
      <c r="E922" s="148"/>
      <c r="F922" s="148"/>
      <c r="G922" s="148"/>
      <c r="H922" s="148"/>
    </row>
    <row r="923" ht="15.75" customHeight="1">
      <c r="A923" s="158"/>
      <c r="B923" s="148"/>
      <c r="C923" s="148"/>
      <c r="D923" s="148"/>
      <c r="E923" s="148"/>
      <c r="F923" s="148"/>
      <c r="G923" s="148"/>
      <c r="H923" s="148"/>
    </row>
    <row r="924" ht="15.75" customHeight="1">
      <c r="A924" s="158"/>
      <c r="B924" s="148"/>
      <c r="C924" s="148"/>
      <c r="D924" s="148"/>
      <c r="E924" s="148"/>
      <c r="F924" s="148"/>
      <c r="G924" s="148"/>
      <c r="H924" s="148"/>
    </row>
    <row r="925" ht="15.75" customHeight="1">
      <c r="A925" s="158"/>
      <c r="B925" s="148"/>
      <c r="C925" s="148"/>
      <c r="D925" s="148"/>
      <c r="E925" s="148"/>
      <c r="F925" s="148"/>
      <c r="G925" s="148"/>
      <c r="H925" s="148"/>
    </row>
    <row r="926" ht="15.75" customHeight="1">
      <c r="A926" s="158"/>
      <c r="B926" s="148"/>
      <c r="C926" s="148"/>
      <c r="D926" s="148"/>
      <c r="E926" s="148"/>
      <c r="F926" s="148"/>
      <c r="G926" s="148"/>
      <c r="H926" s="148"/>
    </row>
    <row r="927" ht="15.75" customHeight="1">
      <c r="A927" s="158"/>
      <c r="B927" s="148"/>
      <c r="C927" s="148"/>
      <c r="D927" s="148"/>
      <c r="E927" s="148"/>
      <c r="F927" s="148"/>
      <c r="G927" s="148"/>
      <c r="H927" s="148"/>
    </row>
    <row r="928" ht="15.75" customHeight="1">
      <c r="A928" s="158"/>
      <c r="B928" s="148"/>
      <c r="C928" s="148"/>
      <c r="D928" s="148"/>
      <c r="E928" s="148"/>
      <c r="F928" s="148"/>
      <c r="G928" s="148"/>
      <c r="H928" s="148"/>
    </row>
    <row r="929" ht="15.75" customHeight="1">
      <c r="A929" s="158"/>
      <c r="B929" s="148"/>
      <c r="C929" s="148"/>
      <c r="D929" s="148"/>
      <c r="E929" s="148"/>
      <c r="F929" s="148"/>
      <c r="G929" s="148"/>
      <c r="H929" s="148"/>
    </row>
    <row r="930" ht="15.75" customHeight="1">
      <c r="A930" s="158"/>
      <c r="B930" s="148"/>
      <c r="C930" s="148"/>
      <c r="D930" s="148"/>
      <c r="E930" s="148"/>
      <c r="F930" s="148"/>
      <c r="G930" s="148"/>
      <c r="H930" s="148"/>
    </row>
    <row r="931" ht="15.75" customHeight="1">
      <c r="A931" s="158"/>
      <c r="B931" s="148"/>
      <c r="C931" s="148"/>
      <c r="D931" s="148"/>
      <c r="E931" s="148"/>
      <c r="F931" s="148"/>
      <c r="G931" s="148"/>
      <c r="H931" s="148"/>
    </row>
    <row r="932" ht="15.75" customHeight="1">
      <c r="A932" s="158"/>
      <c r="B932" s="148"/>
      <c r="C932" s="148"/>
      <c r="D932" s="148"/>
      <c r="E932" s="148"/>
      <c r="F932" s="148"/>
      <c r="G932" s="148"/>
      <c r="H932" s="148"/>
    </row>
    <row r="933" ht="15.75" customHeight="1">
      <c r="A933" s="158"/>
      <c r="B933" s="148"/>
      <c r="C933" s="148"/>
      <c r="D933" s="148"/>
      <c r="E933" s="148"/>
      <c r="F933" s="148"/>
      <c r="G933" s="148"/>
      <c r="H933" s="148"/>
    </row>
    <row r="934" ht="15.75" customHeight="1">
      <c r="A934" s="158"/>
      <c r="B934" s="148"/>
      <c r="C934" s="148"/>
      <c r="D934" s="148"/>
      <c r="E934" s="148"/>
      <c r="F934" s="148"/>
      <c r="G934" s="148"/>
      <c r="H934" s="148"/>
    </row>
    <row r="935" ht="15.75" customHeight="1">
      <c r="A935" s="158"/>
      <c r="B935" s="148"/>
      <c r="C935" s="148"/>
      <c r="D935" s="148"/>
      <c r="E935" s="148"/>
      <c r="F935" s="148"/>
      <c r="G935" s="148"/>
      <c r="H935" s="148"/>
    </row>
    <row r="936" ht="15.75" customHeight="1">
      <c r="A936" s="158"/>
      <c r="B936" s="148"/>
      <c r="C936" s="148"/>
      <c r="D936" s="148"/>
      <c r="E936" s="148"/>
      <c r="F936" s="148"/>
      <c r="G936" s="148"/>
      <c r="H936" s="148"/>
    </row>
    <row r="937" ht="15.75" customHeight="1">
      <c r="A937" s="158"/>
      <c r="B937" s="148"/>
      <c r="C937" s="148"/>
      <c r="D937" s="148"/>
      <c r="E937" s="148"/>
      <c r="F937" s="148"/>
      <c r="G937" s="148"/>
      <c r="H937" s="148"/>
    </row>
    <row r="938" ht="15.75" customHeight="1">
      <c r="A938" s="158"/>
      <c r="B938" s="148"/>
      <c r="C938" s="148"/>
      <c r="D938" s="148"/>
      <c r="E938" s="148"/>
      <c r="F938" s="148"/>
      <c r="G938" s="148"/>
      <c r="H938" s="148"/>
    </row>
    <row r="939" ht="15.75" customHeight="1">
      <c r="A939" s="158"/>
      <c r="B939" s="148"/>
      <c r="C939" s="148"/>
      <c r="D939" s="148"/>
      <c r="E939" s="148"/>
      <c r="F939" s="148"/>
      <c r="G939" s="148"/>
      <c r="H939" s="148"/>
    </row>
    <row r="940" ht="15.75" customHeight="1">
      <c r="A940" s="158"/>
      <c r="B940" s="148"/>
      <c r="C940" s="148"/>
      <c r="D940" s="148"/>
      <c r="E940" s="148"/>
      <c r="F940" s="148"/>
      <c r="G940" s="148"/>
      <c r="H940" s="148"/>
    </row>
    <row r="941" ht="15.75" customHeight="1">
      <c r="A941" s="158"/>
      <c r="B941" s="148"/>
      <c r="C941" s="148"/>
      <c r="D941" s="148"/>
      <c r="E941" s="148"/>
      <c r="F941" s="148"/>
      <c r="G941" s="148"/>
      <c r="H941" s="148"/>
    </row>
    <row r="942" ht="15.75" customHeight="1">
      <c r="A942" s="158"/>
      <c r="B942" s="148"/>
      <c r="C942" s="148"/>
      <c r="D942" s="148"/>
      <c r="E942" s="148"/>
      <c r="F942" s="148"/>
      <c r="G942" s="148"/>
      <c r="H942" s="148"/>
    </row>
    <row r="943" ht="15.75" customHeight="1">
      <c r="A943" s="158"/>
      <c r="B943" s="148"/>
      <c r="C943" s="148"/>
      <c r="D943" s="148"/>
      <c r="E943" s="148"/>
      <c r="F943" s="148"/>
      <c r="G943" s="148"/>
      <c r="H943" s="148"/>
    </row>
    <row r="944" ht="15.75" customHeight="1">
      <c r="A944" s="158"/>
      <c r="B944" s="148"/>
      <c r="C944" s="148"/>
      <c r="D944" s="148"/>
      <c r="E944" s="148"/>
      <c r="F944" s="148"/>
      <c r="G944" s="148"/>
      <c r="H944" s="148"/>
    </row>
    <row r="945" ht="15.75" customHeight="1">
      <c r="A945" s="158"/>
      <c r="B945" s="148"/>
      <c r="C945" s="148"/>
      <c r="D945" s="148"/>
      <c r="E945" s="148"/>
      <c r="F945" s="148"/>
      <c r="G945" s="148"/>
      <c r="H945" s="148"/>
    </row>
    <row r="946" ht="15.75" customHeight="1">
      <c r="A946" s="158"/>
      <c r="B946" s="148"/>
      <c r="C946" s="148"/>
      <c r="D946" s="148"/>
      <c r="E946" s="148"/>
      <c r="F946" s="148"/>
      <c r="G946" s="148"/>
      <c r="H946" s="148"/>
    </row>
    <row r="947" ht="15.75" customHeight="1">
      <c r="A947" s="158"/>
      <c r="B947" s="148"/>
      <c r="C947" s="148"/>
      <c r="D947" s="148"/>
      <c r="E947" s="148"/>
      <c r="F947" s="148"/>
      <c r="G947" s="148"/>
      <c r="H947" s="148"/>
    </row>
    <row r="948" ht="15.75" customHeight="1">
      <c r="A948" s="158"/>
      <c r="B948" s="148"/>
      <c r="C948" s="148"/>
      <c r="D948" s="148"/>
      <c r="E948" s="148"/>
      <c r="F948" s="148"/>
      <c r="G948" s="148"/>
      <c r="H948" s="148"/>
    </row>
    <row r="949" ht="15.75" customHeight="1">
      <c r="A949" s="158"/>
      <c r="B949" s="148"/>
      <c r="C949" s="148"/>
      <c r="D949" s="148"/>
      <c r="E949" s="148"/>
      <c r="F949" s="148"/>
      <c r="G949" s="148"/>
      <c r="H949" s="148"/>
    </row>
    <row r="950" ht="15.75" customHeight="1">
      <c r="A950" s="158"/>
      <c r="B950" s="148"/>
      <c r="C950" s="148"/>
      <c r="D950" s="148"/>
      <c r="E950" s="148"/>
      <c r="F950" s="148"/>
      <c r="G950" s="148"/>
      <c r="H950" s="148"/>
    </row>
    <row r="951" ht="15.75" customHeight="1">
      <c r="A951" s="158"/>
      <c r="B951" s="148"/>
      <c r="C951" s="148"/>
      <c r="D951" s="148"/>
      <c r="E951" s="148"/>
      <c r="F951" s="148"/>
      <c r="G951" s="148"/>
      <c r="H951" s="148"/>
    </row>
    <row r="952" ht="15.75" customHeight="1">
      <c r="A952" s="158"/>
      <c r="B952" s="148"/>
      <c r="C952" s="148"/>
      <c r="D952" s="148"/>
      <c r="E952" s="148"/>
      <c r="F952" s="148"/>
      <c r="G952" s="148"/>
      <c r="H952" s="148"/>
    </row>
    <row r="953" ht="15.75" customHeight="1">
      <c r="A953" s="158"/>
      <c r="B953" s="148"/>
      <c r="C953" s="148"/>
      <c r="D953" s="148"/>
      <c r="E953" s="148"/>
      <c r="F953" s="148"/>
      <c r="G953" s="148"/>
      <c r="H953" s="148"/>
    </row>
    <row r="954" ht="15.75" customHeight="1">
      <c r="A954" s="158"/>
      <c r="B954" s="148"/>
      <c r="C954" s="148"/>
      <c r="D954" s="148"/>
      <c r="E954" s="148"/>
      <c r="F954" s="148"/>
      <c r="G954" s="148"/>
      <c r="H954" s="148"/>
    </row>
    <row r="955" ht="15.75" customHeight="1">
      <c r="A955" s="158"/>
      <c r="B955" s="148"/>
      <c r="C955" s="148"/>
      <c r="D955" s="148"/>
      <c r="E955" s="148"/>
      <c r="F955" s="148"/>
      <c r="G955" s="148"/>
      <c r="H955" s="148"/>
    </row>
    <row r="956" ht="15.75" customHeight="1">
      <c r="A956" s="158"/>
      <c r="B956" s="148"/>
      <c r="C956" s="148"/>
      <c r="D956" s="148"/>
      <c r="E956" s="148"/>
      <c r="F956" s="148"/>
      <c r="G956" s="148"/>
      <c r="H956" s="148"/>
    </row>
    <row r="957" ht="15.75" customHeight="1">
      <c r="A957" s="158"/>
      <c r="B957" s="148"/>
      <c r="C957" s="148"/>
      <c r="D957" s="148"/>
      <c r="E957" s="148"/>
      <c r="F957" s="148"/>
      <c r="G957" s="148"/>
      <c r="H957" s="148"/>
    </row>
    <row r="958" ht="15.75" customHeight="1">
      <c r="A958" s="158"/>
      <c r="B958" s="148"/>
      <c r="C958" s="148"/>
      <c r="D958" s="148"/>
      <c r="E958" s="148"/>
      <c r="F958" s="148"/>
      <c r="G958" s="148"/>
      <c r="H958" s="148"/>
    </row>
    <row r="959" ht="15.75" customHeight="1">
      <c r="A959" s="158"/>
      <c r="B959" s="148"/>
      <c r="C959" s="148"/>
      <c r="D959" s="148"/>
      <c r="E959" s="148"/>
      <c r="F959" s="148"/>
      <c r="G959" s="148"/>
      <c r="H959" s="148"/>
    </row>
    <row r="960" ht="15.75" customHeight="1">
      <c r="A960" s="158"/>
      <c r="B960" s="148"/>
      <c r="C960" s="148"/>
      <c r="D960" s="148"/>
      <c r="E960" s="148"/>
      <c r="F960" s="148"/>
      <c r="G960" s="148"/>
      <c r="H960" s="148"/>
    </row>
    <row r="961" ht="15.75" customHeight="1">
      <c r="A961" s="158"/>
      <c r="B961" s="148"/>
      <c r="C961" s="148"/>
      <c r="D961" s="148"/>
      <c r="E961" s="148"/>
      <c r="F961" s="148"/>
      <c r="G961" s="148"/>
      <c r="H961" s="148"/>
    </row>
    <row r="962" ht="15.75" customHeight="1">
      <c r="A962" s="158"/>
      <c r="B962" s="148"/>
      <c r="C962" s="148"/>
      <c r="D962" s="148"/>
      <c r="E962" s="148"/>
      <c r="F962" s="148"/>
      <c r="G962" s="148"/>
      <c r="H962" s="148"/>
    </row>
    <row r="963" ht="15.75" customHeight="1">
      <c r="A963" s="158"/>
      <c r="B963" s="148"/>
      <c r="C963" s="148"/>
      <c r="D963" s="148"/>
      <c r="E963" s="148"/>
      <c r="F963" s="148"/>
      <c r="G963" s="148"/>
      <c r="H963" s="148"/>
    </row>
    <row r="964" ht="15.75" customHeight="1">
      <c r="A964" s="158"/>
      <c r="B964" s="148"/>
      <c r="C964" s="148"/>
      <c r="D964" s="148"/>
      <c r="E964" s="148"/>
      <c r="F964" s="148"/>
      <c r="G964" s="148"/>
      <c r="H964" s="148"/>
    </row>
    <row r="965" ht="15.75" customHeight="1">
      <c r="A965" s="158"/>
      <c r="B965" s="148"/>
      <c r="C965" s="148"/>
      <c r="D965" s="148"/>
      <c r="E965" s="148"/>
      <c r="F965" s="148"/>
      <c r="G965" s="148"/>
      <c r="H965" s="148"/>
    </row>
    <row r="966" ht="15.75" customHeight="1">
      <c r="A966" s="158"/>
      <c r="B966" s="148"/>
      <c r="C966" s="148"/>
      <c r="D966" s="148"/>
      <c r="E966" s="148"/>
      <c r="F966" s="148"/>
      <c r="G966" s="148"/>
      <c r="H966" s="148"/>
    </row>
    <row r="967" ht="15.75" customHeight="1">
      <c r="A967" s="158"/>
      <c r="B967" s="148"/>
      <c r="C967" s="148"/>
      <c r="D967" s="148"/>
      <c r="E967" s="148"/>
      <c r="F967" s="148"/>
      <c r="G967" s="148"/>
      <c r="H967" s="148"/>
    </row>
    <row r="968" ht="15.75" customHeight="1">
      <c r="A968" s="158"/>
      <c r="B968" s="148"/>
      <c r="C968" s="148"/>
      <c r="D968" s="148"/>
      <c r="E968" s="148"/>
      <c r="F968" s="148"/>
      <c r="G968" s="148"/>
      <c r="H968" s="148"/>
    </row>
    <row r="969" ht="15.75" customHeight="1">
      <c r="A969" s="158"/>
      <c r="B969" s="148"/>
      <c r="C969" s="148"/>
      <c r="D969" s="148"/>
      <c r="E969" s="148"/>
      <c r="F969" s="148"/>
      <c r="G969" s="148"/>
      <c r="H969" s="148"/>
    </row>
    <row r="970" ht="15.75" customHeight="1">
      <c r="A970" s="158"/>
      <c r="B970" s="148"/>
      <c r="C970" s="148"/>
      <c r="D970" s="148"/>
      <c r="E970" s="148"/>
      <c r="F970" s="148"/>
      <c r="G970" s="148"/>
      <c r="H970" s="148"/>
    </row>
    <row r="971" ht="15.75" customHeight="1">
      <c r="A971" s="158"/>
      <c r="B971" s="148"/>
      <c r="C971" s="148"/>
      <c r="D971" s="148"/>
      <c r="E971" s="148"/>
      <c r="F971" s="148"/>
      <c r="G971" s="148"/>
      <c r="H971" s="148"/>
    </row>
    <row r="972" ht="15.75" customHeight="1">
      <c r="A972" s="158"/>
      <c r="B972" s="148"/>
      <c r="C972" s="148"/>
      <c r="D972" s="148"/>
      <c r="E972" s="148"/>
      <c r="F972" s="148"/>
      <c r="G972" s="148"/>
      <c r="H972" s="148"/>
    </row>
    <row r="973" ht="15.75" customHeight="1">
      <c r="A973" s="158"/>
      <c r="B973" s="148"/>
      <c r="C973" s="148"/>
      <c r="D973" s="148"/>
      <c r="E973" s="148"/>
      <c r="F973" s="148"/>
      <c r="G973" s="148"/>
      <c r="H973" s="148"/>
    </row>
    <row r="974" ht="15.75" customHeight="1">
      <c r="A974" s="158"/>
      <c r="B974" s="148"/>
      <c r="C974" s="148"/>
      <c r="D974" s="148"/>
      <c r="E974" s="148"/>
      <c r="F974" s="148"/>
      <c r="G974" s="148"/>
      <c r="H974" s="148"/>
    </row>
    <row r="975" ht="15.75" customHeight="1">
      <c r="A975" s="158"/>
      <c r="B975" s="148"/>
      <c r="C975" s="148"/>
      <c r="D975" s="148"/>
      <c r="E975" s="148"/>
      <c r="F975" s="148"/>
      <c r="G975" s="148"/>
      <c r="H975" s="148"/>
    </row>
    <row r="976" ht="15.75" customHeight="1">
      <c r="A976" s="158"/>
      <c r="B976" s="148"/>
      <c r="C976" s="148"/>
      <c r="D976" s="148"/>
      <c r="E976" s="148"/>
      <c r="F976" s="148"/>
      <c r="G976" s="148"/>
      <c r="H976" s="148"/>
    </row>
    <row r="977" ht="15.75" customHeight="1">
      <c r="A977" s="158"/>
      <c r="B977" s="148"/>
      <c r="C977" s="148"/>
      <c r="D977" s="148"/>
      <c r="E977" s="148"/>
      <c r="F977" s="148"/>
      <c r="G977" s="148"/>
      <c r="H977" s="148"/>
    </row>
    <row r="978" ht="15.75" customHeight="1">
      <c r="A978" s="158"/>
      <c r="B978" s="148"/>
      <c r="C978" s="148"/>
      <c r="D978" s="148"/>
      <c r="E978" s="148"/>
      <c r="F978" s="148"/>
      <c r="G978" s="148"/>
      <c r="H978" s="148"/>
    </row>
    <row r="979" ht="15.75" customHeight="1">
      <c r="A979" s="158"/>
      <c r="B979" s="148"/>
      <c r="C979" s="148"/>
      <c r="D979" s="148"/>
      <c r="E979" s="148"/>
      <c r="F979" s="148"/>
      <c r="G979" s="148"/>
      <c r="H979" s="148"/>
    </row>
    <row r="980" ht="15.75" customHeight="1">
      <c r="A980" s="158"/>
      <c r="B980" s="148"/>
      <c r="C980" s="148"/>
      <c r="D980" s="148"/>
      <c r="E980" s="148"/>
      <c r="F980" s="148"/>
      <c r="G980" s="148"/>
      <c r="H980" s="148"/>
    </row>
    <row r="981" ht="15.75" customHeight="1">
      <c r="A981" s="158"/>
      <c r="B981" s="148"/>
      <c r="C981" s="148"/>
      <c r="D981" s="148"/>
      <c r="E981" s="148"/>
      <c r="F981" s="148"/>
      <c r="G981" s="148"/>
      <c r="H981" s="148"/>
    </row>
    <row r="982" ht="15.75" customHeight="1">
      <c r="A982" s="158"/>
      <c r="B982" s="148"/>
      <c r="C982" s="148"/>
      <c r="D982" s="148"/>
      <c r="E982" s="148"/>
      <c r="F982" s="148"/>
      <c r="G982" s="148"/>
      <c r="H982" s="148"/>
    </row>
    <row r="983" ht="15.75" customHeight="1">
      <c r="A983" s="158"/>
      <c r="B983" s="148"/>
      <c r="C983" s="148"/>
      <c r="D983" s="148"/>
      <c r="E983" s="148"/>
      <c r="F983" s="148"/>
      <c r="G983" s="148"/>
      <c r="H983" s="148"/>
    </row>
    <row r="984" ht="15.75" customHeight="1">
      <c r="A984" s="158"/>
      <c r="B984" s="148"/>
      <c r="C984" s="148"/>
      <c r="D984" s="148"/>
      <c r="E984" s="148"/>
      <c r="F984" s="148"/>
      <c r="G984" s="148"/>
      <c r="H984" s="148"/>
    </row>
    <row r="985" ht="15.75" customHeight="1">
      <c r="A985" s="158"/>
      <c r="B985" s="148"/>
      <c r="C985" s="148"/>
      <c r="D985" s="148"/>
      <c r="E985" s="148"/>
      <c r="F985" s="148"/>
      <c r="G985" s="148"/>
      <c r="H985" s="148"/>
    </row>
    <row r="986" ht="15.75" customHeight="1">
      <c r="A986" s="158"/>
      <c r="B986" s="148"/>
      <c r="C986" s="148"/>
      <c r="D986" s="148"/>
      <c r="E986" s="148"/>
      <c r="F986" s="148"/>
      <c r="G986" s="148"/>
      <c r="H986" s="148"/>
    </row>
    <row r="987" ht="15.75" customHeight="1">
      <c r="A987" s="158"/>
      <c r="B987" s="148"/>
      <c r="C987" s="148"/>
      <c r="D987" s="148"/>
      <c r="E987" s="148"/>
      <c r="F987" s="148"/>
      <c r="G987" s="148"/>
      <c r="H987" s="148"/>
    </row>
    <row r="988" ht="15.75" customHeight="1">
      <c r="A988" s="158"/>
      <c r="B988" s="148"/>
      <c r="C988" s="148"/>
      <c r="D988" s="148"/>
      <c r="E988" s="148"/>
      <c r="F988" s="148"/>
      <c r="G988" s="148"/>
      <c r="H988" s="148"/>
    </row>
    <row r="989" ht="15.75" customHeight="1">
      <c r="A989" s="158"/>
      <c r="B989" s="148"/>
      <c r="C989" s="148"/>
      <c r="D989" s="148"/>
      <c r="E989" s="148"/>
      <c r="F989" s="148"/>
      <c r="G989" s="148"/>
      <c r="H989" s="148"/>
    </row>
    <row r="990" ht="15.75" customHeight="1">
      <c r="A990" s="158"/>
      <c r="B990" s="148"/>
      <c r="C990" s="148"/>
      <c r="D990" s="148"/>
      <c r="E990" s="148"/>
      <c r="F990" s="148"/>
      <c r="G990" s="148"/>
      <c r="H990" s="148"/>
    </row>
    <row r="991" ht="15.75" customHeight="1">
      <c r="A991" s="158"/>
      <c r="B991" s="148"/>
      <c r="C991" s="148"/>
      <c r="D991" s="148"/>
      <c r="E991" s="148"/>
      <c r="F991" s="148"/>
      <c r="G991" s="148"/>
      <c r="H991" s="148"/>
    </row>
    <row r="992" ht="15.75" customHeight="1">
      <c r="A992" s="158"/>
      <c r="B992" s="148"/>
      <c r="C992" s="148"/>
      <c r="D992" s="148"/>
      <c r="E992" s="148"/>
      <c r="F992" s="148"/>
      <c r="G992" s="148"/>
      <c r="H992" s="148"/>
    </row>
    <row r="993" ht="15.75" customHeight="1">
      <c r="A993" s="158"/>
      <c r="B993" s="148"/>
      <c r="C993" s="148"/>
      <c r="D993" s="148"/>
      <c r="E993" s="148"/>
      <c r="F993" s="148"/>
      <c r="G993" s="148"/>
      <c r="H993" s="148"/>
    </row>
    <row r="994" ht="15.75" customHeight="1">
      <c r="A994" s="158"/>
      <c r="B994" s="148"/>
      <c r="C994" s="148"/>
      <c r="D994" s="148"/>
      <c r="E994" s="148"/>
      <c r="F994" s="148"/>
      <c r="G994" s="148"/>
      <c r="H994" s="148"/>
    </row>
    <row r="995" ht="15.75" customHeight="1">
      <c r="A995" s="158"/>
      <c r="B995" s="148"/>
      <c r="C995" s="148"/>
      <c r="D995" s="148"/>
      <c r="E995" s="148"/>
      <c r="F995" s="148"/>
      <c r="G995" s="148"/>
      <c r="H995" s="148"/>
    </row>
    <row r="996" ht="15.75" customHeight="1">
      <c r="A996" s="158"/>
      <c r="B996" s="148"/>
      <c r="C996" s="148"/>
      <c r="D996" s="148"/>
      <c r="E996" s="148"/>
      <c r="F996" s="148"/>
      <c r="G996" s="148"/>
      <c r="H996" s="148"/>
    </row>
    <row r="997" ht="15.75" customHeight="1">
      <c r="A997" s="158"/>
      <c r="B997" s="148"/>
      <c r="C997" s="148"/>
      <c r="D997" s="148"/>
      <c r="E997" s="148"/>
      <c r="F997" s="148"/>
      <c r="G997" s="148"/>
      <c r="H997" s="148"/>
    </row>
    <row r="998" ht="15.75" customHeight="1">
      <c r="A998" s="158"/>
      <c r="B998" s="148"/>
      <c r="C998" s="148"/>
      <c r="D998" s="148"/>
      <c r="E998" s="148"/>
      <c r="F998" s="148"/>
      <c r="G998" s="148"/>
      <c r="H998" s="148"/>
    </row>
    <row r="999" ht="15.75" customHeight="1">
      <c r="A999" s="158"/>
      <c r="B999" s="148"/>
      <c r="C999" s="148"/>
      <c r="D999" s="148"/>
      <c r="E999" s="148"/>
      <c r="F999" s="148"/>
      <c r="G999" s="148"/>
      <c r="H999" s="148"/>
    </row>
    <row r="1000" ht="15.75" customHeight="1">
      <c r="A1000" s="158"/>
      <c r="B1000" s="148"/>
      <c r="C1000" s="148"/>
      <c r="D1000" s="148"/>
      <c r="E1000" s="148"/>
      <c r="F1000" s="148"/>
      <c r="G1000" s="148"/>
      <c r="H1000" s="148"/>
    </row>
  </sheetData>
  <autoFilter ref="$A$1:$F$98"/>
  <conditionalFormatting sqref="G15:G133">
    <cfRule type="cellIs" dxfId="0" priority="1" operator="equal">
      <formula>"PASSED"</formula>
    </cfRule>
  </conditionalFormatting>
  <conditionalFormatting sqref="G15:G133">
    <cfRule type="cellIs" dxfId="1" priority="2" operator="equal">
      <formula>"FAILED"</formula>
    </cfRule>
  </conditionalFormatting>
  <conditionalFormatting sqref="G15:G133">
    <cfRule type="cellIs" dxfId="2" priority="3" operator="equal">
      <formula>"NOT_STARTED"</formula>
    </cfRule>
  </conditionalFormatting>
  <conditionalFormatting sqref="G15:G133">
    <cfRule type="cellIs" dxfId="3" priority="4" operator="equal">
      <formula>"IN_PROGRESS"</formula>
    </cfRule>
  </conditionalFormatting>
  <conditionalFormatting sqref="G15:G133">
    <cfRule type="cellIs" dxfId="4" priority="5" operator="equal">
      <formula>"BLOCKED"</formula>
    </cfRule>
  </conditionalFormatting>
  <dataValidations>
    <dataValidation type="list" allowBlank="1" showInputMessage="1" prompt="Nhấp và nhập một giá trị từ danh sách các mục" sqref="G15:G133">
      <formula1>"NOT_STARTED,PASSED,FAILED,IN_PROGRESS,BLOCKED"</formula1>
    </dataValidation>
  </dataValidation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8" width="18.0"/>
  </cols>
  <sheetData>
    <row r="1" ht="30.0" customHeight="1">
      <c r="A1" s="42" t="s">
        <v>25</v>
      </c>
      <c r="B1" s="43"/>
      <c r="C1" s="43"/>
      <c r="D1" s="43"/>
      <c r="E1" s="43"/>
      <c r="F1" s="43"/>
      <c r="G1" s="43"/>
      <c r="H1" s="43"/>
      <c r="I1" s="5"/>
      <c r="J1" s="5"/>
      <c r="K1" s="5"/>
      <c r="L1" s="5"/>
      <c r="M1" s="5"/>
      <c r="N1" s="5"/>
      <c r="O1" s="5"/>
      <c r="P1" s="5"/>
      <c r="Q1" s="5"/>
      <c r="R1" s="5"/>
      <c r="S1" s="5"/>
      <c r="T1" s="5"/>
      <c r="U1" s="5"/>
      <c r="V1" s="5"/>
      <c r="W1" s="5"/>
      <c r="X1" s="5"/>
      <c r="Y1" s="5"/>
      <c r="Z1" s="5"/>
    </row>
    <row r="2" ht="25.5" customHeight="1">
      <c r="A2" s="45" t="s">
        <v>26</v>
      </c>
      <c r="B2" s="45" t="s">
        <v>28</v>
      </c>
      <c r="C2" s="45" t="s">
        <v>30</v>
      </c>
      <c r="D2" s="45" t="s">
        <v>31</v>
      </c>
      <c r="E2" s="45" t="s">
        <v>32</v>
      </c>
      <c r="F2" s="45" t="s">
        <v>33</v>
      </c>
      <c r="G2" s="45" t="s">
        <v>34</v>
      </c>
      <c r="H2" s="45" t="s">
        <v>35</v>
      </c>
      <c r="I2" s="5"/>
      <c r="J2" s="5"/>
      <c r="K2" s="5"/>
      <c r="L2" s="5"/>
      <c r="M2" s="5"/>
      <c r="N2" s="5"/>
      <c r="O2" s="5"/>
      <c r="P2" s="5"/>
      <c r="Q2" s="5"/>
      <c r="R2" s="5"/>
      <c r="S2" s="5"/>
      <c r="T2" s="5"/>
      <c r="U2" s="5"/>
      <c r="V2" s="5"/>
      <c r="W2" s="5"/>
      <c r="X2" s="5"/>
      <c r="Y2" s="5"/>
      <c r="Z2" s="5"/>
    </row>
    <row r="3" ht="23.25" customHeight="1">
      <c r="A3" s="48" t="s">
        <v>36</v>
      </c>
      <c r="B3" s="50" t="s">
        <v>38</v>
      </c>
      <c r="C3" s="48" t="s">
        <v>39</v>
      </c>
      <c r="D3" s="50" t="s">
        <v>23</v>
      </c>
      <c r="E3" s="50" t="s">
        <v>40</v>
      </c>
      <c r="F3" s="50" t="s">
        <v>37</v>
      </c>
      <c r="G3" s="48" t="s">
        <v>41</v>
      </c>
      <c r="H3" s="50" t="s">
        <v>42</v>
      </c>
      <c r="I3" s="5"/>
      <c r="J3" s="5"/>
      <c r="K3" s="5"/>
      <c r="L3" s="5"/>
      <c r="M3" s="5"/>
      <c r="N3" s="5"/>
      <c r="O3" s="5"/>
      <c r="P3" s="5"/>
      <c r="Q3" s="5"/>
      <c r="R3" s="5"/>
      <c r="S3" s="5"/>
      <c r="T3" s="5"/>
      <c r="U3" s="5"/>
      <c r="V3" s="5"/>
      <c r="W3" s="5"/>
      <c r="X3" s="5"/>
      <c r="Y3" s="5"/>
      <c r="Z3" s="5"/>
    </row>
    <row r="4" ht="15.0" customHeight="1">
      <c r="A4" s="5"/>
      <c r="B4" s="5"/>
      <c r="C4" s="5"/>
      <c r="D4" s="5"/>
      <c r="E4" s="5"/>
      <c r="F4" s="5"/>
      <c r="G4" s="5"/>
      <c r="H4" s="5"/>
      <c r="I4" s="5"/>
      <c r="J4" s="5"/>
      <c r="K4" s="5"/>
      <c r="L4" s="5"/>
      <c r="M4" s="5"/>
      <c r="N4" s="5"/>
      <c r="O4" s="5"/>
      <c r="P4" s="5"/>
      <c r="Q4" s="5"/>
      <c r="R4" s="5"/>
      <c r="S4" s="5"/>
      <c r="T4" s="5"/>
      <c r="U4" s="5"/>
      <c r="V4" s="5"/>
      <c r="W4" s="5"/>
      <c r="X4" s="5"/>
      <c r="Y4" s="5"/>
      <c r="Z4" s="5"/>
    </row>
    <row r="5" ht="15.0" customHeight="1">
      <c r="A5" s="5"/>
      <c r="B5" s="5"/>
      <c r="C5" s="5"/>
      <c r="D5" s="5"/>
      <c r="E5" s="5"/>
      <c r="F5" s="5"/>
      <c r="G5" s="5"/>
      <c r="H5" s="5"/>
      <c r="I5" s="5"/>
      <c r="J5" s="5"/>
      <c r="K5" s="5"/>
      <c r="L5" s="5"/>
      <c r="M5" s="5"/>
      <c r="N5" s="5"/>
      <c r="O5" s="5"/>
      <c r="P5" s="5"/>
      <c r="Q5" s="5"/>
      <c r="R5" s="5"/>
      <c r="S5" s="5"/>
      <c r="T5" s="5"/>
      <c r="U5" s="5"/>
      <c r="V5" s="5"/>
      <c r="W5" s="5"/>
      <c r="X5" s="5"/>
      <c r="Y5" s="5"/>
      <c r="Z5" s="5"/>
    </row>
    <row r="6" ht="15.0" customHeight="1">
      <c r="A6" s="5"/>
      <c r="B6" s="5"/>
      <c r="C6" s="5"/>
      <c r="D6" s="5"/>
      <c r="E6" s="5"/>
      <c r="F6" s="5"/>
      <c r="G6" s="5"/>
      <c r="H6" s="5"/>
      <c r="I6" s="5"/>
      <c r="J6" s="5"/>
      <c r="K6" s="5"/>
      <c r="L6" s="5"/>
      <c r="M6" s="5"/>
      <c r="N6" s="5"/>
      <c r="O6" s="5"/>
      <c r="P6" s="5"/>
      <c r="Q6" s="5"/>
      <c r="R6" s="5"/>
      <c r="S6" s="5"/>
      <c r="T6" s="5"/>
      <c r="U6" s="5"/>
      <c r="V6" s="5"/>
      <c r="W6" s="5"/>
      <c r="X6" s="5"/>
      <c r="Y6" s="5"/>
      <c r="Z6" s="5"/>
    </row>
    <row r="7" ht="15.0" customHeight="1">
      <c r="A7" s="5"/>
      <c r="B7" s="5"/>
      <c r="C7" s="5"/>
      <c r="D7" s="5"/>
      <c r="E7" s="5"/>
      <c r="F7" s="5"/>
      <c r="G7" s="5"/>
      <c r="H7" s="5"/>
      <c r="I7" s="5"/>
      <c r="J7" s="5"/>
      <c r="K7" s="5"/>
      <c r="L7" s="5"/>
      <c r="M7" s="5"/>
      <c r="N7" s="5"/>
      <c r="O7" s="5"/>
      <c r="P7" s="5"/>
      <c r="Q7" s="5"/>
      <c r="R7" s="5"/>
      <c r="S7" s="5"/>
      <c r="T7" s="5"/>
      <c r="U7" s="5"/>
      <c r="V7" s="5"/>
      <c r="W7" s="5"/>
      <c r="X7" s="5"/>
      <c r="Y7" s="5"/>
      <c r="Z7" s="5"/>
    </row>
    <row r="8" ht="15.0" customHeight="1">
      <c r="A8" s="5"/>
      <c r="B8" s="5"/>
      <c r="C8" s="5"/>
      <c r="D8" s="5"/>
      <c r="E8" s="5"/>
      <c r="F8" s="5"/>
      <c r="G8" s="5"/>
      <c r="H8" s="5"/>
      <c r="I8" s="5"/>
      <c r="J8" s="5"/>
      <c r="K8" s="5"/>
      <c r="L8" s="5"/>
      <c r="M8" s="5"/>
      <c r="N8" s="5"/>
      <c r="O8" s="5"/>
      <c r="P8" s="5"/>
      <c r="Q8" s="5"/>
      <c r="R8" s="5"/>
      <c r="S8" s="5"/>
      <c r="T8" s="5"/>
      <c r="U8" s="5"/>
      <c r="V8" s="5"/>
      <c r="W8" s="5"/>
      <c r="X8" s="5"/>
      <c r="Y8" s="5"/>
      <c r="Z8" s="5"/>
    </row>
    <row r="9" ht="15.0" customHeight="1">
      <c r="A9" s="5"/>
      <c r="B9" s="5"/>
      <c r="C9" s="5"/>
      <c r="D9" s="5"/>
      <c r="E9" s="5"/>
      <c r="F9" s="5"/>
      <c r="G9" s="5"/>
      <c r="H9" s="5"/>
      <c r="I9" s="5"/>
      <c r="J9" s="5"/>
      <c r="K9" s="5"/>
      <c r="L9" s="5"/>
      <c r="M9" s="5"/>
      <c r="N9" s="5"/>
      <c r="O9" s="5"/>
      <c r="P9" s="5"/>
      <c r="Q9" s="5"/>
      <c r="R9" s="5"/>
      <c r="S9" s="5"/>
      <c r="T9" s="5"/>
      <c r="U9" s="5"/>
      <c r="V9" s="5"/>
      <c r="W9" s="5"/>
      <c r="X9" s="5"/>
      <c r="Y9" s="5"/>
      <c r="Z9" s="5"/>
    </row>
    <row r="10" ht="15.0" customHeight="1">
      <c r="A10" s="5"/>
      <c r="B10" s="5"/>
      <c r="C10" s="5"/>
      <c r="D10" s="5"/>
      <c r="E10" s="5"/>
      <c r="F10" s="5"/>
      <c r="G10" s="5"/>
      <c r="H10" s="5"/>
      <c r="I10" s="5"/>
      <c r="J10" s="5"/>
      <c r="K10" s="5"/>
      <c r="L10" s="5"/>
      <c r="M10" s="5"/>
      <c r="N10" s="5"/>
      <c r="O10" s="5"/>
      <c r="P10" s="5"/>
      <c r="Q10" s="5"/>
      <c r="R10" s="5"/>
      <c r="S10" s="5"/>
      <c r="T10" s="5"/>
      <c r="U10" s="5"/>
      <c r="V10" s="5"/>
      <c r="W10" s="5"/>
      <c r="X10" s="5"/>
      <c r="Y10" s="5"/>
      <c r="Z10" s="5"/>
    </row>
    <row r="11" ht="15.0" customHeight="1">
      <c r="A11" s="5"/>
      <c r="B11" s="5"/>
      <c r="C11" s="5"/>
      <c r="D11" s="5"/>
      <c r="E11" s="5"/>
      <c r="F11" s="5"/>
      <c r="G11" s="5"/>
      <c r="H11" s="5"/>
      <c r="I11" s="5"/>
      <c r="J11" s="5"/>
      <c r="K11" s="5"/>
      <c r="L11" s="5"/>
      <c r="M11" s="5"/>
      <c r="N11" s="5"/>
      <c r="O11" s="5"/>
      <c r="P11" s="5"/>
      <c r="Q11" s="5"/>
      <c r="R11" s="5"/>
      <c r="S11" s="5"/>
      <c r="T11" s="5"/>
      <c r="U11" s="5"/>
      <c r="V11" s="5"/>
      <c r="W11" s="5"/>
      <c r="X11" s="5"/>
      <c r="Y11" s="5"/>
      <c r="Z11" s="5"/>
    </row>
    <row r="12" ht="15.0" customHeight="1">
      <c r="A12" s="5"/>
      <c r="B12" s="5"/>
      <c r="C12" s="5"/>
      <c r="D12" s="5"/>
      <c r="E12" s="5"/>
      <c r="F12" s="5"/>
      <c r="G12" s="5"/>
      <c r="H12" s="5"/>
      <c r="I12" s="5"/>
      <c r="J12" s="5"/>
      <c r="K12" s="5"/>
      <c r="L12" s="5"/>
      <c r="M12" s="5"/>
      <c r="N12" s="5"/>
      <c r="O12" s="5"/>
      <c r="P12" s="5"/>
      <c r="Q12" s="5"/>
      <c r="R12" s="5"/>
      <c r="S12" s="5"/>
      <c r="T12" s="5"/>
      <c r="U12" s="5"/>
      <c r="V12" s="5"/>
      <c r="W12" s="5"/>
      <c r="X12" s="5"/>
      <c r="Y12" s="5"/>
      <c r="Z12" s="5"/>
    </row>
    <row r="13" ht="15.0" customHeight="1">
      <c r="A13" s="5"/>
      <c r="B13" s="5"/>
      <c r="C13" s="5"/>
      <c r="D13" s="5"/>
      <c r="E13" s="5"/>
      <c r="F13" s="5"/>
      <c r="G13" s="5"/>
      <c r="H13" s="5"/>
      <c r="I13" s="5"/>
      <c r="J13" s="5"/>
      <c r="K13" s="5"/>
      <c r="L13" s="5"/>
      <c r="M13" s="5"/>
      <c r="N13" s="5"/>
      <c r="O13" s="5"/>
      <c r="P13" s="5"/>
      <c r="Q13" s="5"/>
      <c r="R13" s="5"/>
      <c r="S13" s="5"/>
      <c r="T13" s="5"/>
      <c r="U13" s="5"/>
      <c r="V13" s="5"/>
      <c r="W13" s="5"/>
      <c r="X13" s="5"/>
      <c r="Y13" s="5"/>
      <c r="Z13" s="5"/>
    </row>
    <row r="14" ht="15.0" customHeight="1">
      <c r="A14" s="5"/>
      <c r="B14" s="5"/>
      <c r="C14" s="5"/>
      <c r="D14" s="5"/>
      <c r="E14" s="5"/>
      <c r="F14" s="5"/>
      <c r="G14" s="5"/>
      <c r="H14" s="5"/>
      <c r="I14" s="5"/>
      <c r="J14" s="5"/>
      <c r="K14" s="5"/>
      <c r="L14" s="5"/>
      <c r="M14" s="5"/>
      <c r="N14" s="5"/>
      <c r="O14" s="5"/>
      <c r="P14" s="5"/>
      <c r="Q14" s="5"/>
      <c r="R14" s="5"/>
      <c r="S14" s="5"/>
      <c r="T14" s="5"/>
      <c r="U14" s="5"/>
      <c r="V14" s="5"/>
      <c r="W14" s="5"/>
      <c r="X14" s="5"/>
      <c r="Y14" s="5"/>
      <c r="Z14" s="5"/>
    </row>
    <row r="15" ht="15.0" customHeight="1">
      <c r="A15" s="5"/>
      <c r="B15" s="5"/>
      <c r="C15" s="5"/>
      <c r="D15" s="5"/>
      <c r="E15" s="5"/>
      <c r="F15" s="5"/>
      <c r="G15" s="5"/>
      <c r="H15" s="5"/>
      <c r="I15" s="5"/>
      <c r="J15" s="5"/>
      <c r="K15" s="5"/>
      <c r="L15" s="5"/>
      <c r="M15" s="5"/>
      <c r="N15" s="5"/>
      <c r="O15" s="5"/>
      <c r="P15" s="5"/>
      <c r="Q15" s="5"/>
      <c r="R15" s="5"/>
      <c r="S15" s="5"/>
      <c r="T15" s="5"/>
      <c r="U15" s="5"/>
      <c r="V15" s="5"/>
      <c r="W15" s="5"/>
      <c r="X15" s="5"/>
      <c r="Y15" s="5"/>
      <c r="Z15" s="5"/>
    </row>
    <row r="16" ht="15.0" customHeight="1">
      <c r="A16" s="5"/>
      <c r="B16" s="5"/>
      <c r="C16" s="5"/>
      <c r="D16" s="5"/>
      <c r="E16" s="5"/>
      <c r="F16" s="5"/>
      <c r="G16" s="5"/>
      <c r="H16" s="5"/>
      <c r="I16" s="5"/>
      <c r="J16" s="5"/>
      <c r="K16" s="5"/>
      <c r="L16" s="5"/>
      <c r="M16" s="5"/>
      <c r="N16" s="5"/>
      <c r="O16" s="5"/>
      <c r="P16" s="5"/>
      <c r="Q16" s="5"/>
      <c r="R16" s="5"/>
      <c r="S16" s="5"/>
      <c r="T16" s="5"/>
      <c r="U16" s="5"/>
      <c r="V16" s="5"/>
      <c r="W16" s="5"/>
      <c r="X16" s="5"/>
      <c r="Y16" s="5"/>
      <c r="Z16" s="5"/>
    </row>
    <row r="17" ht="15.0" customHeight="1">
      <c r="A17" s="5"/>
      <c r="B17" s="5"/>
      <c r="C17" s="5"/>
      <c r="D17" s="5"/>
      <c r="E17" s="5"/>
      <c r="F17" s="5"/>
      <c r="G17" s="5"/>
      <c r="H17" s="5"/>
      <c r="I17" s="5"/>
      <c r="J17" s="5"/>
      <c r="K17" s="5"/>
      <c r="L17" s="5"/>
      <c r="M17" s="5"/>
      <c r="N17" s="5"/>
      <c r="O17" s="5"/>
      <c r="P17" s="5"/>
      <c r="Q17" s="5"/>
      <c r="R17" s="5"/>
      <c r="S17" s="5"/>
      <c r="T17" s="5"/>
      <c r="U17" s="5"/>
      <c r="V17" s="5"/>
      <c r="W17" s="5"/>
      <c r="X17" s="5"/>
      <c r="Y17" s="5"/>
      <c r="Z17" s="5"/>
    </row>
    <row r="18" ht="15.0" customHeight="1">
      <c r="A18" s="5"/>
      <c r="B18" s="5"/>
      <c r="C18" s="5"/>
      <c r="D18" s="5"/>
      <c r="E18" s="5"/>
      <c r="F18" s="5"/>
      <c r="G18" s="5"/>
      <c r="H18" s="5"/>
      <c r="I18" s="5"/>
      <c r="J18" s="5"/>
      <c r="K18" s="5"/>
      <c r="L18" s="5"/>
      <c r="M18" s="5"/>
      <c r="N18" s="5"/>
      <c r="O18" s="5"/>
      <c r="P18" s="5"/>
      <c r="Q18" s="5"/>
      <c r="R18" s="5"/>
      <c r="S18" s="5"/>
      <c r="T18" s="5"/>
      <c r="U18" s="5"/>
      <c r="V18" s="5"/>
      <c r="W18" s="5"/>
      <c r="X18" s="5"/>
      <c r="Y18" s="5"/>
      <c r="Z18" s="5"/>
    </row>
    <row r="19" ht="15.0" customHeight="1">
      <c r="A19" s="5"/>
      <c r="B19" s="5"/>
      <c r="C19" s="5"/>
      <c r="D19" s="5"/>
      <c r="E19" s="5"/>
      <c r="F19" s="5"/>
      <c r="G19" s="5"/>
      <c r="H19" s="5"/>
      <c r="I19" s="5"/>
      <c r="J19" s="5"/>
      <c r="K19" s="5"/>
      <c r="L19" s="5"/>
      <c r="M19" s="5"/>
      <c r="N19" s="5"/>
      <c r="O19" s="5"/>
      <c r="P19" s="5"/>
      <c r="Q19" s="5"/>
      <c r="R19" s="5"/>
      <c r="S19" s="5"/>
      <c r="T19" s="5"/>
      <c r="U19" s="5"/>
      <c r="V19" s="5"/>
      <c r="W19" s="5"/>
      <c r="X19" s="5"/>
      <c r="Y19" s="5"/>
      <c r="Z19" s="5"/>
    </row>
    <row r="20" ht="15.0" customHeight="1">
      <c r="A20" s="5"/>
      <c r="B20" s="5"/>
      <c r="C20" s="5"/>
      <c r="D20" s="5"/>
      <c r="E20" s="5"/>
      <c r="F20" s="5"/>
      <c r="G20" s="5"/>
      <c r="H20" s="5"/>
      <c r="I20" s="5"/>
      <c r="J20" s="5"/>
      <c r="K20" s="5"/>
      <c r="L20" s="5"/>
      <c r="M20" s="5"/>
      <c r="N20" s="5"/>
      <c r="O20" s="5"/>
      <c r="P20" s="5"/>
      <c r="Q20" s="5"/>
      <c r="R20" s="5"/>
      <c r="S20" s="5"/>
      <c r="T20" s="5"/>
      <c r="U20" s="5"/>
      <c r="V20" s="5"/>
      <c r="W20" s="5"/>
      <c r="X20" s="5"/>
      <c r="Y20" s="5"/>
      <c r="Z20" s="5"/>
    </row>
    <row r="21" ht="15.7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ht="15.7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148"/>
      <c r="B221" s="148"/>
      <c r="C221" s="148"/>
      <c r="D221" s="148"/>
      <c r="E221" s="148"/>
      <c r="F221" s="148"/>
      <c r="G221" s="148"/>
      <c r="H221" s="148"/>
    </row>
    <row r="222" ht="15.75" customHeight="1">
      <c r="A222" s="148"/>
      <c r="B222" s="148"/>
      <c r="C222" s="148"/>
      <c r="D222" s="148"/>
      <c r="E222" s="148"/>
      <c r="F222" s="148"/>
      <c r="G222" s="148"/>
      <c r="H222" s="148"/>
    </row>
    <row r="223" ht="15.75" customHeight="1">
      <c r="A223" s="148"/>
      <c r="B223" s="148"/>
      <c r="C223" s="148"/>
      <c r="D223" s="148"/>
      <c r="E223" s="148"/>
      <c r="F223" s="148"/>
      <c r="G223" s="148"/>
      <c r="H223" s="148"/>
    </row>
    <row r="224" ht="15.75" customHeight="1">
      <c r="A224" s="148"/>
      <c r="B224" s="148"/>
      <c r="C224" s="148"/>
      <c r="D224" s="148"/>
      <c r="E224" s="148"/>
      <c r="F224" s="148"/>
      <c r="G224" s="148"/>
      <c r="H224" s="148"/>
    </row>
    <row r="225" ht="15.75" customHeight="1">
      <c r="A225" s="148"/>
      <c r="B225" s="148"/>
      <c r="C225" s="148"/>
      <c r="D225" s="148"/>
      <c r="E225" s="148"/>
      <c r="F225" s="148"/>
      <c r="G225" s="148"/>
      <c r="H225" s="148"/>
    </row>
    <row r="226" ht="15.75" customHeight="1">
      <c r="A226" s="148"/>
      <c r="B226" s="148"/>
      <c r="C226" s="148"/>
      <c r="D226" s="148"/>
      <c r="E226" s="148"/>
      <c r="F226" s="148"/>
      <c r="G226" s="148"/>
      <c r="H226" s="148"/>
    </row>
    <row r="227" ht="15.75" customHeight="1">
      <c r="A227" s="148"/>
      <c r="B227" s="148"/>
      <c r="C227" s="148"/>
      <c r="D227" s="148"/>
      <c r="E227" s="148"/>
      <c r="F227" s="148"/>
      <c r="G227" s="148"/>
      <c r="H227" s="148"/>
    </row>
    <row r="228" ht="15.75" customHeight="1">
      <c r="A228" s="148"/>
      <c r="B228" s="148"/>
      <c r="C228" s="148"/>
      <c r="D228" s="148"/>
      <c r="E228" s="148"/>
      <c r="F228" s="148"/>
      <c r="G228" s="148"/>
      <c r="H228" s="148"/>
    </row>
    <row r="229" ht="15.75" customHeight="1">
      <c r="A229" s="148"/>
      <c r="B229" s="148"/>
      <c r="C229" s="148"/>
      <c r="D229" s="148"/>
      <c r="E229" s="148"/>
      <c r="F229" s="148"/>
      <c r="G229" s="148"/>
      <c r="H229" s="148"/>
    </row>
    <row r="230" ht="15.75" customHeight="1">
      <c r="A230" s="148"/>
      <c r="B230" s="148"/>
      <c r="C230" s="148"/>
      <c r="D230" s="148"/>
      <c r="E230" s="148"/>
      <c r="F230" s="148"/>
      <c r="G230" s="148"/>
      <c r="H230" s="148"/>
    </row>
    <row r="231" ht="15.75" customHeight="1">
      <c r="A231" s="148"/>
      <c r="B231" s="148"/>
      <c r="C231" s="148"/>
      <c r="D231" s="148"/>
      <c r="E231" s="148"/>
      <c r="F231" s="148"/>
      <c r="G231" s="148"/>
      <c r="H231" s="148"/>
    </row>
    <row r="232" ht="15.75" customHeight="1">
      <c r="A232" s="148"/>
      <c r="B232" s="148"/>
      <c r="C232" s="148"/>
      <c r="D232" s="148"/>
      <c r="E232" s="148"/>
      <c r="F232" s="148"/>
      <c r="G232" s="148"/>
      <c r="H232" s="148"/>
    </row>
    <row r="233" ht="15.75" customHeight="1">
      <c r="A233" s="148"/>
      <c r="B233" s="148"/>
      <c r="C233" s="148"/>
      <c r="D233" s="148"/>
      <c r="E233" s="148"/>
      <c r="F233" s="148"/>
      <c r="G233" s="148"/>
      <c r="H233" s="148"/>
    </row>
    <row r="234" ht="15.75" customHeight="1">
      <c r="A234" s="148"/>
      <c r="B234" s="148"/>
      <c r="C234" s="148"/>
      <c r="D234" s="148"/>
      <c r="E234" s="148"/>
      <c r="F234" s="148"/>
      <c r="G234" s="148"/>
      <c r="H234" s="148"/>
    </row>
    <row r="235" ht="15.75" customHeight="1">
      <c r="A235" s="148"/>
      <c r="B235" s="148"/>
      <c r="C235" s="148"/>
      <c r="D235" s="148"/>
      <c r="E235" s="148"/>
      <c r="F235" s="148"/>
      <c r="G235" s="148"/>
      <c r="H235" s="148"/>
    </row>
    <row r="236" ht="15.75" customHeight="1">
      <c r="A236" s="148"/>
      <c r="B236" s="148"/>
      <c r="C236" s="148"/>
      <c r="D236" s="148"/>
      <c r="E236" s="148"/>
      <c r="F236" s="148"/>
      <c r="G236" s="148"/>
      <c r="H236" s="148"/>
    </row>
    <row r="237" ht="15.75" customHeight="1">
      <c r="A237" s="148"/>
      <c r="B237" s="148"/>
      <c r="C237" s="148"/>
      <c r="D237" s="148"/>
      <c r="E237" s="148"/>
      <c r="F237" s="148"/>
      <c r="G237" s="148"/>
      <c r="H237" s="148"/>
    </row>
    <row r="238" ht="15.75" customHeight="1">
      <c r="A238" s="148"/>
      <c r="B238" s="148"/>
      <c r="C238" s="148"/>
      <c r="D238" s="148"/>
      <c r="E238" s="148"/>
      <c r="F238" s="148"/>
      <c r="G238" s="148"/>
      <c r="H238" s="148"/>
    </row>
    <row r="239" ht="15.75" customHeight="1">
      <c r="A239" s="148"/>
      <c r="B239" s="148"/>
      <c r="C239" s="148"/>
      <c r="D239" s="148"/>
      <c r="E239" s="148"/>
      <c r="F239" s="148"/>
      <c r="G239" s="148"/>
      <c r="H239" s="148"/>
    </row>
    <row r="240" ht="15.75" customHeight="1">
      <c r="A240" s="148"/>
      <c r="B240" s="148"/>
      <c r="C240" s="148"/>
      <c r="D240" s="148"/>
      <c r="E240" s="148"/>
      <c r="F240" s="148"/>
      <c r="G240" s="148"/>
      <c r="H240" s="148"/>
    </row>
    <row r="241" ht="15.75" customHeight="1">
      <c r="A241" s="148"/>
      <c r="B241" s="148"/>
      <c r="C241" s="148"/>
      <c r="D241" s="148"/>
      <c r="E241" s="148"/>
      <c r="F241" s="148"/>
      <c r="G241" s="148"/>
      <c r="H241" s="148"/>
    </row>
    <row r="242" ht="15.75" customHeight="1">
      <c r="A242" s="148"/>
      <c r="B242" s="148"/>
      <c r="C242" s="148"/>
      <c r="D242" s="148"/>
      <c r="E242" s="148"/>
      <c r="F242" s="148"/>
      <c r="G242" s="148"/>
      <c r="H242" s="148"/>
    </row>
    <row r="243" ht="15.75" customHeight="1">
      <c r="A243" s="148"/>
      <c r="B243" s="148"/>
      <c r="C243" s="148"/>
      <c r="D243" s="148"/>
      <c r="E243" s="148"/>
      <c r="F243" s="148"/>
      <c r="G243" s="148"/>
      <c r="H243" s="148"/>
    </row>
    <row r="244" ht="15.75" customHeight="1">
      <c r="A244" s="148"/>
      <c r="B244" s="148"/>
      <c r="C244" s="148"/>
      <c r="D244" s="148"/>
      <c r="E244" s="148"/>
      <c r="F244" s="148"/>
      <c r="G244" s="148"/>
      <c r="H244" s="148"/>
    </row>
    <row r="245" ht="15.75" customHeight="1">
      <c r="A245" s="148"/>
      <c r="B245" s="148"/>
      <c r="C245" s="148"/>
      <c r="D245" s="148"/>
      <c r="E245" s="148"/>
      <c r="F245" s="148"/>
      <c r="G245" s="148"/>
      <c r="H245" s="148"/>
    </row>
    <row r="246" ht="15.75" customHeight="1">
      <c r="A246" s="148"/>
      <c r="B246" s="148"/>
      <c r="C246" s="148"/>
      <c r="D246" s="148"/>
      <c r="E246" s="148"/>
      <c r="F246" s="148"/>
      <c r="G246" s="148"/>
      <c r="H246" s="148"/>
    </row>
    <row r="247" ht="15.75" customHeight="1">
      <c r="A247" s="148"/>
      <c r="B247" s="148"/>
      <c r="C247" s="148"/>
      <c r="D247" s="148"/>
      <c r="E247" s="148"/>
      <c r="F247" s="148"/>
      <c r="G247" s="148"/>
      <c r="H247" s="148"/>
    </row>
    <row r="248" ht="15.75" customHeight="1">
      <c r="A248" s="148"/>
      <c r="B248" s="148"/>
      <c r="C248" s="148"/>
      <c r="D248" s="148"/>
      <c r="E248" s="148"/>
      <c r="F248" s="148"/>
      <c r="G248" s="148"/>
      <c r="H248" s="148"/>
    </row>
    <row r="249" ht="15.75" customHeight="1">
      <c r="A249" s="148"/>
      <c r="B249" s="148"/>
      <c r="C249" s="148"/>
      <c r="D249" s="148"/>
      <c r="E249" s="148"/>
      <c r="F249" s="148"/>
      <c r="G249" s="148"/>
      <c r="H249" s="148"/>
    </row>
    <row r="250" ht="15.75" customHeight="1">
      <c r="A250" s="148"/>
      <c r="B250" s="148"/>
      <c r="C250" s="148"/>
      <c r="D250" s="148"/>
      <c r="E250" s="148"/>
      <c r="F250" s="148"/>
      <c r="G250" s="148"/>
      <c r="H250" s="148"/>
    </row>
    <row r="251" ht="15.75" customHeight="1">
      <c r="A251" s="148"/>
      <c r="B251" s="148"/>
      <c r="C251" s="148"/>
      <c r="D251" s="148"/>
      <c r="E251" s="148"/>
      <c r="F251" s="148"/>
      <c r="G251" s="148"/>
      <c r="H251" s="148"/>
    </row>
    <row r="252" ht="15.75" customHeight="1">
      <c r="A252" s="148"/>
      <c r="B252" s="148"/>
      <c r="C252" s="148"/>
      <c r="D252" s="148"/>
      <c r="E252" s="148"/>
      <c r="F252" s="148"/>
      <c r="G252" s="148"/>
      <c r="H252" s="148"/>
    </row>
    <row r="253" ht="15.75" customHeight="1">
      <c r="A253" s="148"/>
      <c r="B253" s="148"/>
      <c r="C253" s="148"/>
      <c r="D253" s="148"/>
      <c r="E253" s="148"/>
      <c r="F253" s="148"/>
      <c r="G253" s="148"/>
      <c r="H253" s="148"/>
    </row>
    <row r="254" ht="15.75" customHeight="1">
      <c r="A254" s="148"/>
      <c r="B254" s="148"/>
      <c r="C254" s="148"/>
      <c r="D254" s="148"/>
      <c r="E254" s="148"/>
      <c r="F254" s="148"/>
      <c r="G254" s="148"/>
      <c r="H254" s="148"/>
    </row>
    <row r="255" ht="15.75" customHeight="1">
      <c r="A255" s="148"/>
      <c r="B255" s="148"/>
      <c r="C255" s="148"/>
      <c r="D255" s="148"/>
      <c r="E255" s="148"/>
      <c r="F255" s="148"/>
      <c r="G255" s="148"/>
      <c r="H255" s="148"/>
    </row>
    <row r="256" ht="15.75" customHeight="1">
      <c r="A256" s="148"/>
      <c r="B256" s="148"/>
      <c r="C256" s="148"/>
      <c r="D256" s="148"/>
      <c r="E256" s="148"/>
      <c r="F256" s="148"/>
      <c r="G256" s="148"/>
      <c r="H256" s="148"/>
    </row>
    <row r="257" ht="15.75" customHeight="1">
      <c r="A257" s="148"/>
      <c r="B257" s="148"/>
      <c r="C257" s="148"/>
      <c r="D257" s="148"/>
      <c r="E257" s="148"/>
      <c r="F257" s="148"/>
      <c r="G257" s="148"/>
      <c r="H257" s="148"/>
    </row>
    <row r="258" ht="15.75" customHeight="1">
      <c r="A258" s="148"/>
      <c r="B258" s="148"/>
      <c r="C258" s="148"/>
      <c r="D258" s="148"/>
      <c r="E258" s="148"/>
      <c r="F258" s="148"/>
      <c r="G258" s="148"/>
      <c r="H258" s="148"/>
    </row>
    <row r="259" ht="15.75" customHeight="1">
      <c r="A259" s="148"/>
      <c r="B259" s="148"/>
      <c r="C259" s="148"/>
      <c r="D259" s="148"/>
      <c r="E259" s="148"/>
      <c r="F259" s="148"/>
      <c r="G259" s="148"/>
      <c r="H259" s="148"/>
    </row>
    <row r="260" ht="15.75" customHeight="1">
      <c r="A260" s="148"/>
      <c r="B260" s="148"/>
      <c r="C260" s="148"/>
      <c r="D260" s="148"/>
      <c r="E260" s="148"/>
      <c r="F260" s="148"/>
      <c r="G260" s="148"/>
      <c r="H260" s="148"/>
    </row>
    <row r="261" ht="15.75" customHeight="1">
      <c r="A261" s="148"/>
      <c r="B261" s="148"/>
      <c r="C261" s="148"/>
      <c r="D261" s="148"/>
      <c r="E261" s="148"/>
      <c r="F261" s="148"/>
      <c r="G261" s="148"/>
      <c r="H261" s="148"/>
    </row>
    <row r="262" ht="15.75" customHeight="1">
      <c r="A262" s="148"/>
      <c r="B262" s="148"/>
      <c r="C262" s="148"/>
      <c r="D262" s="148"/>
      <c r="E262" s="148"/>
      <c r="F262" s="148"/>
      <c r="G262" s="148"/>
      <c r="H262" s="148"/>
    </row>
    <row r="263" ht="15.75" customHeight="1">
      <c r="A263" s="148"/>
      <c r="B263" s="148"/>
      <c r="C263" s="148"/>
      <c r="D263" s="148"/>
      <c r="E263" s="148"/>
      <c r="F263" s="148"/>
      <c r="G263" s="148"/>
      <c r="H263" s="148"/>
    </row>
    <row r="264" ht="15.75" customHeight="1">
      <c r="A264" s="148"/>
      <c r="B264" s="148"/>
      <c r="C264" s="148"/>
      <c r="D264" s="148"/>
      <c r="E264" s="148"/>
      <c r="F264" s="148"/>
      <c r="G264" s="148"/>
      <c r="H264" s="148"/>
    </row>
    <row r="265" ht="15.75" customHeight="1">
      <c r="A265" s="148"/>
      <c r="B265" s="148"/>
      <c r="C265" s="148"/>
      <c r="D265" s="148"/>
      <c r="E265" s="148"/>
      <c r="F265" s="148"/>
      <c r="G265" s="148"/>
      <c r="H265" s="148"/>
    </row>
    <row r="266" ht="15.75" customHeight="1">
      <c r="A266" s="148"/>
      <c r="B266" s="148"/>
      <c r="C266" s="148"/>
      <c r="D266" s="148"/>
      <c r="E266" s="148"/>
      <c r="F266" s="148"/>
      <c r="G266" s="148"/>
      <c r="H266" s="148"/>
    </row>
    <row r="267" ht="15.75" customHeight="1">
      <c r="A267" s="148"/>
      <c r="B267" s="148"/>
      <c r="C267" s="148"/>
      <c r="D267" s="148"/>
      <c r="E267" s="148"/>
      <c r="F267" s="148"/>
      <c r="G267" s="148"/>
      <c r="H267" s="148"/>
    </row>
    <row r="268" ht="15.75" customHeight="1">
      <c r="A268" s="148"/>
      <c r="B268" s="148"/>
      <c r="C268" s="148"/>
      <c r="D268" s="148"/>
      <c r="E268" s="148"/>
      <c r="F268" s="148"/>
      <c r="G268" s="148"/>
      <c r="H268" s="148"/>
    </row>
    <row r="269" ht="15.75" customHeight="1">
      <c r="A269" s="148"/>
      <c r="B269" s="148"/>
      <c r="C269" s="148"/>
      <c r="D269" s="148"/>
      <c r="E269" s="148"/>
      <c r="F269" s="148"/>
      <c r="G269" s="148"/>
      <c r="H269" s="148"/>
    </row>
    <row r="270" ht="15.75" customHeight="1">
      <c r="A270" s="148"/>
      <c r="B270" s="148"/>
      <c r="C270" s="148"/>
      <c r="D270" s="148"/>
      <c r="E270" s="148"/>
      <c r="F270" s="148"/>
      <c r="G270" s="148"/>
      <c r="H270" s="148"/>
    </row>
    <row r="271" ht="15.75" customHeight="1">
      <c r="A271" s="148"/>
      <c r="B271" s="148"/>
      <c r="C271" s="148"/>
      <c r="D271" s="148"/>
      <c r="E271" s="148"/>
      <c r="F271" s="148"/>
      <c r="G271" s="148"/>
      <c r="H271" s="148"/>
    </row>
    <row r="272" ht="15.75" customHeight="1">
      <c r="A272" s="148"/>
      <c r="B272" s="148"/>
      <c r="C272" s="148"/>
      <c r="D272" s="148"/>
      <c r="E272" s="148"/>
      <c r="F272" s="148"/>
      <c r="G272" s="148"/>
      <c r="H272" s="148"/>
    </row>
    <row r="273" ht="15.75" customHeight="1">
      <c r="A273" s="148"/>
      <c r="B273" s="148"/>
      <c r="C273" s="148"/>
      <c r="D273" s="148"/>
      <c r="E273" s="148"/>
      <c r="F273" s="148"/>
      <c r="G273" s="148"/>
      <c r="H273" s="148"/>
    </row>
    <row r="274" ht="15.75" customHeight="1">
      <c r="A274" s="148"/>
      <c r="B274" s="148"/>
      <c r="C274" s="148"/>
      <c r="D274" s="148"/>
      <c r="E274" s="148"/>
      <c r="F274" s="148"/>
      <c r="G274" s="148"/>
      <c r="H274" s="148"/>
    </row>
    <row r="275" ht="15.75" customHeight="1">
      <c r="A275" s="148"/>
      <c r="B275" s="148"/>
      <c r="C275" s="148"/>
      <c r="D275" s="148"/>
      <c r="E275" s="148"/>
      <c r="F275" s="148"/>
      <c r="G275" s="148"/>
      <c r="H275" s="148"/>
    </row>
    <row r="276" ht="15.75" customHeight="1">
      <c r="A276" s="148"/>
      <c r="B276" s="148"/>
      <c r="C276" s="148"/>
      <c r="D276" s="148"/>
      <c r="E276" s="148"/>
      <c r="F276" s="148"/>
      <c r="G276" s="148"/>
      <c r="H276" s="148"/>
    </row>
    <row r="277" ht="15.75" customHeight="1">
      <c r="A277" s="148"/>
      <c r="B277" s="148"/>
      <c r="C277" s="148"/>
      <c r="D277" s="148"/>
      <c r="E277" s="148"/>
      <c r="F277" s="148"/>
      <c r="G277" s="148"/>
      <c r="H277" s="148"/>
    </row>
    <row r="278" ht="15.75" customHeight="1">
      <c r="A278" s="148"/>
      <c r="B278" s="148"/>
      <c r="C278" s="148"/>
      <c r="D278" s="148"/>
      <c r="E278" s="148"/>
      <c r="F278" s="148"/>
      <c r="G278" s="148"/>
      <c r="H278" s="148"/>
    </row>
    <row r="279" ht="15.75" customHeight="1">
      <c r="A279" s="148"/>
      <c r="B279" s="148"/>
      <c r="C279" s="148"/>
      <c r="D279" s="148"/>
      <c r="E279" s="148"/>
      <c r="F279" s="148"/>
      <c r="G279" s="148"/>
      <c r="H279" s="148"/>
    </row>
    <row r="280" ht="15.75" customHeight="1">
      <c r="A280" s="148"/>
      <c r="B280" s="148"/>
      <c r="C280" s="148"/>
      <c r="D280" s="148"/>
      <c r="E280" s="148"/>
      <c r="F280" s="148"/>
      <c r="G280" s="148"/>
      <c r="H280" s="148"/>
    </row>
    <row r="281" ht="15.75" customHeight="1">
      <c r="A281" s="148"/>
      <c r="B281" s="148"/>
      <c r="C281" s="148"/>
      <c r="D281" s="148"/>
      <c r="E281" s="148"/>
      <c r="F281" s="148"/>
      <c r="G281" s="148"/>
      <c r="H281" s="148"/>
    </row>
    <row r="282" ht="15.75" customHeight="1">
      <c r="A282" s="148"/>
      <c r="B282" s="148"/>
      <c r="C282" s="148"/>
      <c r="D282" s="148"/>
      <c r="E282" s="148"/>
      <c r="F282" s="148"/>
      <c r="G282" s="148"/>
      <c r="H282" s="148"/>
    </row>
    <row r="283" ht="15.75" customHeight="1">
      <c r="A283" s="148"/>
      <c r="B283" s="148"/>
      <c r="C283" s="148"/>
      <c r="D283" s="148"/>
      <c r="E283" s="148"/>
      <c r="F283" s="148"/>
      <c r="G283" s="148"/>
      <c r="H283" s="148"/>
    </row>
    <row r="284" ht="15.75" customHeight="1">
      <c r="A284" s="148"/>
      <c r="B284" s="148"/>
      <c r="C284" s="148"/>
      <c r="D284" s="148"/>
      <c r="E284" s="148"/>
      <c r="F284" s="148"/>
      <c r="G284" s="148"/>
      <c r="H284" s="148"/>
    </row>
    <row r="285" ht="15.75" customHeight="1">
      <c r="A285" s="148"/>
      <c r="B285" s="148"/>
      <c r="C285" s="148"/>
      <c r="D285" s="148"/>
      <c r="E285" s="148"/>
      <c r="F285" s="148"/>
      <c r="G285" s="148"/>
      <c r="H285" s="148"/>
    </row>
    <row r="286" ht="15.75" customHeight="1">
      <c r="A286" s="148"/>
      <c r="B286" s="148"/>
      <c r="C286" s="148"/>
      <c r="D286" s="148"/>
      <c r="E286" s="148"/>
      <c r="F286" s="148"/>
      <c r="G286" s="148"/>
      <c r="H286" s="148"/>
    </row>
    <row r="287" ht="15.75" customHeight="1">
      <c r="A287" s="148"/>
      <c r="B287" s="148"/>
      <c r="C287" s="148"/>
      <c r="D287" s="148"/>
      <c r="E287" s="148"/>
      <c r="F287" s="148"/>
      <c r="G287" s="148"/>
      <c r="H287" s="148"/>
    </row>
    <row r="288" ht="15.75" customHeight="1">
      <c r="A288" s="148"/>
      <c r="B288" s="148"/>
      <c r="C288" s="148"/>
      <c r="D288" s="148"/>
      <c r="E288" s="148"/>
      <c r="F288" s="148"/>
      <c r="G288" s="148"/>
      <c r="H288" s="148"/>
    </row>
    <row r="289" ht="15.75" customHeight="1">
      <c r="A289" s="148"/>
      <c r="B289" s="148"/>
      <c r="C289" s="148"/>
      <c r="D289" s="148"/>
      <c r="E289" s="148"/>
      <c r="F289" s="148"/>
      <c r="G289" s="148"/>
      <c r="H289" s="148"/>
    </row>
    <row r="290" ht="15.75" customHeight="1">
      <c r="A290" s="148"/>
      <c r="B290" s="148"/>
      <c r="C290" s="148"/>
      <c r="D290" s="148"/>
      <c r="E290" s="148"/>
      <c r="F290" s="148"/>
      <c r="G290" s="148"/>
      <c r="H290" s="148"/>
    </row>
    <row r="291" ht="15.75" customHeight="1">
      <c r="A291" s="148"/>
      <c r="B291" s="148"/>
      <c r="C291" s="148"/>
      <c r="D291" s="148"/>
      <c r="E291" s="148"/>
      <c r="F291" s="148"/>
      <c r="G291" s="148"/>
      <c r="H291" s="148"/>
    </row>
    <row r="292" ht="15.75" customHeight="1">
      <c r="A292" s="148"/>
      <c r="B292" s="148"/>
      <c r="C292" s="148"/>
      <c r="D292" s="148"/>
      <c r="E292" s="148"/>
      <c r="F292" s="148"/>
      <c r="G292" s="148"/>
      <c r="H292" s="148"/>
    </row>
    <row r="293" ht="15.75" customHeight="1">
      <c r="A293" s="148"/>
      <c r="B293" s="148"/>
      <c r="C293" s="148"/>
      <c r="D293" s="148"/>
      <c r="E293" s="148"/>
      <c r="F293" s="148"/>
      <c r="G293" s="148"/>
      <c r="H293" s="148"/>
    </row>
    <row r="294" ht="15.75" customHeight="1">
      <c r="A294" s="148"/>
      <c r="B294" s="148"/>
      <c r="C294" s="148"/>
      <c r="D294" s="148"/>
      <c r="E294" s="148"/>
      <c r="F294" s="148"/>
      <c r="G294" s="148"/>
      <c r="H294" s="148"/>
    </row>
    <row r="295" ht="15.75" customHeight="1">
      <c r="A295" s="148"/>
      <c r="B295" s="148"/>
      <c r="C295" s="148"/>
      <c r="D295" s="148"/>
      <c r="E295" s="148"/>
      <c r="F295" s="148"/>
      <c r="G295" s="148"/>
      <c r="H295" s="148"/>
    </row>
    <row r="296" ht="15.75" customHeight="1">
      <c r="A296" s="148"/>
      <c r="B296" s="148"/>
      <c r="C296" s="148"/>
      <c r="D296" s="148"/>
      <c r="E296" s="148"/>
      <c r="F296" s="148"/>
      <c r="G296" s="148"/>
      <c r="H296" s="148"/>
    </row>
    <row r="297" ht="15.75" customHeight="1">
      <c r="A297" s="148"/>
      <c r="B297" s="148"/>
      <c r="C297" s="148"/>
      <c r="D297" s="148"/>
      <c r="E297" s="148"/>
      <c r="F297" s="148"/>
      <c r="G297" s="148"/>
      <c r="H297" s="148"/>
    </row>
    <row r="298" ht="15.75" customHeight="1">
      <c r="A298" s="148"/>
      <c r="B298" s="148"/>
      <c r="C298" s="148"/>
      <c r="D298" s="148"/>
      <c r="E298" s="148"/>
      <c r="F298" s="148"/>
      <c r="G298" s="148"/>
      <c r="H298" s="148"/>
    </row>
    <row r="299" ht="15.75" customHeight="1">
      <c r="A299" s="148"/>
      <c r="B299" s="148"/>
      <c r="C299" s="148"/>
      <c r="D299" s="148"/>
      <c r="E299" s="148"/>
      <c r="F299" s="148"/>
      <c r="G299" s="148"/>
      <c r="H299" s="148"/>
    </row>
    <row r="300" ht="15.75" customHeight="1">
      <c r="A300" s="148"/>
      <c r="B300" s="148"/>
      <c r="C300" s="148"/>
      <c r="D300" s="148"/>
      <c r="E300" s="148"/>
      <c r="F300" s="148"/>
      <c r="G300" s="148"/>
      <c r="H300" s="148"/>
    </row>
    <row r="301" ht="15.75" customHeight="1">
      <c r="A301" s="148"/>
      <c r="B301" s="148"/>
      <c r="C301" s="148"/>
      <c r="D301" s="148"/>
      <c r="E301" s="148"/>
      <c r="F301" s="148"/>
      <c r="G301" s="148"/>
      <c r="H301" s="148"/>
    </row>
    <row r="302" ht="15.75" customHeight="1">
      <c r="A302" s="148"/>
      <c r="B302" s="148"/>
      <c r="C302" s="148"/>
      <c r="D302" s="148"/>
      <c r="E302" s="148"/>
      <c r="F302" s="148"/>
      <c r="G302" s="148"/>
      <c r="H302" s="148"/>
    </row>
    <row r="303" ht="15.75" customHeight="1">
      <c r="A303" s="148"/>
      <c r="B303" s="148"/>
      <c r="C303" s="148"/>
      <c r="D303" s="148"/>
      <c r="E303" s="148"/>
      <c r="F303" s="148"/>
      <c r="G303" s="148"/>
      <c r="H303" s="148"/>
    </row>
    <row r="304" ht="15.75" customHeight="1">
      <c r="A304" s="148"/>
      <c r="B304" s="148"/>
      <c r="C304" s="148"/>
      <c r="D304" s="148"/>
      <c r="E304" s="148"/>
      <c r="F304" s="148"/>
      <c r="G304" s="148"/>
      <c r="H304" s="148"/>
    </row>
    <row r="305" ht="15.75" customHeight="1">
      <c r="A305" s="148"/>
      <c r="B305" s="148"/>
      <c r="C305" s="148"/>
      <c r="D305" s="148"/>
      <c r="E305" s="148"/>
      <c r="F305" s="148"/>
      <c r="G305" s="148"/>
      <c r="H305" s="148"/>
    </row>
    <row r="306" ht="15.75" customHeight="1">
      <c r="A306" s="148"/>
      <c r="B306" s="148"/>
      <c r="C306" s="148"/>
      <c r="D306" s="148"/>
      <c r="E306" s="148"/>
      <c r="F306" s="148"/>
      <c r="G306" s="148"/>
      <c r="H306" s="148"/>
    </row>
    <row r="307" ht="15.75" customHeight="1">
      <c r="A307" s="148"/>
      <c r="B307" s="148"/>
      <c r="C307" s="148"/>
      <c r="D307" s="148"/>
      <c r="E307" s="148"/>
      <c r="F307" s="148"/>
      <c r="G307" s="148"/>
      <c r="H307" s="148"/>
    </row>
    <row r="308" ht="15.75" customHeight="1">
      <c r="A308" s="148"/>
      <c r="B308" s="148"/>
      <c r="C308" s="148"/>
      <c r="D308" s="148"/>
      <c r="E308" s="148"/>
      <c r="F308" s="148"/>
      <c r="G308" s="148"/>
      <c r="H308" s="148"/>
    </row>
    <row r="309" ht="15.75" customHeight="1">
      <c r="A309" s="148"/>
      <c r="B309" s="148"/>
      <c r="C309" s="148"/>
      <c r="D309" s="148"/>
      <c r="E309" s="148"/>
      <c r="F309" s="148"/>
      <c r="G309" s="148"/>
      <c r="H309" s="148"/>
    </row>
    <row r="310" ht="15.75" customHeight="1">
      <c r="A310" s="148"/>
      <c r="B310" s="148"/>
      <c r="C310" s="148"/>
      <c r="D310" s="148"/>
      <c r="E310" s="148"/>
      <c r="F310" s="148"/>
      <c r="G310" s="148"/>
      <c r="H310" s="148"/>
    </row>
    <row r="311" ht="15.75" customHeight="1">
      <c r="A311" s="148"/>
      <c r="B311" s="148"/>
      <c r="C311" s="148"/>
      <c r="D311" s="148"/>
      <c r="E311" s="148"/>
      <c r="F311" s="148"/>
      <c r="G311" s="148"/>
      <c r="H311" s="148"/>
    </row>
    <row r="312" ht="15.75" customHeight="1">
      <c r="A312" s="148"/>
      <c r="B312" s="148"/>
      <c r="C312" s="148"/>
      <c r="D312" s="148"/>
      <c r="E312" s="148"/>
      <c r="F312" s="148"/>
      <c r="G312" s="148"/>
      <c r="H312" s="148"/>
    </row>
    <row r="313" ht="15.75" customHeight="1">
      <c r="A313" s="148"/>
      <c r="B313" s="148"/>
      <c r="C313" s="148"/>
      <c r="D313" s="148"/>
      <c r="E313" s="148"/>
      <c r="F313" s="148"/>
      <c r="G313" s="148"/>
      <c r="H313" s="148"/>
    </row>
    <row r="314" ht="15.75" customHeight="1">
      <c r="A314" s="148"/>
      <c r="B314" s="148"/>
      <c r="C314" s="148"/>
      <c r="D314" s="148"/>
      <c r="E314" s="148"/>
      <c r="F314" s="148"/>
      <c r="G314" s="148"/>
      <c r="H314" s="148"/>
    </row>
    <row r="315" ht="15.75" customHeight="1">
      <c r="A315" s="148"/>
      <c r="B315" s="148"/>
      <c r="C315" s="148"/>
      <c r="D315" s="148"/>
      <c r="E315" s="148"/>
      <c r="F315" s="148"/>
      <c r="G315" s="148"/>
      <c r="H315" s="148"/>
    </row>
    <row r="316" ht="15.75" customHeight="1">
      <c r="A316" s="148"/>
      <c r="B316" s="148"/>
      <c r="C316" s="148"/>
      <c r="D316" s="148"/>
      <c r="E316" s="148"/>
      <c r="F316" s="148"/>
      <c r="G316" s="148"/>
      <c r="H316" s="148"/>
    </row>
    <row r="317" ht="15.75" customHeight="1">
      <c r="A317" s="148"/>
      <c r="B317" s="148"/>
      <c r="C317" s="148"/>
      <c r="D317" s="148"/>
      <c r="E317" s="148"/>
      <c r="F317" s="148"/>
      <c r="G317" s="148"/>
      <c r="H317" s="148"/>
    </row>
    <row r="318" ht="15.75" customHeight="1">
      <c r="A318" s="148"/>
      <c r="B318" s="148"/>
      <c r="C318" s="148"/>
      <c r="D318" s="148"/>
      <c r="E318" s="148"/>
      <c r="F318" s="148"/>
      <c r="G318" s="148"/>
      <c r="H318" s="148"/>
    </row>
    <row r="319" ht="15.75" customHeight="1">
      <c r="A319" s="148"/>
      <c r="B319" s="148"/>
      <c r="C319" s="148"/>
      <c r="D319" s="148"/>
      <c r="E319" s="148"/>
      <c r="F319" s="148"/>
      <c r="G319" s="148"/>
      <c r="H319" s="148"/>
    </row>
    <row r="320" ht="15.75" customHeight="1">
      <c r="A320" s="148"/>
      <c r="B320" s="148"/>
      <c r="C320" s="148"/>
      <c r="D320" s="148"/>
      <c r="E320" s="148"/>
      <c r="F320" s="148"/>
      <c r="G320" s="148"/>
      <c r="H320" s="148"/>
    </row>
    <row r="321" ht="15.75" customHeight="1">
      <c r="A321" s="148"/>
      <c r="B321" s="148"/>
      <c r="C321" s="148"/>
      <c r="D321" s="148"/>
      <c r="E321" s="148"/>
      <c r="F321" s="148"/>
      <c r="G321" s="148"/>
      <c r="H321" s="148"/>
    </row>
    <row r="322" ht="15.75" customHeight="1">
      <c r="A322" s="148"/>
      <c r="B322" s="148"/>
      <c r="C322" s="148"/>
      <c r="D322" s="148"/>
      <c r="E322" s="148"/>
      <c r="F322" s="148"/>
      <c r="G322" s="148"/>
      <c r="H322" s="148"/>
    </row>
    <row r="323" ht="15.75" customHeight="1">
      <c r="A323" s="148"/>
      <c r="B323" s="148"/>
      <c r="C323" s="148"/>
      <c r="D323" s="148"/>
      <c r="E323" s="148"/>
      <c r="F323" s="148"/>
      <c r="G323" s="148"/>
      <c r="H323" s="148"/>
    </row>
    <row r="324" ht="15.75" customHeight="1">
      <c r="A324" s="148"/>
      <c r="B324" s="148"/>
      <c r="C324" s="148"/>
      <c r="D324" s="148"/>
      <c r="E324" s="148"/>
      <c r="F324" s="148"/>
      <c r="G324" s="148"/>
      <c r="H324" s="148"/>
    </row>
    <row r="325" ht="15.75" customHeight="1">
      <c r="A325" s="148"/>
      <c r="B325" s="148"/>
      <c r="C325" s="148"/>
      <c r="D325" s="148"/>
      <c r="E325" s="148"/>
      <c r="F325" s="148"/>
      <c r="G325" s="148"/>
      <c r="H325" s="148"/>
    </row>
    <row r="326" ht="15.75" customHeight="1">
      <c r="A326" s="148"/>
      <c r="B326" s="148"/>
      <c r="C326" s="148"/>
      <c r="D326" s="148"/>
      <c r="E326" s="148"/>
      <c r="F326" s="148"/>
      <c r="G326" s="148"/>
      <c r="H326" s="148"/>
    </row>
    <row r="327" ht="15.75" customHeight="1">
      <c r="A327" s="148"/>
      <c r="B327" s="148"/>
      <c r="C327" s="148"/>
      <c r="D327" s="148"/>
      <c r="E327" s="148"/>
      <c r="F327" s="148"/>
      <c r="G327" s="148"/>
      <c r="H327" s="148"/>
    </row>
    <row r="328" ht="15.75" customHeight="1">
      <c r="A328" s="148"/>
      <c r="B328" s="148"/>
      <c r="C328" s="148"/>
      <c r="D328" s="148"/>
      <c r="E328" s="148"/>
      <c r="F328" s="148"/>
      <c r="G328" s="148"/>
      <c r="H328" s="148"/>
    </row>
    <row r="329" ht="15.75" customHeight="1">
      <c r="A329" s="148"/>
      <c r="B329" s="148"/>
      <c r="C329" s="148"/>
      <c r="D329" s="148"/>
      <c r="E329" s="148"/>
      <c r="F329" s="148"/>
      <c r="G329" s="148"/>
      <c r="H329" s="148"/>
    </row>
    <row r="330" ht="15.75" customHeight="1">
      <c r="A330" s="148"/>
      <c r="B330" s="148"/>
      <c r="C330" s="148"/>
      <c r="D330" s="148"/>
      <c r="E330" s="148"/>
      <c r="F330" s="148"/>
      <c r="G330" s="148"/>
      <c r="H330" s="148"/>
    </row>
    <row r="331" ht="15.75" customHeight="1">
      <c r="A331" s="148"/>
      <c r="B331" s="148"/>
      <c r="C331" s="148"/>
      <c r="D331" s="148"/>
      <c r="E331" s="148"/>
      <c r="F331" s="148"/>
      <c r="G331" s="148"/>
      <c r="H331" s="148"/>
    </row>
    <row r="332" ht="15.75" customHeight="1">
      <c r="A332" s="148"/>
      <c r="B332" s="148"/>
      <c r="C332" s="148"/>
      <c r="D332" s="148"/>
      <c r="E332" s="148"/>
      <c r="F332" s="148"/>
      <c r="G332" s="148"/>
      <c r="H332" s="148"/>
    </row>
    <row r="333" ht="15.75" customHeight="1">
      <c r="A333" s="148"/>
      <c r="B333" s="148"/>
      <c r="C333" s="148"/>
      <c r="D333" s="148"/>
      <c r="E333" s="148"/>
      <c r="F333" s="148"/>
      <c r="G333" s="148"/>
      <c r="H333" s="148"/>
    </row>
    <row r="334" ht="15.75" customHeight="1">
      <c r="A334" s="148"/>
      <c r="B334" s="148"/>
      <c r="C334" s="148"/>
      <c r="D334" s="148"/>
      <c r="E334" s="148"/>
      <c r="F334" s="148"/>
      <c r="G334" s="148"/>
      <c r="H334" s="148"/>
    </row>
    <row r="335" ht="15.75" customHeight="1">
      <c r="A335" s="148"/>
      <c r="B335" s="148"/>
      <c r="C335" s="148"/>
      <c r="D335" s="148"/>
      <c r="E335" s="148"/>
      <c r="F335" s="148"/>
      <c r="G335" s="148"/>
      <c r="H335" s="148"/>
    </row>
    <row r="336" ht="15.75" customHeight="1">
      <c r="A336" s="148"/>
      <c r="B336" s="148"/>
      <c r="C336" s="148"/>
      <c r="D336" s="148"/>
      <c r="E336" s="148"/>
      <c r="F336" s="148"/>
      <c r="G336" s="148"/>
      <c r="H336" s="148"/>
    </row>
    <row r="337" ht="15.75" customHeight="1">
      <c r="A337" s="148"/>
      <c r="B337" s="148"/>
      <c r="C337" s="148"/>
      <c r="D337" s="148"/>
      <c r="E337" s="148"/>
      <c r="F337" s="148"/>
      <c r="G337" s="148"/>
      <c r="H337" s="148"/>
    </row>
    <row r="338" ht="15.75" customHeight="1">
      <c r="A338" s="148"/>
      <c r="B338" s="148"/>
      <c r="C338" s="148"/>
      <c r="D338" s="148"/>
      <c r="E338" s="148"/>
      <c r="F338" s="148"/>
      <c r="G338" s="148"/>
      <c r="H338" s="148"/>
    </row>
    <row r="339" ht="15.75" customHeight="1">
      <c r="A339" s="148"/>
      <c r="B339" s="148"/>
      <c r="C339" s="148"/>
      <c r="D339" s="148"/>
      <c r="E339" s="148"/>
      <c r="F339" s="148"/>
      <c r="G339" s="148"/>
      <c r="H339" s="148"/>
    </row>
    <row r="340" ht="15.75" customHeight="1">
      <c r="A340" s="148"/>
      <c r="B340" s="148"/>
      <c r="C340" s="148"/>
      <c r="D340" s="148"/>
      <c r="E340" s="148"/>
      <c r="F340" s="148"/>
      <c r="G340" s="148"/>
      <c r="H340" s="148"/>
    </row>
    <row r="341" ht="15.75" customHeight="1">
      <c r="A341" s="148"/>
      <c r="B341" s="148"/>
      <c r="C341" s="148"/>
      <c r="D341" s="148"/>
      <c r="E341" s="148"/>
      <c r="F341" s="148"/>
      <c r="G341" s="148"/>
      <c r="H341" s="148"/>
    </row>
    <row r="342" ht="15.75" customHeight="1">
      <c r="A342" s="148"/>
      <c r="B342" s="148"/>
      <c r="C342" s="148"/>
      <c r="D342" s="148"/>
      <c r="E342" s="148"/>
      <c r="F342" s="148"/>
      <c r="G342" s="148"/>
      <c r="H342" s="148"/>
    </row>
    <row r="343" ht="15.75" customHeight="1">
      <c r="A343" s="148"/>
      <c r="B343" s="148"/>
      <c r="C343" s="148"/>
      <c r="D343" s="148"/>
      <c r="E343" s="148"/>
      <c r="F343" s="148"/>
      <c r="G343" s="148"/>
      <c r="H343" s="148"/>
    </row>
    <row r="344" ht="15.75" customHeight="1">
      <c r="A344" s="148"/>
      <c r="B344" s="148"/>
      <c r="C344" s="148"/>
      <c r="D344" s="148"/>
      <c r="E344" s="148"/>
      <c r="F344" s="148"/>
      <c r="G344" s="148"/>
      <c r="H344" s="148"/>
    </row>
    <row r="345" ht="15.75" customHeight="1">
      <c r="A345" s="148"/>
      <c r="B345" s="148"/>
      <c r="C345" s="148"/>
      <c r="D345" s="148"/>
      <c r="E345" s="148"/>
      <c r="F345" s="148"/>
      <c r="G345" s="148"/>
      <c r="H345" s="148"/>
    </row>
    <row r="346" ht="15.75" customHeight="1">
      <c r="A346" s="148"/>
      <c r="B346" s="148"/>
      <c r="C346" s="148"/>
      <c r="D346" s="148"/>
      <c r="E346" s="148"/>
      <c r="F346" s="148"/>
      <c r="G346" s="148"/>
      <c r="H346" s="148"/>
    </row>
    <row r="347" ht="15.75" customHeight="1">
      <c r="A347" s="148"/>
      <c r="B347" s="148"/>
      <c r="C347" s="148"/>
      <c r="D347" s="148"/>
      <c r="E347" s="148"/>
      <c r="F347" s="148"/>
      <c r="G347" s="148"/>
      <c r="H347" s="148"/>
    </row>
    <row r="348" ht="15.75" customHeight="1">
      <c r="A348" s="148"/>
      <c r="B348" s="148"/>
      <c r="C348" s="148"/>
      <c r="D348" s="148"/>
      <c r="E348" s="148"/>
      <c r="F348" s="148"/>
      <c r="G348" s="148"/>
      <c r="H348" s="148"/>
    </row>
    <row r="349" ht="15.75" customHeight="1">
      <c r="A349" s="148"/>
      <c r="B349" s="148"/>
      <c r="C349" s="148"/>
      <c r="D349" s="148"/>
      <c r="E349" s="148"/>
      <c r="F349" s="148"/>
      <c r="G349" s="148"/>
      <c r="H349" s="148"/>
    </row>
    <row r="350" ht="15.75" customHeight="1">
      <c r="A350" s="148"/>
      <c r="B350" s="148"/>
      <c r="C350" s="148"/>
      <c r="D350" s="148"/>
      <c r="E350" s="148"/>
      <c r="F350" s="148"/>
      <c r="G350" s="148"/>
      <c r="H350" s="148"/>
    </row>
    <row r="351" ht="15.75" customHeight="1">
      <c r="A351" s="148"/>
      <c r="B351" s="148"/>
      <c r="C351" s="148"/>
      <c r="D351" s="148"/>
      <c r="E351" s="148"/>
      <c r="F351" s="148"/>
      <c r="G351" s="148"/>
      <c r="H351" s="148"/>
    </row>
    <row r="352" ht="15.75" customHeight="1">
      <c r="A352" s="148"/>
      <c r="B352" s="148"/>
      <c r="C352" s="148"/>
      <c r="D352" s="148"/>
      <c r="E352" s="148"/>
      <c r="F352" s="148"/>
      <c r="G352" s="148"/>
      <c r="H352" s="148"/>
    </row>
    <row r="353" ht="15.75" customHeight="1">
      <c r="A353" s="148"/>
      <c r="B353" s="148"/>
      <c r="C353" s="148"/>
      <c r="D353" s="148"/>
      <c r="E353" s="148"/>
      <c r="F353" s="148"/>
      <c r="G353" s="148"/>
      <c r="H353" s="148"/>
    </row>
    <row r="354" ht="15.75" customHeight="1">
      <c r="A354" s="148"/>
      <c r="B354" s="148"/>
      <c r="C354" s="148"/>
      <c r="D354" s="148"/>
      <c r="E354" s="148"/>
      <c r="F354" s="148"/>
      <c r="G354" s="148"/>
      <c r="H354" s="148"/>
    </row>
    <row r="355" ht="15.75" customHeight="1">
      <c r="A355" s="148"/>
      <c r="B355" s="148"/>
      <c r="C355" s="148"/>
      <c r="D355" s="148"/>
      <c r="E355" s="148"/>
      <c r="F355" s="148"/>
      <c r="G355" s="148"/>
      <c r="H355" s="148"/>
    </row>
    <row r="356" ht="15.75" customHeight="1">
      <c r="A356" s="148"/>
      <c r="B356" s="148"/>
      <c r="C356" s="148"/>
      <c r="D356" s="148"/>
      <c r="E356" s="148"/>
      <c r="F356" s="148"/>
      <c r="G356" s="148"/>
      <c r="H356" s="148"/>
    </row>
    <row r="357" ht="15.75" customHeight="1">
      <c r="A357" s="148"/>
      <c r="B357" s="148"/>
      <c r="C357" s="148"/>
      <c r="D357" s="148"/>
      <c r="E357" s="148"/>
      <c r="F357" s="148"/>
      <c r="G357" s="148"/>
      <c r="H357" s="148"/>
    </row>
    <row r="358" ht="15.75" customHeight="1">
      <c r="A358" s="148"/>
      <c r="B358" s="148"/>
      <c r="C358" s="148"/>
      <c r="D358" s="148"/>
      <c r="E358" s="148"/>
      <c r="F358" s="148"/>
      <c r="G358" s="148"/>
      <c r="H358" s="148"/>
    </row>
    <row r="359" ht="15.75" customHeight="1">
      <c r="A359" s="148"/>
      <c r="B359" s="148"/>
      <c r="C359" s="148"/>
      <c r="D359" s="148"/>
      <c r="E359" s="148"/>
      <c r="F359" s="148"/>
      <c r="G359" s="148"/>
      <c r="H359" s="148"/>
    </row>
    <row r="360" ht="15.75" customHeight="1">
      <c r="A360" s="148"/>
      <c r="B360" s="148"/>
      <c r="C360" s="148"/>
      <c r="D360" s="148"/>
      <c r="E360" s="148"/>
      <c r="F360" s="148"/>
      <c r="G360" s="148"/>
      <c r="H360" s="148"/>
    </row>
    <row r="361" ht="15.75" customHeight="1">
      <c r="A361" s="148"/>
      <c r="B361" s="148"/>
      <c r="C361" s="148"/>
      <c r="D361" s="148"/>
      <c r="E361" s="148"/>
      <c r="F361" s="148"/>
      <c r="G361" s="148"/>
      <c r="H361" s="148"/>
    </row>
    <row r="362" ht="15.75" customHeight="1">
      <c r="A362" s="148"/>
      <c r="B362" s="148"/>
      <c r="C362" s="148"/>
      <c r="D362" s="148"/>
      <c r="E362" s="148"/>
      <c r="F362" s="148"/>
      <c r="G362" s="148"/>
      <c r="H362" s="148"/>
    </row>
    <row r="363" ht="15.75" customHeight="1">
      <c r="A363" s="148"/>
      <c r="B363" s="148"/>
      <c r="C363" s="148"/>
      <c r="D363" s="148"/>
      <c r="E363" s="148"/>
      <c r="F363" s="148"/>
      <c r="G363" s="148"/>
      <c r="H363" s="148"/>
    </row>
    <row r="364" ht="15.75" customHeight="1">
      <c r="A364" s="148"/>
      <c r="B364" s="148"/>
      <c r="C364" s="148"/>
      <c r="D364" s="148"/>
      <c r="E364" s="148"/>
      <c r="F364" s="148"/>
      <c r="G364" s="148"/>
      <c r="H364" s="148"/>
    </row>
    <row r="365" ht="15.75" customHeight="1">
      <c r="A365" s="148"/>
      <c r="B365" s="148"/>
      <c r="C365" s="148"/>
      <c r="D365" s="148"/>
      <c r="E365" s="148"/>
      <c r="F365" s="148"/>
      <c r="G365" s="148"/>
      <c r="H365" s="148"/>
    </row>
    <row r="366" ht="15.75" customHeight="1">
      <c r="A366" s="148"/>
      <c r="B366" s="148"/>
      <c r="C366" s="148"/>
      <c r="D366" s="148"/>
      <c r="E366" s="148"/>
      <c r="F366" s="148"/>
      <c r="G366" s="148"/>
      <c r="H366" s="148"/>
    </row>
    <row r="367" ht="15.75" customHeight="1">
      <c r="A367" s="148"/>
      <c r="B367" s="148"/>
      <c r="C367" s="148"/>
      <c r="D367" s="148"/>
      <c r="E367" s="148"/>
      <c r="F367" s="148"/>
      <c r="G367" s="148"/>
      <c r="H367" s="148"/>
    </row>
    <row r="368" ht="15.75" customHeight="1">
      <c r="A368" s="148"/>
      <c r="B368" s="148"/>
      <c r="C368" s="148"/>
      <c r="D368" s="148"/>
      <c r="E368" s="148"/>
      <c r="F368" s="148"/>
      <c r="G368" s="148"/>
      <c r="H368" s="148"/>
    </row>
    <row r="369" ht="15.75" customHeight="1">
      <c r="A369" s="148"/>
      <c r="B369" s="148"/>
      <c r="C369" s="148"/>
      <c r="D369" s="148"/>
      <c r="E369" s="148"/>
      <c r="F369" s="148"/>
      <c r="G369" s="148"/>
      <c r="H369" s="148"/>
    </row>
    <row r="370" ht="15.75" customHeight="1">
      <c r="A370" s="148"/>
      <c r="B370" s="148"/>
      <c r="C370" s="148"/>
      <c r="D370" s="148"/>
      <c r="E370" s="148"/>
      <c r="F370" s="148"/>
      <c r="G370" s="148"/>
      <c r="H370" s="148"/>
    </row>
    <row r="371" ht="15.75" customHeight="1">
      <c r="A371" s="148"/>
      <c r="B371" s="148"/>
      <c r="C371" s="148"/>
      <c r="D371" s="148"/>
      <c r="E371" s="148"/>
      <c r="F371" s="148"/>
      <c r="G371" s="148"/>
      <c r="H371" s="148"/>
    </row>
    <row r="372" ht="15.75" customHeight="1">
      <c r="A372" s="148"/>
      <c r="B372" s="148"/>
      <c r="C372" s="148"/>
      <c r="D372" s="148"/>
      <c r="E372" s="148"/>
      <c r="F372" s="148"/>
      <c r="G372" s="148"/>
      <c r="H372" s="148"/>
    </row>
    <row r="373" ht="15.75" customHeight="1">
      <c r="A373" s="148"/>
      <c r="B373" s="148"/>
      <c r="C373" s="148"/>
      <c r="D373" s="148"/>
      <c r="E373" s="148"/>
      <c r="F373" s="148"/>
      <c r="G373" s="148"/>
      <c r="H373" s="148"/>
    </row>
    <row r="374" ht="15.75" customHeight="1">
      <c r="A374" s="148"/>
      <c r="B374" s="148"/>
      <c r="C374" s="148"/>
      <c r="D374" s="148"/>
      <c r="E374" s="148"/>
      <c r="F374" s="148"/>
      <c r="G374" s="148"/>
      <c r="H374" s="148"/>
    </row>
    <row r="375" ht="15.75" customHeight="1">
      <c r="A375" s="148"/>
      <c r="B375" s="148"/>
      <c r="C375" s="148"/>
      <c r="D375" s="148"/>
      <c r="E375" s="148"/>
      <c r="F375" s="148"/>
      <c r="G375" s="148"/>
      <c r="H375" s="148"/>
    </row>
    <row r="376" ht="15.75" customHeight="1">
      <c r="A376" s="148"/>
      <c r="B376" s="148"/>
      <c r="C376" s="148"/>
      <c r="D376" s="148"/>
      <c r="E376" s="148"/>
      <c r="F376" s="148"/>
      <c r="G376" s="148"/>
      <c r="H376" s="148"/>
    </row>
    <row r="377" ht="15.75" customHeight="1">
      <c r="A377" s="148"/>
      <c r="B377" s="148"/>
      <c r="C377" s="148"/>
      <c r="D377" s="148"/>
      <c r="E377" s="148"/>
      <c r="F377" s="148"/>
      <c r="G377" s="148"/>
      <c r="H377" s="148"/>
    </row>
    <row r="378" ht="15.75" customHeight="1">
      <c r="A378" s="148"/>
      <c r="B378" s="148"/>
      <c r="C378" s="148"/>
      <c r="D378" s="148"/>
      <c r="E378" s="148"/>
      <c r="F378" s="148"/>
      <c r="G378" s="148"/>
      <c r="H378" s="148"/>
    </row>
    <row r="379" ht="15.75" customHeight="1">
      <c r="A379" s="148"/>
      <c r="B379" s="148"/>
      <c r="C379" s="148"/>
      <c r="D379" s="148"/>
      <c r="E379" s="148"/>
      <c r="F379" s="148"/>
      <c r="G379" s="148"/>
      <c r="H379" s="148"/>
    </row>
    <row r="380" ht="15.75" customHeight="1">
      <c r="A380" s="148"/>
      <c r="B380" s="148"/>
      <c r="C380" s="148"/>
      <c r="D380" s="148"/>
      <c r="E380" s="148"/>
      <c r="F380" s="148"/>
      <c r="G380" s="148"/>
      <c r="H380" s="148"/>
    </row>
    <row r="381" ht="15.75" customHeight="1">
      <c r="A381" s="148"/>
      <c r="B381" s="148"/>
      <c r="C381" s="148"/>
      <c r="D381" s="148"/>
      <c r="E381" s="148"/>
      <c r="F381" s="148"/>
      <c r="G381" s="148"/>
      <c r="H381" s="148"/>
    </row>
    <row r="382" ht="15.75" customHeight="1">
      <c r="A382" s="148"/>
      <c r="B382" s="148"/>
      <c r="C382" s="148"/>
      <c r="D382" s="148"/>
      <c r="E382" s="148"/>
      <c r="F382" s="148"/>
      <c r="G382" s="148"/>
      <c r="H382" s="148"/>
    </row>
    <row r="383" ht="15.75" customHeight="1">
      <c r="A383" s="148"/>
      <c r="B383" s="148"/>
      <c r="C383" s="148"/>
      <c r="D383" s="148"/>
      <c r="E383" s="148"/>
      <c r="F383" s="148"/>
      <c r="G383" s="148"/>
      <c r="H383" s="148"/>
    </row>
    <row r="384" ht="15.75" customHeight="1">
      <c r="A384" s="148"/>
      <c r="B384" s="148"/>
      <c r="C384" s="148"/>
      <c r="D384" s="148"/>
      <c r="E384" s="148"/>
      <c r="F384" s="148"/>
      <c r="G384" s="148"/>
      <c r="H384" s="148"/>
    </row>
    <row r="385" ht="15.75" customHeight="1">
      <c r="A385" s="148"/>
      <c r="B385" s="148"/>
      <c r="C385" s="148"/>
      <c r="D385" s="148"/>
      <c r="E385" s="148"/>
      <c r="F385" s="148"/>
      <c r="G385" s="148"/>
      <c r="H385" s="148"/>
    </row>
    <row r="386" ht="15.75" customHeight="1">
      <c r="A386" s="148"/>
      <c r="B386" s="148"/>
      <c r="C386" s="148"/>
      <c r="D386" s="148"/>
      <c r="E386" s="148"/>
      <c r="F386" s="148"/>
      <c r="G386" s="148"/>
      <c r="H386" s="148"/>
    </row>
    <row r="387" ht="15.75" customHeight="1">
      <c r="A387" s="148"/>
      <c r="B387" s="148"/>
      <c r="C387" s="148"/>
      <c r="D387" s="148"/>
      <c r="E387" s="148"/>
      <c r="F387" s="148"/>
      <c r="G387" s="148"/>
      <c r="H387" s="148"/>
    </row>
    <row r="388" ht="15.75" customHeight="1">
      <c r="A388" s="148"/>
      <c r="B388" s="148"/>
      <c r="C388" s="148"/>
      <c r="D388" s="148"/>
      <c r="E388" s="148"/>
      <c r="F388" s="148"/>
      <c r="G388" s="148"/>
      <c r="H388" s="148"/>
    </row>
    <row r="389" ht="15.75" customHeight="1">
      <c r="A389" s="148"/>
      <c r="B389" s="148"/>
      <c r="C389" s="148"/>
      <c r="D389" s="148"/>
      <c r="E389" s="148"/>
      <c r="F389" s="148"/>
      <c r="G389" s="148"/>
      <c r="H389" s="148"/>
    </row>
    <row r="390" ht="15.75" customHeight="1">
      <c r="A390" s="148"/>
      <c r="B390" s="148"/>
      <c r="C390" s="148"/>
      <c r="D390" s="148"/>
      <c r="E390" s="148"/>
      <c r="F390" s="148"/>
      <c r="G390" s="148"/>
      <c r="H390" s="148"/>
    </row>
    <row r="391" ht="15.75" customHeight="1">
      <c r="A391" s="148"/>
      <c r="B391" s="148"/>
      <c r="C391" s="148"/>
      <c r="D391" s="148"/>
      <c r="E391" s="148"/>
      <c r="F391" s="148"/>
      <c r="G391" s="148"/>
      <c r="H391" s="148"/>
    </row>
    <row r="392" ht="15.75" customHeight="1">
      <c r="A392" s="148"/>
      <c r="B392" s="148"/>
      <c r="C392" s="148"/>
      <c r="D392" s="148"/>
      <c r="E392" s="148"/>
      <c r="F392" s="148"/>
      <c r="G392" s="148"/>
      <c r="H392" s="148"/>
    </row>
    <row r="393" ht="15.75" customHeight="1">
      <c r="A393" s="148"/>
      <c r="B393" s="148"/>
      <c r="C393" s="148"/>
      <c r="D393" s="148"/>
      <c r="E393" s="148"/>
      <c r="F393" s="148"/>
      <c r="G393" s="148"/>
      <c r="H393" s="148"/>
    </row>
    <row r="394" ht="15.75" customHeight="1">
      <c r="A394" s="148"/>
      <c r="B394" s="148"/>
      <c r="C394" s="148"/>
      <c r="D394" s="148"/>
      <c r="E394" s="148"/>
      <c r="F394" s="148"/>
      <c r="G394" s="148"/>
      <c r="H394" s="148"/>
    </row>
    <row r="395" ht="15.75" customHeight="1">
      <c r="A395" s="148"/>
      <c r="B395" s="148"/>
      <c r="C395" s="148"/>
      <c r="D395" s="148"/>
      <c r="E395" s="148"/>
      <c r="F395" s="148"/>
      <c r="G395" s="148"/>
      <c r="H395" s="148"/>
    </row>
    <row r="396" ht="15.75" customHeight="1">
      <c r="A396" s="148"/>
      <c r="B396" s="148"/>
      <c r="C396" s="148"/>
      <c r="D396" s="148"/>
      <c r="E396" s="148"/>
      <c r="F396" s="148"/>
      <c r="G396" s="148"/>
      <c r="H396" s="148"/>
    </row>
    <row r="397" ht="15.75" customHeight="1">
      <c r="A397" s="148"/>
      <c r="B397" s="148"/>
      <c r="C397" s="148"/>
      <c r="D397" s="148"/>
      <c r="E397" s="148"/>
      <c r="F397" s="148"/>
      <c r="G397" s="148"/>
      <c r="H397" s="148"/>
    </row>
    <row r="398" ht="15.75" customHeight="1">
      <c r="A398" s="148"/>
      <c r="B398" s="148"/>
      <c r="C398" s="148"/>
      <c r="D398" s="148"/>
      <c r="E398" s="148"/>
      <c r="F398" s="148"/>
      <c r="G398" s="148"/>
      <c r="H398" s="148"/>
    </row>
    <row r="399" ht="15.75" customHeight="1">
      <c r="A399" s="148"/>
      <c r="B399" s="148"/>
      <c r="C399" s="148"/>
      <c r="D399" s="148"/>
      <c r="E399" s="148"/>
      <c r="F399" s="148"/>
      <c r="G399" s="148"/>
      <c r="H399" s="148"/>
    </row>
    <row r="400" ht="15.75" customHeight="1">
      <c r="A400" s="148"/>
      <c r="B400" s="148"/>
      <c r="C400" s="148"/>
      <c r="D400" s="148"/>
      <c r="E400" s="148"/>
      <c r="F400" s="148"/>
      <c r="G400" s="148"/>
      <c r="H400" s="148"/>
    </row>
    <row r="401" ht="15.75" customHeight="1">
      <c r="A401" s="148"/>
      <c r="B401" s="148"/>
      <c r="C401" s="148"/>
      <c r="D401" s="148"/>
      <c r="E401" s="148"/>
      <c r="F401" s="148"/>
      <c r="G401" s="148"/>
      <c r="H401" s="148"/>
    </row>
    <row r="402" ht="15.75" customHeight="1">
      <c r="A402" s="148"/>
      <c r="B402" s="148"/>
      <c r="C402" s="148"/>
      <c r="D402" s="148"/>
      <c r="E402" s="148"/>
      <c r="F402" s="148"/>
      <c r="G402" s="148"/>
      <c r="H402" s="148"/>
    </row>
    <row r="403" ht="15.75" customHeight="1">
      <c r="A403" s="148"/>
      <c r="B403" s="148"/>
      <c r="C403" s="148"/>
      <c r="D403" s="148"/>
      <c r="E403" s="148"/>
      <c r="F403" s="148"/>
      <c r="G403" s="148"/>
      <c r="H403" s="148"/>
    </row>
    <row r="404" ht="15.75" customHeight="1">
      <c r="A404" s="148"/>
      <c r="B404" s="148"/>
      <c r="C404" s="148"/>
      <c r="D404" s="148"/>
      <c r="E404" s="148"/>
      <c r="F404" s="148"/>
      <c r="G404" s="148"/>
      <c r="H404" s="148"/>
    </row>
    <row r="405" ht="15.75" customHeight="1">
      <c r="A405" s="148"/>
      <c r="B405" s="148"/>
      <c r="C405" s="148"/>
      <c r="D405" s="148"/>
      <c r="E405" s="148"/>
      <c r="F405" s="148"/>
      <c r="G405" s="148"/>
      <c r="H405" s="148"/>
    </row>
    <row r="406" ht="15.75" customHeight="1">
      <c r="A406" s="148"/>
      <c r="B406" s="148"/>
      <c r="C406" s="148"/>
      <c r="D406" s="148"/>
      <c r="E406" s="148"/>
      <c r="F406" s="148"/>
      <c r="G406" s="148"/>
      <c r="H406" s="148"/>
    </row>
    <row r="407" ht="15.75" customHeight="1">
      <c r="A407" s="148"/>
      <c r="B407" s="148"/>
      <c r="C407" s="148"/>
      <c r="D407" s="148"/>
      <c r="E407" s="148"/>
      <c r="F407" s="148"/>
      <c r="G407" s="148"/>
      <c r="H407" s="148"/>
    </row>
    <row r="408" ht="15.75" customHeight="1">
      <c r="A408" s="148"/>
      <c r="B408" s="148"/>
      <c r="C408" s="148"/>
      <c r="D408" s="148"/>
      <c r="E408" s="148"/>
      <c r="F408" s="148"/>
      <c r="G408" s="148"/>
      <c r="H408" s="148"/>
    </row>
    <row r="409" ht="15.75" customHeight="1">
      <c r="A409" s="148"/>
      <c r="B409" s="148"/>
      <c r="C409" s="148"/>
      <c r="D409" s="148"/>
      <c r="E409" s="148"/>
      <c r="F409" s="148"/>
      <c r="G409" s="148"/>
      <c r="H409" s="148"/>
    </row>
    <row r="410" ht="15.75" customHeight="1">
      <c r="A410" s="148"/>
      <c r="B410" s="148"/>
      <c r="C410" s="148"/>
      <c r="D410" s="148"/>
      <c r="E410" s="148"/>
      <c r="F410" s="148"/>
      <c r="G410" s="148"/>
      <c r="H410" s="148"/>
    </row>
    <row r="411" ht="15.75" customHeight="1">
      <c r="A411" s="148"/>
      <c r="B411" s="148"/>
      <c r="C411" s="148"/>
      <c r="D411" s="148"/>
      <c r="E411" s="148"/>
      <c r="F411" s="148"/>
      <c r="G411" s="148"/>
      <c r="H411" s="148"/>
    </row>
    <row r="412" ht="15.75" customHeight="1">
      <c r="A412" s="148"/>
      <c r="B412" s="148"/>
      <c r="C412" s="148"/>
      <c r="D412" s="148"/>
      <c r="E412" s="148"/>
      <c r="F412" s="148"/>
      <c r="G412" s="148"/>
      <c r="H412" s="148"/>
    </row>
    <row r="413" ht="15.75" customHeight="1">
      <c r="A413" s="148"/>
      <c r="B413" s="148"/>
      <c r="C413" s="148"/>
      <c r="D413" s="148"/>
      <c r="E413" s="148"/>
      <c r="F413" s="148"/>
      <c r="G413" s="148"/>
      <c r="H413" s="148"/>
    </row>
    <row r="414" ht="15.75" customHeight="1">
      <c r="A414" s="148"/>
      <c r="B414" s="148"/>
      <c r="C414" s="148"/>
      <c r="D414" s="148"/>
      <c r="E414" s="148"/>
      <c r="F414" s="148"/>
      <c r="G414" s="148"/>
      <c r="H414" s="148"/>
    </row>
    <row r="415" ht="15.75" customHeight="1">
      <c r="A415" s="148"/>
      <c r="B415" s="148"/>
      <c r="C415" s="148"/>
      <c r="D415" s="148"/>
      <c r="E415" s="148"/>
      <c r="F415" s="148"/>
      <c r="G415" s="148"/>
      <c r="H415" s="148"/>
    </row>
    <row r="416" ht="15.75" customHeight="1">
      <c r="A416" s="148"/>
      <c r="B416" s="148"/>
      <c r="C416" s="148"/>
      <c r="D416" s="148"/>
      <c r="E416" s="148"/>
      <c r="F416" s="148"/>
      <c r="G416" s="148"/>
      <c r="H416" s="148"/>
    </row>
    <row r="417" ht="15.75" customHeight="1">
      <c r="A417" s="148"/>
      <c r="B417" s="148"/>
      <c r="C417" s="148"/>
      <c r="D417" s="148"/>
      <c r="E417" s="148"/>
      <c r="F417" s="148"/>
      <c r="G417" s="148"/>
      <c r="H417" s="148"/>
    </row>
    <row r="418" ht="15.75" customHeight="1">
      <c r="A418" s="148"/>
      <c r="B418" s="148"/>
      <c r="C418" s="148"/>
      <c r="D418" s="148"/>
      <c r="E418" s="148"/>
      <c r="F418" s="148"/>
      <c r="G418" s="148"/>
      <c r="H418" s="148"/>
    </row>
    <row r="419" ht="15.75" customHeight="1">
      <c r="A419" s="148"/>
      <c r="B419" s="148"/>
      <c r="C419" s="148"/>
      <c r="D419" s="148"/>
      <c r="E419" s="148"/>
      <c r="F419" s="148"/>
      <c r="G419" s="148"/>
      <c r="H419" s="148"/>
    </row>
    <row r="420" ht="15.75" customHeight="1">
      <c r="A420" s="148"/>
      <c r="B420" s="148"/>
      <c r="C420" s="148"/>
      <c r="D420" s="148"/>
      <c r="E420" s="148"/>
      <c r="F420" s="148"/>
      <c r="G420" s="148"/>
      <c r="H420" s="148"/>
    </row>
    <row r="421" ht="15.75" customHeight="1">
      <c r="A421" s="148"/>
      <c r="B421" s="148"/>
      <c r="C421" s="148"/>
      <c r="D421" s="148"/>
      <c r="E421" s="148"/>
      <c r="F421" s="148"/>
      <c r="G421" s="148"/>
      <c r="H421" s="148"/>
    </row>
    <row r="422" ht="15.75" customHeight="1">
      <c r="A422" s="148"/>
      <c r="B422" s="148"/>
      <c r="C422" s="148"/>
      <c r="D422" s="148"/>
      <c r="E422" s="148"/>
      <c r="F422" s="148"/>
      <c r="G422" s="148"/>
      <c r="H422" s="148"/>
    </row>
    <row r="423" ht="15.75" customHeight="1">
      <c r="A423" s="148"/>
      <c r="B423" s="148"/>
      <c r="C423" s="148"/>
      <c r="D423" s="148"/>
      <c r="E423" s="148"/>
      <c r="F423" s="148"/>
      <c r="G423" s="148"/>
      <c r="H423" s="148"/>
    </row>
    <row r="424" ht="15.75" customHeight="1">
      <c r="A424" s="148"/>
      <c r="B424" s="148"/>
      <c r="C424" s="148"/>
      <c r="D424" s="148"/>
      <c r="E424" s="148"/>
      <c r="F424" s="148"/>
      <c r="G424" s="148"/>
      <c r="H424" s="148"/>
    </row>
    <row r="425" ht="15.75" customHeight="1">
      <c r="A425" s="148"/>
      <c r="B425" s="148"/>
      <c r="C425" s="148"/>
      <c r="D425" s="148"/>
      <c r="E425" s="148"/>
      <c r="F425" s="148"/>
      <c r="G425" s="148"/>
      <c r="H425" s="148"/>
    </row>
    <row r="426" ht="15.75" customHeight="1">
      <c r="A426" s="148"/>
      <c r="B426" s="148"/>
      <c r="C426" s="148"/>
      <c r="D426" s="148"/>
      <c r="E426" s="148"/>
      <c r="F426" s="148"/>
      <c r="G426" s="148"/>
      <c r="H426" s="148"/>
    </row>
    <row r="427" ht="15.75" customHeight="1">
      <c r="A427" s="148"/>
      <c r="B427" s="148"/>
      <c r="C427" s="148"/>
      <c r="D427" s="148"/>
      <c r="E427" s="148"/>
      <c r="F427" s="148"/>
      <c r="G427" s="148"/>
      <c r="H427" s="148"/>
    </row>
    <row r="428" ht="15.75" customHeight="1">
      <c r="A428" s="148"/>
      <c r="B428" s="148"/>
      <c r="C428" s="148"/>
      <c r="D428" s="148"/>
      <c r="E428" s="148"/>
      <c r="F428" s="148"/>
      <c r="G428" s="148"/>
      <c r="H428" s="148"/>
    </row>
    <row r="429" ht="15.75" customHeight="1">
      <c r="A429" s="148"/>
      <c r="B429" s="148"/>
      <c r="C429" s="148"/>
      <c r="D429" s="148"/>
      <c r="E429" s="148"/>
      <c r="F429" s="148"/>
      <c r="G429" s="148"/>
      <c r="H429" s="148"/>
    </row>
    <row r="430" ht="15.75" customHeight="1">
      <c r="A430" s="148"/>
      <c r="B430" s="148"/>
      <c r="C430" s="148"/>
      <c r="D430" s="148"/>
      <c r="E430" s="148"/>
      <c r="F430" s="148"/>
      <c r="G430" s="148"/>
      <c r="H430" s="148"/>
    </row>
    <row r="431" ht="15.75" customHeight="1">
      <c r="A431" s="148"/>
      <c r="B431" s="148"/>
      <c r="C431" s="148"/>
      <c r="D431" s="148"/>
      <c r="E431" s="148"/>
      <c r="F431" s="148"/>
      <c r="G431" s="148"/>
      <c r="H431" s="148"/>
    </row>
    <row r="432" ht="15.75" customHeight="1">
      <c r="A432" s="148"/>
      <c r="B432" s="148"/>
      <c r="C432" s="148"/>
      <c r="D432" s="148"/>
      <c r="E432" s="148"/>
      <c r="F432" s="148"/>
      <c r="G432" s="148"/>
      <c r="H432" s="148"/>
    </row>
    <row r="433" ht="15.75" customHeight="1">
      <c r="A433" s="148"/>
      <c r="B433" s="148"/>
      <c r="C433" s="148"/>
      <c r="D433" s="148"/>
      <c r="E433" s="148"/>
      <c r="F433" s="148"/>
      <c r="G433" s="148"/>
      <c r="H433" s="148"/>
    </row>
    <row r="434" ht="15.75" customHeight="1">
      <c r="A434" s="148"/>
      <c r="B434" s="148"/>
      <c r="C434" s="148"/>
      <c r="D434" s="148"/>
      <c r="E434" s="148"/>
      <c r="F434" s="148"/>
      <c r="G434" s="148"/>
      <c r="H434" s="148"/>
    </row>
    <row r="435" ht="15.75" customHeight="1">
      <c r="A435" s="148"/>
      <c r="B435" s="148"/>
      <c r="C435" s="148"/>
      <c r="D435" s="148"/>
      <c r="E435" s="148"/>
      <c r="F435" s="148"/>
      <c r="G435" s="148"/>
      <c r="H435" s="148"/>
    </row>
    <row r="436" ht="15.75" customHeight="1">
      <c r="A436" s="148"/>
      <c r="B436" s="148"/>
      <c r="C436" s="148"/>
      <c r="D436" s="148"/>
      <c r="E436" s="148"/>
      <c r="F436" s="148"/>
      <c r="G436" s="148"/>
      <c r="H436" s="148"/>
    </row>
    <row r="437" ht="15.75" customHeight="1">
      <c r="A437" s="148"/>
      <c r="B437" s="148"/>
      <c r="C437" s="148"/>
      <c r="D437" s="148"/>
      <c r="E437" s="148"/>
      <c r="F437" s="148"/>
      <c r="G437" s="148"/>
      <c r="H437" s="148"/>
    </row>
    <row r="438" ht="15.75" customHeight="1">
      <c r="A438" s="148"/>
      <c r="B438" s="148"/>
      <c r="C438" s="148"/>
      <c r="D438" s="148"/>
      <c r="E438" s="148"/>
      <c r="F438" s="148"/>
      <c r="G438" s="148"/>
      <c r="H438" s="148"/>
    </row>
    <row r="439" ht="15.75" customHeight="1">
      <c r="A439" s="148"/>
      <c r="B439" s="148"/>
      <c r="C439" s="148"/>
      <c r="D439" s="148"/>
      <c r="E439" s="148"/>
      <c r="F439" s="148"/>
      <c r="G439" s="148"/>
      <c r="H439" s="148"/>
    </row>
    <row r="440" ht="15.75" customHeight="1">
      <c r="A440" s="148"/>
      <c r="B440" s="148"/>
      <c r="C440" s="148"/>
      <c r="D440" s="148"/>
      <c r="E440" s="148"/>
      <c r="F440" s="148"/>
      <c r="G440" s="148"/>
      <c r="H440" s="148"/>
    </row>
    <row r="441" ht="15.75" customHeight="1">
      <c r="A441" s="148"/>
      <c r="B441" s="148"/>
      <c r="C441" s="148"/>
      <c r="D441" s="148"/>
      <c r="E441" s="148"/>
      <c r="F441" s="148"/>
      <c r="G441" s="148"/>
      <c r="H441" s="148"/>
    </row>
    <row r="442" ht="15.75" customHeight="1">
      <c r="A442" s="148"/>
      <c r="B442" s="148"/>
      <c r="C442" s="148"/>
      <c r="D442" s="148"/>
      <c r="E442" s="148"/>
      <c r="F442" s="148"/>
      <c r="G442" s="148"/>
      <c r="H442" s="148"/>
    </row>
    <row r="443" ht="15.75" customHeight="1">
      <c r="A443" s="148"/>
      <c r="B443" s="148"/>
      <c r="C443" s="148"/>
      <c r="D443" s="148"/>
      <c r="E443" s="148"/>
      <c r="F443" s="148"/>
      <c r="G443" s="148"/>
      <c r="H443" s="148"/>
    </row>
    <row r="444" ht="15.75" customHeight="1">
      <c r="A444" s="148"/>
      <c r="B444" s="148"/>
      <c r="C444" s="148"/>
      <c r="D444" s="148"/>
      <c r="E444" s="148"/>
      <c r="F444" s="148"/>
      <c r="G444" s="148"/>
      <c r="H444" s="148"/>
    </row>
    <row r="445" ht="15.75" customHeight="1">
      <c r="A445" s="148"/>
      <c r="B445" s="148"/>
      <c r="C445" s="148"/>
      <c r="D445" s="148"/>
      <c r="E445" s="148"/>
      <c r="F445" s="148"/>
      <c r="G445" s="148"/>
      <c r="H445" s="148"/>
    </row>
    <row r="446" ht="15.75" customHeight="1">
      <c r="A446" s="148"/>
      <c r="B446" s="148"/>
      <c r="C446" s="148"/>
      <c r="D446" s="148"/>
      <c r="E446" s="148"/>
      <c r="F446" s="148"/>
      <c r="G446" s="148"/>
      <c r="H446" s="148"/>
    </row>
    <row r="447" ht="15.75" customHeight="1">
      <c r="A447" s="148"/>
      <c r="B447" s="148"/>
      <c r="C447" s="148"/>
      <c r="D447" s="148"/>
      <c r="E447" s="148"/>
      <c r="F447" s="148"/>
      <c r="G447" s="148"/>
      <c r="H447" s="148"/>
    </row>
    <row r="448" ht="15.75" customHeight="1">
      <c r="A448" s="148"/>
      <c r="B448" s="148"/>
      <c r="C448" s="148"/>
      <c r="D448" s="148"/>
      <c r="E448" s="148"/>
      <c r="F448" s="148"/>
      <c r="G448" s="148"/>
      <c r="H448" s="148"/>
    </row>
    <row r="449" ht="15.75" customHeight="1">
      <c r="A449" s="148"/>
      <c r="B449" s="148"/>
      <c r="C449" s="148"/>
      <c r="D449" s="148"/>
      <c r="E449" s="148"/>
      <c r="F449" s="148"/>
      <c r="G449" s="148"/>
      <c r="H449" s="148"/>
    </row>
    <row r="450" ht="15.75" customHeight="1">
      <c r="A450" s="148"/>
      <c r="B450" s="148"/>
      <c r="C450" s="148"/>
      <c r="D450" s="148"/>
      <c r="E450" s="148"/>
      <c r="F450" s="148"/>
      <c r="G450" s="148"/>
      <c r="H450" s="148"/>
    </row>
    <row r="451" ht="15.75" customHeight="1">
      <c r="A451" s="148"/>
      <c r="B451" s="148"/>
      <c r="C451" s="148"/>
      <c r="D451" s="148"/>
      <c r="E451" s="148"/>
      <c r="F451" s="148"/>
      <c r="G451" s="148"/>
      <c r="H451" s="148"/>
    </row>
    <row r="452" ht="15.75" customHeight="1">
      <c r="A452" s="148"/>
      <c r="B452" s="148"/>
      <c r="C452" s="148"/>
      <c r="D452" s="148"/>
      <c r="E452" s="148"/>
      <c r="F452" s="148"/>
      <c r="G452" s="148"/>
      <c r="H452" s="148"/>
    </row>
    <row r="453" ht="15.75" customHeight="1">
      <c r="A453" s="148"/>
      <c r="B453" s="148"/>
      <c r="C453" s="148"/>
      <c r="D453" s="148"/>
      <c r="E453" s="148"/>
      <c r="F453" s="148"/>
      <c r="G453" s="148"/>
      <c r="H453" s="148"/>
    </row>
    <row r="454" ht="15.75" customHeight="1">
      <c r="A454" s="148"/>
      <c r="B454" s="148"/>
      <c r="C454" s="148"/>
      <c r="D454" s="148"/>
      <c r="E454" s="148"/>
      <c r="F454" s="148"/>
      <c r="G454" s="148"/>
      <c r="H454" s="148"/>
    </row>
    <row r="455" ht="15.75" customHeight="1">
      <c r="A455" s="148"/>
      <c r="B455" s="148"/>
      <c r="C455" s="148"/>
      <c r="D455" s="148"/>
      <c r="E455" s="148"/>
      <c r="F455" s="148"/>
      <c r="G455" s="148"/>
      <c r="H455" s="148"/>
    </row>
    <row r="456" ht="15.75" customHeight="1">
      <c r="A456" s="148"/>
      <c r="B456" s="148"/>
      <c r="C456" s="148"/>
      <c r="D456" s="148"/>
      <c r="E456" s="148"/>
      <c r="F456" s="148"/>
      <c r="G456" s="148"/>
      <c r="H456" s="148"/>
    </row>
    <row r="457" ht="15.75" customHeight="1">
      <c r="A457" s="148"/>
      <c r="B457" s="148"/>
      <c r="C457" s="148"/>
      <c r="D457" s="148"/>
      <c r="E457" s="148"/>
      <c r="F457" s="148"/>
      <c r="G457" s="148"/>
      <c r="H457" s="148"/>
    </row>
    <row r="458" ht="15.75" customHeight="1">
      <c r="A458" s="148"/>
      <c r="B458" s="148"/>
      <c r="C458" s="148"/>
      <c r="D458" s="148"/>
      <c r="E458" s="148"/>
      <c r="F458" s="148"/>
      <c r="G458" s="148"/>
      <c r="H458" s="148"/>
    </row>
    <row r="459" ht="15.75" customHeight="1">
      <c r="A459" s="148"/>
      <c r="B459" s="148"/>
      <c r="C459" s="148"/>
      <c r="D459" s="148"/>
      <c r="E459" s="148"/>
      <c r="F459" s="148"/>
      <c r="G459" s="148"/>
      <c r="H459" s="148"/>
    </row>
    <row r="460" ht="15.75" customHeight="1">
      <c r="A460" s="148"/>
      <c r="B460" s="148"/>
      <c r="C460" s="148"/>
      <c r="D460" s="148"/>
      <c r="E460" s="148"/>
      <c r="F460" s="148"/>
      <c r="G460" s="148"/>
      <c r="H460" s="148"/>
    </row>
    <row r="461" ht="15.75" customHeight="1">
      <c r="A461" s="148"/>
      <c r="B461" s="148"/>
      <c r="C461" s="148"/>
      <c r="D461" s="148"/>
      <c r="E461" s="148"/>
      <c r="F461" s="148"/>
      <c r="G461" s="148"/>
      <c r="H461" s="148"/>
    </row>
    <row r="462" ht="15.75" customHeight="1">
      <c r="A462" s="148"/>
      <c r="B462" s="148"/>
      <c r="C462" s="148"/>
      <c r="D462" s="148"/>
      <c r="E462" s="148"/>
      <c r="F462" s="148"/>
      <c r="G462" s="148"/>
      <c r="H462" s="148"/>
    </row>
    <row r="463" ht="15.75" customHeight="1">
      <c r="A463" s="148"/>
      <c r="B463" s="148"/>
      <c r="C463" s="148"/>
      <c r="D463" s="148"/>
      <c r="E463" s="148"/>
      <c r="F463" s="148"/>
      <c r="G463" s="148"/>
      <c r="H463" s="148"/>
    </row>
    <row r="464" ht="15.75" customHeight="1">
      <c r="A464" s="148"/>
      <c r="B464" s="148"/>
      <c r="C464" s="148"/>
      <c r="D464" s="148"/>
      <c r="E464" s="148"/>
      <c r="F464" s="148"/>
      <c r="G464" s="148"/>
      <c r="H464" s="148"/>
    </row>
    <row r="465" ht="15.75" customHeight="1">
      <c r="A465" s="148"/>
      <c r="B465" s="148"/>
      <c r="C465" s="148"/>
      <c r="D465" s="148"/>
      <c r="E465" s="148"/>
      <c r="F465" s="148"/>
      <c r="G465" s="148"/>
      <c r="H465" s="148"/>
    </row>
    <row r="466" ht="15.75" customHeight="1">
      <c r="A466" s="148"/>
      <c r="B466" s="148"/>
      <c r="C466" s="148"/>
      <c r="D466" s="148"/>
      <c r="E466" s="148"/>
      <c r="F466" s="148"/>
      <c r="G466" s="148"/>
      <c r="H466" s="148"/>
    </row>
    <row r="467" ht="15.75" customHeight="1">
      <c r="A467" s="148"/>
      <c r="B467" s="148"/>
      <c r="C467" s="148"/>
      <c r="D467" s="148"/>
      <c r="E467" s="148"/>
      <c r="F467" s="148"/>
      <c r="G467" s="148"/>
      <c r="H467" s="148"/>
    </row>
    <row r="468" ht="15.75" customHeight="1">
      <c r="A468" s="148"/>
      <c r="B468" s="148"/>
      <c r="C468" s="148"/>
      <c r="D468" s="148"/>
      <c r="E468" s="148"/>
      <c r="F468" s="148"/>
      <c r="G468" s="148"/>
      <c r="H468" s="148"/>
    </row>
    <row r="469" ht="15.75" customHeight="1">
      <c r="A469" s="148"/>
      <c r="B469" s="148"/>
      <c r="C469" s="148"/>
      <c r="D469" s="148"/>
      <c r="E469" s="148"/>
      <c r="F469" s="148"/>
      <c r="G469" s="148"/>
      <c r="H469" s="148"/>
    </row>
    <row r="470" ht="15.75" customHeight="1">
      <c r="A470" s="148"/>
      <c r="B470" s="148"/>
      <c r="C470" s="148"/>
      <c r="D470" s="148"/>
      <c r="E470" s="148"/>
      <c r="F470" s="148"/>
      <c r="G470" s="148"/>
      <c r="H470" s="148"/>
    </row>
    <row r="471" ht="15.75" customHeight="1">
      <c r="A471" s="148"/>
      <c r="B471" s="148"/>
      <c r="C471" s="148"/>
      <c r="D471" s="148"/>
      <c r="E471" s="148"/>
      <c r="F471" s="148"/>
      <c r="G471" s="148"/>
      <c r="H471" s="148"/>
    </row>
    <row r="472" ht="15.75" customHeight="1">
      <c r="A472" s="148"/>
      <c r="B472" s="148"/>
      <c r="C472" s="148"/>
      <c r="D472" s="148"/>
      <c r="E472" s="148"/>
      <c r="F472" s="148"/>
      <c r="G472" s="148"/>
      <c r="H472" s="148"/>
    </row>
    <row r="473" ht="15.75" customHeight="1">
      <c r="A473" s="148"/>
      <c r="B473" s="148"/>
      <c r="C473" s="148"/>
      <c r="D473" s="148"/>
      <c r="E473" s="148"/>
      <c r="F473" s="148"/>
      <c r="G473" s="148"/>
      <c r="H473" s="148"/>
    </row>
    <row r="474" ht="15.75" customHeight="1">
      <c r="A474" s="148"/>
      <c r="B474" s="148"/>
      <c r="C474" s="148"/>
      <c r="D474" s="148"/>
      <c r="E474" s="148"/>
      <c r="F474" s="148"/>
      <c r="G474" s="148"/>
      <c r="H474" s="148"/>
    </row>
    <row r="475" ht="15.75" customHeight="1">
      <c r="A475" s="148"/>
      <c r="B475" s="148"/>
      <c r="C475" s="148"/>
      <c r="D475" s="148"/>
      <c r="E475" s="148"/>
      <c r="F475" s="148"/>
      <c r="G475" s="148"/>
      <c r="H475" s="148"/>
    </row>
    <row r="476" ht="15.75" customHeight="1">
      <c r="A476" s="148"/>
      <c r="B476" s="148"/>
      <c r="C476" s="148"/>
      <c r="D476" s="148"/>
      <c r="E476" s="148"/>
      <c r="F476" s="148"/>
      <c r="G476" s="148"/>
      <c r="H476" s="148"/>
    </row>
    <row r="477" ht="15.75" customHeight="1">
      <c r="A477" s="148"/>
      <c r="B477" s="148"/>
      <c r="C477" s="148"/>
      <c r="D477" s="148"/>
      <c r="E477" s="148"/>
      <c r="F477" s="148"/>
      <c r="G477" s="148"/>
      <c r="H477" s="148"/>
    </row>
    <row r="478" ht="15.75" customHeight="1">
      <c r="A478" s="148"/>
      <c r="B478" s="148"/>
      <c r="C478" s="148"/>
      <c r="D478" s="148"/>
      <c r="E478" s="148"/>
      <c r="F478" s="148"/>
      <c r="G478" s="148"/>
      <c r="H478" s="148"/>
    </row>
    <row r="479" ht="15.75" customHeight="1">
      <c r="A479" s="148"/>
      <c r="B479" s="148"/>
      <c r="C479" s="148"/>
      <c r="D479" s="148"/>
      <c r="E479" s="148"/>
      <c r="F479" s="148"/>
      <c r="G479" s="148"/>
      <c r="H479" s="148"/>
    </row>
    <row r="480" ht="15.75" customHeight="1">
      <c r="A480" s="148"/>
      <c r="B480" s="148"/>
      <c r="C480" s="148"/>
      <c r="D480" s="148"/>
      <c r="E480" s="148"/>
      <c r="F480" s="148"/>
      <c r="G480" s="148"/>
      <c r="H480" s="148"/>
    </row>
    <row r="481" ht="15.75" customHeight="1">
      <c r="A481" s="148"/>
      <c r="B481" s="148"/>
      <c r="C481" s="148"/>
      <c r="D481" s="148"/>
      <c r="E481" s="148"/>
      <c r="F481" s="148"/>
      <c r="G481" s="148"/>
      <c r="H481" s="148"/>
    </row>
    <row r="482" ht="15.75" customHeight="1">
      <c r="A482" s="148"/>
      <c r="B482" s="148"/>
      <c r="C482" s="148"/>
      <c r="D482" s="148"/>
      <c r="E482" s="148"/>
      <c r="F482" s="148"/>
      <c r="G482" s="148"/>
      <c r="H482" s="148"/>
    </row>
    <row r="483" ht="15.75" customHeight="1">
      <c r="A483" s="148"/>
      <c r="B483" s="148"/>
      <c r="C483" s="148"/>
      <c r="D483" s="148"/>
      <c r="E483" s="148"/>
      <c r="F483" s="148"/>
      <c r="G483" s="148"/>
      <c r="H483" s="148"/>
    </row>
    <row r="484" ht="15.75" customHeight="1">
      <c r="A484" s="148"/>
      <c r="B484" s="148"/>
      <c r="C484" s="148"/>
      <c r="D484" s="148"/>
      <c r="E484" s="148"/>
      <c r="F484" s="148"/>
      <c r="G484" s="148"/>
      <c r="H484" s="148"/>
    </row>
    <row r="485" ht="15.75" customHeight="1">
      <c r="A485" s="148"/>
      <c r="B485" s="148"/>
      <c r="C485" s="148"/>
      <c r="D485" s="148"/>
      <c r="E485" s="148"/>
      <c r="F485" s="148"/>
      <c r="G485" s="148"/>
      <c r="H485" s="148"/>
    </row>
    <row r="486" ht="15.75" customHeight="1">
      <c r="A486" s="148"/>
      <c r="B486" s="148"/>
      <c r="C486" s="148"/>
      <c r="D486" s="148"/>
      <c r="E486" s="148"/>
      <c r="F486" s="148"/>
      <c r="G486" s="148"/>
      <c r="H486" s="148"/>
    </row>
    <row r="487" ht="15.75" customHeight="1">
      <c r="A487" s="148"/>
      <c r="B487" s="148"/>
      <c r="C487" s="148"/>
      <c r="D487" s="148"/>
      <c r="E487" s="148"/>
      <c r="F487" s="148"/>
      <c r="G487" s="148"/>
      <c r="H487" s="148"/>
    </row>
    <row r="488" ht="15.75" customHeight="1">
      <c r="A488" s="148"/>
      <c r="B488" s="148"/>
      <c r="C488" s="148"/>
      <c r="D488" s="148"/>
      <c r="E488" s="148"/>
      <c r="F488" s="148"/>
      <c r="G488" s="148"/>
      <c r="H488" s="148"/>
    </row>
    <row r="489" ht="15.75" customHeight="1">
      <c r="A489" s="148"/>
      <c r="B489" s="148"/>
      <c r="C489" s="148"/>
      <c r="D489" s="148"/>
      <c r="E489" s="148"/>
      <c r="F489" s="148"/>
      <c r="G489" s="148"/>
      <c r="H489" s="148"/>
    </row>
    <row r="490" ht="15.75" customHeight="1">
      <c r="A490" s="148"/>
      <c r="B490" s="148"/>
      <c r="C490" s="148"/>
      <c r="D490" s="148"/>
      <c r="E490" s="148"/>
      <c r="F490" s="148"/>
      <c r="G490" s="148"/>
      <c r="H490" s="148"/>
    </row>
    <row r="491" ht="15.75" customHeight="1">
      <c r="A491" s="148"/>
      <c r="B491" s="148"/>
      <c r="C491" s="148"/>
      <c r="D491" s="148"/>
      <c r="E491" s="148"/>
      <c r="F491" s="148"/>
      <c r="G491" s="148"/>
      <c r="H491" s="148"/>
    </row>
    <row r="492" ht="15.75" customHeight="1">
      <c r="A492" s="148"/>
      <c r="B492" s="148"/>
      <c r="C492" s="148"/>
      <c r="D492" s="148"/>
      <c r="E492" s="148"/>
      <c r="F492" s="148"/>
      <c r="G492" s="148"/>
      <c r="H492" s="148"/>
    </row>
    <row r="493" ht="15.75" customHeight="1">
      <c r="A493" s="148"/>
      <c r="B493" s="148"/>
      <c r="C493" s="148"/>
      <c r="D493" s="148"/>
      <c r="E493" s="148"/>
      <c r="F493" s="148"/>
      <c r="G493" s="148"/>
      <c r="H493" s="148"/>
    </row>
    <row r="494" ht="15.75" customHeight="1">
      <c r="A494" s="148"/>
      <c r="B494" s="148"/>
      <c r="C494" s="148"/>
      <c r="D494" s="148"/>
      <c r="E494" s="148"/>
      <c r="F494" s="148"/>
      <c r="G494" s="148"/>
      <c r="H494" s="148"/>
    </row>
    <row r="495" ht="15.75" customHeight="1">
      <c r="A495" s="148"/>
      <c r="B495" s="148"/>
      <c r="C495" s="148"/>
      <c r="D495" s="148"/>
      <c r="E495" s="148"/>
      <c r="F495" s="148"/>
      <c r="G495" s="148"/>
      <c r="H495" s="148"/>
    </row>
    <row r="496" ht="15.75" customHeight="1">
      <c r="A496" s="148"/>
      <c r="B496" s="148"/>
      <c r="C496" s="148"/>
      <c r="D496" s="148"/>
      <c r="E496" s="148"/>
      <c r="F496" s="148"/>
      <c r="G496" s="148"/>
      <c r="H496" s="148"/>
    </row>
    <row r="497" ht="15.75" customHeight="1">
      <c r="A497" s="148"/>
      <c r="B497" s="148"/>
      <c r="C497" s="148"/>
      <c r="D497" s="148"/>
      <c r="E497" s="148"/>
      <c r="F497" s="148"/>
      <c r="G497" s="148"/>
      <c r="H497" s="148"/>
    </row>
    <row r="498" ht="15.75" customHeight="1">
      <c r="A498" s="148"/>
      <c r="B498" s="148"/>
      <c r="C498" s="148"/>
      <c r="D498" s="148"/>
      <c r="E498" s="148"/>
      <c r="F498" s="148"/>
      <c r="G498" s="148"/>
      <c r="H498" s="148"/>
    </row>
    <row r="499" ht="15.75" customHeight="1">
      <c r="A499" s="148"/>
      <c r="B499" s="148"/>
      <c r="C499" s="148"/>
      <c r="D499" s="148"/>
      <c r="E499" s="148"/>
      <c r="F499" s="148"/>
      <c r="G499" s="148"/>
      <c r="H499" s="148"/>
    </row>
    <row r="500" ht="15.75" customHeight="1">
      <c r="A500" s="148"/>
      <c r="B500" s="148"/>
      <c r="C500" s="148"/>
      <c r="D500" s="148"/>
      <c r="E500" s="148"/>
      <c r="F500" s="148"/>
      <c r="G500" s="148"/>
      <c r="H500" s="148"/>
    </row>
    <row r="501" ht="15.75" customHeight="1">
      <c r="A501" s="148"/>
      <c r="B501" s="148"/>
      <c r="C501" s="148"/>
      <c r="D501" s="148"/>
      <c r="E501" s="148"/>
      <c r="F501" s="148"/>
      <c r="G501" s="148"/>
      <c r="H501" s="148"/>
    </row>
    <row r="502" ht="15.75" customHeight="1">
      <c r="A502" s="148"/>
      <c r="B502" s="148"/>
      <c r="C502" s="148"/>
      <c r="D502" s="148"/>
      <c r="E502" s="148"/>
      <c r="F502" s="148"/>
      <c r="G502" s="148"/>
      <c r="H502" s="148"/>
    </row>
    <row r="503" ht="15.75" customHeight="1">
      <c r="A503" s="148"/>
      <c r="B503" s="148"/>
      <c r="C503" s="148"/>
      <c r="D503" s="148"/>
      <c r="E503" s="148"/>
      <c r="F503" s="148"/>
      <c r="G503" s="148"/>
      <c r="H503" s="148"/>
    </row>
    <row r="504" ht="15.75" customHeight="1">
      <c r="A504" s="148"/>
      <c r="B504" s="148"/>
      <c r="C504" s="148"/>
      <c r="D504" s="148"/>
      <c r="E504" s="148"/>
      <c r="F504" s="148"/>
      <c r="G504" s="148"/>
      <c r="H504" s="148"/>
    </row>
    <row r="505" ht="15.75" customHeight="1">
      <c r="A505" s="148"/>
      <c r="B505" s="148"/>
      <c r="C505" s="148"/>
      <c r="D505" s="148"/>
      <c r="E505" s="148"/>
      <c r="F505" s="148"/>
      <c r="G505" s="148"/>
      <c r="H505" s="148"/>
    </row>
    <row r="506" ht="15.75" customHeight="1">
      <c r="A506" s="148"/>
      <c r="B506" s="148"/>
      <c r="C506" s="148"/>
      <c r="D506" s="148"/>
      <c r="E506" s="148"/>
      <c r="F506" s="148"/>
      <c r="G506" s="148"/>
      <c r="H506" s="148"/>
    </row>
    <row r="507" ht="15.75" customHeight="1">
      <c r="A507" s="148"/>
      <c r="B507" s="148"/>
      <c r="C507" s="148"/>
      <c r="D507" s="148"/>
      <c r="E507" s="148"/>
      <c r="F507" s="148"/>
      <c r="G507" s="148"/>
      <c r="H507" s="148"/>
    </row>
    <row r="508" ht="15.75" customHeight="1">
      <c r="A508" s="148"/>
      <c r="B508" s="148"/>
      <c r="C508" s="148"/>
      <c r="D508" s="148"/>
      <c r="E508" s="148"/>
      <c r="F508" s="148"/>
      <c r="G508" s="148"/>
      <c r="H508" s="148"/>
    </row>
    <row r="509" ht="15.75" customHeight="1">
      <c r="A509" s="148"/>
      <c r="B509" s="148"/>
      <c r="C509" s="148"/>
      <c r="D509" s="148"/>
      <c r="E509" s="148"/>
      <c r="F509" s="148"/>
      <c r="G509" s="148"/>
      <c r="H509" s="148"/>
    </row>
    <row r="510" ht="15.75" customHeight="1">
      <c r="A510" s="148"/>
      <c r="B510" s="148"/>
      <c r="C510" s="148"/>
      <c r="D510" s="148"/>
      <c r="E510" s="148"/>
      <c r="F510" s="148"/>
      <c r="G510" s="148"/>
      <c r="H510" s="148"/>
    </row>
    <row r="511" ht="15.75" customHeight="1">
      <c r="A511" s="148"/>
      <c r="B511" s="148"/>
      <c r="C511" s="148"/>
      <c r="D511" s="148"/>
      <c r="E511" s="148"/>
      <c r="F511" s="148"/>
      <c r="G511" s="148"/>
      <c r="H511" s="148"/>
    </row>
    <row r="512" ht="15.75" customHeight="1">
      <c r="A512" s="148"/>
      <c r="B512" s="148"/>
      <c r="C512" s="148"/>
      <c r="D512" s="148"/>
      <c r="E512" s="148"/>
      <c r="F512" s="148"/>
      <c r="G512" s="148"/>
      <c r="H512" s="148"/>
    </row>
    <row r="513" ht="15.75" customHeight="1">
      <c r="A513" s="148"/>
      <c r="B513" s="148"/>
      <c r="C513" s="148"/>
      <c r="D513" s="148"/>
      <c r="E513" s="148"/>
      <c r="F513" s="148"/>
      <c r="G513" s="148"/>
      <c r="H513" s="148"/>
    </row>
    <row r="514" ht="15.75" customHeight="1">
      <c r="A514" s="148"/>
      <c r="B514" s="148"/>
      <c r="C514" s="148"/>
      <c r="D514" s="148"/>
      <c r="E514" s="148"/>
      <c r="F514" s="148"/>
      <c r="G514" s="148"/>
      <c r="H514" s="148"/>
    </row>
    <row r="515" ht="15.75" customHeight="1">
      <c r="A515" s="148"/>
      <c r="B515" s="148"/>
      <c r="C515" s="148"/>
      <c r="D515" s="148"/>
      <c r="E515" s="148"/>
      <c r="F515" s="148"/>
      <c r="G515" s="148"/>
      <c r="H515" s="148"/>
    </row>
    <row r="516" ht="15.75" customHeight="1">
      <c r="A516" s="148"/>
      <c r="B516" s="148"/>
      <c r="C516" s="148"/>
      <c r="D516" s="148"/>
      <c r="E516" s="148"/>
      <c r="F516" s="148"/>
      <c r="G516" s="148"/>
      <c r="H516" s="148"/>
    </row>
    <row r="517" ht="15.75" customHeight="1">
      <c r="A517" s="148"/>
      <c r="B517" s="148"/>
      <c r="C517" s="148"/>
      <c r="D517" s="148"/>
      <c r="E517" s="148"/>
      <c r="F517" s="148"/>
      <c r="G517" s="148"/>
      <c r="H517" s="148"/>
    </row>
    <row r="518" ht="15.75" customHeight="1">
      <c r="A518" s="148"/>
      <c r="B518" s="148"/>
      <c r="C518" s="148"/>
      <c r="D518" s="148"/>
      <c r="E518" s="148"/>
      <c r="F518" s="148"/>
      <c r="G518" s="148"/>
      <c r="H518" s="148"/>
    </row>
    <row r="519" ht="15.75" customHeight="1">
      <c r="A519" s="148"/>
      <c r="B519" s="148"/>
      <c r="C519" s="148"/>
      <c r="D519" s="148"/>
      <c r="E519" s="148"/>
      <c r="F519" s="148"/>
      <c r="G519" s="148"/>
      <c r="H519" s="148"/>
    </row>
    <row r="520" ht="15.75" customHeight="1">
      <c r="A520" s="148"/>
      <c r="B520" s="148"/>
      <c r="C520" s="148"/>
      <c r="D520" s="148"/>
      <c r="E520" s="148"/>
      <c r="F520" s="148"/>
      <c r="G520" s="148"/>
      <c r="H520" s="148"/>
    </row>
    <row r="521" ht="15.75" customHeight="1">
      <c r="A521" s="148"/>
      <c r="B521" s="148"/>
      <c r="C521" s="148"/>
      <c r="D521" s="148"/>
      <c r="E521" s="148"/>
      <c r="F521" s="148"/>
      <c r="G521" s="148"/>
      <c r="H521" s="148"/>
    </row>
    <row r="522" ht="15.75" customHeight="1">
      <c r="A522" s="148"/>
      <c r="B522" s="148"/>
      <c r="C522" s="148"/>
      <c r="D522" s="148"/>
      <c r="E522" s="148"/>
      <c r="F522" s="148"/>
      <c r="G522" s="148"/>
      <c r="H522" s="148"/>
    </row>
    <row r="523" ht="15.75" customHeight="1">
      <c r="A523" s="148"/>
      <c r="B523" s="148"/>
      <c r="C523" s="148"/>
      <c r="D523" s="148"/>
      <c r="E523" s="148"/>
      <c r="F523" s="148"/>
      <c r="G523" s="148"/>
      <c r="H523" s="148"/>
    </row>
    <row r="524" ht="15.75" customHeight="1">
      <c r="A524" s="148"/>
      <c r="B524" s="148"/>
      <c r="C524" s="148"/>
      <c r="D524" s="148"/>
      <c r="E524" s="148"/>
      <c r="F524" s="148"/>
      <c r="G524" s="148"/>
      <c r="H524" s="148"/>
    </row>
    <row r="525" ht="15.75" customHeight="1">
      <c r="A525" s="148"/>
      <c r="B525" s="148"/>
      <c r="C525" s="148"/>
      <c r="D525" s="148"/>
      <c r="E525" s="148"/>
      <c r="F525" s="148"/>
      <c r="G525" s="148"/>
      <c r="H525" s="148"/>
    </row>
    <row r="526" ht="15.75" customHeight="1">
      <c r="A526" s="148"/>
      <c r="B526" s="148"/>
      <c r="C526" s="148"/>
      <c r="D526" s="148"/>
      <c r="E526" s="148"/>
      <c r="F526" s="148"/>
      <c r="G526" s="148"/>
      <c r="H526" s="148"/>
    </row>
    <row r="527" ht="15.75" customHeight="1">
      <c r="A527" s="148"/>
      <c r="B527" s="148"/>
      <c r="C527" s="148"/>
      <c r="D527" s="148"/>
      <c r="E527" s="148"/>
      <c r="F527" s="148"/>
      <c r="G527" s="148"/>
      <c r="H527" s="148"/>
    </row>
    <row r="528" ht="15.75" customHeight="1">
      <c r="A528" s="148"/>
      <c r="B528" s="148"/>
      <c r="C528" s="148"/>
      <c r="D528" s="148"/>
      <c r="E528" s="148"/>
      <c r="F528" s="148"/>
      <c r="G528" s="148"/>
      <c r="H528" s="148"/>
    </row>
    <row r="529" ht="15.75" customHeight="1">
      <c r="A529" s="148"/>
      <c r="B529" s="148"/>
      <c r="C529" s="148"/>
      <c r="D529" s="148"/>
      <c r="E529" s="148"/>
      <c r="F529" s="148"/>
      <c r="G529" s="148"/>
      <c r="H529" s="148"/>
    </row>
    <row r="530" ht="15.75" customHeight="1">
      <c r="A530" s="148"/>
      <c r="B530" s="148"/>
      <c r="C530" s="148"/>
      <c r="D530" s="148"/>
      <c r="E530" s="148"/>
      <c r="F530" s="148"/>
      <c r="G530" s="148"/>
      <c r="H530" s="148"/>
    </row>
    <row r="531" ht="15.75" customHeight="1">
      <c r="A531" s="148"/>
      <c r="B531" s="148"/>
      <c r="C531" s="148"/>
      <c r="D531" s="148"/>
      <c r="E531" s="148"/>
      <c r="F531" s="148"/>
      <c r="G531" s="148"/>
      <c r="H531" s="148"/>
    </row>
    <row r="532" ht="15.75" customHeight="1">
      <c r="A532" s="148"/>
      <c r="B532" s="148"/>
      <c r="C532" s="148"/>
      <c r="D532" s="148"/>
      <c r="E532" s="148"/>
      <c r="F532" s="148"/>
      <c r="G532" s="148"/>
      <c r="H532" s="148"/>
    </row>
    <row r="533" ht="15.75" customHeight="1">
      <c r="A533" s="148"/>
      <c r="B533" s="148"/>
      <c r="C533" s="148"/>
      <c r="D533" s="148"/>
      <c r="E533" s="148"/>
      <c r="F533" s="148"/>
      <c r="G533" s="148"/>
      <c r="H533" s="148"/>
    </row>
    <row r="534" ht="15.75" customHeight="1">
      <c r="A534" s="148"/>
      <c r="B534" s="148"/>
      <c r="C534" s="148"/>
      <c r="D534" s="148"/>
      <c r="E534" s="148"/>
      <c r="F534" s="148"/>
      <c r="G534" s="148"/>
      <c r="H534" s="148"/>
    </row>
    <row r="535" ht="15.75" customHeight="1">
      <c r="A535" s="148"/>
      <c r="B535" s="148"/>
      <c r="C535" s="148"/>
      <c r="D535" s="148"/>
      <c r="E535" s="148"/>
      <c r="F535" s="148"/>
      <c r="G535" s="148"/>
      <c r="H535" s="148"/>
    </row>
    <row r="536" ht="15.75" customHeight="1">
      <c r="A536" s="148"/>
      <c r="B536" s="148"/>
      <c r="C536" s="148"/>
      <c r="D536" s="148"/>
      <c r="E536" s="148"/>
      <c r="F536" s="148"/>
      <c r="G536" s="148"/>
      <c r="H536" s="148"/>
    </row>
    <row r="537" ht="15.75" customHeight="1">
      <c r="A537" s="148"/>
      <c r="B537" s="148"/>
      <c r="C537" s="148"/>
      <c r="D537" s="148"/>
      <c r="E537" s="148"/>
      <c r="F537" s="148"/>
      <c r="G537" s="148"/>
      <c r="H537" s="148"/>
    </row>
    <row r="538" ht="15.75" customHeight="1">
      <c r="A538" s="148"/>
      <c r="B538" s="148"/>
      <c r="C538" s="148"/>
      <c r="D538" s="148"/>
      <c r="E538" s="148"/>
      <c r="F538" s="148"/>
      <c r="G538" s="148"/>
      <c r="H538" s="148"/>
    </row>
    <row r="539" ht="15.75" customHeight="1">
      <c r="A539" s="148"/>
      <c r="B539" s="148"/>
      <c r="C539" s="148"/>
      <c r="D539" s="148"/>
      <c r="E539" s="148"/>
      <c r="F539" s="148"/>
      <c r="G539" s="148"/>
      <c r="H539" s="148"/>
    </row>
    <row r="540" ht="15.75" customHeight="1">
      <c r="A540" s="148"/>
      <c r="B540" s="148"/>
      <c r="C540" s="148"/>
      <c r="D540" s="148"/>
      <c r="E540" s="148"/>
      <c r="F540" s="148"/>
      <c r="G540" s="148"/>
      <c r="H540" s="148"/>
    </row>
    <row r="541" ht="15.75" customHeight="1">
      <c r="A541" s="148"/>
      <c r="B541" s="148"/>
      <c r="C541" s="148"/>
      <c r="D541" s="148"/>
      <c r="E541" s="148"/>
      <c r="F541" s="148"/>
      <c r="G541" s="148"/>
      <c r="H541" s="148"/>
    </row>
    <row r="542" ht="15.75" customHeight="1">
      <c r="A542" s="148"/>
      <c r="B542" s="148"/>
      <c r="C542" s="148"/>
      <c r="D542" s="148"/>
      <c r="E542" s="148"/>
      <c r="F542" s="148"/>
      <c r="G542" s="148"/>
      <c r="H542" s="148"/>
    </row>
    <row r="543" ht="15.75" customHeight="1">
      <c r="A543" s="148"/>
      <c r="B543" s="148"/>
      <c r="C543" s="148"/>
      <c r="D543" s="148"/>
      <c r="E543" s="148"/>
      <c r="F543" s="148"/>
      <c r="G543" s="148"/>
      <c r="H543" s="148"/>
    </row>
    <row r="544" ht="15.75" customHeight="1">
      <c r="A544" s="148"/>
      <c r="B544" s="148"/>
      <c r="C544" s="148"/>
      <c r="D544" s="148"/>
      <c r="E544" s="148"/>
      <c r="F544" s="148"/>
      <c r="G544" s="148"/>
      <c r="H544" s="148"/>
    </row>
    <row r="545" ht="15.75" customHeight="1">
      <c r="A545" s="148"/>
      <c r="B545" s="148"/>
      <c r="C545" s="148"/>
      <c r="D545" s="148"/>
      <c r="E545" s="148"/>
      <c r="F545" s="148"/>
      <c r="G545" s="148"/>
      <c r="H545" s="148"/>
    </row>
    <row r="546" ht="15.75" customHeight="1">
      <c r="A546" s="148"/>
      <c r="B546" s="148"/>
      <c r="C546" s="148"/>
      <c r="D546" s="148"/>
      <c r="E546" s="148"/>
      <c r="F546" s="148"/>
      <c r="G546" s="148"/>
      <c r="H546" s="148"/>
    </row>
    <row r="547" ht="15.75" customHeight="1">
      <c r="A547" s="148"/>
      <c r="B547" s="148"/>
      <c r="C547" s="148"/>
      <c r="D547" s="148"/>
      <c r="E547" s="148"/>
      <c r="F547" s="148"/>
      <c r="G547" s="148"/>
      <c r="H547" s="148"/>
    </row>
    <row r="548" ht="15.75" customHeight="1">
      <c r="A548" s="148"/>
      <c r="B548" s="148"/>
      <c r="C548" s="148"/>
      <c r="D548" s="148"/>
      <c r="E548" s="148"/>
      <c r="F548" s="148"/>
      <c r="G548" s="148"/>
      <c r="H548" s="148"/>
    </row>
    <row r="549" ht="15.75" customHeight="1">
      <c r="A549" s="148"/>
      <c r="B549" s="148"/>
      <c r="C549" s="148"/>
      <c r="D549" s="148"/>
      <c r="E549" s="148"/>
      <c r="F549" s="148"/>
      <c r="G549" s="148"/>
      <c r="H549" s="148"/>
    </row>
    <row r="550" ht="15.75" customHeight="1">
      <c r="A550" s="148"/>
      <c r="B550" s="148"/>
      <c r="C550" s="148"/>
      <c r="D550" s="148"/>
      <c r="E550" s="148"/>
      <c r="F550" s="148"/>
      <c r="G550" s="148"/>
      <c r="H550" s="148"/>
    </row>
    <row r="551" ht="15.75" customHeight="1">
      <c r="A551" s="148"/>
      <c r="B551" s="148"/>
      <c r="C551" s="148"/>
      <c r="D551" s="148"/>
      <c r="E551" s="148"/>
      <c r="F551" s="148"/>
      <c r="G551" s="148"/>
      <c r="H551" s="148"/>
    </row>
    <row r="552" ht="15.75" customHeight="1">
      <c r="A552" s="148"/>
      <c r="B552" s="148"/>
      <c r="C552" s="148"/>
      <c r="D552" s="148"/>
      <c r="E552" s="148"/>
      <c r="F552" s="148"/>
      <c r="G552" s="148"/>
      <c r="H552" s="148"/>
    </row>
    <row r="553" ht="15.75" customHeight="1">
      <c r="A553" s="148"/>
      <c r="B553" s="148"/>
      <c r="C553" s="148"/>
      <c r="D553" s="148"/>
      <c r="E553" s="148"/>
      <c r="F553" s="148"/>
      <c r="G553" s="148"/>
      <c r="H553" s="148"/>
    </row>
    <row r="554" ht="15.75" customHeight="1">
      <c r="A554" s="148"/>
      <c r="B554" s="148"/>
      <c r="C554" s="148"/>
      <c r="D554" s="148"/>
      <c r="E554" s="148"/>
      <c r="F554" s="148"/>
      <c r="G554" s="148"/>
      <c r="H554" s="148"/>
    </row>
    <row r="555" ht="15.75" customHeight="1">
      <c r="A555" s="148"/>
      <c r="B555" s="148"/>
      <c r="C555" s="148"/>
      <c r="D555" s="148"/>
      <c r="E555" s="148"/>
      <c r="F555" s="148"/>
      <c r="G555" s="148"/>
      <c r="H555" s="148"/>
    </row>
    <row r="556" ht="15.75" customHeight="1">
      <c r="A556" s="148"/>
      <c r="B556" s="148"/>
      <c r="C556" s="148"/>
      <c r="D556" s="148"/>
      <c r="E556" s="148"/>
      <c r="F556" s="148"/>
      <c r="G556" s="148"/>
      <c r="H556" s="148"/>
    </row>
    <row r="557" ht="15.75" customHeight="1">
      <c r="A557" s="148"/>
      <c r="B557" s="148"/>
      <c r="C557" s="148"/>
      <c r="D557" s="148"/>
      <c r="E557" s="148"/>
      <c r="F557" s="148"/>
      <c r="G557" s="148"/>
      <c r="H557" s="148"/>
    </row>
    <row r="558" ht="15.75" customHeight="1">
      <c r="A558" s="148"/>
      <c r="B558" s="148"/>
      <c r="C558" s="148"/>
      <c r="D558" s="148"/>
      <c r="E558" s="148"/>
      <c r="F558" s="148"/>
      <c r="G558" s="148"/>
      <c r="H558" s="148"/>
    </row>
    <row r="559" ht="15.75" customHeight="1">
      <c r="A559" s="148"/>
      <c r="B559" s="148"/>
      <c r="C559" s="148"/>
      <c r="D559" s="148"/>
      <c r="E559" s="148"/>
      <c r="F559" s="148"/>
      <c r="G559" s="148"/>
      <c r="H559" s="148"/>
    </row>
    <row r="560" ht="15.75" customHeight="1">
      <c r="A560" s="148"/>
      <c r="B560" s="148"/>
      <c r="C560" s="148"/>
      <c r="D560" s="148"/>
      <c r="E560" s="148"/>
      <c r="F560" s="148"/>
      <c r="G560" s="148"/>
      <c r="H560" s="148"/>
    </row>
    <row r="561" ht="15.75" customHeight="1">
      <c r="A561" s="148"/>
      <c r="B561" s="148"/>
      <c r="C561" s="148"/>
      <c r="D561" s="148"/>
      <c r="E561" s="148"/>
      <c r="F561" s="148"/>
      <c r="G561" s="148"/>
      <c r="H561" s="148"/>
    </row>
    <row r="562" ht="15.75" customHeight="1">
      <c r="A562" s="148"/>
      <c r="B562" s="148"/>
      <c r="C562" s="148"/>
      <c r="D562" s="148"/>
      <c r="E562" s="148"/>
      <c r="F562" s="148"/>
      <c r="G562" s="148"/>
      <c r="H562" s="148"/>
    </row>
    <row r="563" ht="15.75" customHeight="1">
      <c r="A563" s="148"/>
      <c r="B563" s="148"/>
      <c r="C563" s="148"/>
      <c r="D563" s="148"/>
      <c r="E563" s="148"/>
      <c r="F563" s="148"/>
      <c r="G563" s="148"/>
      <c r="H563" s="148"/>
    </row>
    <row r="564" ht="15.75" customHeight="1">
      <c r="A564" s="148"/>
      <c r="B564" s="148"/>
      <c r="C564" s="148"/>
      <c r="D564" s="148"/>
      <c r="E564" s="148"/>
      <c r="F564" s="148"/>
      <c r="G564" s="148"/>
      <c r="H564" s="148"/>
    </row>
    <row r="565" ht="15.75" customHeight="1">
      <c r="A565" s="148"/>
      <c r="B565" s="148"/>
      <c r="C565" s="148"/>
      <c r="D565" s="148"/>
      <c r="E565" s="148"/>
      <c r="F565" s="148"/>
      <c r="G565" s="148"/>
      <c r="H565" s="148"/>
    </row>
    <row r="566" ht="15.75" customHeight="1">
      <c r="A566" s="148"/>
      <c r="B566" s="148"/>
      <c r="C566" s="148"/>
      <c r="D566" s="148"/>
      <c r="E566" s="148"/>
      <c r="F566" s="148"/>
      <c r="G566" s="148"/>
      <c r="H566" s="148"/>
    </row>
    <row r="567" ht="15.75" customHeight="1">
      <c r="A567" s="148"/>
      <c r="B567" s="148"/>
      <c r="C567" s="148"/>
      <c r="D567" s="148"/>
      <c r="E567" s="148"/>
      <c r="F567" s="148"/>
      <c r="G567" s="148"/>
      <c r="H567" s="148"/>
    </row>
    <row r="568" ht="15.75" customHeight="1">
      <c r="A568" s="148"/>
      <c r="B568" s="148"/>
      <c r="C568" s="148"/>
      <c r="D568" s="148"/>
      <c r="E568" s="148"/>
      <c r="F568" s="148"/>
      <c r="G568" s="148"/>
      <c r="H568" s="148"/>
    </row>
    <row r="569" ht="15.75" customHeight="1">
      <c r="A569" s="148"/>
      <c r="B569" s="148"/>
      <c r="C569" s="148"/>
      <c r="D569" s="148"/>
      <c r="E569" s="148"/>
      <c r="F569" s="148"/>
      <c r="G569" s="148"/>
      <c r="H569" s="148"/>
    </row>
    <row r="570" ht="15.75" customHeight="1">
      <c r="A570" s="148"/>
      <c r="B570" s="148"/>
      <c r="C570" s="148"/>
      <c r="D570" s="148"/>
      <c r="E570" s="148"/>
      <c r="F570" s="148"/>
      <c r="G570" s="148"/>
      <c r="H570" s="148"/>
    </row>
    <row r="571" ht="15.75" customHeight="1">
      <c r="A571" s="148"/>
      <c r="B571" s="148"/>
      <c r="C571" s="148"/>
      <c r="D571" s="148"/>
      <c r="E571" s="148"/>
      <c r="F571" s="148"/>
      <c r="G571" s="148"/>
      <c r="H571" s="148"/>
    </row>
    <row r="572" ht="15.75" customHeight="1">
      <c r="A572" s="148"/>
      <c r="B572" s="148"/>
      <c r="C572" s="148"/>
      <c r="D572" s="148"/>
      <c r="E572" s="148"/>
      <c r="F572" s="148"/>
      <c r="G572" s="148"/>
      <c r="H572" s="148"/>
    </row>
    <row r="573" ht="15.75" customHeight="1">
      <c r="A573" s="148"/>
      <c r="B573" s="148"/>
      <c r="C573" s="148"/>
      <c r="D573" s="148"/>
      <c r="E573" s="148"/>
      <c r="F573" s="148"/>
      <c r="G573" s="148"/>
      <c r="H573" s="148"/>
    </row>
    <row r="574" ht="15.75" customHeight="1">
      <c r="A574" s="148"/>
      <c r="B574" s="148"/>
      <c r="C574" s="148"/>
      <c r="D574" s="148"/>
      <c r="E574" s="148"/>
      <c r="F574" s="148"/>
      <c r="G574" s="148"/>
      <c r="H574" s="148"/>
    </row>
    <row r="575" ht="15.75" customHeight="1">
      <c r="A575" s="148"/>
      <c r="B575" s="148"/>
      <c r="C575" s="148"/>
      <c r="D575" s="148"/>
      <c r="E575" s="148"/>
      <c r="F575" s="148"/>
      <c r="G575" s="148"/>
      <c r="H575" s="148"/>
    </row>
    <row r="576" ht="15.75" customHeight="1">
      <c r="A576" s="148"/>
      <c r="B576" s="148"/>
      <c r="C576" s="148"/>
      <c r="D576" s="148"/>
      <c r="E576" s="148"/>
      <c r="F576" s="148"/>
      <c r="G576" s="148"/>
      <c r="H576" s="148"/>
    </row>
    <row r="577" ht="15.75" customHeight="1">
      <c r="A577" s="148"/>
      <c r="B577" s="148"/>
      <c r="C577" s="148"/>
      <c r="D577" s="148"/>
      <c r="E577" s="148"/>
      <c r="F577" s="148"/>
      <c r="G577" s="148"/>
      <c r="H577" s="148"/>
    </row>
    <row r="578" ht="15.75" customHeight="1">
      <c r="A578" s="148"/>
      <c r="B578" s="148"/>
      <c r="C578" s="148"/>
      <c r="D578" s="148"/>
      <c r="E578" s="148"/>
      <c r="F578" s="148"/>
      <c r="G578" s="148"/>
      <c r="H578" s="148"/>
    </row>
    <row r="579" ht="15.75" customHeight="1">
      <c r="A579" s="148"/>
      <c r="B579" s="148"/>
      <c r="C579" s="148"/>
      <c r="D579" s="148"/>
      <c r="E579" s="148"/>
      <c r="F579" s="148"/>
      <c r="G579" s="148"/>
      <c r="H579" s="148"/>
    </row>
    <row r="580" ht="15.75" customHeight="1">
      <c r="A580" s="148"/>
      <c r="B580" s="148"/>
      <c r="C580" s="148"/>
      <c r="D580" s="148"/>
      <c r="E580" s="148"/>
      <c r="F580" s="148"/>
      <c r="G580" s="148"/>
      <c r="H580" s="148"/>
    </row>
    <row r="581" ht="15.75" customHeight="1">
      <c r="A581" s="148"/>
      <c r="B581" s="148"/>
      <c r="C581" s="148"/>
      <c r="D581" s="148"/>
      <c r="E581" s="148"/>
      <c r="F581" s="148"/>
      <c r="G581" s="148"/>
      <c r="H581" s="148"/>
    </row>
    <row r="582" ht="15.75" customHeight="1">
      <c r="A582" s="148"/>
      <c r="B582" s="148"/>
      <c r="C582" s="148"/>
      <c r="D582" s="148"/>
      <c r="E582" s="148"/>
      <c r="F582" s="148"/>
      <c r="G582" s="148"/>
      <c r="H582" s="148"/>
    </row>
    <row r="583" ht="15.75" customHeight="1">
      <c r="A583" s="148"/>
      <c r="B583" s="148"/>
      <c r="C583" s="148"/>
      <c r="D583" s="148"/>
      <c r="E583" s="148"/>
      <c r="F583" s="148"/>
      <c r="G583" s="148"/>
      <c r="H583" s="148"/>
    </row>
    <row r="584" ht="15.75" customHeight="1">
      <c r="A584" s="148"/>
      <c r="B584" s="148"/>
      <c r="C584" s="148"/>
      <c r="D584" s="148"/>
      <c r="E584" s="148"/>
      <c r="F584" s="148"/>
      <c r="G584" s="148"/>
      <c r="H584" s="148"/>
    </row>
    <row r="585" ht="15.75" customHeight="1">
      <c r="A585" s="148"/>
      <c r="B585" s="148"/>
      <c r="C585" s="148"/>
      <c r="D585" s="148"/>
      <c r="E585" s="148"/>
      <c r="F585" s="148"/>
      <c r="G585" s="148"/>
      <c r="H585" s="148"/>
    </row>
    <row r="586" ht="15.75" customHeight="1">
      <c r="A586" s="148"/>
      <c r="B586" s="148"/>
      <c r="C586" s="148"/>
      <c r="D586" s="148"/>
      <c r="E586" s="148"/>
      <c r="F586" s="148"/>
      <c r="G586" s="148"/>
      <c r="H586" s="148"/>
    </row>
    <row r="587" ht="15.75" customHeight="1">
      <c r="A587" s="148"/>
      <c r="B587" s="148"/>
      <c r="C587" s="148"/>
      <c r="D587" s="148"/>
      <c r="E587" s="148"/>
      <c r="F587" s="148"/>
      <c r="G587" s="148"/>
      <c r="H587" s="148"/>
    </row>
    <row r="588" ht="15.75" customHeight="1">
      <c r="A588" s="148"/>
      <c r="B588" s="148"/>
      <c r="C588" s="148"/>
      <c r="D588" s="148"/>
      <c r="E588" s="148"/>
      <c r="F588" s="148"/>
      <c r="G588" s="148"/>
      <c r="H588" s="148"/>
    </row>
    <row r="589" ht="15.75" customHeight="1">
      <c r="A589" s="148"/>
      <c r="B589" s="148"/>
      <c r="C589" s="148"/>
      <c r="D589" s="148"/>
      <c r="E589" s="148"/>
      <c r="F589" s="148"/>
      <c r="G589" s="148"/>
      <c r="H589" s="148"/>
    </row>
    <row r="590" ht="15.75" customHeight="1">
      <c r="A590" s="148"/>
      <c r="B590" s="148"/>
      <c r="C590" s="148"/>
      <c r="D590" s="148"/>
      <c r="E590" s="148"/>
      <c r="F590" s="148"/>
      <c r="G590" s="148"/>
      <c r="H590" s="148"/>
    </row>
    <row r="591" ht="15.75" customHeight="1">
      <c r="A591" s="148"/>
      <c r="B591" s="148"/>
      <c r="C591" s="148"/>
      <c r="D591" s="148"/>
      <c r="E591" s="148"/>
      <c r="F591" s="148"/>
      <c r="G591" s="148"/>
      <c r="H591" s="148"/>
    </row>
    <row r="592" ht="15.75" customHeight="1">
      <c r="A592" s="148"/>
      <c r="B592" s="148"/>
      <c r="C592" s="148"/>
      <c r="D592" s="148"/>
      <c r="E592" s="148"/>
      <c r="F592" s="148"/>
      <c r="G592" s="148"/>
      <c r="H592" s="148"/>
    </row>
    <row r="593" ht="15.75" customHeight="1">
      <c r="A593" s="148"/>
      <c r="B593" s="148"/>
      <c r="C593" s="148"/>
      <c r="D593" s="148"/>
      <c r="E593" s="148"/>
      <c r="F593" s="148"/>
      <c r="G593" s="148"/>
      <c r="H593" s="148"/>
    </row>
    <row r="594" ht="15.75" customHeight="1">
      <c r="A594" s="148"/>
      <c r="B594" s="148"/>
      <c r="C594" s="148"/>
      <c r="D594" s="148"/>
      <c r="E594" s="148"/>
      <c r="F594" s="148"/>
      <c r="G594" s="148"/>
      <c r="H594" s="148"/>
    </row>
    <row r="595" ht="15.75" customHeight="1">
      <c r="A595" s="148"/>
      <c r="B595" s="148"/>
      <c r="C595" s="148"/>
      <c r="D595" s="148"/>
      <c r="E595" s="148"/>
      <c r="F595" s="148"/>
      <c r="G595" s="148"/>
      <c r="H595" s="148"/>
    </row>
    <row r="596" ht="15.75" customHeight="1">
      <c r="A596" s="148"/>
      <c r="B596" s="148"/>
      <c r="C596" s="148"/>
      <c r="D596" s="148"/>
      <c r="E596" s="148"/>
      <c r="F596" s="148"/>
      <c r="G596" s="148"/>
      <c r="H596" s="148"/>
    </row>
    <row r="597" ht="15.75" customHeight="1">
      <c r="A597" s="148"/>
      <c r="B597" s="148"/>
      <c r="C597" s="148"/>
      <c r="D597" s="148"/>
      <c r="E597" s="148"/>
      <c r="F597" s="148"/>
      <c r="G597" s="148"/>
      <c r="H597" s="148"/>
    </row>
    <row r="598" ht="15.75" customHeight="1">
      <c r="A598" s="148"/>
      <c r="B598" s="148"/>
      <c r="C598" s="148"/>
      <c r="D598" s="148"/>
      <c r="E598" s="148"/>
      <c r="F598" s="148"/>
      <c r="G598" s="148"/>
      <c r="H598" s="148"/>
    </row>
    <row r="599" ht="15.75" customHeight="1">
      <c r="A599" s="148"/>
      <c r="B599" s="148"/>
      <c r="C599" s="148"/>
      <c r="D599" s="148"/>
      <c r="E599" s="148"/>
      <c r="F599" s="148"/>
      <c r="G599" s="148"/>
      <c r="H599" s="148"/>
    </row>
    <row r="600" ht="15.75" customHeight="1">
      <c r="A600" s="148"/>
      <c r="B600" s="148"/>
      <c r="C600" s="148"/>
      <c r="D600" s="148"/>
      <c r="E600" s="148"/>
      <c r="F600" s="148"/>
      <c r="G600" s="148"/>
      <c r="H600" s="148"/>
    </row>
    <row r="601" ht="15.75" customHeight="1">
      <c r="A601" s="148"/>
      <c r="B601" s="148"/>
      <c r="C601" s="148"/>
      <c r="D601" s="148"/>
      <c r="E601" s="148"/>
      <c r="F601" s="148"/>
      <c r="G601" s="148"/>
      <c r="H601" s="148"/>
    </row>
    <row r="602" ht="15.75" customHeight="1">
      <c r="A602" s="148"/>
      <c r="B602" s="148"/>
      <c r="C602" s="148"/>
      <c r="D602" s="148"/>
      <c r="E602" s="148"/>
      <c r="F602" s="148"/>
      <c r="G602" s="148"/>
      <c r="H602" s="148"/>
    </row>
    <row r="603" ht="15.75" customHeight="1">
      <c r="A603" s="148"/>
      <c r="B603" s="148"/>
      <c r="C603" s="148"/>
      <c r="D603" s="148"/>
      <c r="E603" s="148"/>
      <c r="F603" s="148"/>
      <c r="G603" s="148"/>
      <c r="H603" s="148"/>
    </row>
    <row r="604" ht="15.75" customHeight="1">
      <c r="A604" s="148"/>
      <c r="B604" s="148"/>
      <c r="C604" s="148"/>
      <c r="D604" s="148"/>
      <c r="E604" s="148"/>
      <c r="F604" s="148"/>
      <c r="G604" s="148"/>
      <c r="H604" s="148"/>
    </row>
    <row r="605" ht="15.75" customHeight="1">
      <c r="A605" s="148"/>
      <c r="B605" s="148"/>
      <c r="C605" s="148"/>
      <c r="D605" s="148"/>
      <c r="E605" s="148"/>
      <c r="F605" s="148"/>
      <c r="G605" s="148"/>
      <c r="H605" s="148"/>
    </row>
    <row r="606" ht="15.75" customHeight="1">
      <c r="A606" s="148"/>
      <c r="B606" s="148"/>
      <c r="C606" s="148"/>
      <c r="D606" s="148"/>
      <c r="E606" s="148"/>
      <c r="F606" s="148"/>
      <c r="G606" s="148"/>
      <c r="H606" s="148"/>
    </row>
    <row r="607" ht="15.75" customHeight="1">
      <c r="A607" s="148"/>
      <c r="B607" s="148"/>
      <c r="C607" s="148"/>
      <c r="D607" s="148"/>
      <c r="E607" s="148"/>
      <c r="F607" s="148"/>
      <c r="G607" s="148"/>
      <c r="H607" s="148"/>
    </row>
    <row r="608" ht="15.75" customHeight="1">
      <c r="A608" s="148"/>
      <c r="B608" s="148"/>
      <c r="C608" s="148"/>
      <c r="D608" s="148"/>
      <c r="E608" s="148"/>
      <c r="F608" s="148"/>
      <c r="G608" s="148"/>
      <c r="H608" s="148"/>
    </row>
    <row r="609" ht="15.75" customHeight="1">
      <c r="A609" s="148"/>
      <c r="B609" s="148"/>
      <c r="C609" s="148"/>
      <c r="D609" s="148"/>
      <c r="E609" s="148"/>
      <c r="F609" s="148"/>
      <c r="G609" s="148"/>
      <c r="H609" s="148"/>
    </row>
    <row r="610" ht="15.75" customHeight="1">
      <c r="A610" s="148"/>
      <c r="B610" s="148"/>
      <c r="C610" s="148"/>
      <c r="D610" s="148"/>
      <c r="E610" s="148"/>
      <c r="F610" s="148"/>
      <c r="G610" s="148"/>
      <c r="H610" s="148"/>
    </row>
    <row r="611" ht="15.75" customHeight="1">
      <c r="A611" s="148"/>
      <c r="B611" s="148"/>
      <c r="C611" s="148"/>
      <c r="D611" s="148"/>
      <c r="E611" s="148"/>
      <c r="F611" s="148"/>
      <c r="G611" s="148"/>
      <c r="H611" s="148"/>
    </row>
    <row r="612" ht="15.75" customHeight="1">
      <c r="A612" s="148"/>
      <c r="B612" s="148"/>
      <c r="C612" s="148"/>
      <c r="D612" s="148"/>
      <c r="E612" s="148"/>
      <c r="F612" s="148"/>
      <c r="G612" s="148"/>
      <c r="H612" s="148"/>
    </row>
    <row r="613" ht="15.75" customHeight="1">
      <c r="A613" s="148"/>
      <c r="B613" s="148"/>
      <c r="C613" s="148"/>
      <c r="D613" s="148"/>
      <c r="E613" s="148"/>
      <c r="F613" s="148"/>
      <c r="G613" s="148"/>
      <c r="H613" s="148"/>
    </row>
    <row r="614" ht="15.75" customHeight="1">
      <c r="A614" s="148"/>
      <c r="B614" s="148"/>
      <c r="C614" s="148"/>
      <c r="D614" s="148"/>
      <c r="E614" s="148"/>
      <c r="F614" s="148"/>
      <c r="G614" s="148"/>
      <c r="H614" s="148"/>
    </row>
    <row r="615" ht="15.75" customHeight="1">
      <c r="A615" s="148"/>
      <c r="B615" s="148"/>
      <c r="C615" s="148"/>
      <c r="D615" s="148"/>
      <c r="E615" s="148"/>
      <c r="F615" s="148"/>
      <c r="G615" s="148"/>
      <c r="H615" s="148"/>
    </row>
    <row r="616" ht="15.75" customHeight="1">
      <c r="A616" s="148"/>
      <c r="B616" s="148"/>
      <c r="C616" s="148"/>
      <c r="D616" s="148"/>
      <c r="E616" s="148"/>
      <c r="F616" s="148"/>
      <c r="G616" s="148"/>
      <c r="H616" s="148"/>
    </row>
    <row r="617" ht="15.75" customHeight="1">
      <c r="A617" s="148"/>
      <c r="B617" s="148"/>
      <c r="C617" s="148"/>
      <c r="D617" s="148"/>
      <c r="E617" s="148"/>
      <c r="F617" s="148"/>
      <c r="G617" s="148"/>
      <c r="H617" s="148"/>
    </row>
    <row r="618" ht="15.75" customHeight="1">
      <c r="A618" s="148"/>
      <c r="B618" s="148"/>
      <c r="C618" s="148"/>
      <c r="D618" s="148"/>
      <c r="E618" s="148"/>
      <c r="F618" s="148"/>
      <c r="G618" s="148"/>
      <c r="H618" s="148"/>
    </row>
    <row r="619" ht="15.75" customHeight="1">
      <c r="A619" s="148"/>
      <c r="B619" s="148"/>
      <c r="C619" s="148"/>
      <c r="D619" s="148"/>
      <c r="E619" s="148"/>
      <c r="F619" s="148"/>
      <c r="G619" s="148"/>
      <c r="H619" s="148"/>
    </row>
    <row r="620" ht="15.75" customHeight="1">
      <c r="A620" s="148"/>
      <c r="B620" s="148"/>
      <c r="C620" s="148"/>
      <c r="D620" s="148"/>
      <c r="E620" s="148"/>
      <c r="F620" s="148"/>
      <c r="G620" s="148"/>
      <c r="H620" s="148"/>
    </row>
    <row r="621" ht="15.75" customHeight="1">
      <c r="A621" s="148"/>
      <c r="B621" s="148"/>
      <c r="C621" s="148"/>
      <c r="D621" s="148"/>
      <c r="E621" s="148"/>
      <c r="F621" s="148"/>
      <c r="G621" s="148"/>
      <c r="H621" s="148"/>
    </row>
    <row r="622" ht="15.75" customHeight="1">
      <c r="A622" s="148"/>
      <c r="B622" s="148"/>
      <c r="C622" s="148"/>
      <c r="D622" s="148"/>
      <c r="E622" s="148"/>
      <c r="F622" s="148"/>
      <c r="G622" s="148"/>
      <c r="H622" s="148"/>
    </row>
    <row r="623" ht="15.75" customHeight="1">
      <c r="A623" s="148"/>
      <c r="B623" s="148"/>
      <c r="C623" s="148"/>
      <c r="D623" s="148"/>
      <c r="E623" s="148"/>
      <c r="F623" s="148"/>
      <c r="G623" s="148"/>
      <c r="H623" s="148"/>
    </row>
    <row r="624" ht="15.75" customHeight="1">
      <c r="A624" s="148"/>
      <c r="B624" s="148"/>
      <c r="C624" s="148"/>
      <c r="D624" s="148"/>
      <c r="E624" s="148"/>
      <c r="F624" s="148"/>
      <c r="G624" s="148"/>
      <c r="H624" s="148"/>
    </row>
    <row r="625" ht="15.75" customHeight="1">
      <c r="A625" s="148"/>
      <c r="B625" s="148"/>
      <c r="C625" s="148"/>
      <c r="D625" s="148"/>
      <c r="E625" s="148"/>
      <c r="F625" s="148"/>
      <c r="G625" s="148"/>
      <c r="H625" s="148"/>
    </row>
    <row r="626" ht="15.75" customHeight="1">
      <c r="A626" s="148"/>
      <c r="B626" s="148"/>
      <c r="C626" s="148"/>
      <c r="D626" s="148"/>
      <c r="E626" s="148"/>
      <c r="F626" s="148"/>
      <c r="G626" s="148"/>
      <c r="H626" s="148"/>
    </row>
    <row r="627" ht="15.75" customHeight="1">
      <c r="A627" s="148"/>
      <c r="B627" s="148"/>
      <c r="C627" s="148"/>
      <c r="D627" s="148"/>
      <c r="E627" s="148"/>
      <c r="F627" s="148"/>
      <c r="G627" s="148"/>
      <c r="H627" s="148"/>
    </row>
    <row r="628" ht="15.75" customHeight="1">
      <c r="A628" s="148"/>
      <c r="B628" s="148"/>
      <c r="C628" s="148"/>
      <c r="D628" s="148"/>
      <c r="E628" s="148"/>
      <c r="F628" s="148"/>
      <c r="G628" s="148"/>
      <c r="H628" s="148"/>
    </row>
    <row r="629" ht="15.75" customHeight="1">
      <c r="A629" s="148"/>
      <c r="B629" s="148"/>
      <c r="C629" s="148"/>
      <c r="D629" s="148"/>
      <c r="E629" s="148"/>
      <c r="F629" s="148"/>
      <c r="G629" s="148"/>
      <c r="H629" s="148"/>
    </row>
    <row r="630" ht="15.75" customHeight="1">
      <c r="A630" s="148"/>
      <c r="B630" s="148"/>
      <c r="C630" s="148"/>
      <c r="D630" s="148"/>
      <c r="E630" s="148"/>
      <c r="F630" s="148"/>
      <c r="G630" s="148"/>
      <c r="H630" s="148"/>
    </row>
    <row r="631" ht="15.75" customHeight="1">
      <c r="A631" s="148"/>
      <c r="B631" s="148"/>
      <c r="C631" s="148"/>
      <c r="D631" s="148"/>
      <c r="E631" s="148"/>
      <c r="F631" s="148"/>
      <c r="G631" s="148"/>
      <c r="H631" s="148"/>
    </row>
    <row r="632" ht="15.75" customHeight="1">
      <c r="A632" s="148"/>
      <c r="B632" s="148"/>
      <c r="C632" s="148"/>
      <c r="D632" s="148"/>
      <c r="E632" s="148"/>
      <c r="F632" s="148"/>
      <c r="G632" s="148"/>
      <c r="H632" s="148"/>
    </row>
    <row r="633" ht="15.75" customHeight="1">
      <c r="A633" s="148"/>
      <c r="B633" s="148"/>
      <c r="C633" s="148"/>
      <c r="D633" s="148"/>
      <c r="E633" s="148"/>
      <c r="F633" s="148"/>
      <c r="G633" s="148"/>
      <c r="H633" s="148"/>
    </row>
    <row r="634" ht="15.75" customHeight="1">
      <c r="A634" s="148"/>
      <c r="B634" s="148"/>
      <c r="C634" s="148"/>
      <c r="D634" s="148"/>
      <c r="E634" s="148"/>
      <c r="F634" s="148"/>
      <c r="G634" s="148"/>
      <c r="H634" s="148"/>
    </row>
    <row r="635" ht="15.75" customHeight="1">
      <c r="A635" s="148"/>
      <c r="B635" s="148"/>
      <c r="C635" s="148"/>
      <c r="D635" s="148"/>
      <c r="E635" s="148"/>
      <c r="F635" s="148"/>
      <c r="G635" s="148"/>
      <c r="H635" s="148"/>
    </row>
    <row r="636" ht="15.75" customHeight="1">
      <c r="A636" s="148"/>
      <c r="B636" s="148"/>
      <c r="C636" s="148"/>
      <c r="D636" s="148"/>
      <c r="E636" s="148"/>
      <c r="F636" s="148"/>
      <c r="G636" s="148"/>
      <c r="H636" s="148"/>
    </row>
    <row r="637" ht="15.75" customHeight="1">
      <c r="A637" s="148"/>
      <c r="B637" s="148"/>
      <c r="C637" s="148"/>
      <c r="D637" s="148"/>
      <c r="E637" s="148"/>
      <c r="F637" s="148"/>
      <c r="G637" s="148"/>
      <c r="H637" s="148"/>
    </row>
    <row r="638" ht="15.75" customHeight="1">
      <c r="A638" s="148"/>
      <c r="B638" s="148"/>
      <c r="C638" s="148"/>
      <c r="D638" s="148"/>
      <c r="E638" s="148"/>
      <c r="F638" s="148"/>
      <c r="G638" s="148"/>
      <c r="H638" s="148"/>
    </row>
    <row r="639" ht="15.75" customHeight="1">
      <c r="A639" s="148"/>
      <c r="B639" s="148"/>
      <c r="C639" s="148"/>
      <c r="D639" s="148"/>
      <c r="E639" s="148"/>
      <c r="F639" s="148"/>
      <c r="G639" s="148"/>
      <c r="H639" s="148"/>
    </row>
    <row r="640" ht="15.75" customHeight="1">
      <c r="A640" s="148"/>
      <c r="B640" s="148"/>
      <c r="C640" s="148"/>
      <c r="D640" s="148"/>
      <c r="E640" s="148"/>
      <c r="F640" s="148"/>
      <c r="G640" s="148"/>
      <c r="H640" s="148"/>
    </row>
    <row r="641" ht="15.75" customHeight="1">
      <c r="A641" s="148"/>
      <c r="B641" s="148"/>
      <c r="C641" s="148"/>
      <c r="D641" s="148"/>
      <c r="E641" s="148"/>
      <c r="F641" s="148"/>
      <c r="G641" s="148"/>
      <c r="H641" s="148"/>
    </row>
    <row r="642" ht="15.75" customHeight="1">
      <c r="A642" s="148"/>
      <c r="B642" s="148"/>
      <c r="C642" s="148"/>
      <c r="D642" s="148"/>
      <c r="E642" s="148"/>
      <c r="F642" s="148"/>
      <c r="G642" s="148"/>
      <c r="H642" s="148"/>
    </row>
    <row r="643" ht="15.75" customHeight="1">
      <c r="A643" s="148"/>
      <c r="B643" s="148"/>
      <c r="C643" s="148"/>
      <c r="D643" s="148"/>
      <c r="E643" s="148"/>
      <c r="F643" s="148"/>
      <c r="G643" s="148"/>
      <c r="H643" s="148"/>
    </row>
    <row r="644" ht="15.75" customHeight="1">
      <c r="A644" s="148"/>
      <c r="B644" s="148"/>
      <c r="C644" s="148"/>
      <c r="D644" s="148"/>
      <c r="E644" s="148"/>
      <c r="F644" s="148"/>
      <c r="G644" s="148"/>
      <c r="H644" s="148"/>
    </row>
    <row r="645" ht="15.75" customHeight="1">
      <c r="A645" s="148"/>
      <c r="B645" s="148"/>
      <c r="C645" s="148"/>
      <c r="D645" s="148"/>
      <c r="E645" s="148"/>
      <c r="F645" s="148"/>
      <c r="G645" s="148"/>
      <c r="H645" s="148"/>
    </row>
    <row r="646" ht="15.75" customHeight="1">
      <c r="A646" s="148"/>
      <c r="B646" s="148"/>
      <c r="C646" s="148"/>
      <c r="D646" s="148"/>
      <c r="E646" s="148"/>
      <c r="F646" s="148"/>
      <c r="G646" s="148"/>
      <c r="H646" s="148"/>
    </row>
    <row r="647" ht="15.75" customHeight="1">
      <c r="A647" s="148"/>
      <c r="B647" s="148"/>
      <c r="C647" s="148"/>
      <c r="D647" s="148"/>
      <c r="E647" s="148"/>
      <c r="F647" s="148"/>
      <c r="G647" s="148"/>
      <c r="H647" s="148"/>
    </row>
    <row r="648" ht="15.75" customHeight="1">
      <c r="A648" s="148"/>
      <c r="B648" s="148"/>
      <c r="C648" s="148"/>
      <c r="D648" s="148"/>
      <c r="E648" s="148"/>
      <c r="F648" s="148"/>
      <c r="G648" s="148"/>
      <c r="H648" s="148"/>
    </row>
    <row r="649" ht="15.75" customHeight="1">
      <c r="A649" s="148"/>
      <c r="B649" s="148"/>
      <c r="C649" s="148"/>
      <c r="D649" s="148"/>
      <c r="E649" s="148"/>
      <c r="F649" s="148"/>
      <c r="G649" s="148"/>
      <c r="H649" s="148"/>
    </row>
    <row r="650" ht="15.75" customHeight="1">
      <c r="A650" s="148"/>
      <c r="B650" s="148"/>
      <c r="C650" s="148"/>
      <c r="D650" s="148"/>
      <c r="E650" s="148"/>
      <c r="F650" s="148"/>
      <c r="G650" s="148"/>
      <c r="H650" s="148"/>
    </row>
    <row r="651" ht="15.75" customHeight="1">
      <c r="A651" s="148"/>
      <c r="B651" s="148"/>
      <c r="C651" s="148"/>
      <c r="D651" s="148"/>
      <c r="E651" s="148"/>
      <c r="F651" s="148"/>
      <c r="G651" s="148"/>
      <c r="H651" s="148"/>
    </row>
    <row r="652" ht="15.75" customHeight="1">
      <c r="A652" s="148"/>
      <c r="B652" s="148"/>
      <c r="C652" s="148"/>
      <c r="D652" s="148"/>
      <c r="E652" s="148"/>
      <c r="F652" s="148"/>
      <c r="G652" s="148"/>
      <c r="H652" s="148"/>
    </row>
    <row r="653" ht="15.75" customHeight="1">
      <c r="A653" s="148"/>
      <c r="B653" s="148"/>
      <c r="C653" s="148"/>
      <c r="D653" s="148"/>
      <c r="E653" s="148"/>
      <c r="F653" s="148"/>
      <c r="G653" s="148"/>
      <c r="H653" s="148"/>
    </row>
    <row r="654" ht="15.75" customHeight="1">
      <c r="A654" s="148"/>
      <c r="B654" s="148"/>
      <c r="C654" s="148"/>
      <c r="D654" s="148"/>
      <c r="E654" s="148"/>
      <c r="F654" s="148"/>
      <c r="G654" s="148"/>
      <c r="H654" s="148"/>
    </row>
    <row r="655" ht="15.75" customHeight="1">
      <c r="A655" s="148"/>
      <c r="B655" s="148"/>
      <c r="C655" s="148"/>
      <c r="D655" s="148"/>
      <c r="E655" s="148"/>
      <c r="F655" s="148"/>
      <c r="G655" s="148"/>
      <c r="H655" s="148"/>
    </row>
    <row r="656" ht="15.75" customHeight="1">
      <c r="A656" s="148"/>
      <c r="B656" s="148"/>
      <c r="C656" s="148"/>
      <c r="D656" s="148"/>
      <c r="E656" s="148"/>
      <c r="F656" s="148"/>
      <c r="G656" s="148"/>
      <c r="H656" s="148"/>
    </row>
    <row r="657" ht="15.75" customHeight="1">
      <c r="A657" s="148"/>
      <c r="B657" s="148"/>
      <c r="C657" s="148"/>
      <c r="D657" s="148"/>
      <c r="E657" s="148"/>
      <c r="F657" s="148"/>
      <c r="G657" s="148"/>
      <c r="H657" s="148"/>
    </row>
    <row r="658" ht="15.75" customHeight="1">
      <c r="A658" s="148"/>
      <c r="B658" s="148"/>
      <c r="C658" s="148"/>
      <c r="D658" s="148"/>
      <c r="E658" s="148"/>
      <c r="F658" s="148"/>
      <c r="G658" s="148"/>
      <c r="H658" s="148"/>
    </row>
    <row r="659" ht="15.75" customHeight="1">
      <c r="A659" s="148"/>
      <c r="B659" s="148"/>
      <c r="C659" s="148"/>
      <c r="D659" s="148"/>
      <c r="E659" s="148"/>
      <c r="F659" s="148"/>
      <c r="G659" s="148"/>
      <c r="H659" s="148"/>
    </row>
    <row r="660" ht="15.75" customHeight="1">
      <c r="A660" s="148"/>
      <c r="B660" s="148"/>
      <c r="C660" s="148"/>
      <c r="D660" s="148"/>
      <c r="E660" s="148"/>
      <c r="F660" s="148"/>
      <c r="G660" s="148"/>
      <c r="H660" s="148"/>
    </row>
    <row r="661" ht="15.75" customHeight="1">
      <c r="A661" s="148"/>
      <c r="B661" s="148"/>
      <c r="C661" s="148"/>
      <c r="D661" s="148"/>
      <c r="E661" s="148"/>
      <c r="F661" s="148"/>
      <c r="G661" s="148"/>
      <c r="H661" s="148"/>
    </row>
    <row r="662" ht="15.75" customHeight="1">
      <c r="A662" s="148"/>
      <c r="B662" s="148"/>
      <c r="C662" s="148"/>
      <c r="D662" s="148"/>
      <c r="E662" s="148"/>
      <c r="F662" s="148"/>
      <c r="G662" s="148"/>
      <c r="H662" s="148"/>
    </row>
    <row r="663" ht="15.75" customHeight="1">
      <c r="A663" s="148"/>
      <c r="B663" s="148"/>
      <c r="C663" s="148"/>
      <c r="D663" s="148"/>
      <c r="E663" s="148"/>
      <c r="F663" s="148"/>
      <c r="G663" s="148"/>
      <c r="H663" s="148"/>
    </row>
    <row r="664" ht="15.75" customHeight="1">
      <c r="A664" s="148"/>
      <c r="B664" s="148"/>
      <c r="C664" s="148"/>
      <c r="D664" s="148"/>
      <c r="E664" s="148"/>
      <c r="F664" s="148"/>
      <c r="G664" s="148"/>
      <c r="H664" s="148"/>
    </row>
    <row r="665" ht="15.75" customHeight="1">
      <c r="A665" s="148"/>
      <c r="B665" s="148"/>
      <c r="C665" s="148"/>
      <c r="D665" s="148"/>
      <c r="E665" s="148"/>
      <c r="F665" s="148"/>
      <c r="G665" s="148"/>
      <c r="H665" s="148"/>
    </row>
    <row r="666" ht="15.75" customHeight="1">
      <c r="A666" s="148"/>
      <c r="B666" s="148"/>
      <c r="C666" s="148"/>
      <c r="D666" s="148"/>
      <c r="E666" s="148"/>
      <c r="F666" s="148"/>
      <c r="G666" s="148"/>
      <c r="H666" s="148"/>
    </row>
    <row r="667" ht="15.75" customHeight="1">
      <c r="A667" s="148"/>
      <c r="B667" s="148"/>
      <c r="C667" s="148"/>
      <c r="D667" s="148"/>
      <c r="E667" s="148"/>
      <c r="F667" s="148"/>
      <c r="G667" s="148"/>
      <c r="H667" s="148"/>
    </row>
    <row r="668" ht="15.75" customHeight="1">
      <c r="A668" s="148"/>
      <c r="B668" s="148"/>
      <c r="C668" s="148"/>
      <c r="D668" s="148"/>
      <c r="E668" s="148"/>
      <c r="F668" s="148"/>
      <c r="G668" s="148"/>
      <c r="H668" s="148"/>
    </row>
    <row r="669" ht="15.75" customHeight="1">
      <c r="A669" s="148"/>
      <c r="B669" s="148"/>
      <c r="C669" s="148"/>
      <c r="D669" s="148"/>
      <c r="E669" s="148"/>
      <c r="F669" s="148"/>
      <c r="G669" s="148"/>
      <c r="H669" s="148"/>
    </row>
    <row r="670" ht="15.75" customHeight="1">
      <c r="A670" s="148"/>
      <c r="B670" s="148"/>
      <c r="C670" s="148"/>
      <c r="D670" s="148"/>
      <c r="E670" s="148"/>
      <c r="F670" s="148"/>
      <c r="G670" s="148"/>
      <c r="H670" s="148"/>
    </row>
    <row r="671" ht="15.75" customHeight="1">
      <c r="A671" s="148"/>
      <c r="B671" s="148"/>
      <c r="C671" s="148"/>
      <c r="D671" s="148"/>
      <c r="E671" s="148"/>
      <c r="F671" s="148"/>
      <c r="G671" s="148"/>
      <c r="H671" s="148"/>
    </row>
    <row r="672" ht="15.75" customHeight="1">
      <c r="A672" s="148"/>
      <c r="B672" s="148"/>
      <c r="C672" s="148"/>
      <c r="D672" s="148"/>
      <c r="E672" s="148"/>
      <c r="F672" s="148"/>
      <c r="G672" s="148"/>
      <c r="H672" s="148"/>
    </row>
    <row r="673" ht="15.75" customHeight="1">
      <c r="A673" s="148"/>
      <c r="B673" s="148"/>
      <c r="C673" s="148"/>
      <c r="D673" s="148"/>
      <c r="E673" s="148"/>
      <c r="F673" s="148"/>
      <c r="G673" s="148"/>
      <c r="H673" s="148"/>
    </row>
    <row r="674" ht="15.75" customHeight="1">
      <c r="A674" s="148"/>
      <c r="B674" s="148"/>
      <c r="C674" s="148"/>
      <c r="D674" s="148"/>
      <c r="E674" s="148"/>
      <c r="F674" s="148"/>
      <c r="G674" s="148"/>
      <c r="H674" s="148"/>
    </row>
    <row r="675" ht="15.75" customHeight="1">
      <c r="A675" s="148"/>
      <c r="B675" s="148"/>
      <c r="C675" s="148"/>
      <c r="D675" s="148"/>
      <c r="E675" s="148"/>
      <c r="F675" s="148"/>
      <c r="G675" s="148"/>
      <c r="H675" s="148"/>
    </row>
    <row r="676" ht="15.75" customHeight="1">
      <c r="A676" s="148"/>
      <c r="B676" s="148"/>
      <c r="C676" s="148"/>
      <c r="D676" s="148"/>
      <c r="E676" s="148"/>
      <c r="F676" s="148"/>
      <c r="G676" s="148"/>
      <c r="H676" s="148"/>
    </row>
    <row r="677" ht="15.75" customHeight="1">
      <c r="A677" s="148"/>
      <c r="B677" s="148"/>
      <c r="C677" s="148"/>
      <c r="D677" s="148"/>
      <c r="E677" s="148"/>
      <c r="F677" s="148"/>
      <c r="G677" s="148"/>
      <c r="H677" s="148"/>
    </row>
    <row r="678" ht="15.75" customHeight="1">
      <c r="A678" s="148"/>
      <c r="B678" s="148"/>
      <c r="C678" s="148"/>
      <c r="D678" s="148"/>
      <c r="E678" s="148"/>
      <c r="F678" s="148"/>
      <c r="G678" s="148"/>
      <c r="H678" s="148"/>
    </row>
    <row r="679" ht="15.75" customHeight="1">
      <c r="A679" s="148"/>
      <c r="B679" s="148"/>
      <c r="C679" s="148"/>
      <c r="D679" s="148"/>
      <c r="E679" s="148"/>
      <c r="F679" s="148"/>
      <c r="G679" s="148"/>
      <c r="H679" s="148"/>
    </row>
    <row r="680" ht="15.75" customHeight="1">
      <c r="A680" s="148"/>
      <c r="B680" s="148"/>
      <c r="C680" s="148"/>
      <c r="D680" s="148"/>
      <c r="E680" s="148"/>
      <c r="F680" s="148"/>
      <c r="G680" s="148"/>
      <c r="H680" s="148"/>
    </row>
    <row r="681" ht="15.75" customHeight="1">
      <c r="A681" s="148"/>
      <c r="B681" s="148"/>
      <c r="C681" s="148"/>
      <c r="D681" s="148"/>
      <c r="E681" s="148"/>
      <c r="F681" s="148"/>
      <c r="G681" s="148"/>
      <c r="H681" s="148"/>
    </row>
    <row r="682" ht="15.75" customHeight="1">
      <c r="A682" s="148"/>
      <c r="B682" s="148"/>
      <c r="C682" s="148"/>
      <c r="D682" s="148"/>
      <c r="E682" s="148"/>
      <c r="F682" s="148"/>
      <c r="G682" s="148"/>
      <c r="H682" s="148"/>
    </row>
    <row r="683" ht="15.75" customHeight="1">
      <c r="A683" s="148"/>
      <c r="B683" s="148"/>
      <c r="C683" s="148"/>
      <c r="D683" s="148"/>
      <c r="E683" s="148"/>
      <c r="F683" s="148"/>
      <c r="G683" s="148"/>
      <c r="H683" s="148"/>
    </row>
    <row r="684" ht="15.75" customHeight="1">
      <c r="A684" s="148"/>
      <c r="B684" s="148"/>
      <c r="C684" s="148"/>
      <c r="D684" s="148"/>
      <c r="E684" s="148"/>
      <c r="F684" s="148"/>
      <c r="G684" s="148"/>
      <c r="H684" s="148"/>
    </row>
    <row r="685" ht="15.75" customHeight="1">
      <c r="A685" s="148"/>
      <c r="B685" s="148"/>
      <c r="C685" s="148"/>
      <c r="D685" s="148"/>
      <c r="E685" s="148"/>
      <c r="F685" s="148"/>
      <c r="G685" s="148"/>
      <c r="H685" s="148"/>
    </row>
    <row r="686" ht="15.75" customHeight="1">
      <c r="A686" s="148"/>
      <c r="B686" s="148"/>
      <c r="C686" s="148"/>
      <c r="D686" s="148"/>
      <c r="E686" s="148"/>
      <c r="F686" s="148"/>
      <c r="G686" s="148"/>
      <c r="H686" s="148"/>
    </row>
    <row r="687" ht="15.75" customHeight="1">
      <c r="A687" s="148"/>
      <c r="B687" s="148"/>
      <c r="C687" s="148"/>
      <c r="D687" s="148"/>
      <c r="E687" s="148"/>
      <c r="F687" s="148"/>
      <c r="G687" s="148"/>
      <c r="H687" s="148"/>
    </row>
    <row r="688" ht="15.75" customHeight="1">
      <c r="A688" s="148"/>
      <c r="B688" s="148"/>
      <c r="C688" s="148"/>
      <c r="D688" s="148"/>
      <c r="E688" s="148"/>
      <c r="F688" s="148"/>
      <c r="G688" s="148"/>
      <c r="H688" s="148"/>
    </row>
    <row r="689" ht="15.75" customHeight="1">
      <c r="A689" s="148"/>
      <c r="B689" s="148"/>
      <c r="C689" s="148"/>
      <c r="D689" s="148"/>
      <c r="E689" s="148"/>
      <c r="F689" s="148"/>
      <c r="G689" s="148"/>
      <c r="H689" s="148"/>
    </row>
    <row r="690" ht="15.75" customHeight="1">
      <c r="A690" s="148"/>
      <c r="B690" s="148"/>
      <c r="C690" s="148"/>
      <c r="D690" s="148"/>
      <c r="E690" s="148"/>
      <c r="F690" s="148"/>
      <c r="G690" s="148"/>
      <c r="H690" s="148"/>
    </row>
    <row r="691" ht="15.75" customHeight="1">
      <c r="A691" s="148"/>
      <c r="B691" s="148"/>
      <c r="C691" s="148"/>
      <c r="D691" s="148"/>
      <c r="E691" s="148"/>
      <c r="F691" s="148"/>
      <c r="G691" s="148"/>
      <c r="H691" s="148"/>
    </row>
    <row r="692" ht="15.75" customHeight="1">
      <c r="A692" s="148"/>
      <c r="B692" s="148"/>
      <c r="C692" s="148"/>
      <c r="D692" s="148"/>
      <c r="E692" s="148"/>
      <c r="F692" s="148"/>
      <c r="G692" s="148"/>
      <c r="H692" s="148"/>
    </row>
    <row r="693" ht="15.75" customHeight="1">
      <c r="A693" s="148"/>
      <c r="B693" s="148"/>
      <c r="C693" s="148"/>
      <c r="D693" s="148"/>
      <c r="E693" s="148"/>
      <c r="F693" s="148"/>
      <c r="G693" s="148"/>
      <c r="H693" s="148"/>
    </row>
    <row r="694" ht="15.75" customHeight="1">
      <c r="A694" s="148"/>
      <c r="B694" s="148"/>
      <c r="C694" s="148"/>
      <c r="D694" s="148"/>
      <c r="E694" s="148"/>
      <c r="F694" s="148"/>
      <c r="G694" s="148"/>
      <c r="H694" s="148"/>
    </row>
    <row r="695" ht="15.75" customHeight="1">
      <c r="A695" s="148"/>
      <c r="B695" s="148"/>
      <c r="C695" s="148"/>
      <c r="D695" s="148"/>
      <c r="E695" s="148"/>
      <c r="F695" s="148"/>
      <c r="G695" s="148"/>
      <c r="H695" s="148"/>
    </row>
    <row r="696" ht="15.75" customHeight="1">
      <c r="A696" s="148"/>
      <c r="B696" s="148"/>
      <c r="C696" s="148"/>
      <c r="D696" s="148"/>
      <c r="E696" s="148"/>
      <c r="F696" s="148"/>
      <c r="G696" s="148"/>
      <c r="H696" s="148"/>
    </row>
    <row r="697" ht="15.75" customHeight="1">
      <c r="A697" s="148"/>
      <c r="B697" s="148"/>
      <c r="C697" s="148"/>
      <c r="D697" s="148"/>
      <c r="E697" s="148"/>
      <c r="F697" s="148"/>
      <c r="G697" s="148"/>
      <c r="H697" s="148"/>
    </row>
    <row r="698" ht="15.75" customHeight="1">
      <c r="A698" s="148"/>
      <c r="B698" s="148"/>
      <c r="C698" s="148"/>
      <c r="D698" s="148"/>
      <c r="E698" s="148"/>
      <c r="F698" s="148"/>
      <c r="G698" s="148"/>
      <c r="H698" s="148"/>
    </row>
    <row r="699" ht="15.75" customHeight="1">
      <c r="A699" s="148"/>
      <c r="B699" s="148"/>
      <c r="C699" s="148"/>
      <c r="D699" s="148"/>
      <c r="E699" s="148"/>
      <c r="F699" s="148"/>
      <c r="G699" s="148"/>
      <c r="H699" s="148"/>
    </row>
    <row r="700" ht="15.75" customHeight="1">
      <c r="A700" s="148"/>
      <c r="B700" s="148"/>
      <c r="C700" s="148"/>
      <c r="D700" s="148"/>
      <c r="E700" s="148"/>
      <c r="F700" s="148"/>
      <c r="G700" s="148"/>
      <c r="H700" s="148"/>
    </row>
    <row r="701" ht="15.75" customHeight="1">
      <c r="A701" s="148"/>
      <c r="B701" s="148"/>
      <c r="C701" s="148"/>
      <c r="D701" s="148"/>
      <c r="E701" s="148"/>
      <c r="F701" s="148"/>
      <c r="G701" s="148"/>
      <c r="H701" s="148"/>
    </row>
    <row r="702" ht="15.75" customHeight="1">
      <c r="A702" s="148"/>
      <c r="B702" s="148"/>
      <c r="C702" s="148"/>
      <c r="D702" s="148"/>
      <c r="E702" s="148"/>
      <c r="F702" s="148"/>
      <c r="G702" s="148"/>
      <c r="H702" s="148"/>
    </row>
    <row r="703" ht="15.75" customHeight="1">
      <c r="A703" s="148"/>
      <c r="B703" s="148"/>
      <c r="C703" s="148"/>
      <c r="D703" s="148"/>
      <c r="E703" s="148"/>
      <c r="F703" s="148"/>
      <c r="G703" s="148"/>
      <c r="H703" s="148"/>
    </row>
    <row r="704" ht="15.75" customHeight="1">
      <c r="A704" s="148"/>
      <c r="B704" s="148"/>
      <c r="C704" s="148"/>
      <c r="D704" s="148"/>
      <c r="E704" s="148"/>
      <c r="F704" s="148"/>
      <c r="G704" s="148"/>
      <c r="H704" s="148"/>
    </row>
    <row r="705" ht="15.75" customHeight="1">
      <c r="A705" s="148"/>
      <c r="B705" s="148"/>
      <c r="C705" s="148"/>
      <c r="D705" s="148"/>
      <c r="E705" s="148"/>
      <c r="F705" s="148"/>
      <c r="G705" s="148"/>
      <c r="H705" s="148"/>
    </row>
    <row r="706" ht="15.75" customHeight="1">
      <c r="A706" s="148"/>
      <c r="B706" s="148"/>
      <c r="C706" s="148"/>
      <c r="D706" s="148"/>
      <c r="E706" s="148"/>
      <c r="F706" s="148"/>
      <c r="G706" s="148"/>
      <c r="H706" s="148"/>
    </row>
    <row r="707" ht="15.75" customHeight="1">
      <c r="A707" s="148"/>
      <c r="B707" s="148"/>
      <c r="C707" s="148"/>
      <c r="D707" s="148"/>
      <c r="E707" s="148"/>
      <c r="F707" s="148"/>
      <c r="G707" s="148"/>
      <c r="H707" s="148"/>
    </row>
    <row r="708" ht="15.75" customHeight="1">
      <c r="A708" s="148"/>
      <c r="B708" s="148"/>
      <c r="C708" s="148"/>
      <c r="D708" s="148"/>
      <c r="E708" s="148"/>
      <c r="F708" s="148"/>
      <c r="G708" s="148"/>
      <c r="H708" s="148"/>
    </row>
    <row r="709" ht="15.75" customHeight="1">
      <c r="A709" s="148"/>
      <c r="B709" s="148"/>
      <c r="C709" s="148"/>
      <c r="D709" s="148"/>
      <c r="E709" s="148"/>
      <c r="F709" s="148"/>
      <c r="G709" s="148"/>
      <c r="H709" s="148"/>
    </row>
    <row r="710" ht="15.75" customHeight="1">
      <c r="A710" s="148"/>
      <c r="B710" s="148"/>
      <c r="C710" s="148"/>
      <c r="D710" s="148"/>
      <c r="E710" s="148"/>
      <c r="F710" s="148"/>
      <c r="G710" s="148"/>
      <c r="H710" s="148"/>
    </row>
    <row r="711" ht="15.75" customHeight="1">
      <c r="A711" s="148"/>
      <c r="B711" s="148"/>
      <c r="C711" s="148"/>
      <c r="D711" s="148"/>
      <c r="E711" s="148"/>
      <c r="F711" s="148"/>
      <c r="G711" s="148"/>
      <c r="H711" s="148"/>
    </row>
    <row r="712" ht="15.75" customHeight="1">
      <c r="A712" s="148"/>
      <c r="B712" s="148"/>
      <c r="C712" s="148"/>
      <c r="D712" s="148"/>
      <c r="E712" s="148"/>
      <c r="F712" s="148"/>
      <c r="G712" s="148"/>
      <c r="H712" s="148"/>
    </row>
    <row r="713" ht="15.75" customHeight="1">
      <c r="A713" s="148"/>
      <c r="B713" s="148"/>
      <c r="C713" s="148"/>
      <c r="D713" s="148"/>
      <c r="E713" s="148"/>
      <c r="F713" s="148"/>
      <c r="G713" s="148"/>
      <c r="H713" s="148"/>
    </row>
    <row r="714" ht="15.75" customHeight="1">
      <c r="A714" s="148"/>
      <c r="B714" s="148"/>
      <c r="C714" s="148"/>
      <c r="D714" s="148"/>
      <c r="E714" s="148"/>
      <c r="F714" s="148"/>
      <c r="G714" s="148"/>
      <c r="H714" s="148"/>
    </row>
    <row r="715" ht="15.75" customHeight="1">
      <c r="A715" s="148"/>
      <c r="B715" s="148"/>
      <c r="C715" s="148"/>
      <c r="D715" s="148"/>
      <c r="E715" s="148"/>
      <c r="F715" s="148"/>
      <c r="G715" s="148"/>
      <c r="H715" s="148"/>
    </row>
    <row r="716" ht="15.75" customHeight="1">
      <c r="A716" s="148"/>
      <c r="B716" s="148"/>
      <c r="C716" s="148"/>
      <c r="D716" s="148"/>
      <c r="E716" s="148"/>
      <c r="F716" s="148"/>
      <c r="G716" s="148"/>
      <c r="H716" s="148"/>
    </row>
    <row r="717" ht="15.75" customHeight="1">
      <c r="A717" s="148"/>
      <c r="B717" s="148"/>
      <c r="C717" s="148"/>
      <c r="D717" s="148"/>
      <c r="E717" s="148"/>
      <c r="F717" s="148"/>
      <c r="G717" s="148"/>
      <c r="H717" s="148"/>
    </row>
    <row r="718" ht="15.75" customHeight="1">
      <c r="A718" s="148"/>
      <c r="B718" s="148"/>
      <c r="C718" s="148"/>
      <c r="D718" s="148"/>
      <c r="E718" s="148"/>
      <c r="F718" s="148"/>
      <c r="G718" s="148"/>
      <c r="H718" s="148"/>
    </row>
    <row r="719" ht="15.75" customHeight="1">
      <c r="A719" s="148"/>
      <c r="B719" s="148"/>
      <c r="C719" s="148"/>
      <c r="D719" s="148"/>
      <c r="E719" s="148"/>
      <c r="F719" s="148"/>
      <c r="G719" s="148"/>
      <c r="H719" s="148"/>
    </row>
    <row r="720" ht="15.75" customHeight="1">
      <c r="A720" s="148"/>
      <c r="B720" s="148"/>
      <c r="C720" s="148"/>
      <c r="D720" s="148"/>
      <c r="E720" s="148"/>
      <c r="F720" s="148"/>
      <c r="G720" s="148"/>
      <c r="H720" s="148"/>
    </row>
    <row r="721" ht="15.75" customHeight="1">
      <c r="A721" s="148"/>
      <c r="B721" s="148"/>
      <c r="C721" s="148"/>
      <c r="D721" s="148"/>
      <c r="E721" s="148"/>
      <c r="F721" s="148"/>
      <c r="G721" s="148"/>
      <c r="H721" s="148"/>
    </row>
    <row r="722" ht="15.75" customHeight="1">
      <c r="A722" s="148"/>
      <c r="B722" s="148"/>
      <c r="C722" s="148"/>
      <c r="D722" s="148"/>
      <c r="E722" s="148"/>
      <c r="F722" s="148"/>
      <c r="G722" s="148"/>
      <c r="H722" s="148"/>
    </row>
    <row r="723" ht="15.75" customHeight="1">
      <c r="A723" s="148"/>
      <c r="B723" s="148"/>
      <c r="C723" s="148"/>
      <c r="D723" s="148"/>
      <c r="E723" s="148"/>
      <c r="F723" s="148"/>
      <c r="G723" s="148"/>
      <c r="H723" s="148"/>
    </row>
    <row r="724" ht="15.75" customHeight="1">
      <c r="A724" s="148"/>
      <c r="B724" s="148"/>
      <c r="C724" s="148"/>
      <c r="D724" s="148"/>
      <c r="E724" s="148"/>
      <c r="F724" s="148"/>
      <c r="G724" s="148"/>
      <c r="H724" s="148"/>
    </row>
    <row r="725" ht="15.75" customHeight="1">
      <c r="A725" s="148"/>
      <c r="B725" s="148"/>
      <c r="C725" s="148"/>
      <c r="D725" s="148"/>
      <c r="E725" s="148"/>
      <c r="F725" s="148"/>
      <c r="G725" s="148"/>
      <c r="H725" s="148"/>
    </row>
    <row r="726" ht="15.75" customHeight="1">
      <c r="A726" s="148"/>
      <c r="B726" s="148"/>
      <c r="C726" s="148"/>
      <c r="D726" s="148"/>
      <c r="E726" s="148"/>
      <c r="F726" s="148"/>
      <c r="G726" s="148"/>
      <c r="H726" s="148"/>
    </row>
    <row r="727" ht="15.75" customHeight="1">
      <c r="A727" s="148"/>
      <c r="B727" s="148"/>
      <c r="C727" s="148"/>
      <c r="D727" s="148"/>
      <c r="E727" s="148"/>
      <c r="F727" s="148"/>
      <c r="G727" s="148"/>
      <c r="H727" s="148"/>
    </row>
    <row r="728" ht="15.75" customHeight="1">
      <c r="A728" s="148"/>
      <c r="B728" s="148"/>
      <c r="C728" s="148"/>
      <c r="D728" s="148"/>
      <c r="E728" s="148"/>
      <c r="F728" s="148"/>
      <c r="G728" s="148"/>
      <c r="H728" s="148"/>
    </row>
    <row r="729" ht="15.75" customHeight="1">
      <c r="A729" s="148"/>
      <c r="B729" s="148"/>
      <c r="C729" s="148"/>
      <c r="D729" s="148"/>
      <c r="E729" s="148"/>
      <c r="F729" s="148"/>
      <c r="G729" s="148"/>
      <c r="H729" s="148"/>
    </row>
    <row r="730" ht="15.75" customHeight="1">
      <c r="A730" s="148"/>
      <c r="B730" s="148"/>
      <c r="C730" s="148"/>
      <c r="D730" s="148"/>
      <c r="E730" s="148"/>
      <c r="F730" s="148"/>
      <c r="G730" s="148"/>
      <c r="H730" s="148"/>
    </row>
    <row r="731" ht="15.75" customHeight="1">
      <c r="A731" s="148"/>
      <c r="B731" s="148"/>
      <c r="C731" s="148"/>
      <c r="D731" s="148"/>
      <c r="E731" s="148"/>
      <c r="F731" s="148"/>
      <c r="G731" s="148"/>
      <c r="H731" s="148"/>
    </row>
    <row r="732" ht="15.75" customHeight="1">
      <c r="A732" s="148"/>
      <c r="B732" s="148"/>
      <c r="C732" s="148"/>
      <c r="D732" s="148"/>
      <c r="E732" s="148"/>
      <c r="F732" s="148"/>
      <c r="G732" s="148"/>
      <c r="H732" s="148"/>
    </row>
    <row r="733" ht="15.75" customHeight="1">
      <c r="A733" s="148"/>
      <c r="B733" s="148"/>
      <c r="C733" s="148"/>
      <c r="D733" s="148"/>
      <c r="E733" s="148"/>
      <c r="F733" s="148"/>
      <c r="G733" s="148"/>
      <c r="H733" s="148"/>
    </row>
    <row r="734" ht="15.75" customHeight="1">
      <c r="A734" s="148"/>
      <c r="B734" s="148"/>
      <c r="C734" s="148"/>
      <c r="D734" s="148"/>
      <c r="E734" s="148"/>
      <c r="F734" s="148"/>
      <c r="G734" s="148"/>
      <c r="H734" s="148"/>
    </row>
    <row r="735" ht="15.75" customHeight="1">
      <c r="A735" s="148"/>
      <c r="B735" s="148"/>
      <c r="C735" s="148"/>
      <c r="D735" s="148"/>
      <c r="E735" s="148"/>
      <c r="F735" s="148"/>
      <c r="G735" s="148"/>
      <c r="H735" s="148"/>
    </row>
    <row r="736" ht="15.75" customHeight="1">
      <c r="A736" s="148"/>
      <c r="B736" s="148"/>
      <c r="C736" s="148"/>
      <c r="D736" s="148"/>
      <c r="E736" s="148"/>
      <c r="F736" s="148"/>
      <c r="G736" s="148"/>
      <c r="H736" s="148"/>
    </row>
    <row r="737" ht="15.75" customHeight="1">
      <c r="A737" s="148"/>
      <c r="B737" s="148"/>
      <c r="C737" s="148"/>
      <c r="D737" s="148"/>
      <c r="E737" s="148"/>
      <c r="F737" s="148"/>
      <c r="G737" s="148"/>
      <c r="H737" s="148"/>
    </row>
    <row r="738" ht="15.75" customHeight="1">
      <c r="A738" s="148"/>
      <c r="B738" s="148"/>
      <c r="C738" s="148"/>
      <c r="D738" s="148"/>
      <c r="E738" s="148"/>
      <c r="F738" s="148"/>
      <c r="G738" s="148"/>
      <c r="H738" s="148"/>
    </row>
    <row r="739" ht="15.75" customHeight="1">
      <c r="A739" s="148"/>
      <c r="B739" s="148"/>
      <c r="C739" s="148"/>
      <c r="D739" s="148"/>
      <c r="E739" s="148"/>
      <c r="F739" s="148"/>
      <c r="G739" s="148"/>
      <c r="H739" s="148"/>
    </row>
    <row r="740" ht="15.75" customHeight="1">
      <c r="A740" s="148"/>
      <c r="B740" s="148"/>
      <c r="C740" s="148"/>
      <c r="D740" s="148"/>
      <c r="E740" s="148"/>
      <c r="F740" s="148"/>
      <c r="G740" s="148"/>
      <c r="H740" s="148"/>
    </row>
    <row r="741" ht="15.75" customHeight="1">
      <c r="A741" s="148"/>
      <c r="B741" s="148"/>
      <c r="C741" s="148"/>
      <c r="D741" s="148"/>
      <c r="E741" s="148"/>
      <c r="F741" s="148"/>
      <c r="G741" s="148"/>
      <c r="H741" s="148"/>
    </row>
    <row r="742" ht="15.75" customHeight="1">
      <c r="A742" s="148"/>
      <c r="B742" s="148"/>
      <c r="C742" s="148"/>
      <c r="D742" s="148"/>
      <c r="E742" s="148"/>
      <c r="F742" s="148"/>
      <c r="G742" s="148"/>
      <c r="H742" s="148"/>
    </row>
    <row r="743" ht="15.75" customHeight="1">
      <c r="A743" s="148"/>
      <c r="B743" s="148"/>
      <c r="C743" s="148"/>
      <c r="D743" s="148"/>
      <c r="E743" s="148"/>
      <c r="F743" s="148"/>
      <c r="G743" s="148"/>
      <c r="H743" s="148"/>
    </row>
    <row r="744" ht="15.75" customHeight="1">
      <c r="A744" s="148"/>
      <c r="B744" s="148"/>
      <c r="C744" s="148"/>
      <c r="D744" s="148"/>
      <c r="E744" s="148"/>
      <c r="F744" s="148"/>
      <c r="G744" s="148"/>
      <c r="H744" s="148"/>
    </row>
    <row r="745" ht="15.75" customHeight="1">
      <c r="A745" s="148"/>
      <c r="B745" s="148"/>
      <c r="C745" s="148"/>
      <c r="D745" s="148"/>
      <c r="E745" s="148"/>
      <c r="F745" s="148"/>
      <c r="G745" s="148"/>
      <c r="H745" s="148"/>
    </row>
    <row r="746" ht="15.75" customHeight="1">
      <c r="A746" s="148"/>
      <c r="B746" s="148"/>
      <c r="C746" s="148"/>
      <c r="D746" s="148"/>
      <c r="E746" s="148"/>
      <c r="F746" s="148"/>
      <c r="G746" s="148"/>
      <c r="H746" s="148"/>
    </row>
    <row r="747" ht="15.75" customHeight="1">
      <c r="A747" s="148"/>
      <c r="B747" s="148"/>
      <c r="C747" s="148"/>
      <c r="D747" s="148"/>
      <c r="E747" s="148"/>
      <c r="F747" s="148"/>
      <c r="G747" s="148"/>
      <c r="H747" s="148"/>
    </row>
    <row r="748" ht="15.75" customHeight="1">
      <c r="A748" s="148"/>
      <c r="B748" s="148"/>
      <c r="C748" s="148"/>
      <c r="D748" s="148"/>
      <c r="E748" s="148"/>
      <c r="F748" s="148"/>
      <c r="G748" s="148"/>
      <c r="H748" s="148"/>
    </row>
    <row r="749" ht="15.75" customHeight="1">
      <c r="A749" s="148"/>
      <c r="B749" s="148"/>
      <c r="C749" s="148"/>
      <c r="D749" s="148"/>
      <c r="E749" s="148"/>
      <c r="F749" s="148"/>
      <c r="G749" s="148"/>
      <c r="H749" s="148"/>
    </row>
    <row r="750" ht="15.75" customHeight="1">
      <c r="A750" s="148"/>
      <c r="B750" s="148"/>
      <c r="C750" s="148"/>
      <c r="D750" s="148"/>
      <c r="E750" s="148"/>
      <c r="F750" s="148"/>
      <c r="G750" s="148"/>
      <c r="H750" s="148"/>
    </row>
    <row r="751" ht="15.75" customHeight="1">
      <c r="A751" s="148"/>
      <c r="B751" s="148"/>
      <c r="C751" s="148"/>
      <c r="D751" s="148"/>
      <c r="E751" s="148"/>
      <c r="F751" s="148"/>
      <c r="G751" s="148"/>
      <c r="H751" s="148"/>
    </row>
    <row r="752" ht="15.75" customHeight="1">
      <c r="A752" s="148"/>
      <c r="B752" s="148"/>
      <c r="C752" s="148"/>
      <c r="D752" s="148"/>
      <c r="E752" s="148"/>
      <c r="F752" s="148"/>
      <c r="G752" s="148"/>
      <c r="H752" s="148"/>
    </row>
    <row r="753" ht="15.75" customHeight="1">
      <c r="A753" s="148"/>
      <c r="B753" s="148"/>
      <c r="C753" s="148"/>
      <c r="D753" s="148"/>
      <c r="E753" s="148"/>
      <c r="F753" s="148"/>
      <c r="G753" s="148"/>
      <c r="H753" s="148"/>
    </row>
    <row r="754" ht="15.75" customHeight="1">
      <c r="A754" s="148"/>
      <c r="B754" s="148"/>
      <c r="C754" s="148"/>
      <c r="D754" s="148"/>
      <c r="E754" s="148"/>
      <c r="F754" s="148"/>
      <c r="G754" s="148"/>
      <c r="H754" s="148"/>
    </row>
    <row r="755" ht="15.75" customHeight="1">
      <c r="A755" s="148"/>
      <c r="B755" s="148"/>
      <c r="C755" s="148"/>
      <c r="D755" s="148"/>
      <c r="E755" s="148"/>
      <c r="F755" s="148"/>
      <c r="G755" s="148"/>
      <c r="H755" s="148"/>
    </row>
    <row r="756" ht="15.75" customHeight="1">
      <c r="A756" s="148"/>
      <c r="B756" s="148"/>
      <c r="C756" s="148"/>
      <c r="D756" s="148"/>
      <c r="E756" s="148"/>
      <c r="F756" s="148"/>
      <c r="G756" s="148"/>
      <c r="H756" s="148"/>
    </row>
    <row r="757" ht="15.75" customHeight="1">
      <c r="A757" s="148"/>
      <c r="B757" s="148"/>
      <c r="C757" s="148"/>
      <c r="D757" s="148"/>
      <c r="E757" s="148"/>
      <c r="F757" s="148"/>
      <c r="G757" s="148"/>
      <c r="H757" s="148"/>
    </row>
    <row r="758" ht="15.75" customHeight="1">
      <c r="A758" s="148"/>
      <c r="B758" s="148"/>
      <c r="C758" s="148"/>
      <c r="D758" s="148"/>
      <c r="E758" s="148"/>
      <c r="F758" s="148"/>
      <c r="G758" s="148"/>
      <c r="H758" s="148"/>
    </row>
    <row r="759" ht="15.75" customHeight="1">
      <c r="A759" s="148"/>
      <c r="B759" s="148"/>
      <c r="C759" s="148"/>
      <c r="D759" s="148"/>
      <c r="E759" s="148"/>
      <c r="F759" s="148"/>
      <c r="G759" s="148"/>
      <c r="H759" s="148"/>
    </row>
    <row r="760" ht="15.75" customHeight="1">
      <c r="A760" s="148"/>
      <c r="B760" s="148"/>
      <c r="C760" s="148"/>
      <c r="D760" s="148"/>
      <c r="E760" s="148"/>
      <c r="F760" s="148"/>
      <c r="G760" s="148"/>
      <c r="H760" s="148"/>
    </row>
    <row r="761" ht="15.75" customHeight="1">
      <c r="A761" s="148"/>
      <c r="B761" s="148"/>
      <c r="C761" s="148"/>
      <c r="D761" s="148"/>
      <c r="E761" s="148"/>
      <c r="F761" s="148"/>
      <c r="G761" s="148"/>
      <c r="H761" s="148"/>
    </row>
    <row r="762" ht="15.75" customHeight="1">
      <c r="A762" s="148"/>
      <c r="B762" s="148"/>
      <c r="C762" s="148"/>
      <c r="D762" s="148"/>
      <c r="E762" s="148"/>
      <c r="F762" s="148"/>
      <c r="G762" s="148"/>
      <c r="H762" s="148"/>
    </row>
    <row r="763" ht="15.75" customHeight="1">
      <c r="A763" s="148"/>
      <c r="B763" s="148"/>
      <c r="C763" s="148"/>
      <c r="D763" s="148"/>
      <c r="E763" s="148"/>
      <c r="F763" s="148"/>
      <c r="G763" s="148"/>
      <c r="H763" s="148"/>
    </row>
    <row r="764" ht="15.75" customHeight="1">
      <c r="A764" s="148"/>
      <c r="B764" s="148"/>
      <c r="C764" s="148"/>
      <c r="D764" s="148"/>
      <c r="E764" s="148"/>
      <c r="F764" s="148"/>
      <c r="G764" s="148"/>
      <c r="H764" s="148"/>
    </row>
    <row r="765" ht="15.75" customHeight="1">
      <c r="A765" s="148"/>
      <c r="B765" s="148"/>
      <c r="C765" s="148"/>
      <c r="D765" s="148"/>
      <c r="E765" s="148"/>
      <c r="F765" s="148"/>
      <c r="G765" s="148"/>
      <c r="H765" s="148"/>
    </row>
    <row r="766" ht="15.75" customHeight="1">
      <c r="A766" s="148"/>
      <c r="B766" s="148"/>
      <c r="C766" s="148"/>
      <c r="D766" s="148"/>
      <c r="E766" s="148"/>
      <c r="F766" s="148"/>
      <c r="G766" s="148"/>
      <c r="H766" s="148"/>
    </row>
    <row r="767" ht="15.75" customHeight="1">
      <c r="A767" s="148"/>
      <c r="B767" s="148"/>
      <c r="C767" s="148"/>
      <c r="D767" s="148"/>
      <c r="E767" s="148"/>
      <c r="F767" s="148"/>
      <c r="G767" s="148"/>
      <c r="H767" s="148"/>
    </row>
    <row r="768" ht="15.75" customHeight="1">
      <c r="A768" s="148"/>
      <c r="B768" s="148"/>
      <c r="C768" s="148"/>
      <c r="D768" s="148"/>
      <c r="E768" s="148"/>
      <c r="F768" s="148"/>
      <c r="G768" s="148"/>
      <c r="H768" s="148"/>
    </row>
    <row r="769" ht="15.75" customHeight="1">
      <c r="A769" s="148"/>
      <c r="B769" s="148"/>
      <c r="C769" s="148"/>
      <c r="D769" s="148"/>
      <c r="E769" s="148"/>
      <c r="F769" s="148"/>
      <c r="G769" s="148"/>
      <c r="H769" s="148"/>
    </row>
    <row r="770" ht="15.75" customHeight="1">
      <c r="A770" s="148"/>
      <c r="B770" s="148"/>
      <c r="C770" s="148"/>
      <c r="D770" s="148"/>
      <c r="E770" s="148"/>
      <c r="F770" s="148"/>
      <c r="G770" s="148"/>
      <c r="H770" s="148"/>
    </row>
    <row r="771" ht="15.75" customHeight="1">
      <c r="A771" s="148"/>
      <c r="B771" s="148"/>
      <c r="C771" s="148"/>
      <c r="D771" s="148"/>
      <c r="E771" s="148"/>
      <c r="F771" s="148"/>
      <c r="G771" s="148"/>
      <c r="H771" s="148"/>
    </row>
    <row r="772" ht="15.75" customHeight="1">
      <c r="A772" s="148"/>
      <c r="B772" s="148"/>
      <c r="C772" s="148"/>
      <c r="D772" s="148"/>
      <c r="E772" s="148"/>
      <c r="F772" s="148"/>
      <c r="G772" s="148"/>
      <c r="H772" s="148"/>
    </row>
    <row r="773" ht="15.75" customHeight="1">
      <c r="A773" s="148"/>
      <c r="B773" s="148"/>
      <c r="C773" s="148"/>
      <c r="D773" s="148"/>
      <c r="E773" s="148"/>
      <c r="F773" s="148"/>
      <c r="G773" s="148"/>
      <c r="H773" s="148"/>
    </row>
    <row r="774" ht="15.75" customHeight="1">
      <c r="A774" s="148"/>
      <c r="B774" s="148"/>
      <c r="C774" s="148"/>
      <c r="D774" s="148"/>
      <c r="E774" s="148"/>
      <c r="F774" s="148"/>
      <c r="G774" s="148"/>
      <c r="H774" s="148"/>
    </row>
    <row r="775" ht="15.75" customHeight="1">
      <c r="A775" s="148"/>
      <c r="B775" s="148"/>
      <c r="C775" s="148"/>
      <c r="D775" s="148"/>
      <c r="E775" s="148"/>
      <c r="F775" s="148"/>
      <c r="G775" s="148"/>
      <c r="H775" s="148"/>
    </row>
    <row r="776" ht="15.75" customHeight="1">
      <c r="A776" s="148"/>
      <c r="B776" s="148"/>
      <c r="C776" s="148"/>
      <c r="D776" s="148"/>
      <c r="E776" s="148"/>
      <c r="F776" s="148"/>
      <c r="G776" s="148"/>
      <c r="H776" s="148"/>
    </row>
    <row r="777" ht="15.75" customHeight="1">
      <c r="A777" s="148"/>
      <c r="B777" s="148"/>
      <c r="C777" s="148"/>
      <c r="D777" s="148"/>
      <c r="E777" s="148"/>
      <c r="F777" s="148"/>
      <c r="G777" s="148"/>
      <c r="H777" s="148"/>
    </row>
    <row r="778" ht="15.75" customHeight="1">
      <c r="A778" s="148"/>
      <c r="B778" s="148"/>
      <c r="C778" s="148"/>
      <c r="D778" s="148"/>
      <c r="E778" s="148"/>
      <c r="F778" s="148"/>
      <c r="G778" s="148"/>
      <c r="H778" s="148"/>
    </row>
    <row r="779" ht="15.75" customHeight="1">
      <c r="A779" s="148"/>
      <c r="B779" s="148"/>
      <c r="C779" s="148"/>
      <c r="D779" s="148"/>
      <c r="E779" s="148"/>
      <c r="F779" s="148"/>
      <c r="G779" s="148"/>
      <c r="H779" s="148"/>
    </row>
    <row r="780" ht="15.75" customHeight="1">
      <c r="A780" s="148"/>
      <c r="B780" s="148"/>
      <c r="C780" s="148"/>
      <c r="D780" s="148"/>
      <c r="E780" s="148"/>
      <c r="F780" s="148"/>
      <c r="G780" s="148"/>
      <c r="H780" s="148"/>
    </row>
    <row r="781" ht="15.75" customHeight="1">
      <c r="A781" s="148"/>
      <c r="B781" s="148"/>
      <c r="C781" s="148"/>
      <c r="D781" s="148"/>
      <c r="E781" s="148"/>
      <c r="F781" s="148"/>
      <c r="G781" s="148"/>
      <c r="H781" s="148"/>
    </row>
    <row r="782" ht="15.75" customHeight="1">
      <c r="A782" s="148"/>
      <c r="B782" s="148"/>
      <c r="C782" s="148"/>
      <c r="D782" s="148"/>
      <c r="E782" s="148"/>
      <c r="F782" s="148"/>
      <c r="G782" s="148"/>
      <c r="H782" s="148"/>
    </row>
    <row r="783" ht="15.75" customHeight="1">
      <c r="A783" s="148"/>
      <c r="B783" s="148"/>
      <c r="C783" s="148"/>
      <c r="D783" s="148"/>
      <c r="E783" s="148"/>
      <c r="F783" s="148"/>
      <c r="G783" s="148"/>
      <c r="H783" s="148"/>
    </row>
    <row r="784" ht="15.75" customHeight="1">
      <c r="A784" s="148"/>
      <c r="B784" s="148"/>
      <c r="C784" s="148"/>
      <c r="D784" s="148"/>
      <c r="E784" s="148"/>
      <c r="F784" s="148"/>
      <c r="G784" s="148"/>
      <c r="H784" s="148"/>
    </row>
    <row r="785" ht="15.75" customHeight="1">
      <c r="A785" s="148"/>
      <c r="B785" s="148"/>
      <c r="C785" s="148"/>
      <c r="D785" s="148"/>
      <c r="E785" s="148"/>
      <c r="F785" s="148"/>
      <c r="G785" s="148"/>
      <c r="H785" s="148"/>
    </row>
    <row r="786" ht="15.75" customHeight="1">
      <c r="A786" s="148"/>
      <c r="B786" s="148"/>
      <c r="C786" s="148"/>
      <c r="D786" s="148"/>
      <c r="E786" s="148"/>
      <c r="F786" s="148"/>
      <c r="G786" s="148"/>
      <c r="H786" s="148"/>
    </row>
    <row r="787" ht="15.75" customHeight="1">
      <c r="A787" s="148"/>
      <c r="B787" s="148"/>
      <c r="C787" s="148"/>
      <c r="D787" s="148"/>
      <c r="E787" s="148"/>
      <c r="F787" s="148"/>
      <c r="G787" s="148"/>
      <c r="H787" s="148"/>
    </row>
    <row r="788" ht="15.75" customHeight="1">
      <c r="A788" s="148"/>
      <c r="B788" s="148"/>
      <c r="C788" s="148"/>
      <c r="D788" s="148"/>
      <c r="E788" s="148"/>
      <c r="F788" s="148"/>
      <c r="G788" s="148"/>
      <c r="H788" s="148"/>
    </row>
    <row r="789" ht="15.75" customHeight="1">
      <c r="A789" s="148"/>
      <c r="B789" s="148"/>
      <c r="C789" s="148"/>
      <c r="D789" s="148"/>
      <c r="E789" s="148"/>
      <c r="F789" s="148"/>
      <c r="G789" s="148"/>
      <c r="H789" s="148"/>
    </row>
    <row r="790" ht="15.75" customHeight="1">
      <c r="A790" s="148"/>
      <c r="B790" s="148"/>
      <c r="C790" s="148"/>
      <c r="D790" s="148"/>
      <c r="E790" s="148"/>
      <c r="F790" s="148"/>
      <c r="G790" s="148"/>
      <c r="H790" s="148"/>
    </row>
    <row r="791" ht="15.75" customHeight="1">
      <c r="A791" s="148"/>
      <c r="B791" s="148"/>
      <c r="C791" s="148"/>
      <c r="D791" s="148"/>
      <c r="E791" s="148"/>
      <c r="F791" s="148"/>
      <c r="G791" s="148"/>
      <c r="H791" s="148"/>
    </row>
    <row r="792" ht="15.75" customHeight="1">
      <c r="A792" s="148"/>
      <c r="B792" s="148"/>
      <c r="C792" s="148"/>
      <c r="D792" s="148"/>
      <c r="E792" s="148"/>
      <c r="F792" s="148"/>
      <c r="G792" s="148"/>
      <c r="H792" s="148"/>
    </row>
    <row r="793" ht="15.75" customHeight="1">
      <c r="A793" s="148"/>
      <c r="B793" s="148"/>
      <c r="C793" s="148"/>
      <c r="D793" s="148"/>
      <c r="E793" s="148"/>
      <c r="F793" s="148"/>
      <c r="G793" s="148"/>
      <c r="H793" s="148"/>
    </row>
    <row r="794" ht="15.75" customHeight="1">
      <c r="A794" s="148"/>
      <c r="B794" s="148"/>
      <c r="C794" s="148"/>
      <c r="D794" s="148"/>
      <c r="E794" s="148"/>
      <c r="F794" s="148"/>
      <c r="G794" s="148"/>
      <c r="H794" s="148"/>
    </row>
    <row r="795" ht="15.75" customHeight="1">
      <c r="A795" s="148"/>
      <c r="B795" s="148"/>
      <c r="C795" s="148"/>
      <c r="D795" s="148"/>
      <c r="E795" s="148"/>
      <c r="F795" s="148"/>
      <c r="G795" s="148"/>
      <c r="H795" s="148"/>
    </row>
    <row r="796" ht="15.75" customHeight="1">
      <c r="A796" s="148"/>
      <c r="B796" s="148"/>
      <c r="C796" s="148"/>
      <c r="D796" s="148"/>
      <c r="E796" s="148"/>
      <c r="F796" s="148"/>
      <c r="G796" s="148"/>
      <c r="H796" s="148"/>
    </row>
    <row r="797" ht="15.75" customHeight="1">
      <c r="A797" s="148"/>
      <c r="B797" s="148"/>
      <c r="C797" s="148"/>
      <c r="D797" s="148"/>
      <c r="E797" s="148"/>
      <c r="F797" s="148"/>
      <c r="G797" s="148"/>
      <c r="H797" s="148"/>
    </row>
    <row r="798" ht="15.75" customHeight="1">
      <c r="A798" s="148"/>
      <c r="B798" s="148"/>
      <c r="C798" s="148"/>
      <c r="D798" s="148"/>
      <c r="E798" s="148"/>
      <c r="F798" s="148"/>
      <c r="G798" s="148"/>
      <c r="H798" s="148"/>
    </row>
    <row r="799" ht="15.75" customHeight="1">
      <c r="A799" s="148"/>
      <c r="B799" s="148"/>
      <c r="C799" s="148"/>
      <c r="D799" s="148"/>
      <c r="E799" s="148"/>
      <c r="F799" s="148"/>
      <c r="G799" s="148"/>
      <c r="H799" s="148"/>
    </row>
    <row r="800" ht="15.75" customHeight="1">
      <c r="A800" s="148"/>
      <c r="B800" s="148"/>
      <c r="C800" s="148"/>
      <c r="D800" s="148"/>
      <c r="E800" s="148"/>
      <c r="F800" s="148"/>
      <c r="G800" s="148"/>
      <c r="H800" s="148"/>
    </row>
    <row r="801" ht="15.75" customHeight="1">
      <c r="A801" s="148"/>
      <c r="B801" s="148"/>
      <c r="C801" s="148"/>
      <c r="D801" s="148"/>
      <c r="E801" s="148"/>
      <c r="F801" s="148"/>
      <c r="G801" s="148"/>
      <c r="H801" s="148"/>
    </row>
    <row r="802" ht="15.75" customHeight="1">
      <c r="A802" s="148"/>
      <c r="B802" s="148"/>
      <c r="C802" s="148"/>
      <c r="D802" s="148"/>
      <c r="E802" s="148"/>
      <c r="F802" s="148"/>
      <c r="G802" s="148"/>
      <c r="H802" s="148"/>
    </row>
    <row r="803" ht="15.75" customHeight="1">
      <c r="A803" s="148"/>
      <c r="B803" s="148"/>
      <c r="C803" s="148"/>
      <c r="D803" s="148"/>
      <c r="E803" s="148"/>
      <c r="F803" s="148"/>
      <c r="G803" s="148"/>
      <c r="H803" s="148"/>
    </row>
    <row r="804" ht="15.75" customHeight="1">
      <c r="A804" s="148"/>
      <c r="B804" s="148"/>
      <c r="C804" s="148"/>
      <c r="D804" s="148"/>
      <c r="E804" s="148"/>
      <c r="F804" s="148"/>
      <c r="G804" s="148"/>
      <c r="H804" s="148"/>
    </row>
    <row r="805" ht="15.75" customHeight="1">
      <c r="A805" s="148"/>
      <c r="B805" s="148"/>
      <c r="C805" s="148"/>
      <c r="D805" s="148"/>
      <c r="E805" s="148"/>
      <c r="F805" s="148"/>
      <c r="G805" s="148"/>
      <c r="H805" s="148"/>
    </row>
    <row r="806" ht="15.75" customHeight="1">
      <c r="A806" s="148"/>
      <c r="B806" s="148"/>
      <c r="C806" s="148"/>
      <c r="D806" s="148"/>
      <c r="E806" s="148"/>
      <c r="F806" s="148"/>
      <c r="G806" s="148"/>
      <c r="H806" s="148"/>
    </row>
    <row r="807" ht="15.75" customHeight="1">
      <c r="A807" s="148"/>
      <c r="B807" s="148"/>
      <c r="C807" s="148"/>
      <c r="D807" s="148"/>
      <c r="E807" s="148"/>
      <c r="F807" s="148"/>
      <c r="G807" s="148"/>
      <c r="H807" s="148"/>
    </row>
    <row r="808" ht="15.75" customHeight="1">
      <c r="A808" s="148"/>
      <c r="B808" s="148"/>
      <c r="C808" s="148"/>
      <c r="D808" s="148"/>
      <c r="E808" s="148"/>
      <c r="F808" s="148"/>
      <c r="G808" s="148"/>
      <c r="H808" s="148"/>
    </row>
    <row r="809" ht="15.75" customHeight="1">
      <c r="A809" s="148"/>
      <c r="B809" s="148"/>
      <c r="C809" s="148"/>
      <c r="D809" s="148"/>
      <c r="E809" s="148"/>
      <c r="F809" s="148"/>
      <c r="G809" s="148"/>
      <c r="H809" s="148"/>
    </row>
    <row r="810" ht="15.75" customHeight="1">
      <c r="A810" s="148"/>
      <c r="B810" s="148"/>
      <c r="C810" s="148"/>
      <c r="D810" s="148"/>
      <c r="E810" s="148"/>
      <c r="F810" s="148"/>
      <c r="G810" s="148"/>
      <c r="H810" s="148"/>
    </row>
    <row r="811" ht="15.75" customHeight="1">
      <c r="A811" s="148"/>
      <c r="B811" s="148"/>
      <c r="C811" s="148"/>
      <c r="D811" s="148"/>
      <c r="E811" s="148"/>
      <c r="F811" s="148"/>
      <c r="G811" s="148"/>
      <c r="H811" s="148"/>
    </row>
    <row r="812" ht="15.75" customHeight="1">
      <c r="A812" s="148"/>
      <c r="B812" s="148"/>
      <c r="C812" s="148"/>
      <c r="D812" s="148"/>
      <c r="E812" s="148"/>
      <c r="F812" s="148"/>
      <c r="G812" s="148"/>
      <c r="H812" s="148"/>
    </row>
    <row r="813" ht="15.75" customHeight="1">
      <c r="A813" s="148"/>
      <c r="B813" s="148"/>
      <c r="C813" s="148"/>
      <c r="D813" s="148"/>
      <c r="E813" s="148"/>
      <c r="F813" s="148"/>
      <c r="G813" s="148"/>
      <c r="H813" s="148"/>
    </row>
    <row r="814" ht="15.75" customHeight="1">
      <c r="A814" s="148"/>
      <c r="B814" s="148"/>
      <c r="C814" s="148"/>
      <c r="D814" s="148"/>
      <c r="E814" s="148"/>
      <c r="F814" s="148"/>
      <c r="G814" s="148"/>
      <c r="H814" s="148"/>
    </row>
    <row r="815" ht="15.75" customHeight="1">
      <c r="A815" s="148"/>
      <c r="B815" s="148"/>
      <c r="C815" s="148"/>
      <c r="D815" s="148"/>
      <c r="E815" s="148"/>
      <c r="F815" s="148"/>
      <c r="G815" s="148"/>
      <c r="H815" s="148"/>
    </row>
    <row r="816" ht="15.75" customHeight="1">
      <c r="A816" s="148"/>
      <c r="B816" s="148"/>
      <c r="C816" s="148"/>
      <c r="D816" s="148"/>
      <c r="E816" s="148"/>
      <c r="F816" s="148"/>
      <c r="G816" s="148"/>
      <c r="H816" s="148"/>
    </row>
    <row r="817" ht="15.75" customHeight="1">
      <c r="A817" s="148"/>
      <c r="B817" s="148"/>
      <c r="C817" s="148"/>
      <c r="D817" s="148"/>
      <c r="E817" s="148"/>
      <c r="F817" s="148"/>
      <c r="G817" s="148"/>
      <c r="H817" s="148"/>
    </row>
    <row r="818" ht="15.75" customHeight="1">
      <c r="A818" s="148"/>
      <c r="B818" s="148"/>
      <c r="C818" s="148"/>
      <c r="D818" s="148"/>
      <c r="E818" s="148"/>
      <c r="F818" s="148"/>
      <c r="G818" s="148"/>
      <c r="H818" s="148"/>
    </row>
    <row r="819" ht="15.75" customHeight="1">
      <c r="A819" s="148"/>
      <c r="B819" s="148"/>
      <c r="C819" s="148"/>
      <c r="D819" s="148"/>
      <c r="E819" s="148"/>
      <c r="F819" s="148"/>
      <c r="G819" s="148"/>
      <c r="H819" s="148"/>
    </row>
    <row r="820" ht="15.75" customHeight="1">
      <c r="A820" s="148"/>
      <c r="B820" s="148"/>
      <c r="C820" s="148"/>
      <c r="D820" s="148"/>
      <c r="E820" s="148"/>
      <c r="F820" s="148"/>
      <c r="G820" s="148"/>
      <c r="H820" s="148"/>
    </row>
    <row r="821" ht="15.75" customHeight="1">
      <c r="A821" s="148"/>
      <c r="B821" s="148"/>
      <c r="C821" s="148"/>
      <c r="D821" s="148"/>
      <c r="E821" s="148"/>
      <c r="F821" s="148"/>
      <c r="G821" s="148"/>
      <c r="H821" s="148"/>
    </row>
    <row r="822" ht="15.75" customHeight="1">
      <c r="A822" s="148"/>
      <c r="B822" s="148"/>
      <c r="C822" s="148"/>
      <c r="D822" s="148"/>
      <c r="E822" s="148"/>
      <c r="F822" s="148"/>
      <c r="G822" s="148"/>
      <c r="H822" s="148"/>
    </row>
    <row r="823" ht="15.75" customHeight="1">
      <c r="A823" s="148"/>
      <c r="B823" s="148"/>
      <c r="C823" s="148"/>
      <c r="D823" s="148"/>
      <c r="E823" s="148"/>
      <c r="F823" s="148"/>
      <c r="G823" s="148"/>
      <c r="H823" s="148"/>
    </row>
    <row r="824" ht="15.75" customHeight="1">
      <c r="A824" s="148"/>
      <c r="B824" s="148"/>
      <c r="C824" s="148"/>
      <c r="D824" s="148"/>
      <c r="E824" s="148"/>
      <c r="F824" s="148"/>
      <c r="G824" s="148"/>
      <c r="H824" s="148"/>
    </row>
    <row r="825" ht="15.75" customHeight="1">
      <c r="A825" s="148"/>
      <c r="B825" s="148"/>
      <c r="C825" s="148"/>
      <c r="D825" s="148"/>
      <c r="E825" s="148"/>
      <c r="F825" s="148"/>
      <c r="G825" s="148"/>
      <c r="H825" s="148"/>
    </row>
    <row r="826" ht="15.75" customHeight="1">
      <c r="A826" s="148"/>
      <c r="B826" s="148"/>
      <c r="C826" s="148"/>
      <c r="D826" s="148"/>
      <c r="E826" s="148"/>
      <c r="F826" s="148"/>
      <c r="G826" s="148"/>
      <c r="H826" s="148"/>
    </row>
    <row r="827" ht="15.75" customHeight="1">
      <c r="A827" s="148"/>
      <c r="B827" s="148"/>
      <c r="C827" s="148"/>
      <c r="D827" s="148"/>
      <c r="E827" s="148"/>
      <c r="F827" s="148"/>
      <c r="G827" s="148"/>
      <c r="H827" s="148"/>
    </row>
    <row r="828" ht="15.75" customHeight="1">
      <c r="A828" s="148"/>
      <c r="B828" s="148"/>
      <c r="C828" s="148"/>
      <c r="D828" s="148"/>
      <c r="E828" s="148"/>
      <c r="F828" s="148"/>
      <c r="G828" s="148"/>
      <c r="H828" s="148"/>
    </row>
    <row r="829" ht="15.75" customHeight="1">
      <c r="A829" s="148"/>
      <c r="B829" s="148"/>
      <c r="C829" s="148"/>
      <c r="D829" s="148"/>
      <c r="E829" s="148"/>
      <c r="F829" s="148"/>
      <c r="G829" s="148"/>
      <c r="H829" s="148"/>
    </row>
    <row r="830" ht="15.75" customHeight="1">
      <c r="A830" s="148"/>
      <c r="B830" s="148"/>
      <c r="C830" s="148"/>
      <c r="D830" s="148"/>
      <c r="E830" s="148"/>
      <c r="F830" s="148"/>
      <c r="G830" s="148"/>
      <c r="H830" s="148"/>
    </row>
    <row r="831" ht="15.75" customHeight="1">
      <c r="A831" s="148"/>
      <c r="B831" s="148"/>
      <c r="C831" s="148"/>
      <c r="D831" s="148"/>
      <c r="E831" s="148"/>
      <c r="F831" s="148"/>
      <c r="G831" s="148"/>
      <c r="H831" s="148"/>
    </row>
    <row r="832" ht="15.75" customHeight="1">
      <c r="A832" s="148"/>
      <c r="B832" s="148"/>
      <c r="C832" s="148"/>
      <c r="D832" s="148"/>
      <c r="E832" s="148"/>
      <c r="F832" s="148"/>
      <c r="G832" s="148"/>
      <c r="H832" s="148"/>
    </row>
    <row r="833" ht="15.75" customHeight="1">
      <c r="A833" s="148"/>
      <c r="B833" s="148"/>
      <c r="C833" s="148"/>
      <c r="D833" s="148"/>
      <c r="E833" s="148"/>
      <c r="F833" s="148"/>
      <c r="G833" s="148"/>
      <c r="H833" s="148"/>
    </row>
    <row r="834" ht="15.75" customHeight="1">
      <c r="A834" s="148"/>
      <c r="B834" s="148"/>
      <c r="C834" s="148"/>
      <c r="D834" s="148"/>
      <c r="E834" s="148"/>
      <c r="F834" s="148"/>
      <c r="G834" s="148"/>
      <c r="H834" s="148"/>
    </row>
    <row r="835" ht="15.75" customHeight="1">
      <c r="A835" s="148"/>
      <c r="B835" s="148"/>
      <c r="C835" s="148"/>
      <c r="D835" s="148"/>
      <c r="E835" s="148"/>
      <c r="F835" s="148"/>
      <c r="G835" s="148"/>
      <c r="H835" s="148"/>
    </row>
    <row r="836" ht="15.75" customHeight="1">
      <c r="A836" s="148"/>
      <c r="B836" s="148"/>
      <c r="C836" s="148"/>
      <c r="D836" s="148"/>
      <c r="E836" s="148"/>
      <c r="F836" s="148"/>
      <c r="G836" s="148"/>
      <c r="H836" s="148"/>
    </row>
    <row r="837" ht="15.75" customHeight="1">
      <c r="A837" s="148"/>
      <c r="B837" s="148"/>
      <c r="C837" s="148"/>
      <c r="D837" s="148"/>
      <c r="E837" s="148"/>
      <c r="F837" s="148"/>
      <c r="G837" s="148"/>
      <c r="H837" s="148"/>
    </row>
    <row r="838" ht="15.75" customHeight="1">
      <c r="A838" s="148"/>
      <c r="B838" s="148"/>
      <c r="C838" s="148"/>
      <c r="D838" s="148"/>
      <c r="E838" s="148"/>
      <c r="F838" s="148"/>
      <c r="G838" s="148"/>
      <c r="H838" s="148"/>
    </row>
    <row r="839" ht="15.75" customHeight="1">
      <c r="A839" s="148"/>
      <c r="B839" s="148"/>
      <c r="C839" s="148"/>
      <c r="D839" s="148"/>
      <c r="E839" s="148"/>
      <c r="F839" s="148"/>
      <c r="G839" s="148"/>
      <c r="H839" s="148"/>
    </row>
    <row r="840" ht="15.75" customHeight="1">
      <c r="A840" s="148"/>
      <c r="B840" s="148"/>
      <c r="C840" s="148"/>
      <c r="D840" s="148"/>
      <c r="E840" s="148"/>
      <c r="F840" s="148"/>
      <c r="G840" s="148"/>
      <c r="H840" s="148"/>
    </row>
    <row r="841" ht="15.75" customHeight="1">
      <c r="A841" s="148"/>
      <c r="B841" s="148"/>
      <c r="C841" s="148"/>
      <c r="D841" s="148"/>
      <c r="E841" s="148"/>
      <c r="F841" s="148"/>
      <c r="G841" s="148"/>
      <c r="H841" s="148"/>
    </row>
    <row r="842" ht="15.75" customHeight="1">
      <c r="A842" s="148"/>
      <c r="B842" s="148"/>
      <c r="C842" s="148"/>
      <c r="D842" s="148"/>
      <c r="E842" s="148"/>
      <c r="F842" s="148"/>
      <c r="G842" s="148"/>
      <c r="H842" s="148"/>
    </row>
    <row r="843" ht="15.75" customHeight="1">
      <c r="A843" s="148"/>
      <c r="B843" s="148"/>
      <c r="C843" s="148"/>
      <c r="D843" s="148"/>
      <c r="E843" s="148"/>
      <c r="F843" s="148"/>
      <c r="G843" s="148"/>
      <c r="H843" s="148"/>
    </row>
    <row r="844" ht="15.75" customHeight="1">
      <c r="A844" s="148"/>
      <c r="B844" s="148"/>
      <c r="C844" s="148"/>
      <c r="D844" s="148"/>
      <c r="E844" s="148"/>
      <c r="F844" s="148"/>
      <c r="G844" s="148"/>
      <c r="H844" s="148"/>
    </row>
    <row r="845" ht="15.75" customHeight="1">
      <c r="A845" s="148"/>
      <c r="B845" s="148"/>
      <c r="C845" s="148"/>
      <c r="D845" s="148"/>
      <c r="E845" s="148"/>
      <c r="F845" s="148"/>
      <c r="G845" s="148"/>
      <c r="H845" s="148"/>
    </row>
    <row r="846" ht="15.75" customHeight="1">
      <c r="A846" s="148"/>
      <c r="B846" s="148"/>
      <c r="C846" s="148"/>
      <c r="D846" s="148"/>
      <c r="E846" s="148"/>
      <c r="F846" s="148"/>
      <c r="G846" s="148"/>
      <c r="H846" s="148"/>
    </row>
    <row r="847" ht="15.75" customHeight="1">
      <c r="A847" s="148"/>
      <c r="B847" s="148"/>
      <c r="C847" s="148"/>
      <c r="D847" s="148"/>
      <c r="E847" s="148"/>
      <c r="F847" s="148"/>
      <c r="G847" s="148"/>
      <c r="H847" s="148"/>
    </row>
    <row r="848" ht="15.75" customHeight="1">
      <c r="A848" s="148"/>
      <c r="B848" s="148"/>
      <c r="C848" s="148"/>
      <c r="D848" s="148"/>
      <c r="E848" s="148"/>
      <c r="F848" s="148"/>
      <c r="G848" s="148"/>
      <c r="H848" s="148"/>
    </row>
    <row r="849" ht="15.75" customHeight="1">
      <c r="A849" s="148"/>
      <c r="B849" s="148"/>
      <c r="C849" s="148"/>
      <c r="D849" s="148"/>
      <c r="E849" s="148"/>
      <c r="F849" s="148"/>
      <c r="G849" s="148"/>
      <c r="H849" s="148"/>
    </row>
    <row r="850" ht="15.75" customHeight="1">
      <c r="A850" s="148"/>
      <c r="B850" s="148"/>
      <c r="C850" s="148"/>
      <c r="D850" s="148"/>
      <c r="E850" s="148"/>
      <c r="F850" s="148"/>
      <c r="G850" s="148"/>
      <c r="H850" s="148"/>
    </row>
    <row r="851" ht="15.75" customHeight="1">
      <c r="A851" s="148"/>
      <c r="B851" s="148"/>
      <c r="C851" s="148"/>
      <c r="D851" s="148"/>
      <c r="E851" s="148"/>
      <c r="F851" s="148"/>
      <c r="G851" s="148"/>
      <c r="H851" s="148"/>
    </row>
    <row r="852" ht="15.75" customHeight="1">
      <c r="A852" s="148"/>
      <c r="B852" s="148"/>
      <c r="C852" s="148"/>
      <c r="D852" s="148"/>
      <c r="E852" s="148"/>
      <c r="F852" s="148"/>
      <c r="G852" s="148"/>
      <c r="H852" s="148"/>
    </row>
    <row r="853" ht="15.75" customHeight="1">
      <c r="A853" s="148"/>
      <c r="B853" s="148"/>
      <c r="C853" s="148"/>
      <c r="D853" s="148"/>
      <c r="E853" s="148"/>
      <c r="F853" s="148"/>
      <c r="G853" s="148"/>
      <c r="H853" s="148"/>
    </row>
    <row r="854" ht="15.75" customHeight="1">
      <c r="A854" s="148"/>
      <c r="B854" s="148"/>
      <c r="C854" s="148"/>
      <c r="D854" s="148"/>
      <c r="E854" s="148"/>
      <c r="F854" s="148"/>
      <c r="G854" s="148"/>
      <c r="H854" s="148"/>
    </row>
    <row r="855" ht="15.75" customHeight="1">
      <c r="A855" s="148"/>
      <c r="B855" s="148"/>
      <c r="C855" s="148"/>
      <c r="D855" s="148"/>
      <c r="E855" s="148"/>
      <c r="F855" s="148"/>
      <c r="G855" s="148"/>
      <c r="H855" s="148"/>
    </row>
    <row r="856" ht="15.75" customHeight="1">
      <c r="A856" s="148"/>
      <c r="B856" s="148"/>
      <c r="C856" s="148"/>
      <c r="D856" s="148"/>
      <c r="E856" s="148"/>
      <c r="F856" s="148"/>
      <c r="G856" s="148"/>
      <c r="H856" s="148"/>
    </row>
    <row r="857" ht="15.75" customHeight="1">
      <c r="A857" s="148"/>
      <c r="B857" s="148"/>
      <c r="C857" s="148"/>
      <c r="D857" s="148"/>
      <c r="E857" s="148"/>
      <c r="F857" s="148"/>
      <c r="G857" s="148"/>
      <c r="H857" s="148"/>
    </row>
    <row r="858" ht="15.75" customHeight="1">
      <c r="A858" s="148"/>
      <c r="B858" s="148"/>
      <c r="C858" s="148"/>
      <c r="D858" s="148"/>
      <c r="E858" s="148"/>
      <c r="F858" s="148"/>
      <c r="G858" s="148"/>
      <c r="H858" s="148"/>
    </row>
    <row r="859" ht="15.75" customHeight="1">
      <c r="A859" s="148"/>
      <c r="B859" s="148"/>
      <c r="C859" s="148"/>
      <c r="D859" s="148"/>
      <c r="E859" s="148"/>
      <c r="F859" s="148"/>
      <c r="G859" s="148"/>
      <c r="H859" s="148"/>
    </row>
    <row r="860" ht="15.75" customHeight="1">
      <c r="A860" s="148"/>
      <c r="B860" s="148"/>
      <c r="C860" s="148"/>
      <c r="D860" s="148"/>
      <c r="E860" s="148"/>
      <c r="F860" s="148"/>
      <c r="G860" s="148"/>
      <c r="H860" s="148"/>
    </row>
    <row r="861" ht="15.75" customHeight="1">
      <c r="A861" s="148"/>
      <c r="B861" s="148"/>
      <c r="C861" s="148"/>
      <c r="D861" s="148"/>
      <c r="E861" s="148"/>
      <c r="F861" s="148"/>
      <c r="G861" s="148"/>
      <c r="H861" s="148"/>
    </row>
    <row r="862" ht="15.75" customHeight="1">
      <c r="A862" s="148"/>
      <c r="B862" s="148"/>
      <c r="C862" s="148"/>
      <c r="D862" s="148"/>
      <c r="E862" s="148"/>
      <c r="F862" s="148"/>
      <c r="G862" s="148"/>
      <c r="H862" s="148"/>
    </row>
    <row r="863" ht="15.75" customHeight="1">
      <c r="A863" s="148"/>
      <c r="B863" s="148"/>
      <c r="C863" s="148"/>
      <c r="D863" s="148"/>
      <c r="E863" s="148"/>
      <c r="F863" s="148"/>
      <c r="G863" s="148"/>
      <c r="H863" s="148"/>
    </row>
    <row r="864" ht="15.75" customHeight="1">
      <c r="A864" s="148"/>
      <c r="B864" s="148"/>
      <c r="C864" s="148"/>
      <c r="D864" s="148"/>
      <c r="E864" s="148"/>
      <c r="F864" s="148"/>
      <c r="G864" s="148"/>
      <c r="H864" s="148"/>
    </row>
    <row r="865" ht="15.75" customHeight="1">
      <c r="A865" s="148"/>
      <c r="B865" s="148"/>
      <c r="C865" s="148"/>
      <c r="D865" s="148"/>
      <c r="E865" s="148"/>
      <c r="F865" s="148"/>
      <c r="G865" s="148"/>
      <c r="H865" s="148"/>
    </row>
    <row r="866" ht="15.75" customHeight="1">
      <c r="A866" s="148"/>
      <c r="B866" s="148"/>
      <c r="C866" s="148"/>
      <c r="D866" s="148"/>
      <c r="E866" s="148"/>
      <c r="F866" s="148"/>
      <c r="G866" s="148"/>
      <c r="H866" s="148"/>
    </row>
    <row r="867" ht="15.75" customHeight="1">
      <c r="A867" s="148"/>
      <c r="B867" s="148"/>
      <c r="C867" s="148"/>
      <c r="D867" s="148"/>
      <c r="E867" s="148"/>
      <c r="F867" s="148"/>
      <c r="G867" s="148"/>
      <c r="H867" s="148"/>
    </row>
    <row r="868" ht="15.75" customHeight="1">
      <c r="A868" s="148"/>
      <c r="B868" s="148"/>
      <c r="C868" s="148"/>
      <c r="D868" s="148"/>
      <c r="E868" s="148"/>
      <c r="F868" s="148"/>
      <c r="G868" s="148"/>
      <c r="H868" s="148"/>
    </row>
    <row r="869" ht="15.75" customHeight="1">
      <c r="A869" s="148"/>
      <c r="B869" s="148"/>
      <c r="C869" s="148"/>
      <c r="D869" s="148"/>
      <c r="E869" s="148"/>
      <c r="F869" s="148"/>
      <c r="G869" s="148"/>
      <c r="H869" s="148"/>
    </row>
    <row r="870" ht="15.75" customHeight="1">
      <c r="A870" s="148"/>
      <c r="B870" s="148"/>
      <c r="C870" s="148"/>
      <c r="D870" s="148"/>
      <c r="E870" s="148"/>
      <c r="F870" s="148"/>
      <c r="G870" s="148"/>
      <c r="H870" s="148"/>
    </row>
    <row r="871" ht="15.75" customHeight="1">
      <c r="A871" s="148"/>
      <c r="B871" s="148"/>
      <c r="C871" s="148"/>
      <c r="D871" s="148"/>
      <c r="E871" s="148"/>
      <c r="F871" s="148"/>
      <c r="G871" s="148"/>
      <c r="H871" s="148"/>
    </row>
    <row r="872" ht="15.75" customHeight="1">
      <c r="A872" s="148"/>
      <c r="B872" s="148"/>
      <c r="C872" s="148"/>
      <c r="D872" s="148"/>
      <c r="E872" s="148"/>
      <c r="F872" s="148"/>
      <c r="G872" s="148"/>
      <c r="H872" s="148"/>
    </row>
    <row r="873" ht="15.75" customHeight="1">
      <c r="A873" s="148"/>
      <c r="B873" s="148"/>
      <c r="C873" s="148"/>
      <c r="D873" s="148"/>
      <c r="E873" s="148"/>
      <c r="F873" s="148"/>
      <c r="G873" s="148"/>
      <c r="H873" s="148"/>
    </row>
    <row r="874" ht="15.75" customHeight="1">
      <c r="A874" s="148"/>
      <c r="B874" s="148"/>
      <c r="C874" s="148"/>
      <c r="D874" s="148"/>
      <c r="E874" s="148"/>
      <c r="F874" s="148"/>
      <c r="G874" s="148"/>
      <c r="H874" s="148"/>
    </row>
    <row r="875" ht="15.75" customHeight="1">
      <c r="A875" s="148"/>
      <c r="B875" s="148"/>
      <c r="C875" s="148"/>
      <c r="D875" s="148"/>
      <c r="E875" s="148"/>
      <c r="F875" s="148"/>
      <c r="G875" s="148"/>
      <c r="H875" s="148"/>
    </row>
    <row r="876" ht="15.75" customHeight="1">
      <c r="A876" s="148"/>
      <c r="B876" s="148"/>
      <c r="C876" s="148"/>
      <c r="D876" s="148"/>
      <c r="E876" s="148"/>
      <c r="F876" s="148"/>
      <c r="G876" s="148"/>
      <c r="H876" s="148"/>
    </row>
    <row r="877" ht="15.75" customHeight="1">
      <c r="A877" s="148"/>
      <c r="B877" s="148"/>
      <c r="C877" s="148"/>
      <c r="D877" s="148"/>
      <c r="E877" s="148"/>
      <c r="F877" s="148"/>
      <c r="G877" s="148"/>
      <c r="H877" s="148"/>
    </row>
    <row r="878" ht="15.75" customHeight="1">
      <c r="A878" s="148"/>
      <c r="B878" s="148"/>
      <c r="C878" s="148"/>
      <c r="D878" s="148"/>
      <c r="E878" s="148"/>
      <c r="F878" s="148"/>
      <c r="G878" s="148"/>
      <c r="H878" s="148"/>
    </row>
    <row r="879" ht="15.75" customHeight="1">
      <c r="A879" s="148"/>
      <c r="B879" s="148"/>
      <c r="C879" s="148"/>
      <c r="D879" s="148"/>
      <c r="E879" s="148"/>
      <c r="F879" s="148"/>
      <c r="G879" s="148"/>
      <c r="H879" s="148"/>
    </row>
    <row r="880" ht="15.75" customHeight="1">
      <c r="A880" s="148"/>
      <c r="B880" s="148"/>
      <c r="C880" s="148"/>
      <c r="D880" s="148"/>
      <c r="E880" s="148"/>
      <c r="F880" s="148"/>
      <c r="G880" s="148"/>
      <c r="H880" s="148"/>
    </row>
    <row r="881" ht="15.75" customHeight="1">
      <c r="A881" s="148"/>
      <c r="B881" s="148"/>
      <c r="C881" s="148"/>
      <c r="D881" s="148"/>
      <c r="E881" s="148"/>
      <c r="F881" s="148"/>
      <c r="G881" s="148"/>
      <c r="H881" s="148"/>
    </row>
    <row r="882" ht="15.75" customHeight="1">
      <c r="A882" s="148"/>
      <c r="B882" s="148"/>
      <c r="C882" s="148"/>
      <c r="D882" s="148"/>
      <c r="E882" s="148"/>
      <c r="F882" s="148"/>
      <c r="G882" s="148"/>
      <c r="H882" s="148"/>
    </row>
    <row r="883" ht="15.75" customHeight="1">
      <c r="A883" s="148"/>
      <c r="B883" s="148"/>
      <c r="C883" s="148"/>
      <c r="D883" s="148"/>
      <c r="E883" s="148"/>
      <c r="F883" s="148"/>
      <c r="G883" s="148"/>
      <c r="H883" s="148"/>
    </row>
    <row r="884" ht="15.75" customHeight="1">
      <c r="A884" s="148"/>
      <c r="B884" s="148"/>
      <c r="C884" s="148"/>
      <c r="D884" s="148"/>
      <c r="E884" s="148"/>
      <c r="F884" s="148"/>
      <c r="G884" s="148"/>
      <c r="H884" s="148"/>
    </row>
    <row r="885" ht="15.75" customHeight="1">
      <c r="A885" s="148"/>
      <c r="B885" s="148"/>
      <c r="C885" s="148"/>
      <c r="D885" s="148"/>
      <c r="E885" s="148"/>
      <c r="F885" s="148"/>
      <c r="G885" s="148"/>
      <c r="H885" s="148"/>
    </row>
    <row r="886" ht="15.75" customHeight="1">
      <c r="A886" s="148"/>
      <c r="B886" s="148"/>
      <c r="C886" s="148"/>
      <c r="D886" s="148"/>
      <c r="E886" s="148"/>
      <c r="F886" s="148"/>
      <c r="G886" s="148"/>
      <c r="H886" s="148"/>
    </row>
    <row r="887" ht="15.75" customHeight="1">
      <c r="A887" s="148"/>
      <c r="B887" s="148"/>
      <c r="C887" s="148"/>
      <c r="D887" s="148"/>
      <c r="E887" s="148"/>
      <c r="F887" s="148"/>
      <c r="G887" s="148"/>
      <c r="H887" s="148"/>
    </row>
    <row r="888" ht="15.75" customHeight="1">
      <c r="A888" s="148"/>
      <c r="B888" s="148"/>
      <c r="C888" s="148"/>
      <c r="D888" s="148"/>
      <c r="E888" s="148"/>
      <c r="F888" s="148"/>
      <c r="G888" s="148"/>
      <c r="H888" s="148"/>
    </row>
    <row r="889" ht="15.75" customHeight="1">
      <c r="A889" s="148"/>
      <c r="B889" s="148"/>
      <c r="C889" s="148"/>
      <c r="D889" s="148"/>
      <c r="E889" s="148"/>
      <c r="F889" s="148"/>
      <c r="G889" s="148"/>
      <c r="H889" s="148"/>
    </row>
    <row r="890" ht="15.75" customHeight="1">
      <c r="A890" s="148"/>
      <c r="B890" s="148"/>
      <c r="C890" s="148"/>
      <c r="D890" s="148"/>
      <c r="E890" s="148"/>
      <c r="F890" s="148"/>
      <c r="G890" s="148"/>
      <c r="H890" s="148"/>
    </row>
    <row r="891" ht="15.75" customHeight="1">
      <c r="A891" s="148"/>
      <c r="B891" s="148"/>
      <c r="C891" s="148"/>
      <c r="D891" s="148"/>
      <c r="E891" s="148"/>
      <c r="F891" s="148"/>
      <c r="G891" s="148"/>
      <c r="H891" s="148"/>
    </row>
    <row r="892" ht="15.75" customHeight="1">
      <c r="A892" s="148"/>
      <c r="B892" s="148"/>
      <c r="C892" s="148"/>
      <c r="D892" s="148"/>
      <c r="E892" s="148"/>
      <c r="F892" s="148"/>
      <c r="G892" s="148"/>
      <c r="H892" s="148"/>
    </row>
    <row r="893" ht="15.75" customHeight="1">
      <c r="A893" s="148"/>
      <c r="B893" s="148"/>
      <c r="C893" s="148"/>
      <c r="D893" s="148"/>
      <c r="E893" s="148"/>
      <c r="F893" s="148"/>
      <c r="G893" s="148"/>
      <c r="H893" s="148"/>
    </row>
    <row r="894" ht="15.75" customHeight="1">
      <c r="A894" s="148"/>
      <c r="B894" s="148"/>
      <c r="C894" s="148"/>
      <c r="D894" s="148"/>
      <c r="E894" s="148"/>
      <c r="F894" s="148"/>
      <c r="G894" s="148"/>
      <c r="H894" s="148"/>
    </row>
    <row r="895" ht="15.75" customHeight="1">
      <c r="A895" s="148"/>
      <c r="B895" s="148"/>
      <c r="C895" s="148"/>
      <c r="D895" s="148"/>
      <c r="E895" s="148"/>
      <c r="F895" s="148"/>
      <c r="G895" s="148"/>
      <c r="H895" s="148"/>
    </row>
    <row r="896" ht="15.75" customHeight="1">
      <c r="A896" s="148"/>
      <c r="B896" s="148"/>
      <c r="C896" s="148"/>
      <c r="D896" s="148"/>
      <c r="E896" s="148"/>
      <c r="F896" s="148"/>
      <c r="G896" s="148"/>
      <c r="H896" s="148"/>
    </row>
    <row r="897" ht="15.75" customHeight="1">
      <c r="A897" s="148"/>
      <c r="B897" s="148"/>
      <c r="C897" s="148"/>
      <c r="D897" s="148"/>
      <c r="E897" s="148"/>
      <c r="F897" s="148"/>
      <c r="G897" s="148"/>
      <c r="H897" s="148"/>
    </row>
    <row r="898" ht="15.75" customHeight="1">
      <c r="A898" s="148"/>
      <c r="B898" s="148"/>
      <c r="C898" s="148"/>
      <c r="D898" s="148"/>
      <c r="E898" s="148"/>
      <c r="F898" s="148"/>
      <c r="G898" s="148"/>
      <c r="H898" s="148"/>
    </row>
    <row r="899" ht="15.75" customHeight="1">
      <c r="A899" s="148"/>
      <c r="B899" s="148"/>
      <c r="C899" s="148"/>
      <c r="D899" s="148"/>
      <c r="E899" s="148"/>
      <c r="F899" s="148"/>
      <c r="G899" s="148"/>
      <c r="H899" s="148"/>
    </row>
    <row r="900" ht="15.75" customHeight="1">
      <c r="A900" s="148"/>
      <c r="B900" s="148"/>
      <c r="C900" s="148"/>
      <c r="D900" s="148"/>
      <c r="E900" s="148"/>
      <c r="F900" s="148"/>
      <c r="G900" s="148"/>
      <c r="H900" s="148"/>
    </row>
    <row r="901" ht="15.75" customHeight="1">
      <c r="A901" s="148"/>
      <c r="B901" s="148"/>
      <c r="C901" s="148"/>
      <c r="D901" s="148"/>
      <c r="E901" s="148"/>
      <c r="F901" s="148"/>
      <c r="G901" s="148"/>
      <c r="H901" s="148"/>
    </row>
    <row r="902" ht="15.75" customHeight="1">
      <c r="A902" s="148"/>
      <c r="B902" s="148"/>
      <c r="C902" s="148"/>
      <c r="D902" s="148"/>
      <c r="E902" s="148"/>
      <c r="F902" s="148"/>
      <c r="G902" s="148"/>
      <c r="H902" s="148"/>
    </row>
    <row r="903" ht="15.75" customHeight="1">
      <c r="A903" s="148"/>
      <c r="B903" s="148"/>
      <c r="C903" s="148"/>
      <c r="D903" s="148"/>
      <c r="E903" s="148"/>
      <c r="F903" s="148"/>
      <c r="G903" s="148"/>
      <c r="H903" s="148"/>
    </row>
    <row r="904" ht="15.75" customHeight="1">
      <c r="A904" s="148"/>
      <c r="B904" s="148"/>
      <c r="C904" s="148"/>
      <c r="D904" s="148"/>
      <c r="E904" s="148"/>
      <c r="F904" s="148"/>
      <c r="G904" s="148"/>
      <c r="H904" s="148"/>
    </row>
    <row r="905" ht="15.75" customHeight="1">
      <c r="A905" s="148"/>
      <c r="B905" s="148"/>
      <c r="C905" s="148"/>
      <c r="D905" s="148"/>
      <c r="E905" s="148"/>
      <c r="F905" s="148"/>
      <c r="G905" s="148"/>
      <c r="H905" s="148"/>
    </row>
    <row r="906" ht="15.75" customHeight="1">
      <c r="A906" s="148"/>
      <c r="B906" s="148"/>
      <c r="C906" s="148"/>
      <c r="D906" s="148"/>
      <c r="E906" s="148"/>
      <c r="F906" s="148"/>
      <c r="G906" s="148"/>
      <c r="H906" s="148"/>
    </row>
    <row r="907" ht="15.75" customHeight="1">
      <c r="A907" s="148"/>
      <c r="B907" s="148"/>
      <c r="C907" s="148"/>
      <c r="D907" s="148"/>
      <c r="E907" s="148"/>
      <c r="F907" s="148"/>
      <c r="G907" s="148"/>
      <c r="H907" s="148"/>
    </row>
    <row r="908" ht="15.75" customHeight="1">
      <c r="A908" s="148"/>
      <c r="B908" s="148"/>
      <c r="C908" s="148"/>
      <c r="D908" s="148"/>
      <c r="E908" s="148"/>
      <c r="F908" s="148"/>
      <c r="G908" s="148"/>
      <c r="H908" s="148"/>
    </row>
    <row r="909" ht="15.75" customHeight="1">
      <c r="A909" s="148"/>
      <c r="B909" s="148"/>
      <c r="C909" s="148"/>
      <c r="D909" s="148"/>
      <c r="E909" s="148"/>
      <c r="F909" s="148"/>
      <c r="G909" s="148"/>
      <c r="H909" s="148"/>
    </row>
    <row r="910" ht="15.75" customHeight="1">
      <c r="A910" s="148"/>
      <c r="B910" s="148"/>
      <c r="C910" s="148"/>
      <c r="D910" s="148"/>
      <c r="E910" s="148"/>
      <c r="F910" s="148"/>
      <c r="G910" s="148"/>
      <c r="H910" s="148"/>
    </row>
    <row r="911" ht="15.75" customHeight="1">
      <c r="A911" s="148"/>
      <c r="B911" s="148"/>
      <c r="C911" s="148"/>
      <c r="D911" s="148"/>
      <c r="E911" s="148"/>
      <c r="F911" s="148"/>
      <c r="G911" s="148"/>
      <c r="H911" s="148"/>
    </row>
    <row r="912" ht="15.75" customHeight="1">
      <c r="A912" s="148"/>
      <c r="B912" s="148"/>
      <c r="C912" s="148"/>
      <c r="D912" s="148"/>
      <c r="E912" s="148"/>
      <c r="F912" s="148"/>
      <c r="G912" s="148"/>
      <c r="H912" s="148"/>
    </row>
    <row r="913" ht="15.75" customHeight="1">
      <c r="A913" s="148"/>
      <c r="B913" s="148"/>
      <c r="C913" s="148"/>
      <c r="D913" s="148"/>
      <c r="E913" s="148"/>
      <c r="F913" s="148"/>
      <c r="G913" s="148"/>
      <c r="H913" s="148"/>
    </row>
    <row r="914" ht="15.75" customHeight="1">
      <c r="A914" s="148"/>
      <c r="B914" s="148"/>
      <c r="C914" s="148"/>
      <c r="D914" s="148"/>
      <c r="E914" s="148"/>
      <c r="F914" s="148"/>
      <c r="G914" s="148"/>
      <c r="H914" s="148"/>
    </row>
    <row r="915" ht="15.75" customHeight="1">
      <c r="A915" s="148"/>
      <c r="B915" s="148"/>
      <c r="C915" s="148"/>
      <c r="D915" s="148"/>
      <c r="E915" s="148"/>
      <c r="F915" s="148"/>
      <c r="G915" s="148"/>
      <c r="H915" s="148"/>
    </row>
    <row r="916" ht="15.75" customHeight="1">
      <c r="A916" s="148"/>
      <c r="B916" s="148"/>
      <c r="C916" s="148"/>
      <c r="D916" s="148"/>
      <c r="E916" s="148"/>
      <c r="F916" s="148"/>
      <c r="G916" s="148"/>
      <c r="H916" s="148"/>
    </row>
    <row r="917" ht="15.75" customHeight="1">
      <c r="A917" s="148"/>
      <c r="B917" s="148"/>
      <c r="C917" s="148"/>
      <c r="D917" s="148"/>
      <c r="E917" s="148"/>
      <c r="F917" s="148"/>
      <c r="G917" s="148"/>
      <c r="H917" s="148"/>
    </row>
    <row r="918" ht="15.75" customHeight="1">
      <c r="A918" s="148"/>
      <c r="B918" s="148"/>
      <c r="C918" s="148"/>
      <c r="D918" s="148"/>
      <c r="E918" s="148"/>
      <c r="F918" s="148"/>
      <c r="G918" s="148"/>
      <c r="H918" s="148"/>
    </row>
    <row r="919" ht="15.75" customHeight="1">
      <c r="A919" s="148"/>
      <c r="B919" s="148"/>
      <c r="C919" s="148"/>
      <c r="D919" s="148"/>
      <c r="E919" s="148"/>
      <c r="F919" s="148"/>
      <c r="G919" s="148"/>
      <c r="H919" s="148"/>
    </row>
    <row r="920" ht="15.75" customHeight="1">
      <c r="A920" s="148"/>
      <c r="B920" s="148"/>
      <c r="C920" s="148"/>
      <c r="D920" s="148"/>
      <c r="E920" s="148"/>
      <c r="F920" s="148"/>
      <c r="G920" s="148"/>
      <c r="H920" s="148"/>
    </row>
    <row r="921" ht="15.75" customHeight="1">
      <c r="A921" s="148"/>
      <c r="B921" s="148"/>
      <c r="C921" s="148"/>
      <c r="D921" s="148"/>
      <c r="E921" s="148"/>
      <c r="F921" s="148"/>
      <c r="G921" s="148"/>
      <c r="H921" s="148"/>
    </row>
    <row r="922" ht="15.75" customHeight="1">
      <c r="A922" s="148"/>
      <c r="B922" s="148"/>
      <c r="C922" s="148"/>
      <c r="D922" s="148"/>
      <c r="E922" s="148"/>
      <c r="F922" s="148"/>
      <c r="G922" s="148"/>
      <c r="H922" s="148"/>
    </row>
    <row r="923" ht="15.75" customHeight="1">
      <c r="A923" s="148"/>
      <c r="B923" s="148"/>
      <c r="C923" s="148"/>
      <c r="D923" s="148"/>
      <c r="E923" s="148"/>
      <c r="F923" s="148"/>
      <c r="G923" s="148"/>
      <c r="H923" s="148"/>
    </row>
    <row r="924" ht="15.75" customHeight="1">
      <c r="A924" s="148"/>
      <c r="B924" s="148"/>
      <c r="C924" s="148"/>
      <c r="D924" s="148"/>
      <c r="E924" s="148"/>
      <c r="F924" s="148"/>
      <c r="G924" s="148"/>
      <c r="H924" s="148"/>
    </row>
    <row r="925" ht="15.75" customHeight="1">
      <c r="A925" s="148"/>
      <c r="B925" s="148"/>
      <c r="C925" s="148"/>
      <c r="D925" s="148"/>
      <c r="E925" s="148"/>
      <c r="F925" s="148"/>
      <c r="G925" s="148"/>
      <c r="H925" s="148"/>
    </row>
    <row r="926" ht="15.75" customHeight="1">
      <c r="A926" s="148"/>
      <c r="B926" s="148"/>
      <c r="C926" s="148"/>
      <c r="D926" s="148"/>
      <c r="E926" s="148"/>
      <c r="F926" s="148"/>
      <c r="G926" s="148"/>
      <c r="H926" s="148"/>
    </row>
    <row r="927" ht="15.75" customHeight="1">
      <c r="A927" s="148"/>
      <c r="B927" s="148"/>
      <c r="C927" s="148"/>
      <c r="D927" s="148"/>
      <c r="E927" s="148"/>
      <c r="F927" s="148"/>
      <c r="G927" s="148"/>
      <c r="H927" s="148"/>
    </row>
    <row r="928" ht="15.75" customHeight="1">
      <c r="A928" s="148"/>
      <c r="B928" s="148"/>
      <c r="C928" s="148"/>
      <c r="D928" s="148"/>
      <c r="E928" s="148"/>
      <c r="F928" s="148"/>
      <c r="G928" s="148"/>
      <c r="H928" s="148"/>
    </row>
    <row r="929" ht="15.75" customHeight="1">
      <c r="A929" s="148"/>
      <c r="B929" s="148"/>
      <c r="C929" s="148"/>
      <c r="D929" s="148"/>
      <c r="E929" s="148"/>
      <c r="F929" s="148"/>
      <c r="G929" s="148"/>
      <c r="H929" s="148"/>
    </row>
    <row r="930" ht="15.75" customHeight="1">
      <c r="A930" s="148"/>
      <c r="B930" s="148"/>
      <c r="C930" s="148"/>
      <c r="D930" s="148"/>
      <c r="E930" s="148"/>
      <c r="F930" s="148"/>
      <c r="G930" s="148"/>
      <c r="H930" s="148"/>
    </row>
    <row r="931" ht="15.75" customHeight="1">
      <c r="A931" s="148"/>
      <c r="B931" s="148"/>
      <c r="C931" s="148"/>
      <c r="D931" s="148"/>
      <c r="E931" s="148"/>
      <c r="F931" s="148"/>
      <c r="G931" s="148"/>
      <c r="H931" s="148"/>
    </row>
    <row r="932" ht="15.75" customHeight="1">
      <c r="A932" s="148"/>
      <c r="B932" s="148"/>
      <c r="C932" s="148"/>
      <c r="D932" s="148"/>
      <c r="E932" s="148"/>
      <c r="F932" s="148"/>
      <c r="G932" s="148"/>
      <c r="H932" s="148"/>
    </row>
    <row r="933" ht="15.75" customHeight="1">
      <c r="A933" s="148"/>
      <c r="B933" s="148"/>
      <c r="C933" s="148"/>
      <c r="D933" s="148"/>
      <c r="E933" s="148"/>
      <c r="F933" s="148"/>
      <c r="G933" s="148"/>
      <c r="H933" s="148"/>
    </row>
    <row r="934" ht="15.75" customHeight="1">
      <c r="A934" s="148"/>
      <c r="B934" s="148"/>
      <c r="C934" s="148"/>
      <c r="D934" s="148"/>
      <c r="E934" s="148"/>
      <c r="F934" s="148"/>
      <c r="G934" s="148"/>
      <c r="H934" s="148"/>
    </row>
    <row r="935" ht="15.75" customHeight="1">
      <c r="A935" s="148"/>
      <c r="B935" s="148"/>
      <c r="C935" s="148"/>
      <c r="D935" s="148"/>
      <c r="E935" s="148"/>
      <c r="F935" s="148"/>
      <c r="G935" s="148"/>
      <c r="H935" s="148"/>
    </row>
    <row r="936" ht="15.75" customHeight="1">
      <c r="A936" s="148"/>
      <c r="B936" s="148"/>
      <c r="C936" s="148"/>
      <c r="D936" s="148"/>
      <c r="E936" s="148"/>
      <c r="F936" s="148"/>
      <c r="G936" s="148"/>
      <c r="H936" s="148"/>
    </row>
    <row r="937" ht="15.75" customHeight="1">
      <c r="A937" s="148"/>
      <c r="B937" s="148"/>
      <c r="C937" s="148"/>
      <c r="D937" s="148"/>
      <c r="E937" s="148"/>
      <c r="F937" s="148"/>
      <c r="G937" s="148"/>
      <c r="H937" s="148"/>
    </row>
    <row r="938" ht="15.75" customHeight="1">
      <c r="A938" s="148"/>
      <c r="B938" s="148"/>
      <c r="C938" s="148"/>
      <c r="D938" s="148"/>
      <c r="E938" s="148"/>
      <c r="F938" s="148"/>
      <c r="G938" s="148"/>
      <c r="H938" s="148"/>
    </row>
    <row r="939" ht="15.75" customHeight="1">
      <c r="A939" s="148"/>
      <c r="B939" s="148"/>
      <c r="C939" s="148"/>
      <c r="D939" s="148"/>
      <c r="E939" s="148"/>
      <c r="F939" s="148"/>
      <c r="G939" s="148"/>
      <c r="H939" s="148"/>
    </row>
    <row r="940" ht="15.75" customHeight="1">
      <c r="A940" s="148"/>
      <c r="B940" s="148"/>
      <c r="C940" s="148"/>
      <c r="D940" s="148"/>
      <c r="E940" s="148"/>
      <c r="F940" s="148"/>
      <c r="G940" s="148"/>
      <c r="H940" s="148"/>
    </row>
    <row r="941" ht="15.75" customHeight="1">
      <c r="A941" s="148"/>
      <c r="B941" s="148"/>
      <c r="C941" s="148"/>
      <c r="D941" s="148"/>
      <c r="E941" s="148"/>
      <c r="F941" s="148"/>
      <c r="G941" s="148"/>
      <c r="H941" s="148"/>
    </row>
    <row r="942" ht="15.75" customHeight="1">
      <c r="A942" s="148"/>
      <c r="B942" s="148"/>
      <c r="C942" s="148"/>
      <c r="D942" s="148"/>
      <c r="E942" s="148"/>
      <c r="F942" s="148"/>
      <c r="G942" s="148"/>
      <c r="H942" s="148"/>
    </row>
    <row r="943" ht="15.75" customHeight="1">
      <c r="A943" s="148"/>
      <c r="B943" s="148"/>
      <c r="C943" s="148"/>
      <c r="D943" s="148"/>
      <c r="E943" s="148"/>
      <c r="F943" s="148"/>
      <c r="G943" s="148"/>
      <c r="H943" s="148"/>
    </row>
    <row r="944" ht="15.75" customHeight="1">
      <c r="A944" s="148"/>
      <c r="B944" s="148"/>
      <c r="C944" s="148"/>
      <c r="D944" s="148"/>
      <c r="E944" s="148"/>
      <c r="F944" s="148"/>
      <c r="G944" s="148"/>
      <c r="H944" s="148"/>
    </row>
    <row r="945" ht="15.75" customHeight="1">
      <c r="A945" s="148"/>
      <c r="B945" s="148"/>
      <c r="C945" s="148"/>
      <c r="D945" s="148"/>
      <c r="E945" s="148"/>
      <c r="F945" s="148"/>
      <c r="G945" s="148"/>
      <c r="H945" s="148"/>
    </row>
    <row r="946" ht="15.75" customHeight="1">
      <c r="A946" s="148"/>
      <c r="B946" s="148"/>
      <c r="C946" s="148"/>
      <c r="D946" s="148"/>
      <c r="E946" s="148"/>
      <c r="F946" s="148"/>
      <c r="G946" s="148"/>
      <c r="H946" s="148"/>
    </row>
    <row r="947" ht="15.75" customHeight="1">
      <c r="A947" s="148"/>
      <c r="B947" s="148"/>
      <c r="C947" s="148"/>
      <c r="D947" s="148"/>
      <c r="E947" s="148"/>
      <c r="F947" s="148"/>
      <c r="G947" s="148"/>
      <c r="H947" s="148"/>
    </row>
    <row r="948" ht="15.75" customHeight="1">
      <c r="A948" s="148"/>
      <c r="B948" s="148"/>
      <c r="C948" s="148"/>
      <c r="D948" s="148"/>
      <c r="E948" s="148"/>
      <c r="F948" s="148"/>
      <c r="G948" s="148"/>
      <c r="H948" s="148"/>
    </row>
    <row r="949" ht="15.75" customHeight="1">
      <c r="A949" s="148"/>
      <c r="B949" s="148"/>
      <c r="C949" s="148"/>
      <c r="D949" s="148"/>
      <c r="E949" s="148"/>
      <c r="F949" s="148"/>
      <c r="G949" s="148"/>
      <c r="H949" s="148"/>
    </row>
    <row r="950" ht="15.75" customHeight="1">
      <c r="A950" s="148"/>
      <c r="B950" s="148"/>
      <c r="C950" s="148"/>
      <c r="D950" s="148"/>
      <c r="E950" s="148"/>
      <c r="F950" s="148"/>
      <c r="G950" s="148"/>
      <c r="H950" s="148"/>
    </row>
    <row r="951" ht="15.75" customHeight="1">
      <c r="A951" s="148"/>
      <c r="B951" s="148"/>
      <c r="C951" s="148"/>
      <c r="D951" s="148"/>
      <c r="E951" s="148"/>
      <c r="F951" s="148"/>
      <c r="G951" s="148"/>
      <c r="H951" s="148"/>
    </row>
    <row r="952" ht="15.75" customHeight="1">
      <c r="A952" s="148"/>
      <c r="B952" s="148"/>
      <c r="C952" s="148"/>
      <c r="D952" s="148"/>
      <c r="E952" s="148"/>
      <c r="F952" s="148"/>
      <c r="G952" s="148"/>
      <c r="H952" s="148"/>
    </row>
    <row r="953" ht="15.75" customHeight="1">
      <c r="A953" s="148"/>
      <c r="B953" s="148"/>
      <c r="C953" s="148"/>
      <c r="D953" s="148"/>
      <c r="E953" s="148"/>
      <c r="F953" s="148"/>
      <c r="G953" s="148"/>
      <c r="H953" s="148"/>
    </row>
    <row r="954" ht="15.75" customHeight="1">
      <c r="A954" s="148"/>
      <c r="B954" s="148"/>
      <c r="C954" s="148"/>
      <c r="D954" s="148"/>
      <c r="E954" s="148"/>
      <c r="F954" s="148"/>
      <c r="G954" s="148"/>
      <c r="H954" s="148"/>
    </row>
    <row r="955" ht="15.75" customHeight="1">
      <c r="A955" s="148"/>
      <c r="B955" s="148"/>
      <c r="C955" s="148"/>
      <c r="D955" s="148"/>
      <c r="E955" s="148"/>
      <c r="F955" s="148"/>
      <c r="G955" s="148"/>
      <c r="H955" s="148"/>
    </row>
    <row r="956" ht="15.75" customHeight="1">
      <c r="A956" s="148"/>
      <c r="B956" s="148"/>
      <c r="C956" s="148"/>
      <c r="D956" s="148"/>
      <c r="E956" s="148"/>
      <c r="F956" s="148"/>
      <c r="G956" s="148"/>
      <c r="H956" s="148"/>
    </row>
    <row r="957" ht="15.75" customHeight="1">
      <c r="A957" s="148"/>
      <c r="B957" s="148"/>
      <c r="C957" s="148"/>
      <c r="D957" s="148"/>
      <c r="E957" s="148"/>
      <c r="F957" s="148"/>
      <c r="G957" s="148"/>
      <c r="H957" s="148"/>
    </row>
    <row r="958" ht="15.75" customHeight="1">
      <c r="A958" s="148"/>
      <c r="B958" s="148"/>
      <c r="C958" s="148"/>
      <c r="D958" s="148"/>
      <c r="E958" s="148"/>
      <c r="F958" s="148"/>
      <c r="G958" s="148"/>
      <c r="H958" s="148"/>
    </row>
    <row r="959" ht="15.75" customHeight="1">
      <c r="A959" s="148"/>
      <c r="B959" s="148"/>
      <c r="C959" s="148"/>
      <c r="D959" s="148"/>
      <c r="E959" s="148"/>
      <c r="F959" s="148"/>
      <c r="G959" s="148"/>
      <c r="H959" s="148"/>
    </row>
    <row r="960" ht="15.75" customHeight="1">
      <c r="A960" s="148"/>
      <c r="B960" s="148"/>
      <c r="C960" s="148"/>
      <c r="D960" s="148"/>
      <c r="E960" s="148"/>
      <c r="F960" s="148"/>
      <c r="G960" s="148"/>
      <c r="H960" s="148"/>
    </row>
    <row r="961" ht="15.75" customHeight="1">
      <c r="A961" s="148"/>
      <c r="B961" s="148"/>
      <c r="C961" s="148"/>
      <c r="D961" s="148"/>
      <c r="E961" s="148"/>
      <c r="F961" s="148"/>
      <c r="G961" s="148"/>
      <c r="H961" s="148"/>
    </row>
    <row r="962" ht="15.75" customHeight="1">
      <c r="A962" s="148"/>
      <c r="B962" s="148"/>
      <c r="C962" s="148"/>
      <c r="D962" s="148"/>
      <c r="E962" s="148"/>
      <c r="F962" s="148"/>
      <c r="G962" s="148"/>
      <c r="H962" s="148"/>
    </row>
    <row r="963" ht="15.75" customHeight="1">
      <c r="A963" s="148"/>
      <c r="B963" s="148"/>
      <c r="C963" s="148"/>
      <c r="D963" s="148"/>
      <c r="E963" s="148"/>
      <c r="F963" s="148"/>
      <c r="G963" s="148"/>
      <c r="H963" s="148"/>
    </row>
    <row r="964" ht="15.75" customHeight="1">
      <c r="A964" s="148"/>
      <c r="B964" s="148"/>
      <c r="C964" s="148"/>
      <c r="D964" s="148"/>
      <c r="E964" s="148"/>
      <c r="F964" s="148"/>
      <c r="G964" s="148"/>
      <c r="H964" s="148"/>
    </row>
    <row r="965" ht="15.75" customHeight="1">
      <c r="A965" s="148"/>
      <c r="B965" s="148"/>
      <c r="C965" s="148"/>
      <c r="D965" s="148"/>
      <c r="E965" s="148"/>
      <c r="F965" s="148"/>
      <c r="G965" s="148"/>
      <c r="H965" s="148"/>
    </row>
    <row r="966" ht="15.75" customHeight="1">
      <c r="A966" s="148"/>
      <c r="B966" s="148"/>
      <c r="C966" s="148"/>
      <c r="D966" s="148"/>
      <c r="E966" s="148"/>
      <c r="F966" s="148"/>
      <c r="G966" s="148"/>
      <c r="H966" s="148"/>
    </row>
    <row r="967" ht="15.75" customHeight="1">
      <c r="A967" s="148"/>
      <c r="B967" s="148"/>
      <c r="C967" s="148"/>
      <c r="D967" s="148"/>
      <c r="E967" s="148"/>
      <c r="F967" s="148"/>
      <c r="G967" s="148"/>
      <c r="H967" s="148"/>
    </row>
    <row r="968" ht="15.75" customHeight="1">
      <c r="A968" s="148"/>
      <c r="B968" s="148"/>
      <c r="C968" s="148"/>
      <c r="D968" s="148"/>
      <c r="E968" s="148"/>
      <c r="F968" s="148"/>
      <c r="G968" s="148"/>
      <c r="H968" s="148"/>
    </row>
    <row r="969" ht="15.75" customHeight="1">
      <c r="A969" s="148"/>
      <c r="B969" s="148"/>
      <c r="C969" s="148"/>
      <c r="D969" s="148"/>
      <c r="E969" s="148"/>
      <c r="F969" s="148"/>
      <c r="G969" s="148"/>
      <c r="H969" s="148"/>
    </row>
    <row r="970" ht="15.75" customHeight="1">
      <c r="A970" s="148"/>
      <c r="B970" s="148"/>
      <c r="C970" s="148"/>
      <c r="D970" s="148"/>
      <c r="E970" s="148"/>
      <c r="F970" s="148"/>
      <c r="G970" s="148"/>
      <c r="H970" s="148"/>
    </row>
    <row r="971" ht="15.75" customHeight="1">
      <c r="A971" s="148"/>
      <c r="B971" s="148"/>
      <c r="C971" s="148"/>
      <c r="D971" s="148"/>
      <c r="E971" s="148"/>
      <c r="F971" s="148"/>
      <c r="G971" s="148"/>
      <c r="H971" s="148"/>
    </row>
    <row r="972" ht="15.75" customHeight="1">
      <c r="A972" s="148"/>
      <c r="B972" s="148"/>
      <c r="C972" s="148"/>
      <c r="D972" s="148"/>
      <c r="E972" s="148"/>
      <c r="F972" s="148"/>
      <c r="G972" s="148"/>
      <c r="H972" s="148"/>
    </row>
    <row r="973" ht="15.75" customHeight="1">
      <c r="A973" s="148"/>
      <c r="B973" s="148"/>
      <c r="C973" s="148"/>
      <c r="D973" s="148"/>
      <c r="E973" s="148"/>
      <c r="F973" s="148"/>
      <c r="G973" s="148"/>
      <c r="H973" s="148"/>
    </row>
    <row r="974" ht="15.75" customHeight="1">
      <c r="A974" s="148"/>
      <c r="B974" s="148"/>
      <c r="C974" s="148"/>
      <c r="D974" s="148"/>
      <c r="E974" s="148"/>
      <c r="F974" s="148"/>
      <c r="G974" s="148"/>
      <c r="H974" s="148"/>
    </row>
    <row r="975" ht="15.75" customHeight="1">
      <c r="A975" s="148"/>
      <c r="B975" s="148"/>
      <c r="C975" s="148"/>
      <c r="D975" s="148"/>
      <c r="E975" s="148"/>
      <c r="F975" s="148"/>
      <c r="G975" s="148"/>
      <c r="H975" s="148"/>
    </row>
    <row r="976" ht="15.75" customHeight="1">
      <c r="A976" s="148"/>
      <c r="B976" s="148"/>
      <c r="C976" s="148"/>
      <c r="D976" s="148"/>
      <c r="E976" s="148"/>
      <c r="F976" s="148"/>
      <c r="G976" s="148"/>
      <c r="H976" s="148"/>
    </row>
    <row r="977" ht="15.75" customHeight="1">
      <c r="A977" s="148"/>
      <c r="B977" s="148"/>
      <c r="C977" s="148"/>
      <c r="D977" s="148"/>
      <c r="E977" s="148"/>
      <c r="F977" s="148"/>
      <c r="G977" s="148"/>
      <c r="H977" s="148"/>
    </row>
    <row r="978" ht="15.75" customHeight="1">
      <c r="A978" s="148"/>
      <c r="B978" s="148"/>
      <c r="C978" s="148"/>
      <c r="D978" s="148"/>
      <c r="E978" s="148"/>
      <c r="F978" s="148"/>
      <c r="G978" s="148"/>
      <c r="H978" s="148"/>
    </row>
    <row r="979" ht="15.75" customHeight="1">
      <c r="A979" s="148"/>
      <c r="B979" s="148"/>
      <c r="C979" s="148"/>
      <c r="D979" s="148"/>
      <c r="E979" s="148"/>
      <c r="F979" s="148"/>
      <c r="G979" s="148"/>
      <c r="H979" s="148"/>
    </row>
    <row r="980" ht="15.75" customHeight="1">
      <c r="A980" s="148"/>
      <c r="B980" s="148"/>
      <c r="C980" s="148"/>
      <c r="D980" s="148"/>
      <c r="E980" s="148"/>
      <c r="F980" s="148"/>
      <c r="G980" s="148"/>
      <c r="H980" s="148"/>
    </row>
    <row r="981" ht="15.75" customHeight="1">
      <c r="A981" s="148"/>
      <c r="B981" s="148"/>
      <c r="C981" s="148"/>
      <c r="D981" s="148"/>
      <c r="E981" s="148"/>
      <c r="F981" s="148"/>
      <c r="G981" s="148"/>
      <c r="H981" s="148"/>
    </row>
    <row r="982" ht="15.75" customHeight="1">
      <c r="A982" s="148"/>
      <c r="B982" s="148"/>
      <c r="C982" s="148"/>
      <c r="D982" s="148"/>
      <c r="E982" s="148"/>
      <c r="F982" s="148"/>
      <c r="G982" s="148"/>
      <c r="H982" s="148"/>
    </row>
    <row r="983" ht="15.75" customHeight="1">
      <c r="A983" s="148"/>
      <c r="B983" s="148"/>
      <c r="C983" s="148"/>
      <c r="D983" s="148"/>
      <c r="E983" s="148"/>
      <c r="F983" s="148"/>
      <c r="G983" s="148"/>
      <c r="H983" s="148"/>
    </row>
    <row r="984" ht="15.75" customHeight="1">
      <c r="A984" s="148"/>
      <c r="B984" s="148"/>
      <c r="C984" s="148"/>
      <c r="D984" s="148"/>
      <c r="E984" s="148"/>
      <c r="F984" s="148"/>
      <c r="G984" s="148"/>
      <c r="H984" s="148"/>
    </row>
    <row r="985" ht="15.75" customHeight="1">
      <c r="A985" s="148"/>
      <c r="B985" s="148"/>
      <c r="C985" s="148"/>
      <c r="D985" s="148"/>
      <c r="E985" s="148"/>
      <c r="F985" s="148"/>
      <c r="G985" s="148"/>
      <c r="H985" s="148"/>
    </row>
    <row r="986" ht="15.75" customHeight="1">
      <c r="A986" s="148"/>
      <c r="B986" s="148"/>
      <c r="C986" s="148"/>
      <c r="D986" s="148"/>
      <c r="E986" s="148"/>
      <c r="F986" s="148"/>
      <c r="G986" s="148"/>
      <c r="H986" s="148"/>
    </row>
    <row r="987" ht="15.75" customHeight="1">
      <c r="A987" s="148"/>
      <c r="B987" s="148"/>
      <c r="C987" s="148"/>
      <c r="D987" s="148"/>
      <c r="E987" s="148"/>
      <c r="F987" s="148"/>
      <c r="G987" s="148"/>
      <c r="H987" s="148"/>
    </row>
    <row r="988" ht="15.75" customHeight="1">
      <c r="A988" s="148"/>
      <c r="B988" s="148"/>
      <c r="C988" s="148"/>
      <c r="D988" s="148"/>
      <c r="E988" s="148"/>
      <c r="F988" s="148"/>
      <c r="G988" s="148"/>
      <c r="H988" s="148"/>
    </row>
    <row r="989" ht="15.75" customHeight="1">
      <c r="A989" s="148"/>
      <c r="B989" s="148"/>
      <c r="C989" s="148"/>
      <c r="D989" s="148"/>
      <c r="E989" s="148"/>
      <c r="F989" s="148"/>
      <c r="G989" s="148"/>
      <c r="H989" s="148"/>
    </row>
    <row r="990" ht="15.75" customHeight="1">
      <c r="A990" s="148"/>
      <c r="B990" s="148"/>
      <c r="C990" s="148"/>
      <c r="D990" s="148"/>
      <c r="E990" s="148"/>
      <c r="F990" s="148"/>
      <c r="G990" s="148"/>
      <c r="H990" s="148"/>
    </row>
    <row r="991" ht="15.75" customHeight="1">
      <c r="A991" s="148"/>
      <c r="B991" s="148"/>
      <c r="C991" s="148"/>
      <c r="D991" s="148"/>
      <c r="E991" s="148"/>
      <c r="F991" s="148"/>
      <c r="G991" s="148"/>
      <c r="H991" s="148"/>
    </row>
    <row r="992" ht="15.75" customHeight="1">
      <c r="A992" s="148"/>
      <c r="B992" s="148"/>
      <c r="C992" s="148"/>
      <c r="D992" s="148"/>
      <c r="E992" s="148"/>
      <c r="F992" s="148"/>
      <c r="G992" s="148"/>
      <c r="H992" s="148"/>
    </row>
    <row r="993" ht="15.75" customHeight="1">
      <c r="A993" s="148"/>
      <c r="B993" s="148"/>
      <c r="C993" s="148"/>
      <c r="D993" s="148"/>
      <c r="E993" s="148"/>
      <c r="F993" s="148"/>
      <c r="G993" s="148"/>
      <c r="H993" s="148"/>
    </row>
    <row r="994" ht="15.75" customHeight="1">
      <c r="A994" s="148"/>
      <c r="B994" s="148"/>
      <c r="C994" s="148"/>
      <c r="D994" s="148"/>
      <c r="E994" s="148"/>
      <c r="F994" s="148"/>
      <c r="G994" s="148"/>
      <c r="H994" s="148"/>
    </row>
    <row r="995" ht="15.75" customHeight="1">
      <c r="A995" s="148"/>
      <c r="B995" s="148"/>
      <c r="C995" s="148"/>
      <c r="D995" s="148"/>
      <c r="E995" s="148"/>
      <c r="F995" s="148"/>
      <c r="G995" s="148"/>
      <c r="H995" s="148"/>
    </row>
    <row r="996" ht="15.75" customHeight="1">
      <c r="A996" s="148"/>
      <c r="B996" s="148"/>
      <c r="C996" s="148"/>
      <c r="D996" s="148"/>
      <c r="E996" s="148"/>
      <c r="F996" s="148"/>
      <c r="G996" s="148"/>
      <c r="H996" s="148"/>
    </row>
    <row r="997" ht="15.75" customHeight="1">
      <c r="A997" s="148"/>
      <c r="B997" s="148"/>
      <c r="C997" s="148"/>
      <c r="D997" s="148"/>
      <c r="E997" s="148"/>
      <c r="F997" s="148"/>
      <c r="G997" s="148"/>
      <c r="H997" s="148"/>
    </row>
    <row r="998" ht="15.75" customHeight="1">
      <c r="A998" s="148"/>
      <c r="B998" s="148"/>
      <c r="C998" s="148"/>
      <c r="D998" s="148"/>
      <c r="E998" s="148"/>
      <c r="F998" s="148"/>
      <c r="G998" s="148"/>
      <c r="H998" s="148"/>
    </row>
    <row r="999" ht="15.75" customHeight="1">
      <c r="A999" s="148"/>
      <c r="B999" s="148"/>
      <c r="C999" s="148"/>
      <c r="D999" s="148"/>
      <c r="E999" s="148"/>
      <c r="F999" s="148"/>
      <c r="G999" s="148"/>
      <c r="H999" s="148"/>
    </row>
    <row r="1000" ht="15.75" customHeight="1">
      <c r="A1000" s="148"/>
      <c r="B1000" s="148"/>
      <c r="C1000" s="148"/>
      <c r="D1000" s="148"/>
      <c r="E1000" s="148"/>
      <c r="F1000" s="148"/>
      <c r="G1000" s="148"/>
      <c r="H1000" s="148"/>
    </row>
  </sheetData>
  <autoFilter ref="$A$1:$H$101"/>
  <mergeCells count="1">
    <mergeCell ref="A1:H1"/>
  </mergeCells>
  <dataValidations>
    <dataValidation type="list" allowBlank="1" showErrorMessage="1" sqref="G2:G101">
      <formula1>"Pass,Fail"</formula1>
    </dataValidation>
  </dataValidations>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15.0"/>
    <col customWidth="1" min="2" max="2" width="20.0"/>
    <col customWidth="1" min="3" max="3" width="68.0"/>
    <col customWidth="1" min="4" max="4" width="13.0"/>
    <col customWidth="1" min="5" max="5" width="11.0"/>
    <col customWidth="1" min="6" max="6" width="8.71"/>
  </cols>
  <sheetData>
    <row r="1" ht="30.0" customHeight="1">
      <c r="A1" s="160" t="s">
        <v>1043</v>
      </c>
      <c r="B1" s="5"/>
      <c r="C1" s="5"/>
      <c r="D1" s="5"/>
      <c r="E1" s="5"/>
      <c r="F1" s="5"/>
      <c r="G1" s="5"/>
      <c r="H1" s="5"/>
      <c r="I1" s="5"/>
      <c r="J1" s="5"/>
      <c r="K1" s="5"/>
      <c r="L1" s="5"/>
      <c r="M1" s="5"/>
      <c r="N1" s="5"/>
      <c r="O1" s="5"/>
      <c r="P1" s="5"/>
      <c r="Q1" s="5"/>
      <c r="R1" s="5"/>
      <c r="S1" s="5"/>
      <c r="T1" s="5"/>
      <c r="U1" s="5"/>
      <c r="V1" s="5"/>
      <c r="W1" s="5"/>
      <c r="X1" s="5"/>
      <c r="Y1" s="5"/>
      <c r="Z1" s="5"/>
    </row>
    <row r="2" ht="13.5" customHeight="1">
      <c r="A2" s="161" t="s">
        <v>1048</v>
      </c>
      <c r="B2" s="5"/>
      <c r="C2" s="5"/>
      <c r="D2" s="5"/>
      <c r="E2" s="5"/>
      <c r="F2" s="5"/>
      <c r="G2" s="5"/>
      <c r="H2" s="5"/>
      <c r="I2" s="5"/>
      <c r="J2" s="5"/>
      <c r="K2" s="5"/>
      <c r="L2" s="5"/>
      <c r="M2" s="5"/>
      <c r="N2" s="5"/>
      <c r="O2" s="5"/>
      <c r="P2" s="5"/>
      <c r="Q2" s="5"/>
      <c r="R2" s="5"/>
      <c r="S2" s="5"/>
      <c r="T2" s="5"/>
      <c r="U2" s="5"/>
      <c r="V2" s="5"/>
      <c r="W2" s="5"/>
      <c r="X2" s="5"/>
      <c r="Y2" s="5"/>
      <c r="Z2" s="5"/>
    </row>
    <row r="3" ht="24.0" customHeight="1">
      <c r="A3" s="162" t="s">
        <v>1051</v>
      </c>
      <c r="B3" s="43"/>
      <c r="C3" s="43"/>
      <c r="D3" s="43"/>
      <c r="E3" s="43"/>
      <c r="F3" s="5"/>
      <c r="G3" s="5"/>
      <c r="H3" s="5"/>
      <c r="I3" s="5"/>
      <c r="J3" s="5"/>
      <c r="K3" s="5"/>
      <c r="L3" s="5"/>
      <c r="M3" s="5"/>
      <c r="N3" s="5"/>
      <c r="O3" s="5"/>
      <c r="P3" s="5"/>
      <c r="Q3" s="5"/>
      <c r="R3" s="5"/>
      <c r="S3" s="5"/>
      <c r="T3" s="5"/>
      <c r="U3" s="5"/>
      <c r="V3" s="5"/>
      <c r="W3" s="5"/>
      <c r="X3" s="5"/>
      <c r="Y3" s="5"/>
      <c r="Z3" s="5"/>
    </row>
    <row r="4" ht="21.75" customHeight="1">
      <c r="A4" s="163" t="s">
        <v>1057</v>
      </c>
      <c r="B4" s="164" t="s">
        <v>31</v>
      </c>
      <c r="C4" s="163" t="s">
        <v>4</v>
      </c>
      <c r="D4" s="164" t="s">
        <v>64</v>
      </c>
      <c r="E4" s="163" t="s">
        <v>46</v>
      </c>
      <c r="F4" s="5"/>
      <c r="G4" s="5"/>
      <c r="H4" s="5"/>
      <c r="I4" s="5"/>
      <c r="J4" s="5"/>
      <c r="K4" s="5"/>
      <c r="L4" s="5"/>
      <c r="M4" s="5"/>
      <c r="N4" s="5"/>
      <c r="O4" s="5"/>
      <c r="P4" s="5"/>
      <c r="Q4" s="5"/>
      <c r="R4" s="5"/>
      <c r="S4" s="5"/>
      <c r="T4" s="5"/>
      <c r="U4" s="5"/>
      <c r="V4" s="5"/>
      <c r="W4" s="5"/>
      <c r="X4" s="5"/>
      <c r="Y4" s="5"/>
      <c r="Z4" s="5"/>
    </row>
    <row r="5" ht="18.0" customHeight="1">
      <c r="A5" s="165" t="s">
        <v>102</v>
      </c>
      <c r="B5" s="166"/>
      <c r="C5" s="166"/>
      <c r="D5" s="166"/>
      <c r="E5" s="166"/>
      <c r="F5" s="5"/>
      <c r="G5" s="5"/>
      <c r="H5" s="5"/>
      <c r="I5" s="5"/>
      <c r="J5" s="5"/>
      <c r="K5" s="5"/>
      <c r="L5" s="5"/>
      <c r="M5" s="5"/>
      <c r="N5" s="5"/>
      <c r="O5" s="5"/>
      <c r="P5" s="5"/>
      <c r="Q5" s="5"/>
      <c r="R5" s="5"/>
      <c r="S5" s="5"/>
      <c r="T5" s="5"/>
      <c r="U5" s="5"/>
      <c r="V5" s="5"/>
      <c r="W5" s="5"/>
      <c r="X5" s="5"/>
      <c r="Y5" s="5"/>
      <c r="Z5" s="5"/>
    </row>
    <row r="6" ht="37.5" customHeight="1">
      <c r="A6" s="167" t="s">
        <v>1063</v>
      </c>
      <c r="B6" s="168" t="s">
        <v>23</v>
      </c>
      <c r="C6" s="169" t="s">
        <v>1064</v>
      </c>
      <c r="D6" s="168" t="s">
        <v>1065</v>
      </c>
      <c r="E6" s="170" t="s">
        <v>1066</v>
      </c>
      <c r="F6" s="5"/>
      <c r="G6" s="5"/>
      <c r="H6" s="5"/>
      <c r="I6" s="5"/>
      <c r="J6" s="5"/>
      <c r="K6" s="5"/>
      <c r="L6" s="5"/>
      <c r="M6" s="5"/>
      <c r="N6" s="5"/>
      <c r="O6" s="5"/>
      <c r="P6" s="5"/>
      <c r="Q6" s="5"/>
      <c r="R6" s="5"/>
      <c r="S6" s="5"/>
      <c r="T6" s="5"/>
      <c r="U6" s="5"/>
      <c r="V6" s="5"/>
      <c r="W6" s="5"/>
      <c r="X6" s="5"/>
      <c r="Y6" s="5"/>
      <c r="Z6" s="5"/>
    </row>
    <row r="7" ht="37.5" customHeight="1">
      <c r="A7" s="171" t="s">
        <v>1063</v>
      </c>
      <c r="B7" s="172" t="s">
        <v>23</v>
      </c>
      <c r="C7" s="173" t="s">
        <v>1069</v>
      </c>
      <c r="D7" s="172" t="s">
        <v>1065</v>
      </c>
      <c r="E7" s="170" t="s">
        <v>1066</v>
      </c>
      <c r="F7" s="5"/>
      <c r="G7" s="5"/>
      <c r="H7" s="5"/>
      <c r="I7" s="5"/>
      <c r="J7" s="5"/>
      <c r="K7" s="5"/>
      <c r="L7" s="5"/>
      <c r="M7" s="5"/>
      <c r="N7" s="5"/>
      <c r="O7" s="5"/>
      <c r="P7" s="5"/>
      <c r="Q7" s="5"/>
      <c r="R7" s="5"/>
      <c r="S7" s="5"/>
      <c r="T7" s="5"/>
      <c r="U7" s="5"/>
      <c r="V7" s="5"/>
      <c r="W7" s="5"/>
      <c r="X7" s="5"/>
      <c r="Y7" s="5"/>
      <c r="Z7" s="5"/>
    </row>
    <row r="8" ht="37.5" customHeight="1">
      <c r="A8" s="167" t="s">
        <v>1063</v>
      </c>
      <c r="B8" s="168" t="s">
        <v>23</v>
      </c>
      <c r="C8" s="169" t="s">
        <v>1072</v>
      </c>
      <c r="D8" s="168" t="s">
        <v>1065</v>
      </c>
      <c r="E8" s="170" t="s">
        <v>1066</v>
      </c>
      <c r="F8" s="5"/>
      <c r="G8" s="5"/>
      <c r="H8" s="5"/>
      <c r="I8" s="5"/>
      <c r="J8" s="5"/>
      <c r="K8" s="5"/>
      <c r="L8" s="5"/>
      <c r="M8" s="5"/>
      <c r="N8" s="5"/>
      <c r="O8" s="5"/>
      <c r="P8" s="5"/>
      <c r="Q8" s="5"/>
      <c r="R8" s="5"/>
      <c r="S8" s="5"/>
      <c r="T8" s="5"/>
      <c r="U8" s="5"/>
      <c r="V8" s="5"/>
      <c r="W8" s="5"/>
      <c r="X8" s="5"/>
      <c r="Y8" s="5"/>
      <c r="Z8" s="5"/>
    </row>
    <row r="9" ht="37.5" customHeight="1">
      <c r="A9" s="171" t="s">
        <v>1063</v>
      </c>
      <c r="B9" s="172" t="s">
        <v>23</v>
      </c>
      <c r="C9" s="173" t="s">
        <v>1073</v>
      </c>
      <c r="D9" s="172" t="s">
        <v>1065</v>
      </c>
      <c r="E9" s="170" t="s">
        <v>1066</v>
      </c>
      <c r="F9" s="5"/>
      <c r="G9" s="5"/>
      <c r="H9" s="5"/>
      <c r="I9" s="5"/>
      <c r="J9" s="5"/>
      <c r="K9" s="5"/>
      <c r="L9" s="5"/>
      <c r="M9" s="5"/>
      <c r="N9" s="5"/>
      <c r="O9" s="5"/>
      <c r="P9" s="5"/>
      <c r="Q9" s="5"/>
      <c r="R9" s="5"/>
      <c r="S9" s="5"/>
      <c r="T9" s="5"/>
      <c r="U9" s="5"/>
      <c r="V9" s="5"/>
      <c r="W9" s="5"/>
      <c r="X9" s="5"/>
      <c r="Y9" s="5"/>
      <c r="Z9" s="5"/>
    </row>
    <row r="10" ht="37.5" customHeight="1">
      <c r="A10" s="167" t="s">
        <v>1063</v>
      </c>
      <c r="B10" s="168" t="s">
        <v>23</v>
      </c>
      <c r="C10" s="169" t="s">
        <v>1074</v>
      </c>
      <c r="D10" s="168" t="s">
        <v>1065</v>
      </c>
      <c r="E10" s="170" t="s">
        <v>1066</v>
      </c>
      <c r="F10" s="5"/>
      <c r="G10" s="5"/>
      <c r="H10" s="5"/>
      <c r="I10" s="5"/>
      <c r="J10" s="5"/>
      <c r="K10" s="5"/>
      <c r="L10" s="5"/>
      <c r="M10" s="5"/>
      <c r="N10" s="5"/>
      <c r="O10" s="5"/>
      <c r="P10" s="5"/>
      <c r="Q10" s="5"/>
      <c r="R10" s="5"/>
      <c r="S10" s="5"/>
      <c r="T10" s="5"/>
      <c r="U10" s="5"/>
      <c r="V10" s="5"/>
      <c r="W10" s="5"/>
      <c r="X10" s="5"/>
      <c r="Y10" s="5"/>
      <c r="Z10" s="5"/>
    </row>
    <row r="11" ht="37.5" customHeight="1">
      <c r="A11" s="171" t="s">
        <v>1063</v>
      </c>
      <c r="B11" s="172" t="s">
        <v>23</v>
      </c>
      <c r="C11" s="173" t="s">
        <v>1077</v>
      </c>
      <c r="D11" s="172" t="s">
        <v>1065</v>
      </c>
      <c r="E11" s="170" t="s">
        <v>1066</v>
      </c>
      <c r="F11" s="5"/>
      <c r="G11" s="5"/>
      <c r="H11" s="5"/>
      <c r="I11" s="5"/>
      <c r="J11" s="5"/>
      <c r="K11" s="5"/>
      <c r="L11" s="5"/>
      <c r="M11" s="5"/>
      <c r="N11" s="5"/>
      <c r="O11" s="5"/>
      <c r="P11" s="5"/>
      <c r="Q11" s="5"/>
      <c r="R11" s="5"/>
      <c r="S11" s="5"/>
      <c r="T11" s="5"/>
      <c r="U11" s="5"/>
      <c r="V11" s="5"/>
      <c r="W11" s="5"/>
      <c r="X11" s="5"/>
      <c r="Y11" s="5"/>
      <c r="Z11" s="5"/>
    </row>
    <row r="12" ht="37.5" customHeight="1">
      <c r="A12" s="167" t="s">
        <v>1063</v>
      </c>
      <c r="B12" s="168" t="s">
        <v>23</v>
      </c>
      <c r="C12" s="169" t="s">
        <v>1079</v>
      </c>
      <c r="D12" s="168" t="s">
        <v>1065</v>
      </c>
      <c r="E12" s="170" t="s">
        <v>1066</v>
      </c>
      <c r="F12" s="5"/>
      <c r="G12" s="5"/>
      <c r="H12" s="5"/>
      <c r="I12" s="5"/>
      <c r="J12" s="5"/>
      <c r="K12" s="5"/>
      <c r="L12" s="5"/>
      <c r="M12" s="5"/>
      <c r="N12" s="5"/>
      <c r="O12" s="5"/>
      <c r="P12" s="5"/>
      <c r="Q12" s="5"/>
      <c r="R12" s="5"/>
      <c r="S12" s="5"/>
      <c r="T12" s="5"/>
      <c r="U12" s="5"/>
      <c r="V12" s="5"/>
      <c r="W12" s="5"/>
      <c r="X12" s="5"/>
      <c r="Y12" s="5"/>
      <c r="Z12" s="5"/>
    </row>
    <row r="13" ht="37.5" customHeight="1">
      <c r="A13" s="171" t="s">
        <v>1063</v>
      </c>
      <c r="B13" s="172" t="s">
        <v>23</v>
      </c>
      <c r="C13" s="173" t="s">
        <v>1081</v>
      </c>
      <c r="D13" s="172" t="s">
        <v>1065</v>
      </c>
      <c r="E13" s="170" t="s">
        <v>1066</v>
      </c>
      <c r="F13" s="5"/>
      <c r="G13" s="5"/>
      <c r="H13" s="5"/>
      <c r="I13" s="5"/>
      <c r="J13" s="5"/>
      <c r="K13" s="5"/>
      <c r="L13" s="5"/>
      <c r="M13" s="5"/>
      <c r="N13" s="5"/>
      <c r="O13" s="5"/>
      <c r="P13" s="5"/>
      <c r="Q13" s="5"/>
      <c r="R13" s="5"/>
      <c r="S13" s="5"/>
      <c r="T13" s="5"/>
      <c r="U13" s="5"/>
      <c r="V13" s="5"/>
      <c r="W13" s="5"/>
      <c r="X13" s="5"/>
      <c r="Y13" s="5"/>
      <c r="Z13" s="5"/>
    </row>
    <row r="14" ht="37.5" customHeight="1">
      <c r="A14" s="167" t="s">
        <v>1063</v>
      </c>
      <c r="B14" s="168" t="s">
        <v>23</v>
      </c>
      <c r="C14" s="169" t="s">
        <v>1082</v>
      </c>
      <c r="D14" s="168" t="s">
        <v>1065</v>
      </c>
      <c r="E14" s="170" t="s">
        <v>1066</v>
      </c>
      <c r="F14" s="5"/>
      <c r="G14" s="5"/>
      <c r="H14" s="5"/>
      <c r="I14" s="5"/>
      <c r="J14" s="5"/>
      <c r="K14" s="5"/>
      <c r="L14" s="5"/>
      <c r="M14" s="5"/>
      <c r="N14" s="5"/>
      <c r="O14" s="5"/>
      <c r="P14" s="5"/>
      <c r="Q14" s="5"/>
      <c r="R14" s="5"/>
      <c r="S14" s="5"/>
      <c r="T14" s="5"/>
      <c r="U14" s="5"/>
      <c r="V14" s="5"/>
      <c r="W14" s="5"/>
      <c r="X14" s="5"/>
      <c r="Y14" s="5"/>
      <c r="Z14" s="5"/>
    </row>
    <row r="15" ht="37.5" customHeight="1">
      <c r="A15" s="171" t="s">
        <v>1063</v>
      </c>
      <c r="B15" s="172" t="s">
        <v>23</v>
      </c>
      <c r="C15" s="173" t="s">
        <v>1083</v>
      </c>
      <c r="D15" s="172" t="s">
        <v>1065</v>
      </c>
      <c r="E15" s="170" t="s">
        <v>1066</v>
      </c>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ht="24.0" customHeight="1">
      <c r="A17" s="162" t="s">
        <v>1085</v>
      </c>
      <c r="B17" s="43"/>
      <c r="C17" s="43"/>
      <c r="D17" s="43"/>
      <c r="E17" s="43"/>
      <c r="F17" s="5"/>
      <c r="G17" s="5"/>
      <c r="H17" s="5"/>
      <c r="I17" s="5"/>
      <c r="J17" s="5"/>
      <c r="K17" s="5"/>
      <c r="L17" s="5"/>
      <c r="M17" s="5"/>
      <c r="N17" s="5"/>
      <c r="O17" s="5"/>
      <c r="P17" s="5"/>
      <c r="Q17" s="5"/>
      <c r="R17" s="5"/>
      <c r="S17" s="5"/>
      <c r="T17" s="5"/>
      <c r="U17" s="5"/>
      <c r="V17" s="5"/>
      <c r="W17" s="5"/>
      <c r="X17" s="5"/>
      <c r="Y17" s="5"/>
      <c r="Z17" s="5"/>
    </row>
    <row r="18" ht="21.75" customHeight="1">
      <c r="A18" s="163" t="s">
        <v>1057</v>
      </c>
      <c r="B18" s="164" t="s">
        <v>31</v>
      </c>
      <c r="C18" s="163" t="s">
        <v>4</v>
      </c>
      <c r="D18" s="164" t="s">
        <v>64</v>
      </c>
      <c r="E18" s="163" t="s">
        <v>46</v>
      </c>
      <c r="F18" s="5"/>
      <c r="G18" s="5"/>
      <c r="H18" s="5"/>
      <c r="I18" s="5"/>
      <c r="J18" s="5"/>
      <c r="K18" s="5"/>
      <c r="L18" s="5"/>
      <c r="M18" s="5"/>
      <c r="N18" s="5"/>
      <c r="O18" s="5"/>
      <c r="P18" s="5"/>
      <c r="Q18" s="5"/>
      <c r="R18" s="5"/>
      <c r="S18" s="5"/>
      <c r="T18" s="5"/>
      <c r="U18" s="5"/>
      <c r="V18" s="5"/>
      <c r="W18" s="5"/>
      <c r="X18" s="5"/>
      <c r="Y18" s="5"/>
      <c r="Z18" s="5"/>
    </row>
    <row r="19" ht="18.0" customHeight="1">
      <c r="A19" s="165" t="s">
        <v>1086</v>
      </c>
      <c r="B19" s="166"/>
      <c r="C19" s="166"/>
      <c r="D19" s="166"/>
      <c r="E19" s="166"/>
      <c r="F19" s="5"/>
      <c r="G19" s="5"/>
      <c r="H19" s="5"/>
      <c r="I19" s="5"/>
      <c r="J19" s="5"/>
      <c r="K19" s="5"/>
      <c r="L19" s="5"/>
      <c r="M19" s="5"/>
      <c r="N19" s="5"/>
      <c r="O19" s="5"/>
      <c r="P19" s="5"/>
      <c r="Q19" s="5"/>
      <c r="R19" s="5"/>
      <c r="S19" s="5"/>
      <c r="T19" s="5"/>
      <c r="U19" s="5"/>
      <c r="V19" s="5"/>
      <c r="W19" s="5"/>
      <c r="X19" s="5"/>
      <c r="Y19" s="5"/>
      <c r="Z19" s="5"/>
    </row>
    <row r="20" ht="37.5" customHeight="1">
      <c r="A20" s="167" t="s">
        <v>1088</v>
      </c>
      <c r="B20" s="168" t="s">
        <v>1089</v>
      </c>
      <c r="C20" s="169" t="s">
        <v>1090</v>
      </c>
      <c r="D20" s="168" t="s">
        <v>1091</v>
      </c>
      <c r="E20" s="174" t="s">
        <v>1093</v>
      </c>
      <c r="F20" s="5"/>
      <c r="G20" s="5"/>
      <c r="H20" s="5"/>
      <c r="I20" s="5"/>
      <c r="J20" s="5"/>
      <c r="K20" s="5"/>
      <c r="L20" s="5"/>
      <c r="M20" s="5"/>
      <c r="N20" s="5"/>
      <c r="O20" s="5"/>
      <c r="P20" s="5"/>
      <c r="Q20" s="5"/>
      <c r="R20" s="5"/>
      <c r="S20" s="5"/>
      <c r="T20" s="5"/>
      <c r="U20" s="5"/>
      <c r="V20" s="5"/>
      <c r="W20" s="5"/>
      <c r="X20" s="5"/>
      <c r="Y20" s="5"/>
      <c r="Z20" s="5"/>
    </row>
    <row r="21" ht="18.0" customHeight="1">
      <c r="A21" s="165" t="s">
        <v>102</v>
      </c>
      <c r="B21" s="166"/>
      <c r="C21" s="166"/>
      <c r="D21" s="166"/>
      <c r="E21" s="166"/>
      <c r="F21" s="5"/>
      <c r="G21" s="5"/>
      <c r="H21" s="5"/>
      <c r="I21" s="5"/>
      <c r="J21" s="5"/>
      <c r="K21" s="5"/>
      <c r="L21" s="5"/>
      <c r="M21" s="5"/>
      <c r="N21" s="5"/>
      <c r="O21" s="5"/>
      <c r="P21" s="5"/>
      <c r="Q21" s="5"/>
      <c r="R21" s="5"/>
      <c r="S21" s="5"/>
      <c r="T21" s="5"/>
      <c r="U21" s="5"/>
      <c r="V21" s="5"/>
      <c r="W21" s="5"/>
      <c r="X21" s="5"/>
      <c r="Y21" s="5"/>
      <c r="Z21" s="5"/>
    </row>
    <row r="22" ht="37.5" customHeight="1">
      <c r="A22" s="167" t="s">
        <v>1088</v>
      </c>
      <c r="B22" s="168" t="s">
        <v>23</v>
      </c>
      <c r="C22" s="169" t="s">
        <v>1096</v>
      </c>
      <c r="D22" s="168" t="s">
        <v>1091</v>
      </c>
      <c r="E22" s="174" t="s">
        <v>1093</v>
      </c>
      <c r="F22" s="5"/>
      <c r="G22" s="5"/>
      <c r="H22" s="5"/>
      <c r="I22" s="5"/>
      <c r="J22" s="5"/>
      <c r="K22" s="5"/>
      <c r="L22" s="5"/>
      <c r="M22" s="5"/>
      <c r="N22" s="5"/>
      <c r="O22" s="5"/>
      <c r="P22" s="5"/>
      <c r="Q22" s="5"/>
      <c r="R22" s="5"/>
      <c r="S22" s="5"/>
      <c r="T22" s="5"/>
      <c r="U22" s="5"/>
      <c r="V22" s="5"/>
      <c r="W22" s="5"/>
      <c r="X22" s="5"/>
      <c r="Y22" s="5"/>
      <c r="Z22" s="5"/>
    </row>
    <row r="23" ht="37.5" customHeight="1">
      <c r="A23" s="171" t="s">
        <v>1088</v>
      </c>
      <c r="B23" s="172" t="s">
        <v>23</v>
      </c>
      <c r="C23" s="173" t="s">
        <v>1097</v>
      </c>
      <c r="D23" s="172" t="s">
        <v>1091</v>
      </c>
      <c r="E23" s="175" t="s">
        <v>1098</v>
      </c>
      <c r="F23" s="5"/>
      <c r="G23" s="5"/>
      <c r="H23" s="5"/>
      <c r="I23" s="5"/>
      <c r="J23" s="5"/>
      <c r="K23" s="5"/>
      <c r="L23" s="5"/>
      <c r="M23" s="5"/>
      <c r="N23" s="5"/>
      <c r="O23" s="5"/>
      <c r="P23" s="5"/>
      <c r="Q23" s="5"/>
      <c r="R23" s="5"/>
      <c r="S23" s="5"/>
      <c r="T23" s="5"/>
      <c r="U23" s="5"/>
      <c r="V23" s="5"/>
      <c r="W23" s="5"/>
      <c r="X23" s="5"/>
      <c r="Y23" s="5"/>
      <c r="Z23" s="5"/>
    </row>
    <row r="24" ht="37.5" customHeight="1">
      <c r="A24" s="167" t="s">
        <v>1088</v>
      </c>
      <c r="B24" s="168" t="s">
        <v>23</v>
      </c>
      <c r="C24" s="169" t="s">
        <v>1101</v>
      </c>
      <c r="D24" s="168" t="s">
        <v>1091</v>
      </c>
      <c r="E24" s="175" t="s">
        <v>1098</v>
      </c>
      <c r="F24" s="5"/>
      <c r="G24" s="5"/>
      <c r="H24" s="5"/>
      <c r="I24" s="5"/>
      <c r="J24" s="5"/>
      <c r="K24" s="5"/>
      <c r="L24" s="5"/>
      <c r="M24" s="5"/>
      <c r="N24" s="5"/>
      <c r="O24" s="5"/>
      <c r="P24" s="5"/>
      <c r="Q24" s="5"/>
      <c r="R24" s="5"/>
      <c r="S24" s="5"/>
      <c r="T24" s="5"/>
      <c r="U24" s="5"/>
      <c r="V24" s="5"/>
      <c r="W24" s="5"/>
      <c r="X24" s="5"/>
      <c r="Y24" s="5"/>
      <c r="Z24" s="5"/>
    </row>
    <row r="25" ht="18.0" customHeight="1">
      <c r="A25" s="165" t="s">
        <v>1103</v>
      </c>
      <c r="B25" s="166"/>
      <c r="C25" s="166"/>
      <c r="D25" s="166"/>
      <c r="E25" s="166"/>
      <c r="F25" s="5"/>
      <c r="G25" s="5"/>
      <c r="H25" s="5"/>
      <c r="I25" s="5"/>
      <c r="J25" s="5"/>
      <c r="K25" s="5"/>
      <c r="L25" s="5"/>
      <c r="M25" s="5"/>
      <c r="N25" s="5"/>
      <c r="O25" s="5"/>
      <c r="P25" s="5"/>
      <c r="Q25" s="5"/>
      <c r="R25" s="5"/>
      <c r="S25" s="5"/>
      <c r="T25" s="5"/>
      <c r="U25" s="5"/>
      <c r="V25" s="5"/>
      <c r="W25" s="5"/>
      <c r="X25" s="5"/>
      <c r="Y25" s="5"/>
      <c r="Z25" s="5"/>
    </row>
    <row r="26" ht="37.5" customHeight="1">
      <c r="A26" s="167" t="s">
        <v>1088</v>
      </c>
      <c r="B26" s="168" t="s">
        <v>1104</v>
      </c>
      <c r="C26" s="169" t="s">
        <v>1105</v>
      </c>
      <c r="D26" s="168" t="s">
        <v>1091</v>
      </c>
      <c r="E26" s="175" t="s">
        <v>1098</v>
      </c>
      <c r="F26" s="5"/>
      <c r="G26" s="5"/>
      <c r="H26" s="5"/>
      <c r="I26" s="5"/>
      <c r="J26" s="5"/>
      <c r="K26" s="5"/>
      <c r="L26" s="5"/>
      <c r="M26" s="5"/>
      <c r="N26" s="5"/>
      <c r="O26" s="5"/>
      <c r="P26" s="5"/>
      <c r="Q26" s="5"/>
      <c r="R26" s="5"/>
      <c r="S26" s="5"/>
      <c r="T26" s="5"/>
      <c r="U26" s="5"/>
      <c r="V26" s="5"/>
      <c r="W26" s="5"/>
      <c r="X26" s="5"/>
      <c r="Y26" s="5"/>
      <c r="Z26" s="5"/>
    </row>
    <row r="27" ht="39.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24.0" customHeight="1">
      <c r="A28" s="162" t="s">
        <v>1108</v>
      </c>
      <c r="B28" s="43"/>
      <c r="C28" s="43"/>
      <c r="D28" s="43"/>
      <c r="E28" s="43"/>
      <c r="F28" s="5"/>
      <c r="G28" s="5"/>
      <c r="H28" s="5"/>
      <c r="I28" s="5"/>
      <c r="J28" s="5"/>
      <c r="K28" s="5"/>
      <c r="L28" s="5"/>
      <c r="M28" s="5"/>
      <c r="N28" s="5"/>
      <c r="O28" s="5"/>
      <c r="P28" s="5"/>
      <c r="Q28" s="5"/>
      <c r="R28" s="5"/>
      <c r="S28" s="5"/>
      <c r="T28" s="5"/>
      <c r="U28" s="5"/>
      <c r="V28" s="5"/>
      <c r="W28" s="5"/>
      <c r="X28" s="5"/>
      <c r="Y28" s="5"/>
      <c r="Z28" s="5"/>
    </row>
    <row r="29" ht="21.75" customHeight="1">
      <c r="A29" s="163" t="s">
        <v>1057</v>
      </c>
      <c r="B29" s="164" t="s">
        <v>31</v>
      </c>
      <c r="C29" s="163" t="s">
        <v>4</v>
      </c>
      <c r="D29" s="164" t="s">
        <v>64</v>
      </c>
      <c r="E29" s="163" t="s">
        <v>46</v>
      </c>
      <c r="F29" s="5"/>
      <c r="G29" s="5"/>
      <c r="H29" s="5"/>
      <c r="I29" s="5"/>
      <c r="J29" s="5"/>
      <c r="K29" s="5"/>
      <c r="L29" s="5"/>
      <c r="M29" s="5"/>
      <c r="N29" s="5"/>
      <c r="O29" s="5"/>
      <c r="P29" s="5"/>
      <c r="Q29" s="5"/>
      <c r="R29" s="5"/>
      <c r="S29" s="5"/>
      <c r="T29" s="5"/>
      <c r="U29" s="5"/>
      <c r="V29" s="5"/>
      <c r="W29" s="5"/>
      <c r="X29" s="5"/>
      <c r="Y29" s="5"/>
      <c r="Z29" s="5"/>
    </row>
    <row r="30" ht="18.0" customHeight="1">
      <c r="A30" s="165" t="s">
        <v>1109</v>
      </c>
      <c r="B30" s="166"/>
      <c r="C30" s="166"/>
      <c r="D30" s="166"/>
      <c r="E30" s="166"/>
      <c r="F30" s="5"/>
      <c r="G30" s="5"/>
      <c r="H30" s="5"/>
      <c r="I30" s="5"/>
      <c r="J30" s="5"/>
      <c r="K30" s="5"/>
      <c r="L30" s="5"/>
      <c r="M30" s="5"/>
      <c r="N30" s="5"/>
      <c r="O30" s="5"/>
      <c r="P30" s="5"/>
      <c r="Q30" s="5"/>
      <c r="R30" s="5"/>
      <c r="S30" s="5"/>
      <c r="T30" s="5"/>
      <c r="U30" s="5"/>
      <c r="V30" s="5"/>
      <c r="W30" s="5"/>
      <c r="X30" s="5"/>
      <c r="Y30" s="5"/>
      <c r="Z30" s="5"/>
    </row>
    <row r="31" ht="37.5" customHeight="1">
      <c r="A31" s="167" t="s">
        <v>1110</v>
      </c>
      <c r="B31" s="168" t="s">
        <v>1112</v>
      </c>
      <c r="C31" s="169" t="s">
        <v>1113</v>
      </c>
      <c r="D31" s="168" t="s">
        <v>1065</v>
      </c>
      <c r="E31" s="170" t="s">
        <v>1066</v>
      </c>
      <c r="F31" s="5"/>
      <c r="G31" s="5"/>
      <c r="H31" s="5"/>
      <c r="I31" s="5"/>
      <c r="J31" s="5"/>
      <c r="K31" s="5"/>
      <c r="L31" s="5"/>
      <c r="M31" s="5"/>
      <c r="N31" s="5"/>
      <c r="O31" s="5"/>
      <c r="P31" s="5"/>
      <c r="Q31" s="5"/>
      <c r="R31" s="5"/>
      <c r="S31" s="5"/>
      <c r="T31" s="5"/>
      <c r="U31" s="5"/>
      <c r="V31" s="5"/>
      <c r="W31" s="5"/>
      <c r="X31" s="5"/>
      <c r="Y31" s="5"/>
      <c r="Z31" s="5"/>
    </row>
    <row r="32" ht="37.5" customHeight="1">
      <c r="A32" s="167" t="s">
        <v>1063</v>
      </c>
      <c r="B32" s="168" t="s">
        <v>23</v>
      </c>
      <c r="C32" s="169" t="s">
        <v>1115</v>
      </c>
      <c r="D32" s="168" t="s">
        <v>1065</v>
      </c>
      <c r="E32" s="176" t="s">
        <v>1066</v>
      </c>
      <c r="F32" s="5"/>
      <c r="G32" s="5"/>
      <c r="H32" s="5"/>
      <c r="I32" s="5"/>
      <c r="J32" s="5"/>
      <c r="K32" s="5"/>
      <c r="L32" s="5"/>
      <c r="M32" s="5"/>
      <c r="N32" s="5"/>
      <c r="O32" s="5"/>
      <c r="P32" s="5"/>
      <c r="Q32" s="5"/>
      <c r="R32" s="5"/>
      <c r="S32" s="5"/>
      <c r="T32" s="5"/>
      <c r="U32" s="5"/>
      <c r="V32" s="5"/>
      <c r="W32" s="5"/>
      <c r="X32" s="5"/>
      <c r="Y32" s="5"/>
      <c r="Z32" s="5"/>
    </row>
    <row r="33" ht="18.0" customHeight="1">
      <c r="A33" s="165" t="s">
        <v>102</v>
      </c>
      <c r="B33" s="166"/>
      <c r="C33" s="166"/>
      <c r="D33" s="166"/>
      <c r="E33" s="166"/>
      <c r="F33" s="5"/>
      <c r="G33" s="5"/>
      <c r="H33" s="5"/>
      <c r="I33" s="5"/>
      <c r="J33" s="5"/>
      <c r="K33" s="5"/>
      <c r="L33" s="5"/>
      <c r="M33" s="5"/>
      <c r="N33" s="5"/>
      <c r="O33" s="5"/>
      <c r="P33" s="5"/>
      <c r="Q33" s="5"/>
      <c r="R33" s="5"/>
      <c r="S33" s="5"/>
      <c r="T33" s="5"/>
      <c r="U33" s="5"/>
      <c r="V33" s="5"/>
      <c r="W33" s="5"/>
      <c r="X33" s="5"/>
      <c r="Y33" s="5"/>
      <c r="Z33" s="5"/>
    </row>
    <row r="34" ht="37.5" customHeight="1">
      <c r="A34" s="167" t="s">
        <v>1110</v>
      </c>
      <c r="B34" s="168" t="s">
        <v>23</v>
      </c>
      <c r="C34" s="169" t="s">
        <v>1117</v>
      </c>
      <c r="D34" s="168" t="s">
        <v>1065</v>
      </c>
      <c r="E34" s="170" t="s">
        <v>1066</v>
      </c>
      <c r="F34" s="5"/>
      <c r="G34" s="5"/>
      <c r="H34" s="5"/>
      <c r="I34" s="5"/>
      <c r="J34" s="5"/>
      <c r="K34" s="5"/>
      <c r="L34" s="5"/>
      <c r="M34" s="5"/>
      <c r="N34" s="5"/>
      <c r="O34" s="5"/>
      <c r="P34" s="5"/>
      <c r="Q34" s="5"/>
      <c r="R34" s="5"/>
      <c r="S34" s="5"/>
      <c r="T34" s="5"/>
      <c r="U34" s="5"/>
      <c r="V34" s="5"/>
      <c r="W34" s="5"/>
      <c r="X34" s="5"/>
      <c r="Y34" s="5"/>
      <c r="Z34" s="5"/>
    </row>
    <row r="35" ht="37.5" customHeight="1">
      <c r="A35" s="171" t="s">
        <v>1110</v>
      </c>
      <c r="B35" s="172" t="s">
        <v>23</v>
      </c>
      <c r="C35" s="173" t="s">
        <v>1119</v>
      </c>
      <c r="D35" s="172" t="s">
        <v>1065</v>
      </c>
      <c r="E35" s="170" t="s">
        <v>1066</v>
      </c>
      <c r="F35" s="5"/>
      <c r="G35" s="5"/>
      <c r="H35" s="5"/>
      <c r="I35" s="5"/>
      <c r="J35" s="5"/>
      <c r="K35" s="5"/>
      <c r="L35" s="5"/>
      <c r="M35" s="5"/>
      <c r="N35" s="5"/>
      <c r="O35" s="5"/>
      <c r="P35" s="5"/>
      <c r="Q35" s="5"/>
      <c r="R35" s="5"/>
      <c r="S35" s="5"/>
      <c r="T35" s="5"/>
      <c r="U35" s="5"/>
      <c r="V35" s="5"/>
      <c r="W35" s="5"/>
      <c r="X35" s="5"/>
      <c r="Y35" s="5"/>
      <c r="Z35" s="5"/>
    </row>
    <row r="36" ht="37.5" customHeight="1">
      <c r="A36" s="167" t="s">
        <v>1110</v>
      </c>
      <c r="B36" s="168" t="s">
        <v>23</v>
      </c>
      <c r="C36" s="169" t="s">
        <v>1121</v>
      </c>
      <c r="D36" s="168" t="s">
        <v>1122</v>
      </c>
      <c r="E36" s="170" t="s">
        <v>1066</v>
      </c>
      <c r="F36" s="5"/>
      <c r="G36" s="5"/>
      <c r="H36" s="5"/>
      <c r="I36" s="5"/>
      <c r="J36" s="5"/>
      <c r="K36" s="5"/>
      <c r="L36" s="5"/>
      <c r="M36" s="5"/>
      <c r="N36" s="5"/>
      <c r="O36" s="5"/>
      <c r="P36" s="5"/>
      <c r="Q36" s="5"/>
      <c r="R36" s="5"/>
      <c r="S36" s="5"/>
      <c r="T36" s="5"/>
      <c r="U36" s="5"/>
      <c r="V36" s="5"/>
      <c r="W36" s="5"/>
      <c r="X36" s="5"/>
      <c r="Y36" s="5"/>
      <c r="Z36" s="5"/>
    </row>
    <row r="37" ht="39.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24.0" customHeight="1">
      <c r="A38" s="162" t="s">
        <v>1123</v>
      </c>
      <c r="B38" s="43"/>
      <c r="C38" s="43"/>
      <c r="D38" s="43"/>
      <c r="E38" s="43"/>
      <c r="F38" s="5"/>
      <c r="G38" s="5"/>
      <c r="H38" s="5"/>
      <c r="I38" s="5"/>
      <c r="J38" s="5"/>
      <c r="K38" s="5"/>
      <c r="L38" s="5"/>
      <c r="M38" s="5"/>
      <c r="N38" s="5"/>
      <c r="O38" s="5"/>
      <c r="P38" s="5"/>
      <c r="Q38" s="5"/>
      <c r="R38" s="5"/>
      <c r="S38" s="5"/>
      <c r="T38" s="5"/>
      <c r="U38" s="5"/>
      <c r="V38" s="5"/>
      <c r="W38" s="5"/>
      <c r="X38" s="5"/>
      <c r="Y38" s="5"/>
      <c r="Z38" s="5"/>
    </row>
    <row r="39" ht="21.75" customHeight="1">
      <c r="A39" s="163" t="s">
        <v>1057</v>
      </c>
      <c r="B39" s="164" t="s">
        <v>31</v>
      </c>
      <c r="C39" s="163" t="s">
        <v>4</v>
      </c>
      <c r="D39" s="164" t="s">
        <v>64</v>
      </c>
      <c r="E39" s="163" t="s">
        <v>46</v>
      </c>
      <c r="F39" s="5"/>
      <c r="G39" s="5"/>
      <c r="H39" s="5"/>
      <c r="I39" s="5"/>
      <c r="J39" s="5"/>
      <c r="K39" s="5"/>
      <c r="L39" s="5"/>
      <c r="M39" s="5"/>
      <c r="N39" s="5"/>
      <c r="O39" s="5"/>
      <c r="P39" s="5"/>
      <c r="Q39" s="5"/>
      <c r="R39" s="5"/>
      <c r="S39" s="5"/>
      <c r="T39" s="5"/>
      <c r="U39" s="5"/>
      <c r="V39" s="5"/>
      <c r="W39" s="5"/>
      <c r="X39" s="5"/>
      <c r="Y39" s="5"/>
      <c r="Z39" s="5"/>
    </row>
    <row r="40" ht="18.0" customHeight="1">
      <c r="A40" s="165" t="s">
        <v>102</v>
      </c>
      <c r="B40" s="166"/>
      <c r="C40" s="166"/>
      <c r="D40" s="166"/>
      <c r="E40" s="166"/>
      <c r="F40" s="5"/>
      <c r="G40" s="5"/>
      <c r="H40" s="5"/>
      <c r="I40" s="5"/>
      <c r="J40" s="5"/>
      <c r="K40" s="5"/>
      <c r="L40" s="5"/>
      <c r="M40" s="5"/>
      <c r="N40" s="5"/>
      <c r="O40" s="5"/>
      <c r="P40" s="5"/>
      <c r="Q40" s="5"/>
      <c r="R40" s="5"/>
      <c r="S40" s="5"/>
      <c r="T40" s="5"/>
      <c r="U40" s="5"/>
      <c r="V40" s="5"/>
      <c r="W40" s="5"/>
      <c r="X40" s="5"/>
      <c r="Y40" s="5"/>
      <c r="Z40" s="5"/>
    </row>
    <row r="41" ht="37.5" customHeight="1">
      <c r="A41" s="167" t="s">
        <v>1127</v>
      </c>
      <c r="B41" s="168" t="s">
        <v>23</v>
      </c>
      <c r="C41" s="169" t="s">
        <v>1128</v>
      </c>
      <c r="D41" s="168" t="s">
        <v>1129</v>
      </c>
      <c r="E41" s="170" t="s">
        <v>1066</v>
      </c>
      <c r="F41" s="5"/>
      <c r="G41" s="5"/>
      <c r="H41" s="5"/>
      <c r="I41" s="5"/>
      <c r="J41" s="5"/>
      <c r="K41" s="5"/>
      <c r="L41" s="5"/>
      <c r="M41" s="5"/>
      <c r="N41" s="5"/>
      <c r="O41" s="5"/>
      <c r="P41" s="5"/>
      <c r="Q41" s="5"/>
      <c r="R41" s="5"/>
      <c r="S41" s="5"/>
      <c r="T41" s="5"/>
      <c r="U41" s="5"/>
      <c r="V41" s="5"/>
      <c r="W41" s="5"/>
      <c r="X41" s="5"/>
      <c r="Y41" s="5"/>
      <c r="Z41" s="5"/>
    </row>
    <row r="42" ht="37.5" customHeight="1">
      <c r="A42" s="171" t="s">
        <v>1127</v>
      </c>
      <c r="B42" s="172" t="s">
        <v>23</v>
      </c>
      <c r="C42" s="173" t="s">
        <v>1131</v>
      </c>
      <c r="D42" s="172" t="s">
        <v>1122</v>
      </c>
      <c r="E42" s="170" t="s">
        <v>1066</v>
      </c>
      <c r="F42" s="5"/>
      <c r="G42" s="5"/>
      <c r="H42" s="5"/>
      <c r="I42" s="5"/>
      <c r="J42" s="5"/>
      <c r="K42" s="5"/>
      <c r="L42" s="5"/>
      <c r="M42" s="5"/>
      <c r="N42" s="5"/>
      <c r="O42" s="5"/>
      <c r="P42" s="5"/>
      <c r="Q42" s="5"/>
      <c r="R42" s="5"/>
      <c r="S42" s="5"/>
      <c r="T42" s="5"/>
      <c r="U42" s="5"/>
      <c r="V42" s="5"/>
      <c r="W42" s="5"/>
      <c r="X42" s="5"/>
      <c r="Y42" s="5"/>
      <c r="Z42" s="5"/>
    </row>
    <row r="43" ht="37.5" customHeight="1">
      <c r="A43" s="167" t="s">
        <v>1127</v>
      </c>
      <c r="B43" s="168" t="s">
        <v>23</v>
      </c>
      <c r="C43" s="169" t="s">
        <v>1132</v>
      </c>
      <c r="D43" s="168" t="s">
        <v>1122</v>
      </c>
      <c r="E43" s="170" t="s">
        <v>1066</v>
      </c>
      <c r="F43" s="5"/>
      <c r="G43" s="5"/>
      <c r="H43" s="5"/>
      <c r="I43" s="5"/>
      <c r="J43" s="5"/>
      <c r="K43" s="5"/>
      <c r="L43" s="5"/>
      <c r="M43" s="5"/>
      <c r="N43" s="5"/>
      <c r="O43" s="5"/>
      <c r="P43" s="5"/>
      <c r="Q43" s="5"/>
      <c r="R43" s="5"/>
      <c r="S43" s="5"/>
      <c r="T43" s="5"/>
      <c r="U43" s="5"/>
      <c r="V43" s="5"/>
      <c r="W43" s="5"/>
      <c r="X43" s="5"/>
      <c r="Y43" s="5"/>
      <c r="Z43" s="5"/>
    </row>
    <row r="44" ht="37.5" customHeight="1">
      <c r="A44" s="171" t="s">
        <v>1127</v>
      </c>
      <c r="B44" s="172" t="s">
        <v>23</v>
      </c>
      <c r="C44" s="173" t="s">
        <v>1133</v>
      </c>
      <c r="D44" s="172" t="s">
        <v>1122</v>
      </c>
      <c r="E44" s="170" t="s">
        <v>1066</v>
      </c>
      <c r="F44" s="5"/>
      <c r="G44" s="5"/>
      <c r="H44" s="5"/>
      <c r="I44" s="5"/>
      <c r="J44" s="5"/>
      <c r="K44" s="5"/>
      <c r="L44" s="5"/>
      <c r="M44" s="5"/>
      <c r="N44" s="5"/>
      <c r="O44" s="5"/>
      <c r="P44" s="5"/>
      <c r="Q44" s="5"/>
      <c r="R44" s="5"/>
      <c r="S44" s="5"/>
      <c r="T44" s="5"/>
      <c r="U44" s="5"/>
      <c r="V44" s="5"/>
      <c r="W44" s="5"/>
      <c r="X44" s="5"/>
      <c r="Y44" s="5"/>
      <c r="Z44" s="5"/>
    </row>
    <row r="45" ht="37.5" customHeight="1">
      <c r="A45" s="167" t="s">
        <v>1135</v>
      </c>
      <c r="B45" s="168" t="s">
        <v>23</v>
      </c>
      <c r="C45" s="169" t="s">
        <v>1136</v>
      </c>
      <c r="D45" s="168" t="s">
        <v>1065</v>
      </c>
      <c r="E45" s="170" t="s">
        <v>1066</v>
      </c>
      <c r="F45" s="5"/>
      <c r="G45" s="5"/>
      <c r="H45" s="5"/>
      <c r="I45" s="5"/>
      <c r="J45" s="5"/>
      <c r="K45" s="5"/>
      <c r="L45" s="5"/>
      <c r="M45" s="5"/>
      <c r="N45" s="5"/>
      <c r="O45" s="5"/>
      <c r="P45" s="5"/>
      <c r="Q45" s="5"/>
      <c r="R45" s="5"/>
      <c r="S45" s="5"/>
      <c r="T45" s="5"/>
      <c r="U45" s="5"/>
      <c r="V45" s="5"/>
      <c r="W45" s="5"/>
      <c r="X45" s="5"/>
      <c r="Y45" s="5"/>
      <c r="Z45" s="5"/>
    </row>
    <row r="46" ht="37.5" customHeight="1">
      <c r="A46" s="171" t="s">
        <v>1135</v>
      </c>
      <c r="B46" s="172" t="s">
        <v>23</v>
      </c>
      <c r="C46" s="173" t="s">
        <v>1137</v>
      </c>
      <c r="D46" s="172" t="s">
        <v>1065</v>
      </c>
      <c r="E46" s="170" t="s">
        <v>1066</v>
      </c>
      <c r="F46" s="5"/>
      <c r="G46" s="5"/>
      <c r="H46" s="5"/>
      <c r="I46" s="5"/>
      <c r="J46" s="5"/>
      <c r="K46" s="5"/>
      <c r="L46" s="5"/>
      <c r="M46" s="5"/>
      <c r="N46" s="5"/>
      <c r="O46" s="5"/>
      <c r="P46" s="5"/>
      <c r="Q46" s="5"/>
      <c r="R46" s="5"/>
      <c r="S46" s="5"/>
      <c r="T46" s="5"/>
      <c r="U46" s="5"/>
      <c r="V46" s="5"/>
      <c r="W46" s="5"/>
      <c r="X46" s="5"/>
      <c r="Y46" s="5"/>
      <c r="Z46" s="5"/>
    </row>
    <row r="47" ht="37.5" customHeight="1">
      <c r="A47" s="167" t="s">
        <v>1135</v>
      </c>
      <c r="B47" s="168" t="s">
        <v>23</v>
      </c>
      <c r="C47" s="169" t="s">
        <v>1140</v>
      </c>
      <c r="D47" s="168" t="s">
        <v>1065</v>
      </c>
      <c r="E47" s="170" t="s">
        <v>1066</v>
      </c>
      <c r="F47" s="5"/>
      <c r="G47" s="5"/>
      <c r="H47" s="5"/>
      <c r="I47" s="5"/>
      <c r="J47" s="5"/>
      <c r="K47" s="5"/>
      <c r="L47" s="5"/>
      <c r="M47" s="5"/>
      <c r="N47" s="5"/>
      <c r="O47" s="5"/>
      <c r="P47" s="5"/>
      <c r="Q47" s="5"/>
      <c r="R47" s="5"/>
      <c r="S47" s="5"/>
      <c r="T47" s="5"/>
      <c r="U47" s="5"/>
      <c r="V47" s="5"/>
      <c r="W47" s="5"/>
      <c r="X47" s="5"/>
      <c r="Y47" s="5"/>
      <c r="Z47" s="5"/>
    </row>
    <row r="48" ht="37.5" customHeight="1">
      <c r="A48" s="171" t="s">
        <v>1135</v>
      </c>
      <c r="B48" s="172" t="s">
        <v>23</v>
      </c>
      <c r="C48" s="173" t="s">
        <v>1141</v>
      </c>
      <c r="D48" s="172" t="s">
        <v>1065</v>
      </c>
      <c r="E48" s="170" t="s">
        <v>1066</v>
      </c>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148"/>
      <c r="B249" s="148"/>
      <c r="C249" s="148"/>
      <c r="D249" s="148"/>
      <c r="E249" s="148"/>
      <c r="F249" s="148"/>
    </row>
    <row r="250" ht="15.75" customHeight="1">
      <c r="A250" s="148"/>
      <c r="B250" s="148"/>
      <c r="C250" s="148"/>
      <c r="D250" s="148"/>
      <c r="E250" s="148"/>
      <c r="F250" s="148"/>
    </row>
    <row r="251" ht="15.75" customHeight="1">
      <c r="A251" s="148"/>
      <c r="B251" s="148"/>
      <c r="C251" s="148"/>
      <c r="D251" s="148"/>
      <c r="E251" s="148"/>
      <c r="F251" s="148"/>
    </row>
    <row r="252" ht="15.75" customHeight="1">
      <c r="A252" s="148"/>
      <c r="B252" s="148"/>
      <c r="C252" s="148"/>
      <c r="D252" s="148"/>
      <c r="E252" s="148"/>
      <c r="F252" s="148"/>
    </row>
    <row r="253" ht="15.75" customHeight="1">
      <c r="A253" s="148"/>
      <c r="B253" s="148"/>
      <c r="C253" s="148"/>
      <c r="D253" s="148"/>
      <c r="E253" s="148"/>
      <c r="F253" s="148"/>
    </row>
    <row r="254" ht="15.75" customHeight="1">
      <c r="A254" s="148"/>
      <c r="B254" s="148"/>
      <c r="C254" s="148"/>
      <c r="D254" s="148"/>
      <c r="E254" s="148"/>
      <c r="F254" s="148"/>
    </row>
    <row r="255" ht="15.75" customHeight="1">
      <c r="A255" s="148"/>
      <c r="B255" s="148"/>
      <c r="C255" s="148"/>
      <c r="D255" s="148"/>
      <c r="E255" s="148"/>
      <c r="F255" s="148"/>
    </row>
    <row r="256" ht="15.75" customHeight="1">
      <c r="A256" s="148"/>
      <c r="B256" s="148"/>
      <c r="C256" s="148"/>
      <c r="D256" s="148"/>
      <c r="E256" s="148"/>
      <c r="F256" s="148"/>
    </row>
    <row r="257" ht="15.75" customHeight="1">
      <c r="A257" s="148"/>
      <c r="B257" s="148"/>
      <c r="C257" s="148"/>
      <c r="D257" s="148"/>
      <c r="E257" s="148"/>
      <c r="F257" s="148"/>
    </row>
    <row r="258" ht="15.75" customHeight="1">
      <c r="A258" s="148"/>
      <c r="B258" s="148"/>
      <c r="C258" s="148"/>
      <c r="D258" s="148"/>
      <c r="E258" s="148"/>
      <c r="F258" s="148"/>
    </row>
    <row r="259" ht="15.75" customHeight="1">
      <c r="A259" s="148"/>
      <c r="B259" s="148"/>
      <c r="C259" s="148"/>
      <c r="D259" s="148"/>
      <c r="E259" s="148"/>
      <c r="F259" s="148"/>
    </row>
    <row r="260" ht="15.75" customHeight="1">
      <c r="A260" s="148"/>
      <c r="B260" s="148"/>
      <c r="C260" s="148"/>
      <c r="D260" s="148"/>
      <c r="E260" s="148"/>
      <c r="F260" s="148"/>
    </row>
    <row r="261" ht="15.75" customHeight="1">
      <c r="A261" s="148"/>
      <c r="B261" s="148"/>
      <c r="C261" s="148"/>
      <c r="D261" s="148"/>
      <c r="E261" s="148"/>
      <c r="F261" s="148"/>
    </row>
    <row r="262" ht="15.75" customHeight="1">
      <c r="A262" s="148"/>
      <c r="B262" s="148"/>
      <c r="C262" s="148"/>
      <c r="D262" s="148"/>
      <c r="E262" s="148"/>
      <c r="F262" s="148"/>
    </row>
    <row r="263" ht="15.75" customHeight="1">
      <c r="A263" s="148"/>
      <c r="B263" s="148"/>
      <c r="C263" s="148"/>
      <c r="D263" s="148"/>
      <c r="E263" s="148"/>
      <c r="F263" s="148"/>
    </row>
    <row r="264" ht="15.75" customHeight="1">
      <c r="A264" s="148"/>
      <c r="B264" s="148"/>
      <c r="C264" s="148"/>
      <c r="D264" s="148"/>
      <c r="E264" s="148"/>
      <c r="F264" s="148"/>
    </row>
    <row r="265" ht="15.75" customHeight="1">
      <c r="A265" s="148"/>
      <c r="B265" s="148"/>
      <c r="C265" s="148"/>
      <c r="D265" s="148"/>
      <c r="E265" s="148"/>
      <c r="F265" s="148"/>
    </row>
    <row r="266" ht="15.75" customHeight="1">
      <c r="A266" s="148"/>
      <c r="B266" s="148"/>
      <c r="C266" s="148"/>
      <c r="D266" s="148"/>
      <c r="E266" s="148"/>
      <c r="F266" s="148"/>
    </row>
    <row r="267" ht="15.75" customHeight="1">
      <c r="A267" s="148"/>
      <c r="B267" s="148"/>
      <c r="C267" s="148"/>
      <c r="D267" s="148"/>
      <c r="E267" s="148"/>
      <c r="F267" s="148"/>
    </row>
    <row r="268" ht="15.75" customHeight="1">
      <c r="A268" s="148"/>
      <c r="B268" s="148"/>
      <c r="C268" s="148"/>
      <c r="D268" s="148"/>
      <c r="E268" s="148"/>
      <c r="F268" s="148"/>
    </row>
    <row r="269" ht="15.75" customHeight="1">
      <c r="A269" s="148"/>
      <c r="B269" s="148"/>
      <c r="C269" s="148"/>
      <c r="D269" s="148"/>
      <c r="E269" s="148"/>
      <c r="F269" s="148"/>
    </row>
    <row r="270" ht="15.75" customHeight="1">
      <c r="A270" s="148"/>
      <c r="B270" s="148"/>
      <c r="C270" s="148"/>
      <c r="D270" s="148"/>
      <c r="E270" s="148"/>
      <c r="F270" s="148"/>
    </row>
    <row r="271" ht="15.75" customHeight="1">
      <c r="A271" s="148"/>
      <c r="B271" s="148"/>
      <c r="C271" s="148"/>
      <c r="D271" s="148"/>
      <c r="E271" s="148"/>
      <c r="F271" s="148"/>
    </row>
    <row r="272" ht="15.75" customHeight="1">
      <c r="A272" s="148"/>
      <c r="B272" s="148"/>
      <c r="C272" s="148"/>
      <c r="D272" s="148"/>
      <c r="E272" s="148"/>
      <c r="F272" s="148"/>
    </row>
    <row r="273" ht="15.75" customHeight="1">
      <c r="A273" s="148"/>
      <c r="B273" s="148"/>
      <c r="C273" s="148"/>
      <c r="D273" s="148"/>
      <c r="E273" s="148"/>
      <c r="F273" s="148"/>
    </row>
    <row r="274" ht="15.75" customHeight="1">
      <c r="A274" s="148"/>
      <c r="B274" s="148"/>
      <c r="C274" s="148"/>
      <c r="D274" s="148"/>
      <c r="E274" s="148"/>
      <c r="F274" s="148"/>
    </row>
    <row r="275" ht="15.75" customHeight="1">
      <c r="A275" s="148"/>
      <c r="B275" s="148"/>
      <c r="C275" s="148"/>
      <c r="D275" s="148"/>
      <c r="E275" s="148"/>
      <c r="F275" s="148"/>
    </row>
    <row r="276" ht="15.75" customHeight="1">
      <c r="A276" s="148"/>
      <c r="B276" s="148"/>
      <c r="C276" s="148"/>
      <c r="D276" s="148"/>
      <c r="E276" s="148"/>
      <c r="F276" s="148"/>
    </row>
    <row r="277" ht="15.75" customHeight="1">
      <c r="A277" s="148"/>
      <c r="B277" s="148"/>
      <c r="C277" s="148"/>
      <c r="D277" s="148"/>
      <c r="E277" s="148"/>
      <c r="F277" s="148"/>
    </row>
    <row r="278" ht="15.75" customHeight="1">
      <c r="A278" s="148"/>
      <c r="B278" s="148"/>
      <c r="C278" s="148"/>
      <c r="D278" s="148"/>
      <c r="E278" s="148"/>
      <c r="F278" s="148"/>
    </row>
    <row r="279" ht="15.75" customHeight="1">
      <c r="A279" s="148"/>
      <c r="B279" s="148"/>
      <c r="C279" s="148"/>
      <c r="D279" s="148"/>
      <c r="E279" s="148"/>
      <c r="F279" s="148"/>
    </row>
    <row r="280" ht="15.75" customHeight="1">
      <c r="A280" s="148"/>
      <c r="B280" s="148"/>
      <c r="C280" s="148"/>
      <c r="D280" s="148"/>
      <c r="E280" s="148"/>
      <c r="F280" s="148"/>
    </row>
    <row r="281" ht="15.75" customHeight="1">
      <c r="A281" s="148"/>
      <c r="B281" s="148"/>
      <c r="C281" s="148"/>
      <c r="D281" s="148"/>
      <c r="E281" s="148"/>
      <c r="F281" s="148"/>
    </row>
    <row r="282" ht="15.75" customHeight="1">
      <c r="A282" s="148"/>
      <c r="B282" s="148"/>
      <c r="C282" s="148"/>
      <c r="D282" s="148"/>
      <c r="E282" s="148"/>
      <c r="F282" s="148"/>
    </row>
    <row r="283" ht="15.75" customHeight="1">
      <c r="A283" s="148"/>
      <c r="B283" s="148"/>
      <c r="C283" s="148"/>
      <c r="D283" s="148"/>
      <c r="E283" s="148"/>
      <c r="F283" s="148"/>
    </row>
    <row r="284" ht="15.75" customHeight="1">
      <c r="A284" s="148"/>
      <c r="B284" s="148"/>
      <c r="C284" s="148"/>
      <c r="D284" s="148"/>
      <c r="E284" s="148"/>
      <c r="F284" s="148"/>
    </row>
    <row r="285" ht="15.75" customHeight="1">
      <c r="A285" s="148"/>
      <c r="B285" s="148"/>
      <c r="C285" s="148"/>
      <c r="D285" s="148"/>
      <c r="E285" s="148"/>
      <c r="F285" s="148"/>
    </row>
    <row r="286" ht="15.75" customHeight="1">
      <c r="A286" s="148"/>
      <c r="B286" s="148"/>
      <c r="C286" s="148"/>
      <c r="D286" s="148"/>
      <c r="E286" s="148"/>
      <c r="F286" s="148"/>
    </row>
    <row r="287" ht="15.75" customHeight="1">
      <c r="A287" s="148"/>
      <c r="B287" s="148"/>
      <c r="C287" s="148"/>
      <c r="D287" s="148"/>
      <c r="E287" s="148"/>
      <c r="F287" s="148"/>
    </row>
    <row r="288" ht="15.75" customHeight="1">
      <c r="A288" s="148"/>
      <c r="B288" s="148"/>
      <c r="C288" s="148"/>
      <c r="D288" s="148"/>
      <c r="E288" s="148"/>
      <c r="F288" s="148"/>
    </row>
    <row r="289" ht="15.75" customHeight="1">
      <c r="A289" s="148"/>
      <c r="B289" s="148"/>
      <c r="C289" s="148"/>
      <c r="D289" s="148"/>
      <c r="E289" s="148"/>
      <c r="F289" s="148"/>
    </row>
    <row r="290" ht="15.75" customHeight="1">
      <c r="A290" s="148"/>
      <c r="B290" s="148"/>
      <c r="C290" s="148"/>
      <c r="D290" s="148"/>
      <c r="E290" s="148"/>
      <c r="F290" s="148"/>
    </row>
    <row r="291" ht="15.75" customHeight="1">
      <c r="A291" s="148"/>
      <c r="B291" s="148"/>
      <c r="C291" s="148"/>
      <c r="D291" s="148"/>
      <c r="E291" s="148"/>
      <c r="F291" s="148"/>
    </row>
    <row r="292" ht="15.75" customHeight="1">
      <c r="A292" s="148"/>
      <c r="B292" s="148"/>
      <c r="C292" s="148"/>
      <c r="D292" s="148"/>
      <c r="E292" s="148"/>
      <c r="F292" s="148"/>
    </row>
    <row r="293" ht="15.75" customHeight="1">
      <c r="A293" s="148"/>
      <c r="B293" s="148"/>
      <c r="C293" s="148"/>
      <c r="D293" s="148"/>
      <c r="E293" s="148"/>
      <c r="F293" s="148"/>
    </row>
    <row r="294" ht="15.75" customHeight="1">
      <c r="A294" s="148"/>
      <c r="B294" s="148"/>
      <c r="C294" s="148"/>
      <c r="D294" s="148"/>
      <c r="E294" s="148"/>
      <c r="F294" s="148"/>
    </row>
    <row r="295" ht="15.75" customHeight="1">
      <c r="A295" s="148"/>
      <c r="B295" s="148"/>
      <c r="C295" s="148"/>
      <c r="D295" s="148"/>
      <c r="E295" s="148"/>
      <c r="F295" s="148"/>
    </row>
    <row r="296" ht="15.75" customHeight="1">
      <c r="A296" s="148"/>
      <c r="B296" s="148"/>
      <c r="C296" s="148"/>
      <c r="D296" s="148"/>
      <c r="E296" s="148"/>
      <c r="F296" s="148"/>
    </row>
    <row r="297" ht="15.75" customHeight="1">
      <c r="A297" s="148"/>
      <c r="B297" s="148"/>
      <c r="C297" s="148"/>
      <c r="D297" s="148"/>
      <c r="E297" s="148"/>
      <c r="F297" s="148"/>
    </row>
    <row r="298" ht="15.75" customHeight="1">
      <c r="A298" s="148"/>
      <c r="B298" s="148"/>
      <c r="C298" s="148"/>
      <c r="D298" s="148"/>
      <c r="E298" s="148"/>
      <c r="F298" s="148"/>
    </row>
    <row r="299" ht="15.75" customHeight="1">
      <c r="A299" s="148"/>
      <c r="B299" s="148"/>
      <c r="C299" s="148"/>
      <c r="D299" s="148"/>
      <c r="E299" s="148"/>
      <c r="F299" s="148"/>
    </row>
    <row r="300" ht="15.75" customHeight="1">
      <c r="A300" s="148"/>
      <c r="B300" s="148"/>
      <c r="C300" s="148"/>
      <c r="D300" s="148"/>
      <c r="E300" s="148"/>
      <c r="F300" s="148"/>
    </row>
    <row r="301" ht="15.75" customHeight="1">
      <c r="A301" s="148"/>
      <c r="B301" s="148"/>
      <c r="C301" s="148"/>
      <c r="D301" s="148"/>
      <c r="E301" s="148"/>
      <c r="F301" s="148"/>
    </row>
    <row r="302" ht="15.75" customHeight="1">
      <c r="A302" s="148"/>
      <c r="B302" s="148"/>
      <c r="C302" s="148"/>
      <c r="D302" s="148"/>
      <c r="E302" s="148"/>
      <c r="F302" s="148"/>
    </row>
    <row r="303" ht="15.75" customHeight="1">
      <c r="A303" s="148"/>
      <c r="B303" s="148"/>
      <c r="C303" s="148"/>
      <c r="D303" s="148"/>
      <c r="E303" s="148"/>
      <c r="F303" s="148"/>
    </row>
    <row r="304" ht="15.75" customHeight="1">
      <c r="A304" s="148"/>
      <c r="B304" s="148"/>
      <c r="C304" s="148"/>
      <c r="D304" s="148"/>
      <c r="E304" s="148"/>
      <c r="F304" s="148"/>
    </row>
    <row r="305" ht="15.75" customHeight="1">
      <c r="A305" s="148"/>
      <c r="B305" s="148"/>
      <c r="C305" s="148"/>
      <c r="D305" s="148"/>
      <c r="E305" s="148"/>
      <c r="F305" s="148"/>
    </row>
    <row r="306" ht="15.75" customHeight="1">
      <c r="A306" s="148"/>
      <c r="B306" s="148"/>
      <c r="C306" s="148"/>
      <c r="D306" s="148"/>
      <c r="E306" s="148"/>
      <c r="F306" s="148"/>
    </row>
    <row r="307" ht="15.75" customHeight="1">
      <c r="A307" s="148"/>
      <c r="B307" s="148"/>
      <c r="C307" s="148"/>
      <c r="D307" s="148"/>
      <c r="E307" s="148"/>
      <c r="F307" s="148"/>
    </row>
    <row r="308" ht="15.75" customHeight="1">
      <c r="A308" s="148"/>
      <c r="B308" s="148"/>
      <c r="C308" s="148"/>
      <c r="D308" s="148"/>
      <c r="E308" s="148"/>
      <c r="F308" s="148"/>
    </row>
    <row r="309" ht="15.75" customHeight="1">
      <c r="A309" s="148"/>
      <c r="B309" s="148"/>
      <c r="C309" s="148"/>
      <c r="D309" s="148"/>
      <c r="E309" s="148"/>
      <c r="F309" s="148"/>
    </row>
    <row r="310" ht="15.75" customHeight="1">
      <c r="A310" s="148"/>
      <c r="B310" s="148"/>
      <c r="C310" s="148"/>
      <c r="D310" s="148"/>
      <c r="E310" s="148"/>
      <c r="F310" s="148"/>
    </row>
    <row r="311" ht="15.75" customHeight="1">
      <c r="A311" s="148"/>
      <c r="B311" s="148"/>
      <c r="C311" s="148"/>
      <c r="D311" s="148"/>
      <c r="E311" s="148"/>
      <c r="F311" s="148"/>
    </row>
    <row r="312" ht="15.75" customHeight="1">
      <c r="A312" s="148"/>
      <c r="B312" s="148"/>
      <c r="C312" s="148"/>
      <c r="D312" s="148"/>
      <c r="E312" s="148"/>
      <c r="F312" s="148"/>
    </row>
    <row r="313" ht="15.75" customHeight="1">
      <c r="A313" s="148"/>
      <c r="B313" s="148"/>
      <c r="C313" s="148"/>
      <c r="D313" s="148"/>
      <c r="E313" s="148"/>
      <c r="F313" s="148"/>
    </row>
    <row r="314" ht="15.75" customHeight="1">
      <c r="A314" s="148"/>
      <c r="B314" s="148"/>
      <c r="C314" s="148"/>
      <c r="D314" s="148"/>
      <c r="E314" s="148"/>
      <c r="F314" s="148"/>
    </row>
    <row r="315" ht="15.75" customHeight="1">
      <c r="A315" s="148"/>
      <c r="B315" s="148"/>
      <c r="C315" s="148"/>
      <c r="D315" s="148"/>
      <c r="E315" s="148"/>
      <c r="F315" s="148"/>
    </row>
    <row r="316" ht="15.75" customHeight="1">
      <c r="A316" s="148"/>
      <c r="B316" s="148"/>
      <c r="C316" s="148"/>
      <c r="D316" s="148"/>
      <c r="E316" s="148"/>
      <c r="F316" s="148"/>
    </row>
    <row r="317" ht="15.75" customHeight="1">
      <c r="A317" s="148"/>
      <c r="B317" s="148"/>
      <c r="C317" s="148"/>
      <c r="D317" s="148"/>
      <c r="E317" s="148"/>
      <c r="F317" s="148"/>
    </row>
    <row r="318" ht="15.75" customHeight="1">
      <c r="A318" s="148"/>
      <c r="B318" s="148"/>
      <c r="C318" s="148"/>
      <c r="D318" s="148"/>
      <c r="E318" s="148"/>
      <c r="F318" s="148"/>
    </row>
    <row r="319" ht="15.75" customHeight="1">
      <c r="A319" s="148"/>
      <c r="B319" s="148"/>
      <c r="C319" s="148"/>
      <c r="D319" s="148"/>
      <c r="E319" s="148"/>
      <c r="F319" s="148"/>
    </row>
    <row r="320" ht="15.75" customHeight="1">
      <c r="A320" s="148"/>
      <c r="B320" s="148"/>
      <c r="C320" s="148"/>
      <c r="D320" s="148"/>
      <c r="E320" s="148"/>
      <c r="F320" s="148"/>
    </row>
    <row r="321" ht="15.75" customHeight="1">
      <c r="A321" s="148"/>
      <c r="B321" s="148"/>
      <c r="C321" s="148"/>
      <c r="D321" s="148"/>
      <c r="E321" s="148"/>
      <c r="F321" s="148"/>
    </row>
    <row r="322" ht="15.75" customHeight="1">
      <c r="A322" s="148"/>
      <c r="B322" s="148"/>
      <c r="C322" s="148"/>
      <c r="D322" s="148"/>
      <c r="E322" s="148"/>
      <c r="F322" s="148"/>
    </row>
    <row r="323" ht="15.75" customHeight="1">
      <c r="A323" s="148"/>
      <c r="B323" s="148"/>
      <c r="C323" s="148"/>
      <c r="D323" s="148"/>
      <c r="E323" s="148"/>
      <c r="F323" s="148"/>
    </row>
    <row r="324" ht="15.75" customHeight="1">
      <c r="A324" s="148"/>
      <c r="B324" s="148"/>
      <c r="C324" s="148"/>
      <c r="D324" s="148"/>
      <c r="E324" s="148"/>
      <c r="F324" s="148"/>
    </row>
    <row r="325" ht="15.75" customHeight="1">
      <c r="A325" s="148"/>
      <c r="B325" s="148"/>
      <c r="C325" s="148"/>
      <c r="D325" s="148"/>
      <c r="E325" s="148"/>
      <c r="F325" s="148"/>
    </row>
    <row r="326" ht="15.75" customHeight="1">
      <c r="A326" s="148"/>
      <c r="B326" s="148"/>
      <c r="C326" s="148"/>
      <c r="D326" s="148"/>
      <c r="E326" s="148"/>
      <c r="F326" s="148"/>
    </row>
    <row r="327" ht="15.75" customHeight="1">
      <c r="A327" s="148"/>
      <c r="B327" s="148"/>
      <c r="C327" s="148"/>
      <c r="D327" s="148"/>
      <c r="E327" s="148"/>
      <c r="F327" s="148"/>
    </row>
    <row r="328" ht="15.75" customHeight="1">
      <c r="A328" s="148"/>
      <c r="B328" s="148"/>
      <c r="C328" s="148"/>
      <c r="D328" s="148"/>
      <c r="E328" s="148"/>
      <c r="F328" s="148"/>
    </row>
    <row r="329" ht="15.75" customHeight="1">
      <c r="A329" s="148"/>
      <c r="B329" s="148"/>
      <c r="C329" s="148"/>
      <c r="D329" s="148"/>
      <c r="E329" s="148"/>
      <c r="F329" s="148"/>
    </row>
    <row r="330" ht="15.75" customHeight="1">
      <c r="A330" s="148"/>
      <c r="B330" s="148"/>
      <c r="C330" s="148"/>
      <c r="D330" s="148"/>
      <c r="E330" s="148"/>
      <c r="F330" s="148"/>
    </row>
    <row r="331" ht="15.75" customHeight="1">
      <c r="A331" s="148"/>
      <c r="B331" s="148"/>
      <c r="C331" s="148"/>
      <c r="D331" s="148"/>
      <c r="E331" s="148"/>
      <c r="F331" s="148"/>
    </row>
    <row r="332" ht="15.75" customHeight="1">
      <c r="A332" s="148"/>
      <c r="B332" s="148"/>
      <c r="C332" s="148"/>
      <c r="D332" s="148"/>
      <c r="E332" s="148"/>
      <c r="F332" s="148"/>
    </row>
    <row r="333" ht="15.75" customHeight="1">
      <c r="A333" s="148"/>
      <c r="B333" s="148"/>
      <c r="C333" s="148"/>
      <c r="D333" s="148"/>
      <c r="E333" s="148"/>
      <c r="F333" s="148"/>
    </row>
    <row r="334" ht="15.75" customHeight="1">
      <c r="A334" s="148"/>
      <c r="B334" s="148"/>
      <c r="C334" s="148"/>
      <c r="D334" s="148"/>
      <c r="E334" s="148"/>
      <c r="F334" s="148"/>
    </row>
    <row r="335" ht="15.75" customHeight="1">
      <c r="A335" s="148"/>
      <c r="B335" s="148"/>
      <c r="C335" s="148"/>
      <c r="D335" s="148"/>
      <c r="E335" s="148"/>
      <c r="F335" s="148"/>
    </row>
    <row r="336" ht="15.75" customHeight="1">
      <c r="A336" s="148"/>
      <c r="B336" s="148"/>
      <c r="C336" s="148"/>
      <c r="D336" s="148"/>
      <c r="E336" s="148"/>
      <c r="F336" s="148"/>
    </row>
    <row r="337" ht="15.75" customHeight="1">
      <c r="A337" s="148"/>
      <c r="B337" s="148"/>
      <c r="C337" s="148"/>
      <c r="D337" s="148"/>
      <c r="E337" s="148"/>
      <c r="F337" s="148"/>
    </row>
    <row r="338" ht="15.75" customHeight="1">
      <c r="A338" s="148"/>
      <c r="B338" s="148"/>
      <c r="C338" s="148"/>
      <c r="D338" s="148"/>
      <c r="E338" s="148"/>
      <c r="F338" s="148"/>
    </row>
    <row r="339" ht="15.75" customHeight="1">
      <c r="A339" s="148"/>
      <c r="B339" s="148"/>
      <c r="C339" s="148"/>
      <c r="D339" s="148"/>
      <c r="E339" s="148"/>
      <c r="F339" s="148"/>
    </row>
    <row r="340" ht="15.75" customHeight="1">
      <c r="A340" s="148"/>
      <c r="B340" s="148"/>
      <c r="C340" s="148"/>
      <c r="D340" s="148"/>
      <c r="E340" s="148"/>
      <c r="F340" s="148"/>
    </row>
    <row r="341" ht="15.75" customHeight="1">
      <c r="A341" s="148"/>
      <c r="B341" s="148"/>
      <c r="C341" s="148"/>
      <c r="D341" s="148"/>
      <c r="E341" s="148"/>
      <c r="F341" s="148"/>
    </row>
    <row r="342" ht="15.75" customHeight="1">
      <c r="A342" s="148"/>
      <c r="B342" s="148"/>
      <c r="C342" s="148"/>
      <c r="D342" s="148"/>
      <c r="E342" s="148"/>
      <c r="F342" s="148"/>
    </row>
    <row r="343" ht="15.75" customHeight="1">
      <c r="A343" s="148"/>
      <c r="B343" s="148"/>
      <c r="C343" s="148"/>
      <c r="D343" s="148"/>
      <c r="E343" s="148"/>
      <c r="F343" s="148"/>
    </row>
    <row r="344" ht="15.75" customHeight="1">
      <c r="A344" s="148"/>
      <c r="B344" s="148"/>
      <c r="C344" s="148"/>
      <c r="D344" s="148"/>
      <c r="E344" s="148"/>
      <c r="F344" s="148"/>
    </row>
    <row r="345" ht="15.75" customHeight="1">
      <c r="A345" s="148"/>
      <c r="B345" s="148"/>
      <c r="C345" s="148"/>
      <c r="D345" s="148"/>
      <c r="E345" s="148"/>
      <c r="F345" s="148"/>
    </row>
    <row r="346" ht="15.75" customHeight="1">
      <c r="A346" s="148"/>
      <c r="B346" s="148"/>
      <c r="C346" s="148"/>
      <c r="D346" s="148"/>
      <c r="E346" s="148"/>
      <c r="F346" s="148"/>
    </row>
    <row r="347" ht="15.75" customHeight="1">
      <c r="A347" s="148"/>
      <c r="B347" s="148"/>
      <c r="C347" s="148"/>
      <c r="D347" s="148"/>
      <c r="E347" s="148"/>
      <c r="F347" s="148"/>
    </row>
    <row r="348" ht="15.75" customHeight="1">
      <c r="A348" s="148"/>
      <c r="B348" s="148"/>
      <c r="C348" s="148"/>
      <c r="D348" s="148"/>
      <c r="E348" s="148"/>
      <c r="F348" s="148"/>
    </row>
    <row r="349" ht="15.75" customHeight="1">
      <c r="A349" s="148"/>
      <c r="B349" s="148"/>
      <c r="C349" s="148"/>
      <c r="D349" s="148"/>
      <c r="E349" s="148"/>
      <c r="F349" s="148"/>
    </row>
    <row r="350" ht="15.75" customHeight="1">
      <c r="A350" s="148"/>
      <c r="B350" s="148"/>
      <c r="C350" s="148"/>
      <c r="D350" s="148"/>
      <c r="E350" s="148"/>
      <c r="F350" s="148"/>
    </row>
    <row r="351" ht="15.75" customHeight="1">
      <c r="A351" s="148"/>
      <c r="B351" s="148"/>
      <c r="C351" s="148"/>
      <c r="D351" s="148"/>
      <c r="E351" s="148"/>
      <c r="F351" s="148"/>
    </row>
    <row r="352" ht="15.75" customHeight="1">
      <c r="A352" s="148"/>
      <c r="B352" s="148"/>
      <c r="C352" s="148"/>
      <c r="D352" s="148"/>
      <c r="E352" s="148"/>
      <c r="F352" s="148"/>
    </row>
    <row r="353" ht="15.75" customHeight="1">
      <c r="A353" s="148"/>
      <c r="B353" s="148"/>
      <c r="C353" s="148"/>
      <c r="D353" s="148"/>
      <c r="E353" s="148"/>
      <c r="F353" s="148"/>
    </row>
    <row r="354" ht="15.75" customHeight="1">
      <c r="A354" s="148"/>
      <c r="B354" s="148"/>
      <c r="C354" s="148"/>
      <c r="D354" s="148"/>
      <c r="E354" s="148"/>
      <c r="F354" s="148"/>
    </row>
    <row r="355" ht="15.75" customHeight="1">
      <c r="A355" s="148"/>
      <c r="B355" s="148"/>
      <c r="C355" s="148"/>
      <c r="D355" s="148"/>
      <c r="E355" s="148"/>
      <c r="F355" s="148"/>
    </row>
    <row r="356" ht="15.75" customHeight="1">
      <c r="A356" s="148"/>
      <c r="B356" s="148"/>
      <c r="C356" s="148"/>
      <c r="D356" s="148"/>
      <c r="E356" s="148"/>
      <c r="F356" s="148"/>
    </row>
    <row r="357" ht="15.75" customHeight="1">
      <c r="A357" s="148"/>
      <c r="B357" s="148"/>
      <c r="C357" s="148"/>
      <c r="D357" s="148"/>
      <c r="E357" s="148"/>
      <c r="F357" s="148"/>
    </row>
    <row r="358" ht="15.75" customHeight="1">
      <c r="A358" s="148"/>
      <c r="B358" s="148"/>
      <c r="C358" s="148"/>
      <c r="D358" s="148"/>
      <c r="E358" s="148"/>
      <c r="F358" s="148"/>
    </row>
    <row r="359" ht="15.75" customHeight="1">
      <c r="A359" s="148"/>
      <c r="B359" s="148"/>
      <c r="C359" s="148"/>
      <c r="D359" s="148"/>
      <c r="E359" s="148"/>
      <c r="F359" s="148"/>
    </row>
    <row r="360" ht="15.75" customHeight="1">
      <c r="A360" s="148"/>
      <c r="B360" s="148"/>
      <c r="C360" s="148"/>
      <c r="D360" s="148"/>
      <c r="E360" s="148"/>
      <c r="F360" s="148"/>
    </row>
    <row r="361" ht="15.75" customHeight="1">
      <c r="A361" s="148"/>
      <c r="B361" s="148"/>
      <c r="C361" s="148"/>
      <c r="D361" s="148"/>
      <c r="E361" s="148"/>
      <c r="F361" s="148"/>
    </row>
    <row r="362" ht="15.75" customHeight="1">
      <c r="A362" s="148"/>
      <c r="B362" s="148"/>
      <c r="C362" s="148"/>
      <c r="D362" s="148"/>
      <c r="E362" s="148"/>
      <c r="F362" s="148"/>
    </row>
    <row r="363" ht="15.75" customHeight="1">
      <c r="A363" s="148"/>
      <c r="B363" s="148"/>
      <c r="C363" s="148"/>
      <c r="D363" s="148"/>
      <c r="E363" s="148"/>
      <c r="F363" s="148"/>
    </row>
    <row r="364" ht="15.75" customHeight="1">
      <c r="A364" s="148"/>
      <c r="B364" s="148"/>
      <c r="C364" s="148"/>
      <c r="D364" s="148"/>
      <c r="E364" s="148"/>
      <c r="F364" s="148"/>
    </row>
    <row r="365" ht="15.75" customHeight="1">
      <c r="A365" s="148"/>
      <c r="B365" s="148"/>
      <c r="C365" s="148"/>
      <c r="D365" s="148"/>
      <c r="E365" s="148"/>
      <c r="F365" s="148"/>
    </row>
    <row r="366" ht="15.75" customHeight="1">
      <c r="A366" s="148"/>
      <c r="B366" s="148"/>
      <c r="C366" s="148"/>
      <c r="D366" s="148"/>
      <c r="E366" s="148"/>
      <c r="F366" s="148"/>
    </row>
    <row r="367" ht="15.75" customHeight="1">
      <c r="A367" s="148"/>
      <c r="B367" s="148"/>
      <c r="C367" s="148"/>
      <c r="D367" s="148"/>
      <c r="E367" s="148"/>
      <c r="F367" s="148"/>
    </row>
    <row r="368" ht="15.75" customHeight="1">
      <c r="A368" s="148"/>
      <c r="B368" s="148"/>
      <c r="C368" s="148"/>
      <c r="D368" s="148"/>
      <c r="E368" s="148"/>
      <c r="F368" s="148"/>
    </row>
    <row r="369" ht="15.75" customHeight="1">
      <c r="A369" s="148"/>
      <c r="B369" s="148"/>
      <c r="C369" s="148"/>
      <c r="D369" s="148"/>
      <c r="E369" s="148"/>
      <c r="F369" s="148"/>
    </row>
    <row r="370" ht="15.75" customHeight="1">
      <c r="A370" s="148"/>
      <c r="B370" s="148"/>
      <c r="C370" s="148"/>
      <c r="D370" s="148"/>
      <c r="E370" s="148"/>
      <c r="F370" s="148"/>
    </row>
    <row r="371" ht="15.75" customHeight="1">
      <c r="A371" s="148"/>
      <c r="B371" s="148"/>
      <c r="C371" s="148"/>
      <c r="D371" s="148"/>
      <c r="E371" s="148"/>
      <c r="F371" s="148"/>
    </row>
    <row r="372" ht="15.75" customHeight="1">
      <c r="A372" s="148"/>
      <c r="B372" s="148"/>
      <c r="C372" s="148"/>
      <c r="D372" s="148"/>
      <c r="E372" s="148"/>
      <c r="F372" s="148"/>
    </row>
    <row r="373" ht="15.75" customHeight="1">
      <c r="A373" s="148"/>
      <c r="B373" s="148"/>
      <c r="C373" s="148"/>
      <c r="D373" s="148"/>
      <c r="E373" s="148"/>
      <c r="F373" s="148"/>
    </row>
    <row r="374" ht="15.75" customHeight="1">
      <c r="A374" s="148"/>
      <c r="B374" s="148"/>
      <c r="C374" s="148"/>
      <c r="D374" s="148"/>
      <c r="E374" s="148"/>
      <c r="F374" s="148"/>
    </row>
    <row r="375" ht="15.75" customHeight="1">
      <c r="A375" s="148"/>
      <c r="B375" s="148"/>
      <c r="C375" s="148"/>
      <c r="D375" s="148"/>
      <c r="E375" s="148"/>
      <c r="F375" s="148"/>
    </row>
    <row r="376" ht="15.75" customHeight="1">
      <c r="A376" s="148"/>
      <c r="B376" s="148"/>
      <c r="C376" s="148"/>
      <c r="D376" s="148"/>
      <c r="E376" s="148"/>
      <c r="F376" s="148"/>
    </row>
    <row r="377" ht="15.75" customHeight="1">
      <c r="A377" s="148"/>
      <c r="B377" s="148"/>
      <c r="C377" s="148"/>
      <c r="D377" s="148"/>
      <c r="E377" s="148"/>
      <c r="F377" s="148"/>
    </row>
    <row r="378" ht="15.75" customHeight="1">
      <c r="A378" s="148"/>
      <c r="B378" s="148"/>
      <c r="C378" s="148"/>
      <c r="D378" s="148"/>
      <c r="E378" s="148"/>
      <c r="F378" s="148"/>
    </row>
    <row r="379" ht="15.75" customHeight="1">
      <c r="A379" s="148"/>
      <c r="B379" s="148"/>
      <c r="C379" s="148"/>
      <c r="D379" s="148"/>
      <c r="E379" s="148"/>
      <c r="F379" s="148"/>
    </row>
    <row r="380" ht="15.75" customHeight="1">
      <c r="A380" s="148"/>
      <c r="B380" s="148"/>
      <c r="C380" s="148"/>
      <c r="D380" s="148"/>
      <c r="E380" s="148"/>
      <c r="F380" s="148"/>
    </row>
    <row r="381" ht="15.75" customHeight="1">
      <c r="A381" s="148"/>
      <c r="B381" s="148"/>
      <c r="C381" s="148"/>
      <c r="D381" s="148"/>
      <c r="E381" s="148"/>
      <c r="F381" s="148"/>
    </row>
    <row r="382" ht="15.75" customHeight="1">
      <c r="A382" s="148"/>
      <c r="B382" s="148"/>
      <c r="C382" s="148"/>
      <c r="D382" s="148"/>
      <c r="E382" s="148"/>
      <c r="F382" s="148"/>
    </row>
    <row r="383" ht="15.75" customHeight="1">
      <c r="A383" s="148"/>
      <c r="B383" s="148"/>
      <c r="C383" s="148"/>
      <c r="D383" s="148"/>
      <c r="E383" s="148"/>
      <c r="F383" s="148"/>
    </row>
    <row r="384" ht="15.75" customHeight="1">
      <c r="A384" s="148"/>
      <c r="B384" s="148"/>
      <c r="C384" s="148"/>
      <c r="D384" s="148"/>
      <c r="E384" s="148"/>
      <c r="F384" s="148"/>
    </row>
    <row r="385" ht="15.75" customHeight="1">
      <c r="A385" s="148"/>
      <c r="B385" s="148"/>
      <c r="C385" s="148"/>
      <c r="D385" s="148"/>
      <c r="E385" s="148"/>
      <c r="F385" s="148"/>
    </row>
    <row r="386" ht="15.75" customHeight="1">
      <c r="A386" s="148"/>
      <c r="B386" s="148"/>
      <c r="C386" s="148"/>
      <c r="D386" s="148"/>
      <c r="E386" s="148"/>
      <c r="F386" s="148"/>
    </row>
    <row r="387" ht="15.75" customHeight="1">
      <c r="A387" s="148"/>
      <c r="B387" s="148"/>
      <c r="C387" s="148"/>
      <c r="D387" s="148"/>
      <c r="E387" s="148"/>
      <c r="F387" s="148"/>
    </row>
    <row r="388" ht="15.75" customHeight="1">
      <c r="A388" s="148"/>
      <c r="B388" s="148"/>
      <c r="C388" s="148"/>
      <c r="D388" s="148"/>
      <c r="E388" s="148"/>
      <c r="F388" s="148"/>
    </row>
    <row r="389" ht="15.75" customHeight="1">
      <c r="A389" s="148"/>
      <c r="B389" s="148"/>
      <c r="C389" s="148"/>
      <c r="D389" s="148"/>
      <c r="E389" s="148"/>
      <c r="F389" s="148"/>
    </row>
    <row r="390" ht="15.75" customHeight="1">
      <c r="A390" s="148"/>
      <c r="B390" s="148"/>
      <c r="C390" s="148"/>
      <c r="D390" s="148"/>
      <c r="E390" s="148"/>
      <c r="F390" s="148"/>
    </row>
    <row r="391" ht="15.75" customHeight="1">
      <c r="A391" s="148"/>
      <c r="B391" s="148"/>
      <c r="C391" s="148"/>
      <c r="D391" s="148"/>
      <c r="E391" s="148"/>
      <c r="F391" s="148"/>
    </row>
    <row r="392" ht="15.75" customHeight="1">
      <c r="A392" s="148"/>
      <c r="B392" s="148"/>
      <c r="C392" s="148"/>
      <c r="D392" s="148"/>
      <c r="E392" s="148"/>
      <c r="F392" s="148"/>
    </row>
    <row r="393" ht="15.75" customHeight="1">
      <c r="A393" s="148"/>
      <c r="B393" s="148"/>
      <c r="C393" s="148"/>
      <c r="D393" s="148"/>
      <c r="E393" s="148"/>
      <c r="F393" s="148"/>
    </row>
    <row r="394" ht="15.75" customHeight="1">
      <c r="A394" s="148"/>
      <c r="B394" s="148"/>
      <c r="C394" s="148"/>
      <c r="D394" s="148"/>
      <c r="E394" s="148"/>
      <c r="F394" s="148"/>
    </row>
    <row r="395" ht="15.75" customHeight="1">
      <c r="A395" s="148"/>
      <c r="B395" s="148"/>
      <c r="C395" s="148"/>
      <c r="D395" s="148"/>
      <c r="E395" s="148"/>
      <c r="F395" s="148"/>
    </row>
    <row r="396" ht="15.75" customHeight="1">
      <c r="A396" s="148"/>
      <c r="B396" s="148"/>
      <c r="C396" s="148"/>
      <c r="D396" s="148"/>
      <c r="E396" s="148"/>
      <c r="F396" s="148"/>
    </row>
    <row r="397" ht="15.75" customHeight="1">
      <c r="A397" s="148"/>
      <c r="B397" s="148"/>
      <c r="C397" s="148"/>
      <c r="D397" s="148"/>
      <c r="E397" s="148"/>
      <c r="F397" s="148"/>
    </row>
    <row r="398" ht="15.75" customHeight="1">
      <c r="A398" s="148"/>
      <c r="B398" s="148"/>
      <c r="C398" s="148"/>
      <c r="D398" s="148"/>
      <c r="E398" s="148"/>
      <c r="F398" s="148"/>
    </row>
    <row r="399" ht="15.75" customHeight="1">
      <c r="A399" s="148"/>
      <c r="B399" s="148"/>
      <c r="C399" s="148"/>
      <c r="D399" s="148"/>
      <c r="E399" s="148"/>
      <c r="F399" s="148"/>
    </row>
    <row r="400" ht="15.75" customHeight="1">
      <c r="A400" s="148"/>
      <c r="B400" s="148"/>
      <c r="C400" s="148"/>
      <c r="D400" s="148"/>
      <c r="E400" s="148"/>
      <c r="F400" s="148"/>
    </row>
    <row r="401" ht="15.75" customHeight="1">
      <c r="A401" s="148"/>
      <c r="B401" s="148"/>
      <c r="C401" s="148"/>
      <c r="D401" s="148"/>
      <c r="E401" s="148"/>
      <c r="F401" s="148"/>
    </row>
    <row r="402" ht="15.75" customHeight="1">
      <c r="A402" s="148"/>
      <c r="B402" s="148"/>
      <c r="C402" s="148"/>
      <c r="D402" s="148"/>
      <c r="E402" s="148"/>
      <c r="F402" s="148"/>
    </row>
    <row r="403" ht="15.75" customHeight="1">
      <c r="A403" s="148"/>
      <c r="B403" s="148"/>
      <c r="C403" s="148"/>
      <c r="D403" s="148"/>
      <c r="E403" s="148"/>
      <c r="F403" s="148"/>
    </row>
    <row r="404" ht="15.75" customHeight="1">
      <c r="A404" s="148"/>
      <c r="B404" s="148"/>
      <c r="C404" s="148"/>
      <c r="D404" s="148"/>
      <c r="E404" s="148"/>
      <c r="F404" s="148"/>
    </row>
    <row r="405" ht="15.75" customHeight="1">
      <c r="A405" s="148"/>
      <c r="B405" s="148"/>
      <c r="C405" s="148"/>
      <c r="D405" s="148"/>
      <c r="E405" s="148"/>
      <c r="F405" s="148"/>
    </row>
    <row r="406" ht="15.75" customHeight="1">
      <c r="A406" s="148"/>
      <c r="B406" s="148"/>
      <c r="C406" s="148"/>
      <c r="D406" s="148"/>
      <c r="E406" s="148"/>
      <c r="F406" s="148"/>
    </row>
    <row r="407" ht="15.75" customHeight="1">
      <c r="A407" s="148"/>
      <c r="B407" s="148"/>
      <c r="C407" s="148"/>
      <c r="D407" s="148"/>
      <c r="E407" s="148"/>
      <c r="F407" s="148"/>
    </row>
    <row r="408" ht="15.75" customHeight="1">
      <c r="A408" s="148"/>
      <c r="B408" s="148"/>
      <c r="C408" s="148"/>
      <c r="D408" s="148"/>
      <c r="E408" s="148"/>
      <c r="F408" s="148"/>
    </row>
    <row r="409" ht="15.75" customHeight="1">
      <c r="A409" s="148"/>
      <c r="B409" s="148"/>
      <c r="C409" s="148"/>
      <c r="D409" s="148"/>
      <c r="E409" s="148"/>
      <c r="F409" s="148"/>
    </row>
    <row r="410" ht="15.75" customHeight="1">
      <c r="A410" s="148"/>
      <c r="B410" s="148"/>
      <c r="C410" s="148"/>
      <c r="D410" s="148"/>
      <c r="E410" s="148"/>
      <c r="F410" s="148"/>
    </row>
    <row r="411" ht="15.75" customHeight="1">
      <c r="A411" s="148"/>
      <c r="B411" s="148"/>
      <c r="C411" s="148"/>
      <c r="D411" s="148"/>
      <c r="E411" s="148"/>
      <c r="F411" s="148"/>
    </row>
    <row r="412" ht="15.75" customHeight="1">
      <c r="A412" s="148"/>
      <c r="B412" s="148"/>
      <c r="C412" s="148"/>
      <c r="D412" s="148"/>
      <c r="E412" s="148"/>
      <c r="F412" s="148"/>
    </row>
    <row r="413" ht="15.75" customHeight="1">
      <c r="A413" s="148"/>
      <c r="B413" s="148"/>
      <c r="C413" s="148"/>
      <c r="D413" s="148"/>
      <c r="E413" s="148"/>
      <c r="F413" s="148"/>
    </row>
    <row r="414" ht="15.75" customHeight="1">
      <c r="A414" s="148"/>
      <c r="B414" s="148"/>
      <c r="C414" s="148"/>
      <c r="D414" s="148"/>
      <c r="E414" s="148"/>
      <c r="F414" s="148"/>
    </row>
    <row r="415" ht="15.75" customHeight="1">
      <c r="A415" s="148"/>
      <c r="B415" s="148"/>
      <c r="C415" s="148"/>
      <c r="D415" s="148"/>
      <c r="E415" s="148"/>
      <c r="F415" s="148"/>
    </row>
    <row r="416" ht="15.75" customHeight="1">
      <c r="A416" s="148"/>
      <c r="B416" s="148"/>
      <c r="C416" s="148"/>
      <c r="D416" s="148"/>
      <c r="E416" s="148"/>
      <c r="F416" s="148"/>
    </row>
    <row r="417" ht="15.75" customHeight="1">
      <c r="A417" s="148"/>
      <c r="B417" s="148"/>
      <c r="C417" s="148"/>
      <c r="D417" s="148"/>
      <c r="E417" s="148"/>
      <c r="F417" s="148"/>
    </row>
    <row r="418" ht="15.75" customHeight="1">
      <c r="A418" s="148"/>
      <c r="B418" s="148"/>
      <c r="C418" s="148"/>
      <c r="D418" s="148"/>
      <c r="E418" s="148"/>
      <c r="F418" s="148"/>
    </row>
    <row r="419" ht="15.75" customHeight="1">
      <c r="A419" s="148"/>
      <c r="B419" s="148"/>
      <c r="C419" s="148"/>
      <c r="D419" s="148"/>
      <c r="E419" s="148"/>
      <c r="F419" s="148"/>
    </row>
    <row r="420" ht="15.75" customHeight="1">
      <c r="A420" s="148"/>
      <c r="B420" s="148"/>
      <c r="C420" s="148"/>
      <c r="D420" s="148"/>
      <c r="E420" s="148"/>
      <c r="F420" s="148"/>
    </row>
    <row r="421" ht="15.75" customHeight="1">
      <c r="A421" s="148"/>
      <c r="B421" s="148"/>
      <c r="C421" s="148"/>
      <c r="D421" s="148"/>
      <c r="E421" s="148"/>
      <c r="F421" s="148"/>
    </row>
    <row r="422" ht="15.75" customHeight="1">
      <c r="A422" s="148"/>
      <c r="B422" s="148"/>
      <c r="C422" s="148"/>
      <c r="D422" s="148"/>
      <c r="E422" s="148"/>
      <c r="F422" s="148"/>
    </row>
    <row r="423" ht="15.75" customHeight="1">
      <c r="A423" s="148"/>
      <c r="B423" s="148"/>
      <c r="C423" s="148"/>
      <c r="D423" s="148"/>
      <c r="E423" s="148"/>
      <c r="F423" s="148"/>
    </row>
    <row r="424" ht="15.75" customHeight="1">
      <c r="A424" s="148"/>
      <c r="B424" s="148"/>
      <c r="C424" s="148"/>
      <c r="D424" s="148"/>
      <c r="E424" s="148"/>
      <c r="F424" s="148"/>
    </row>
    <row r="425" ht="15.75" customHeight="1">
      <c r="A425" s="148"/>
      <c r="B425" s="148"/>
      <c r="C425" s="148"/>
      <c r="D425" s="148"/>
      <c r="E425" s="148"/>
      <c r="F425" s="148"/>
    </row>
    <row r="426" ht="15.75" customHeight="1">
      <c r="A426" s="148"/>
      <c r="B426" s="148"/>
      <c r="C426" s="148"/>
      <c r="D426" s="148"/>
      <c r="E426" s="148"/>
      <c r="F426" s="148"/>
    </row>
    <row r="427" ht="15.75" customHeight="1">
      <c r="A427" s="148"/>
      <c r="B427" s="148"/>
      <c r="C427" s="148"/>
      <c r="D427" s="148"/>
      <c r="E427" s="148"/>
      <c r="F427" s="148"/>
    </row>
    <row r="428" ht="15.75" customHeight="1">
      <c r="A428" s="148"/>
      <c r="B428" s="148"/>
      <c r="C428" s="148"/>
      <c r="D428" s="148"/>
      <c r="E428" s="148"/>
      <c r="F428" s="148"/>
    </row>
    <row r="429" ht="15.75" customHeight="1">
      <c r="A429" s="148"/>
      <c r="B429" s="148"/>
      <c r="C429" s="148"/>
      <c r="D429" s="148"/>
      <c r="E429" s="148"/>
      <c r="F429" s="148"/>
    </row>
    <row r="430" ht="15.75" customHeight="1">
      <c r="A430" s="148"/>
      <c r="B430" s="148"/>
      <c r="C430" s="148"/>
      <c r="D430" s="148"/>
      <c r="E430" s="148"/>
      <c r="F430" s="148"/>
    </row>
    <row r="431" ht="15.75" customHeight="1">
      <c r="A431" s="148"/>
      <c r="B431" s="148"/>
      <c r="C431" s="148"/>
      <c r="D431" s="148"/>
      <c r="E431" s="148"/>
      <c r="F431" s="148"/>
    </row>
    <row r="432" ht="15.75" customHeight="1">
      <c r="A432" s="148"/>
      <c r="B432" s="148"/>
      <c r="C432" s="148"/>
      <c r="D432" s="148"/>
      <c r="E432" s="148"/>
      <c r="F432" s="148"/>
    </row>
    <row r="433" ht="15.75" customHeight="1">
      <c r="A433" s="148"/>
      <c r="B433" s="148"/>
      <c r="C433" s="148"/>
      <c r="D433" s="148"/>
      <c r="E433" s="148"/>
      <c r="F433" s="148"/>
    </row>
    <row r="434" ht="15.75" customHeight="1">
      <c r="A434" s="148"/>
      <c r="B434" s="148"/>
      <c r="C434" s="148"/>
      <c r="D434" s="148"/>
      <c r="E434" s="148"/>
      <c r="F434" s="148"/>
    </row>
    <row r="435" ht="15.75" customHeight="1">
      <c r="A435" s="148"/>
      <c r="B435" s="148"/>
      <c r="C435" s="148"/>
      <c r="D435" s="148"/>
      <c r="E435" s="148"/>
      <c r="F435" s="148"/>
    </row>
    <row r="436" ht="15.75" customHeight="1">
      <c r="A436" s="148"/>
      <c r="B436" s="148"/>
      <c r="C436" s="148"/>
      <c r="D436" s="148"/>
      <c r="E436" s="148"/>
      <c r="F436" s="148"/>
    </row>
    <row r="437" ht="15.75" customHeight="1">
      <c r="A437" s="148"/>
      <c r="B437" s="148"/>
      <c r="C437" s="148"/>
      <c r="D437" s="148"/>
      <c r="E437" s="148"/>
      <c r="F437" s="148"/>
    </row>
    <row r="438" ht="15.75" customHeight="1">
      <c r="A438" s="148"/>
      <c r="B438" s="148"/>
      <c r="C438" s="148"/>
      <c r="D438" s="148"/>
      <c r="E438" s="148"/>
      <c r="F438" s="148"/>
    </row>
    <row r="439" ht="15.75" customHeight="1">
      <c r="A439" s="148"/>
      <c r="B439" s="148"/>
      <c r="C439" s="148"/>
      <c r="D439" s="148"/>
      <c r="E439" s="148"/>
      <c r="F439" s="148"/>
    </row>
    <row r="440" ht="15.75" customHeight="1">
      <c r="A440" s="148"/>
      <c r="B440" s="148"/>
      <c r="C440" s="148"/>
      <c r="D440" s="148"/>
      <c r="E440" s="148"/>
      <c r="F440" s="148"/>
    </row>
    <row r="441" ht="15.75" customHeight="1">
      <c r="A441" s="148"/>
      <c r="B441" s="148"/>
      <c r="C441" s="148"/>
      <c r="D441" s="148"/>
      <c r="E441" s="148"/>
      <c r="F441" s="148"/>
    </row>
    <row r="442" ht="15.75" customHeight="1">
      <c r="A442" s="148"/>
      <c r="B442" s="148"/>
      <c r="C442" s="148"/>
      <c r="D442" s="148"/>
      <c r="E442" s="148"/>
      <c r="F442" s="148"/>
    </row>
    <row r="443" ht="15.75" customHeight="1">
      <c r="A443" s="148"/>
      <c r="B443" s="148"/>
      <c r="C443" s="148"/>
      <c r="D443" s="148"/>
      <c r="E443" s="148"/>
      <c r="F443" s="148"/>
    </row>
    <row r="444" ht="15.75" customHeight="1">
      <c r="A444" s="148"/>
      <c r="B444" s="148"/>
      <c r="C444" s="148"/>
      <c r="D444" s="148"/>
      <c r="E444" s="148"/>
      <c r="F444" s="148"/>
    </row>
    <row r="445" ht="15.75" customHeight="1">
      <c r="A445" s="148"/>
      <c r="B445" s="148"/>
      <c r="C445" s="148"/>
      <c r="D445" s="148"/>
      <c r="E445" s="148"/>
      <c r="F445" s="148"/>
    </row>
    <row r="446" ht="15.75" customHeight="1">
      <c r="A446" s="148"/>
      <c r="B446" s="148"/>
      <c r="C446" s="148"/>
      <c r="D446" s="148"/>
      <c r="E446" s="148"/>
      <c r="F446" s="148"/>
    </row>
    <row r="447" ht="15.75" customHeight="1">
      <c r="A447" s="148"/>
      <c r="B447" s="148"/>
      <c r="C447" s="148"/>
      <c r="D447" s="148"/>
      <c r="E447" s="148"/>
      <c r="F447" s="148"/>
    </row>
    <row r="448" ht="15.75" customHeight="1">
      <c r="A448" s="148"/>
      <c r="B448" s="148"/>
      <c r="C448" s="148"/>
      <c r="D448" s="148"/>
      <c r="E448" s="148"/>
      <c r="F448" s="148"/>
    </row>
    <row r="449" ht="15.75" customHeight="1">
      <c r="A449" s="148"/>
      <c r="B449" s="148"/>
      <c r="C449" s="148"/>
      <c r="D449" s="148"/>
      <c r="E449" s="148"/>
      <c r="F449" s="148"/>
    </row>
    <row r="450" ht="15.75" customHeight="1">
      <c r="A450" s="148"/>
      <c r="B450" s="148"/>
      <c r="C450" s="148"/>
      <c r="D450" s="148"/>
      <c r="E450" s="148"/>
      <c r="F450" s="148"/>
    </row>
    <row r="451" ht="15.75" customHeight="1">
      <c r="A451" s="148"/>
      <c r="B451" s="148"/>
      <c r="C451" s="148"/>
      <c r="D451" s="148"/>
      <c r="E451" s="148"/>
      <c r="F451" s="148"/>
    </row>
    <row r="452" ht="15.75" customHeight="1">
      <c r="A452" s="148"/>
      <c r="B452" s="148"/>
      <c r="C452" s="148"/>
      <c r="D452" s="148"/>
      <c r="E452" s="148"/>
      <c r="F452" s="148"/>
    </row>
    <row r="453" ht="15.75" customHeight="1">
      <c r="A453" s="148"/>
      <c r="B453" s="148"/>
      <c r="C453" s="148"/>
      <c r="D453" s="148"/>
      <c r="E453" s="148"/>
      <c r="F453" s="148"/>
    </row>
    <row r="454" ht="15.75" customHeight="1">
      <c r="A454" s="148"/>
      <c r="B454" s="148"/>
      <c r="C454" s="148"/>
      <c r="D454" s="148"/>
      <c r="E454" s="148"/>
      <c r="F454" s="148"/>
    </row>
    <row r="455" ht="15.75" customHeight="1">
      <c r="A455" s="148"/>
      <c r="B455" s="148"/>
      <c r="C455" s="148"/>
      <c r="D455" s="148"/>
      <c r="E455" s="148"/>
      <c r="F455" s="148"/>
    </row>
    <row r="456" ht="15.75" customHeight="1">
      <c r="A456" s="148"/>
      <c r="B456" s="148"/>
      <c r="C456" s="148"/>
      <c r="D456" s="148"/>
      <c r="E456" s="148"/>
      <c r="F456" s="148"/>
    </row>
    <row r="457" ht="15.75" customHeight="1">
      <c r="A457" s="148"/>
      <c r="B457" s="148"/>
      <c r="C457" s="148"/>
      <c r="D457" s="148"/>
      <c r="E457" s="148"/>
      <c r="F457" s="148"/>
    </row>
    <row r="458" ht="15.75" customHeight="1">
      <c r="A458" s="148"/>
      <c r="B458" s="148"/>
      <c r="C458" s="148"/>
      <c r="D458" s="148"/>
      <c r="E458" s="148"/>
      <c r="F458" s="148"/>
    </row>
    <row r="459" ht="15.75" customHeight="1">
      <c r="A459" s="148"/>
      <c r="B459" s="148"/>
      <c r="C459" s="148"/>
      <c r="D459" s="148"/>
      <c r="E459" s="148"/>
      <c r="F459" s="148"/>
    </row>
    <row r="460" ht="15.75" customHeight="1">
      <c r="A460" s="148"/>
      <c r="B460" s="148"/>
      <c r="C460" s="148"/>
      <c r="D460" s="148"/>
      <c r="E460" s="148"/>
      <c r="F460" s="148"/>
    </row>
    <row r="461" ht="15.75" customHeight="1">
      <c r="A461" s="148"/>
      <c r="B461" s="148"/>
      <c r="C461" s="148"/>
      <c r="D461" s="148"/>
      <c r="E461" s="148"/>
      <c r="F461" s="148"/>
    </row>
    <row r="462" ht="15.75" customHeight="1">
      <c r="A462" s="148"/>
      <c r="B462" s="148"/>
      <c r="C462" s="148"/>
      <c r="D462" s="148"/>
      <c r="E462" s="148"/>
      <c r="F462" s="148"/>
    </row>
    <row r="463" ht="15.75" customHeight="1">
      <c r="A463" s="148"/>
      <c r="B463" s="148"/>
      <c r="C463" s="148"/>
      <c r="D463" s="148"/>
      <c r="E463" s="148"/>
      <c r="F463" s="148"/>
    </row>
    <row r="464" ht="15.75" customHeight="1">
      <c r="A464" s="148"/>
      <c r="B464" s="148"/>
      <c r="C464" s="148"/>
      <c r="D464" s="148"/>
      <c r="E464" s="148"/>
      <c r="F464" s="148"/>
    </row>
    <row r="465" ht="15.75" customHeight="1">
      <c r="A465" s="148"/>
      <c r="B465" s="148"/>
      <c r="C465" s="148"/>
      <c r="D465" s="148"/>
      <c r="E465" s="148"/>
      <c r="F465" s="148"/>
    </row>
    <row r="466" ht="15.75" customHeight="1">
      <c r="A466" s="148"/>
      <c r="B466" s="148"/>
      <c r="C466" s="148"/>
      <c r="D466" s="148"/>
      <c r="E466" s="148"/>
      <c r="F466" s="148"/>
    </row>
    <row r="467" ht="15.75" customHeight="1">
      <c r="A467" s="148"/>
      <c r="B467" s="148"/>
      <c r="C467" s="148"/>
      <c r="D467" s="148"/>
      <c r="E467" s="148"/>
      <c r="F467" s="148"/>
    </row>
    <row r="468" ht="15.75" customHeight="1">
      <c r="A468" s="148"/>
      <c r="B468" s="148"/>
      <c r="C468" s="148"/>
      <c r="D468" s="148"/>
      <c r="E468" s="148"/>
      <c r="F468" s="148"/>
    </row>
    <row r="469" ht="15.75" customHeight="1">
      <c r="A469" s="148"/>
      <c r="B469" s="148"/>
      <c r="C469" s="148"/>
      <c r="D469" s="148"/>
      <c r="E469" s="148"/>
      <c r="F469" s="148"/>
    </row>
    <row r="470" ht="15.75" customHeight="1">
      <c r="A470" s="148"/>
      <c r="B470" s="148"/>
      <c r="C470" s="148"/>
      <c r="D470" s="148"/>
      <c r="E470" s="148"/>
      <c r="F470" s="148"/>
    </row>
    <row r="471" ht="15.75" customHeight="1">
      <c r="A471" s="148"/>
      <c r="B471" s="148"/>
      <c r="C471" s="148"/>
      <c r="D471" s="148"/>
      <c r="E471" s="148"/>
      <c r="F471" s="148"/>
    </row>
    <row r="472" ht="15.75" customHeight="1">
      <c r="A472" s="148"/>
      <c r="B472" s="148"/>
      <c r="C472" s="148"/>
      <c r="D472" s="148"/>
      <c r="E472" s="148"/>
      <c r="F472" s="148"/>
    </row>
    <row r="473" ht="15.75" customHeight="1">
      <c r="A473" s="148"/>
      <c r="B473" s="148"/>
      <c r="C473" s="148"/>
      <c r="D473" s="148"/>
      <c r="E473" s="148"/>
      <c r="F473" s="148"/>
    </row>
    <row r="474" ht="15.75" customHeight="1">
      <c r="A474" s="148"/>
      <c r="B474" s="148"/>
      <c r="C474" s="148"/>
      <c r="D474" s="148"/>
      <c r="E474" s="148"/>
      <c r="F474" s="148"/>
    </row>
    <row r="475" ht="15.75" customHeight="1">
      <c r="A475" s="148"/>
      <c r="B475" s="148"/>
      <c r="C475" s="148"/>
      <c r="D475" s="148"/>
      <c r="E475" s="148"/>
      <c r="F475" s="148"/>
    </row>
    <row r="476" ht="15.75" customHeight="1">
      <c r="A476" s="148"/>
      <c r="B476" s="148"/>
      <c r="C476" s="148"/>
      <c r="D476" s="148"/>
      <c r="E476" s="148"/>
      <c r="F476" s="148"/>
    </row>
    <row r="477" ht="15.75" customHeight="1">
      <c r="A477" s="148"/>
      <c r="B477" s="148"/>
      <c r="C477" s="148"/>
      <c r="D477" s="148"/>
      <c r="E477" s="148"/>
      <c r="F477" s="148"/>
    </row>
    <row r="478" ht="15.75" customHeight="1">
      <c r="A478" s="148"/>
      <c r="B478" s="148"/>
      <c r="C478" s="148"/>
      <c r="D478" s="148"/>
      <c r="E478" s="148"/>
      <c r="F478" s="148"/>
    </row>
    <row r="479" ht="15.75" customHeight="1">
      <c r="A479" s="148"/>
      <c r="B479" s="148"/>
      <c r="C479" s="148"/>
      <c r="D479" s="148"/>
      <c r="E479" s="148"/>
      <c r="F479" s="148"/>
    </row>
    <row r="480" ht="15.75" customHeight="1">
      <c r="A480" s="148"/>
      <c r="B480" s="148"/>
      <c r="C480" s="148"/>
      <c r="D480" s="148"/>
      <c r="E480" s="148"/>
      <c r="F480" s="148"/>
    </row>
    <row r="481" ht="15.75" customHeight="1">
      <c r="A481" s="148"/>
      <c r="B481" s="148"/>
      <c r="C481" s="148"/>
      <c r="D481" s="148"/>
      <c r="E481" s="148"/>
      <c r="F481" s="148"/>
    </row>
    <row r="482" ht="15.75" customHeight="1">
      <c r="A482" s="148"/>
      <c r="B482" s="148"/>
      <c r="C482" s="148"/>
      <c r="D482" s="148"/>
      <c r="E482" s="148"/>
      <c r="F482" s="148"/>
    </row>
    <row r="483" ht="15.75" customHeight="1">
      <c r="A483" s="148"/>
      <c r="B483" s="148"/>
      <c r="C483" s="148"/>
      <c r="D483" s="148"/>
      <c r="E483" s="148"/>
      <c r="F483" s="148"/>
    </row>
    <row r="484" ht="15.75" customHeight="1">
      <c r="A484" s="148"/>
      <c r="B484" s="148"/>
      <c r="C484" s="148"/>
      <c r="D484" s="148"/>
      <c r="E484" s="148"/>
      <c r="F484" s="148"/>
    </row>
    <row r="485" ht="15.75" customHeight="1">
      <c r="A485" s="148"/>
      <c r="B485" s="148"/>
      <c r="C485" s="148"/>
      <c r="D485" s="148"/>
      <c r="E485" s="148"/>
      <c r="F485" s="148"/>
    </row>
    <row r="486" ht="15.75" customHeight="1">
      <c r="A486" s="148"/>
      <c r="B486" s="148"/>
      <c r="C486" s="148"/>
      <c r="D486" s="148"/>
      <c r="E486" s="148"/>
      <c r="F486" s="148"/>
    </row>
    <row r="487" ht="15.75" customHeight="1">
      <c r="A487" s="148"/>
      <c r="B487" s="148"/>
      <c r="C487" s="148"/>
      <c r="D487" s="148"/>
      <c r="E487" s="148"/>
      <c r="F487" s="148"/>
    </row>
    <row r="488" ht="15.75" customHeight="1">
      <c r="A488" s="148"/>
      <c r="B488" s="148"/>
      <c r="C488" s="148"/>
      <c r="D488" s="148"/>
      <c r="E488" s="148"/>
      <c r="F488" s="148"/>
    </row>
    <row r="489" ht="15.75" customHeight="1">
      <c r="A489" s="148"/>
      <c r="B489" s="148"/>
      <c r="C489" s="148"/>
      <c r="D489" s="148"/>
      <c r="E489" s="148"/>
      <c r="F489" s="148"/>
    </row>
    <row r="490" ht="15.75" customHeight="1">
      <c r="A490" s="148"/>
      <c r="B490" s="148"/>
      <c r="C490" s="148"/>
      <c r="D490" s="148"/>
      <c r="E490" s="148"/>
      <c r="F490" s="148"/>
    </row>
    <row r="491" ht="15.75" customHeight="1">
      <c r="A491" s="148"/>
      <c r="B491" s="148"/>
      <c r="C491" s="148"/>
      <c r="D491" s="148"/>
      <c r="E491" s="148"/>
      <c r="F491" s="148"/>
    </row>
    <row r="492" ht="15.75" customHeight="1">
      <c r="A492" s="148"/>
      <c r="B492" s="148"/>
      <c r="C492" s="148"/>
      <c r="D492" s="148"/>
      <c r="E492" s="148"/>
      <c r="F492" s="148"/>
    </row>
    <row r="493" ht="15.75" customHeight="1">
      <c r="A493" s="148"/>
      <c r="B493" s="148"/>
      <c r="C493" s="148"/>
      <c r="D493" s="148"/>
      <c r="E493" s="148"/>
      <c r="F493" s="148"/>
    </row>
    <row r="494" ht="15.75" customHeight="1">
      <c r="A494" s="148"/>
      <c r="B494" s="148"/>
      <c r="C494" s="148"/>
      <c r="D494" s="148"/>
      <c r="E494" s="148"/>
      <c r="F494" s="148"/>
    </row>
    <row r="495" ht="15.75" customHeight="1">
      <c r="A495" s="148"/>
      <c r="B495" s="148"/>
      <c r="C495" s="148"/>
      <c r="D495" s="148"/>
      <c r="E495" s="148"/>
      <c r="F495" s="148"/>
    </row>
    <row r="496" ht="15.75" customHeight="1">
      <c r="A496" s="148"/>
      <c r="B496" s="148"/>
      <c r="C496" s="148"/>
      <c r="D496" s="148"/>
      <c r="E496" s="148"/>
      <c r="F496" s="148"/>
    </row>
    <row r="497" ht="15.75" customHeight="1">
      <c r="A497" s="148"/>
      <c r="B497" s="148"/>
      <c r="C497" s="148"/>
      <c r="D497" s="148"/>
      <c r="E497" s="148"/>
      <c r="F497" s="148"/>
    </row>
    <row r="498" ht="15.75" customHeight="1">
      <c r="A498" s="148"/>
      <c r="B498" s="148"/>
      <c r="C498" s="148"/>
      <c r="D498" s="148"/>
      <c r="E498" s="148"/>
      <c r="F498" s="148"/>
    </row>
    <row r="499" ht="15.75" customHeight="1">
      <c r="A499" s="148"/>
      <c r="B499" s="148"/>
      <c r="C499" s="148"/>
      <c r="D499" s="148"/>
      <c r="E499" s="148"/>
      <c r="F499" s="148"/>
    </row>
    <row r="500" ht="15.75" customHeight="1">
      <c r="A500" s="148"/>
      <c r="B500" s="148"/>
      <c r="C500" s="148"/>
      <c r="D500" s="148"/>
      <c r="E500" s="148"/>
      <c r="F500" s="148"/>
    </row>
    <row r="501" ht="15.75" customHeight="1">
      <c r="A501" s="148"/>
      <c r="B501" s="148"/>
      <c r="C501" s="148"/>
      <c r="D501" s="148"/>
      <c r="E501" s="148"/>
      <c r="F501" s="148"/>
    </row>
    <row r="502" ht="15.75" customHeight="1">
      <c r="A502" s="148"/>
      <c r="B502" s="148"/>
      <c r="C502" s="148"/>
      <c r="D502" s="148"/>
      <c r="E502" s="148"/>
      <c r="F502" s="148"/>
    </row>
    <row r="503" ht="15.75" customHeight="1">
      <c r="A503" s="148"/>
      <c r="B503" s="148"/>
      <c r="C503" s="148"/>
      <c r="D503" s="148"/>
      <c r="E503" s="148"/>
      <c r="F503" s="148"/>
    </row>
    <row r="504" ht="15.75" customHeight="1">
      <c r="A504" s="148"/>
      <c r="B504" s="148"/>
      <c r="C504" s="148"/>
      <c r="D504" s="148"/>
      <c r="E504" s="148"/>
      <c r="F504" s="148"/>
    </row>
    <row r="505" ht="15.75" customHeight="1">
      <c r="A505" s="148"/>
      <c r="B505" s="148"/>
      <c r="C505" s="148"/>
      <c r="D505" s="148"/>
      <c r="E505" s="148"/>
      <c r="F505" s="148"/>
    </row>
    <row r="506" ht="15.75" customHeight="1">
      <c r="A506" s="148"/>
      <c r="B506" s="148"/>
      <c r="C506" s="148"/>
      <c r="D506" s="148"/>
      <c r="E506" s="148"/>
      <c r="F506" s="148"/>
    </row>
    <row r="507" ht="15.75" customHeight="1">
      <c r="A507" s="148"/>
      <c r="B507" s="148"/>
      <c r="C507" s="148"/>
      <c r="D507" s="148"/>
      <c r="E507" s="148"/>
      <c r="F507" s="148"/>
    </row>
    <row r="508" ht="15.75" customHeight="1">
      <c r="A508" s="148"/>
      <c r="B508" s="148"/>
      <c r="C508" s="148"/>
      <c r="D508" s="148"/>
      <c r="E508" s="148"/>
      <c r="F508" s="148"/>
    </row>
    <row r="509" ht="15.75" customHeight="1">
      <c r="A509" s="148"/>
      <c r="B509" s="148"/>
      <c r="C509" s="148"/>
      <c r="D509" s="148"/>
      <c r="E509" s="148"/>
      <c r="F509" s="148"/>
    </row>
    <row r="510" ht="15.75" customHeight="1">
      <c r="A510" s="148"/>
      <c r="B510" s="148"/>
      <c r="C510" s="148"/>
      <c r="D510" s="148"/>
      <c r="E510" s="148"/>
      <c r="F510" s="148"/>
    </row>
    <row r="511" ht="15.75" customHeight="1">
      <c r="A511" s="148"/>
      <c r="B511" s="148"/>
      <c r="C511" s="148"/>
      <c r="D511" s="148"/>
      <c r="E511" s="148"/>
      <c r="F511" s="148"/>
    </row>
    <row r="512" ht="15.75" customHeight="1">
      <c r="A512" s="148"/>
      <c r="B512" s="148"/>
      <c r="C512" s="148"/>
      <c r="D512" s="148"/>
      <c r="E512" s="148"/>
      <c r="F512" s="148"/>
    </row>
    <row r="513" ht="15.75" customHeight="1">
      <c r="A513" s="148"/>
      <c r="B513" s="148"/>
      <c r="C513" s="148"/>
      <c r="D513" s="148"/>
      <c r="E513" s="148"/>
      <c r="F513" s="148"/>
    </row>
    <row r="514" ht="15.75" customHeight="1">
      <c r="A514" s="148"/>
      <c r="B514" s="148"/>
      <c r="C514" s="148"/>
      <c r="D514" s="148"/>
      <c r="E514" s="148"/>
      <c r="F514" s="148"/>
    </row>
    <row r="515" ht="15.75" customHeight="1">
      <c r="A515" s="148"/>
      <c r="B515" s="148"/>
      <c r="C515" s="148"/>
      <c r="D515" s="148"/>
      <c r="E515" s="148"/>
      <c r="F515" s="148"/>
    </row>
    <row r="516" ht="15.75" customHeight="1">
      <c r="A516" s="148"/>
      <c r="B516" s="148"/>
      <c r="C516" s="148"/>
      <c r="D516" s="148"/>
      <c r="E516" s="148"/>
      <c r="F516" s="148"/>
    </row>
    <row r="517" ht="15.75" customHeight="1">
      <c r="A517" s="148"/>
      <c r="B517" s="148"/>
      <c r="C517" s="148"/>
      <c r="D517" s="148"/>
      <c r="E517" s="148"/>
      <c r="F517" s="148"/>
    </row>
    <row r="518" ht="15.75" customHeight="1">
      <c r="A518" s="148"/>
      <c r="B518" s="148"/>
      <c r="C518" s="148"/>
      <c r="D518" s="148"/>
      <c r="E518" s="148"/>
      <c r="F518" s="148"/>
    </row>
    <row r="519" ht="15.75" customHeight="1">
      <c r="A519" s="148"/>
      <c r="B519" s="148"/>
      <c r="C519" s="148"/>
      <c r="D519" s="148"/>
      <c r="E519" s="148"/>
      <c r="F519" s="148"/>
    </row>
    <row r="520" ht="15.75" customHeight="1">
      <c r="A520" s="148"/>
      <c r="B520" s="148"/>
      <c r="C520" s="148"/>
      <c r="D520" s="148"/>
      <c r="E520" s="148"/>
      <c r="F520" s="148"/>
    </row>
    <row r="521" ht="15.75" customHeight="1">
      <c r="A521" s="148"/>
      <c r="B521" s="148"/>
      <c r="C521" s="148"/>
      <c r="D521" s="148"/>
      <c r="E521" s="148"/>
      <c r="F521" s="148"/>
    </row>
    <row r="522" ht="15.75" customHeight="1">
      <c r="A522" s="148"/>
      <c r="B522" s="148"/>
      <c r="C522" s="148"/>
      <c r="D522" s="148"/>
      <c r="E522" s="148"/>
      <c r="F522" s="148"/>
    </row>
    <row r="523" ht="15.75" customHeight="1">
      <c r="A523" s="148"/>
      <c r="B523" s="148"/>
      <c r="C523" s="148"/>
      <c r="D523" s="148"/>
      <c r="E523" s="148"/>
      <c r="F523" s="148"/>
    </row>
    <row r="524" ht="15.75" customHeight="1">
      <c r="A524" s="148"/>
      <c r="B524" s="148"/>
      <c r="C524" s="148"/>
      <c r="D524" s="148"/>
      <c r="E524" s="148"/>
      <c r="F524" s="148"/>
    </row>
    <row r="525" ht="15.75" customHeight="1">
      <c r="A525" s="148"/>
      <c r="B525" s="148"/>
      <c r="C525" s="148"/>
      <c r="D525" s="148"/>
      <c r="E525" s="148"/>
      <c r="F525" s="148"/>
    </row>
    <row r="526" ht="15.75" customHeight="1">
      <c r="A526" s="148"/>
      <c r="B526" s="148"/>
      <c r="C526" s="148"/>
      <c r="D526" s="148"/>
      <c r="E526" s="148"/>
      <c r="F526" s="148"/>
    </row>
    <row r="527" ht="15.75" customHeight="1">
      <c r="A527" s="148"/>
      <c r="B527" s="148"/>
      <c r="C527" s="148"/>
      <c r="D527" s="148"/>
      <c r="E527" s="148"/>
      <c r="F527" s="148"/>
    </row>
    <row r="528" ht="15.75" customHeight="1">
      <c r="A528" s="148"/>
      <c r="B528" s="148"/>
      <c r="C528" s="148"/>
      <c r="D528" s="148"/>
      <c r="E528" s="148"/>
      <c r="F528" s="148"/>
    </row>
    <row r="529" ht="15.75" customHeight="1">
      <c r="A529" s="148"/>
      <c r="B529" s="148"/>
      <c r="C529" s="148"/>
      <c r="D529" s="148"/>
      <c r="E529" s="148"/>
      <c r="F529" s="148"/>
    </row>
    <row r="530" ht="15.75" customHeight="1">
      <c r="A530" s="148"/>
      <c r="B530" s="148"/>
      <c r="C530" s="148"/>
      <c r="D530" s="148"/>
      <c r="E530" s="148"/>
      <c r="F530" s="148"/>
    </row>
    <row r="531" ht="15.75" customHeight="1">
      <c r="A531" s="148"/>
      <c r="B531" s="148"/>
      <c r="C531" s="148"/>
      <c r="D531" s="148"/>
      <c r="E531" s="148"/>
      <c r="F531" s="148"/>
    </row>
    <row r="532" ht="15.75" customHeight="1">
      <c r="A532" s="148"/>
      <c r="B532" s="148"/>
      <c r="C532" s="148"/>
      <c r="D532" s="148"/>
      <c r="E532" s="148"/>
      <c r="F532" s="148"/>
    </row>
    <row r="533" ht="15.75" customHeight="1">
      <c r="A533" s="148"/>
      <c r="B533" s="148"/>
      <c r="C533" s="148"/>
      <c r="D533" s="148"/>
      <c r="E533" s="148"/>
      <c r="F533" s="148"/>
    </row>
    <row r="534" ht="15.75" customHeight="1">
      <c r="A534" s="148"/>
      <c r="B534" s="148"/>
      <c r="C534" s="148"/>
      <c r="D534" s="148"/>
      <c r="E534" s="148"/>
      <c r="F534" s="148"/>
    </row>
    <row r="535" ht="15.75" customHeight="1">
      <c r="A535" s="148"/>
      <c r="B535" s="148"/>
      <c r="C535" s="148"/>
      <c r="D535" s="148"/>
      <c r="E535" s="148"/>
      <c r="F535" s="148"/>
    </row>
    <row r="536" ht="15.75" customHeight="1">
      <c r="A536" s="148"/>
      <c r="B536" s="148"/>
      <c r="C536" s="148"/>
      <c r="D536" s="148"/>
      <c r="E536" s="148"/>
      <c r="F536" s="148"/>
    </row>
    <row r="537" ht="15.75" customHeight="1">
      <c r="A537" s="148"/>
      <c r="B537" s="148"/>
      <c r="C537" s="148"/>
      <c r="D537" s="148"/>
      <c r="E537" s="148"/>
      <c r="F537" s="148"/>
    </row>
    <row r="538" ht="15.75" customHeight="1">
      <c r="A538" s="148"/>
      <c r="B538" s="148"/>
      <c r="C538" s="148"/>
      <c r="D538" s="148"/>
      <c r="E538" s="148"/>
      <c r="F538" s="148"/>
    </row>
    <row r="539" ht="15.75" customHeight="1">
      <c r="A539" s="148"/>
      <c r="B539" s="148"/>
      <c r="C539" s="148"/>
      <c r="D539" s="148"/>
      <c r="E539" s="148"/>
      <c r="F539" s="148"/>
    </row>
    <row r="540" ht="15.75" customHeight="1">
      <c r="A540" s="148"/>
      <c r="B540" s="148"/>
      <c r="C540" s="148"/>
      <c r="D540" s="148"/>
      <c r="E540" s="148"/>
      <c r="F540" s="148"/>
    </row>
    <row r="541" ht="15.75" customHeight="1">
      <c r="A541" s="148"/>
      <c r="B541" s="148"/>
      <c r="C541" s="148"/>
      <c r="D541" s="148"/>
      <c r="E541" s="148"/>
      <c r="F541" s="148"/>
    </row>
    <row r="542" ht="15.75" customHeight="1">
      <c r="A542" s="148"/>
      <c r="B542" s="148"/>
      <c r="C542" s="148"/>
      <c r="D542" s="148"/>
      <c r="E542" s="148"/>
      <c r="F542" s="148"/>
    </row>
    <row r="543" ht="15.75" customHeight="1">
      <c r="A543" s="148"/>
      <c r="B543" s="148"/>
      <c r="C543" s="148"/>
      <c r="D543" s="148"/>
      <c r="E543" s="148"/>
      <c r="F543" s="148"/>
    </row>
    <row r="544" ht="15.75" customHeight="1">
      <c r="A544" s="148"/>
      <c r="B544" s="148"/>
      <c r="C544" s="148"/>
      <c r="D544" s="148"/>
      <c r="E544" s="148"/>
      <c r="F544" s="148"/>
    </row>
    <row r="545" ht="15.75" customHeight="1">
      <c r="A545" s="148"/>
      <c r="B545" s="148"/>
      <c r="C545" s="148"/>
      <c r="D545" s="148"/>
      <c r="E545" s="148"/>
      <c r="F545" s="148"/>
    </row>
    <row r="546" ht="15.75" customHeight="1">
      <c r="A546" s="148"/>
      <c r="B546" s="148"/>
      <c r="C546" s="148"/>
      <c r="D546" s="148"/>
      <c r="E546" s="148"/>
      <c r="F546" s="148"/>
    </row>
    <row r="547" ht="15.75" customHeight="1">
      <c r="A547" s="148"/>
      <c r="B547" s="148"/>
      <c r="C547" s="148"/>
      <c r="D547" s="148"/>
      <c r="E547" s="148"/>
      <c r="F547" s="148"/>
    </row>
    <row r="548" ht="15.75" customHeight="1">
      <c r="A548" s="148"/>
      <c r="B548" s="148"/>
      <c r="C548" s="148"/>
      <c r="D548" s="148"/>
      <c r="E548" s="148"/>
      <c r="F548" s="148"/>
    </row>
    <row r="549" ht="15.75" customHeight="1">
      <c r="A549" s="148"/>
      <c r="B549" s="148"/>
      <c r="C549" s="148"/>
      <c r="D549" s="148"/>
      <c r="E549" s="148"/>
      <c r="F549" s="148"/>
    </row>
    <row r="550" ht="15.75" customHeight="1">
      <c r="A550" s="148"/>
      <c r="B550" s="148"/>
      <c r="C550" s="148"/>
      <c r="D550" s="148"/>
      <c r="E550" s="148"/>
      <c r="F550" s="148"/>
    </row>
    <row r="551" ht="15.75" customHeight="1">
      <c r="A551" s="148"/>
      <c r="B551" s="148"/>
      <c r="C551" s="148"/>
      <c r="D551" s="148"/>
      <c r="E551" s="148"/>
      <c r="F551" s="148"/>
    </row>
    <row r="552" ht="15.75" customHeight="1">
      <c r="A552" s="148"/>
      <c r="B552" s="148"/>
      <c r="C552" s="148"/>
      <c r="D552" s="148"/>
      <c r="E552" s="148"/>
      <c r="F552" s="148"/>
    </row>
    <row r="553" ht="15.75" customHeight="1">
      <c r="A553" s="148"/>
      <c r="B553" s="148"/>
      <c r="C553" s="148"/>
      <c r="D553" s="148"/>
      <c r="E553" s="148"/>
      <c r="F553" s="148"/>
    </row>
    <row r="554" ht="15.75" customHeight="1">
      <c r="A554" s="148"/>
      <c r="B554" s="148"/>
      <c r="C554" s="148"/>
      <c r="D554" s="148"/>
      <c r="E554" s="148"/>
      <c r="F554" s="148"/>
    </row>
    <row r="555" ht="15.75" customHeight="1">
      <c r="A555" s="148"/>
      <c r="B555" s="148"/>
      <c r="C555" s="148"/>
      <c r="D555" s="148"/>
      <c r="E555" s="148"/>
      <c r="F555" s="148"/>
    </row>
    <row r="556" ht="15.75" customHeight="1">
      <c r="A556" s="148"/>
      <c r="B556" s="148"/>
      <c r="C556" s="148"/>
      <c r="D556" s="148"/>
      <c r="E556" s="148"/>
      <c r="F556" s="148"/>
    </row>
    <row r="557" ht="15.75" customHeight="1">
      <c r="A557" s="148"/>
      <c r="B557" s="148"/>
      <c r="C557" s="148"/>
      <c r="D557" s="148"/>
      <c r="E557" s="148"/>
      <c r="F557" s="148"/>
    </row>
    <row r="558" ht="15.75" customHeight="1">
      <c r="A558" s="148"/>
      <c r="B558" s="148"/>
      <c r="C558" s="148"/>
      <c r="D558" s="148"/>
      <c r="E558" s="148"/>
      <c r="F558" s="148"/>
    </row>
    <row r="559" ht="15.75" customHeight="1">
      <c r="A559" s="148"/>
      <c r="B559" s="148"/>
      <c r="C559" s="148"/>
      <c r="D559" s="148"/>
      <c r="E559" s="148"/>
      <c r="F559" s="148"/>
    </row>
    <row r="560" ht="15.75" customHeight="1">
      <c r="A560" s="148"/>
      <c r="B560" s="148"/>
      <c r="C560" s="148"/>
      <c r="D560" s="148"/>
      <c r="E560" s="148"/>
      <c r="F560" s="148"/>
    </row>
    <row r="561" ht="15.75" customHeight="1">
      <c r="A561" s="148"/>
      <c r="B561" s="148"/>
      <c r="C561" s="148"/>
      <c r="D561" s="148"/>
      <c r="E561" s="148"/>
      <c r="F561" s="148"/>
    </row>
    <row r="562" ht="15.75" customHeight="1">
      <c r="A562" s="148"/>
      <c r="B562" s="148"/>
      <c r="C562" s="148"/>
      <c r="D562" s="148"/>
      <c r="E562" s="148"/>
      <c r="F562" s="148"/>
    </row>
    <row r="563" ht="15.75" customHeight="1">
      <c r="A563" s="148"/>
      <c r="B563" s="148"/>
      <c r="C563" s="148"/>
      <c r="D563" s="148"/>
      <c r="E563" s="148"/>
      <c r="F563" s="148"/>
    </row>
    <row r="564" ht="15.75" customHeight="1">
      <c r="A564" s="148"/>
      <c r="B564" s="148"/>
      <c r="C564" s="148"/>
      <c r="D564" s="148"/>
      <c r="E564" s="148"/>
      <c r="F564" s="148"/>
    </row>
    <row r="565" ht="15.75" customHeight="1">
      <c r="A565" s="148"/>
      <c r="B565" s="148"/>
      <c r="C565" s="148"/>
      <c r="D565" s="148"/>
      <c r="E565" s="148"/>
      <c r="F565" s="148"/>
    </row>
    <row r="566" ht="15.75" customHeight="1">
      <c r="A566" s="148"/>
      <c r="B566" s="148"/>
      <c r="C566" s="148"/>
      <c r="D566" s="148"/>
      <c r="E566" s="148"/>
      <c r="F566" s="148"/>
    </row>
    <row r="567" ht="15.75" customHeight="1">
      <c r="A567" s="148"/>
      <c r="B567" s="148"/>
      <c r="C567" s="148"/>
      <c r="D567" s="148"/>
      <c r="E567" s="148"/>
      <c r="F567" s="148"/>
    </row>
    <row r="568" ht="15.75" customHeight="1">
      <c r="A568" s="148"/>
      <c r="B568" s="148"/>
      <c r="C568" s="148"/>
      <c r="D568" s="148"/>
      <c r="E568" s="148"/>
      <c r="F568" s="148"/>
    </row>
    <row r="569" ht="15.75" customHeight="1">
      <c r="A569" s="148"/>
      <c r="B569" s="148"/>
      <c r="C569" s="148"/>
      <c r="D569" s="148"/>
      <c r="E569" s="148"/>
      <c r="F569" s="148"/>
    </row>
    <row r="570" ht="15.75" customHeight="1">
      <c r="A570" s="148"/>
      <c r="B570" s="148"/>
      <c r="C570" s="148"/>
      <c r="D570" s="148"/>
      <c r="E570" s="148"/>
      <c r="F570" s="148"/>
    </row>
    <row r="571" ht="15.75" customHeight="1">
      <c r="A571" s="148"/>
      <c r="B571" s="148"/>
      <c r="C571" s="148"/>
      <c r="D571" s="148"/>
      <c r="E571" s="148"/>
      <c r="F571" s="148"/>
    </row>
    <row r="572" ht="15.75" customHeight="1">
      <c r="A572" s="148"/>
      <c r="B572" s="148"/>
      <c r="C572" s="148"/>
      <c r="D572" s="148"/>
      <c r="E572" s="148"/>
      <c r="F572" s="148"/>
    </row>
    <row r="573" ht="15.75" customHeight="1">
      <c r="A573" s="148"/>
      <c r="B573" s="148"/>
      <c r="C573" s="148"/>
      <c r="D573" s="148"/>
      <c r="E573" s="148"/>
      <c r="F573" s="148"/>
    </row>
    <row r="574" ht="15.75" customHeight="1">
      <c r="A574" s="148"/>
      <c r="B574" s="148"/>
      <c r="C574" s="148"/>
      <c r="D574" s="148"/>
      <c r="E574" s="148"/>
      <c r="F574" s="148"/>
    </row>
    <row r="575" ht="15.75" customHeight="1">
      <c r="A575" s="148"/>
      <c r="B575" s="148"/>
      <c r="C575" s="148"/>
      <c r="D575" s="148"/>
      <c r="E575" s="148"/>
      <c r="F575" s="148"/>
    </row>
    <row r="576" ht="15.75" customHeight="1">
      <c r="A576" s="148"/>
      <c r="B576" s="148"/>
      <c r="C576" s="148"/>
      <c r="D576" s="148"/>
      <c r="E576" s="148"/>
      <c r="F576" s="148"/>
    </row>
    <row r="577" ht="15.75" customHeight="1">
      <c r="A577" s="148"/>
      <c r="B577" s="148"/>
      <c r="C577" s="148"/>
      <c r="D577" s="148"/>
      <c r="E577" s="148"/>
      <c r="F577" s="148"/>
    </row>
    <row r="578" ht="15.75" customHeight="1">
      <c r="A578" s="148"/>
      <c r="B578" s="148"/>
      <c r="C578" s="148"/>
      <c r="D578" s="148"/>
      <c r="E578" s="148"/>
      <c r="F578" s="148"/>
    </row>
    <row r="579" ht="15.75" customHeight="1">
      <c r="A579" s="148"/>
      <c r="B579" s="148"/>
      <c r="C579" s="148"/>
      <c r="D579" s="148"/>
      <c r="E579" s="148"/>
      <c r="F579" s="148"/>
    </row>
    <row r="580" ht="15.75" customHeight="1">
      <c r="A580" s="148"/>
      <c r="B580" s="148"/>
      <c r="C580" s="148"/>
      <c r="D580" s="148"/>
      <c r="E580" s="148"/>
      <c r="F580" s="148"/>
    </row>
    <row r="581" ht="15.75" customHeight="1">
      <c r="A581" s="148"/>
      <c r="B581" s="148"/>
      <c r="C581" s="148"/>
      <c r="D581" s="148"/>
      <c r="E581" s="148"/>
      <c r="F581" s="148"/>
    </row>
    <row r="582" ht="15.75" customHeight="1">
      <c r="A582" s="148"/>
      <c r="B582" s="148"/>
      <c r="C582" s="148"/>
      <c r="D582" s="148"/>
      <c r="E582" s="148"/>
      <c r="F582" s="148"/>
    </row>
    <row r="583" ht="15.75" customHeight="1">
      <c r="A583" s="148"/>
      <c r="B583" s="148"/>
      <c r="C583" s="148"/>
      <c r="D583" s="148"/>
      <c r="E583" s="148"/>
      <c r="F583" s="148"/>
    </row>
    <row r="584" ht="15.75" customHeight="1">
      <c r="A584" s="148"/>
      <c r="B584" s="148"/>
      <c r="C584" s="148"/>
      <c r="D584" s="148"/>
      <c r="E584" s="148"/>
      <c r="F584" s="148"/>
    </row>
    <row r="585" ht="15.75" customHeight="1">
      <c r="A585" s="148"/>
      <c r="B585" s="148"/>
      <c r="C585" s="148"/>
      <c r="D585" s="148"/>
      <c r="E585" s="148"/>
      <c r="F585" s="148"/>
    </row>
    <row r="586" ht="15.75" customHeight="1">
      <c r="A586" s="148"/>
      <c r="B586" s="148"/>
      <c r="C586" s="148"/>
      <c r="D586" s="148"/>
      <c r="E586" s="148"/>
      <c r="F586" s="148"/>
    </row>
    <row r="587" ht="15.75" customHeight="1">
      <c r="A587" s="148"/>
      <c r="B587" s="148"/>
      <c r="C587" s="148"/>
      <c r="D587" s="148"/>
      <c r="E587" s="148"/>
      <c r="F587" s="148"/>
    </row>
    <row r="588" ht="15.75" customHeight="1">
      <c r="A588" s="148"/>
      <c r="B588" s="148"/>
      <c r="C588" s="148"/>
      <c r="D588" s="148"/>
      <c r="E588" s="148"/>
      <c r="F588" s="148"/>
    </row>
    <row r="589" ht="15.75" customHeight="1">
      <c r="A589" s="148"/>
      <c r="B589" s="148"/>
      <c r="C589" s="148"/>
      <c r="D589" s="148"/>
      <c r="E589" s="148"/>
      <c r="F589" s="148"/>
    </row>
    <row r="590" ht="15.75" customHeight="1">
      <c r="A590" s="148"/>
      <c r="B590" s="148"/>
      <c r="C590" s="148"/>
      <c r="D590" s="148"/>
      <c r="E590" s="148"/>
      <c r="F590" s="148"/>
    </row>
    <row r="591" ht="15.75" customHeight="1">
      <c r="A591" s="148"/>
      <c r="B591" s="148"/>
      <c r="C591" s="148"/>
      <c r="D591" s="148"/>
      <c r="E591" s="148"/>
      <c r="F591" s="148"/>
    </row>
    <row r="592" ht="15.75" customHeight="1">
      <c r="A592" s="148"/>
      <c r="B592" s="148"/>
      <c r="C592" s="148"/>
      <c r="D592" s="148"/>
      <c r="E592" s="148"/>
      <c r="F592" s="148"/>
    </row>
    <row r="593" ht="15.75" customHeight="1">
      <c r="A593" s="148"/>
      <c r="B593" s="148"/>
      <c r="C593" s="148"/>
      <c r="D593" s="148"/>
      <c r="E593" s="148"/>
      <c r="F593" s="148"/>
    </row>
    <row r="594" ht="15.75" customHeight="1">
      <c r="A594" s="148"/>
      <c r="B594" s="148"/>
      <c r="C594" s="148"/>
      <c r="D594" s="148"/>
      <c r="E594" s="148"/>
      <c r="F594" s="148"/>
    </row>
    <row r="595" ht="15.75" customHeight="1">
      <c r="A595" s="148"/>
      <c r="B595" s="148"/>
      <c r="C595" s="148"/>
      <c r="D595" s="148"/>
      <c r="E595" s="148"/>
      <c r="F595" s="148"/>
    </row>
    <row r="596" ht="15.75" customHeight="1">
      <c r="A596" s="148"/>
      <c r="B596" s="148"/>
      <c r="C596" s="148"/>
      <c r="D596" s="148"/>
      <c r="E596" s="148"/>
      <c r="F596" s="148"/>
    </row>
    <row r="597" ht="15.75" customHeight="1">
      <c r="A597" s="148"/>
      <c r="B597" s="148"/>
      <c r="C597" s="148"/>
      <c r="D597" s="148"/>
      <c r="E597" s="148"/>
      <c r="F597" s="148"/>
    </row>
    <row r="598" ht="15.75" customHeight="1">
      <c r="A598" s="148"/>
      <c r="B598" s="148"/>
      <c r="C598" s="148"/>
      <c r="D598" s="148"/>
      <c r="E598" s="148"/>
      <c r="F598" s="148"/>
    </row>
    <row r="599" ht="15.75" customHeight="1">
      <c r="A599" s="148"/>
      <c r="B599" s="148"/>
      <c r="C599" s="148"/>
      <c r="D599" s="148"/>
      <c r="E599" s="148"/>
      <c r="F599" s="148"/>
    </row>
    <row r="600" ht="15.75" customHeight="1">
      <c r="A600" s="148"/>
      <c r="B600" s="148"/>
      <c r="C600" s="148"/>
      <c r="D600" s="148"/>
      <c r="E600" s="148"/>
      <c r="F600" s="148"/>
    </row>
    <row r="601" ht="15.75" customHeight="1">
      <c r="A601" s="148"/>
      <c r="B601" s="148"/>
      <c r="C601" s="148"/>
      <c r="D601" s="148"/>
      <c r="E601" s="148"/>
      <c r="F601" s="148"/>
    </row>
    <row r="602" ht="15.75" customHeight="1">
      <c r="A602" s="148"/>
      <c r="B602" s="148"/>
      <c r="C602" s="148"/>
      <c r="D602" s="148"/>
      <c r="E602" s="148"/>
      <c r="F602" s="148"/>
    </row>
    <row r="603" ht="15.75" customHeight="1">
      <c r="A603" s="148"/>
      <c r="B603" s="148"/>
      <c r="C603" s="148"/>
      <c r="D603" s="148"/>
      <c r="E603" s="148"/>
      <c r="F603" s="148"/>
    </row>
    <row r="604" ht="15.75" customHeight="1">
      <c r="A604" s="148"/>
      <c r="B604" s="148"/>
      <c r="C604" s="148"/>
      <c r="D604" s="148"/>
      <c r="E604" s="148"/>
      <c r="F604" s="148"/>
    </row>
    <row r="605" ht="15.75" customHeight="1">
      <c r="A605" s="148"/>
      <c r="B605" s="148"/>
      <c r="C605" s="148"/>
      <c r="D605" s="148"/>
      <c r="E605" s="148"/>
      <c r="F605" s="148"/>
    </row>
    <row r="606" ht="15.75" customHeight="1">
      <c r="A606" s="148"/>
      <c r="B606" s="148"/>
      <c r="C606" s="148"/>
      <c r="D606" s="148"/>
      <c r="E606" s="148"/>
      <c r="F606" s="148"/>
    </row>
    <row r="607" ht="15.75" customHeight="1">
      <c r="A607" s="148"/>
      <c r="B607" s="148"/>
      <c r="C607" s="148"/>
      <c r="D607" s="148"/>
      <c r="E607" s="148"/>
      <c r="F607" s="148"/>
    </row>
    <row r="608" ht="15.75" customHeight="1">
      <c r="A608" s="148"/>
      <c r="B608" s="148"/>
      <c r="C608" s="148"/>
      <c r="D608" s="148"/>
      <c r="E608" s="148"/>
      <c r="F608" s="148"/>
    </row>
    <row r="609" ht="15.75" customHeight="1">
      <c r="A609" s="148"/>
      <c r="B609" s="148"/>
      <c r="C609" s="148"/>
      <c r="D609" s="148"/>
      <c r="E609" s="148"/>
      <c r="F609" s="148"/>
    </row>
    <row r="610" ht="15.75" customHeight="1">
      <c r="A610" s="148"/>
      <c r="B610" s="148"/>
      <c r="C610" s="148"/>
      <c r="D610" s="148"/>
      <c r="E610" s="148"/>
      <c r="F610" s="148"/>
    </row>
    <row r="611" ht="15.75" customHeight="1">
      <c r="A611" s="148"/>
      <c r="B611" s="148"/>
      <c r="C611" s="148"/>
      <c r="D611" s="148"/>
      <c r="E611" s="148"/>
      <c r="F611" s="148"/>
    </row>
    <row r="612" ht="15.75" customHeight="1">
      <c r="A612" s="148"/>
      <c r="B612" s="148"/>
      <c r="C612" s="148"/>
      <c r="D612" s="148"/>
      <c r="E612" s="148"/>
      <c r="F612" s="148"/>
    </row>
    <row r="613" ht="15.75" customHeight="1">
      <c r="A613" s="148"/>
      <c r="B613" s="148"/>
      <c r="C613" s="148"/>
      <c r="D613" s="148"/>
      <c r="E613" s="148"/>
      <c r="F613" s="148"/>
    </row>
    <row r="614" ht="15.75" customHeight="1">
      <c r="A614" s="148"/>
      <c r="B614" s="148"/>
      <c r="C614" s="148"/>
      <c r="D614" s="148"/>
      <c r="E614" s="148"/>
      <c r="F614" s="148"/>
    </row>
    <row r="615" ht="15.75" customHeight="1">
      <c r="A615" s="148"/>
      <c r="B615" s="148"/>
      <c r="C615" s="148"/>
      <c r="D615" s="148"/>
      <c r="E615" s="148"/>
      <c r="F615" s="148"/>
    </row>
    <row r="616" ht="15.75" customHeight="1">
      <c r="A616" s="148"/>
      <c r="B616" s="148"/>
      <c r="C616" s="148"/>
      <c r="D616" s="148"/>
      <c r="E616" s="148"/>
      <c r="F616" s="148"/>
    </row>
    <row r="617" ht="15.75" customHeight="1">
      <c r="A617" s="148"/>
      <c r="B617" s="148"/>
      <c r="C617" s="148"/>
      <c r="D617" s="148"/>
      <c r="E617" s="148"/>
      <c r="F617" s="148"/>
    </row>
    <row r="618" ht="15.75" customHeight="1">
      <c r="A618" s="148"/>
      <c r="B618" s="148"/>
      <c r="C618" s="148"/>
      <c r="D618" s="148"/>
      <c r="E618" s="148"/>
      <c r="F618" s="148"/>
    </row>
    <row r="619" ht="15.75" customHeight="1">
      <c r="A619" s="148"/>
      <c r="B619" s="148"/>
      <c r="C619" s="148"/>
      <c r="D619" s="148"/>
      <c r="E619" s="148"/>
      <c r="F619" s="148"/>
    </row>
    <row r="620" ht="15.75" customHeight="1">
      <c r="A620" s="148"/>
      <c r="B620" s="148"/>
      <c r="C620" s="148"/>
      <c r="D620" s="148"/>
      <c r="E620" s="148"/>
      <c r="F620" s="148"/>
    </row>
    <row r="621" ht="15.75" customHeight="1">
      <c r="A621" s="148"/>
      <c r="B621" s="148"/>
      <c r="C621" s="148"/>
      <c r="D621" s="148"/>
      <c r="E621" s="148"/>
      <c r="F621" s="148"/>
    </row>
    <row r="622" ht="15.75" customHeight="1">
      <c r="A622" s="148"/>
      <c r="B622" s="148"/>
      <c r="C622" s="148"/>
      <c r="D622" s="148"/>
      <c r="E622" s="148"/>
      <c r="F622" s="148"/>
    </row>
    <row r="623" ht="15.75" customHeight="1">
      <c r="A623" s="148"/>
      <c r="B623" s="148"/>
      <c r="C623" s="148"/>
      <c r="D623" s="148"/>
      <c r="E623" s="148"/>
      <c r="F623" s="148"/>
    </row>
    <row r="624" ht="15.75" customHeight="1">
      <c r="A624" s="148"/>
      <c r="B624" s="148"/>
      <c r="C624" s="148"/>
      <c r="D624" s="148"/>
      <c r="E624" s="148"/>
      <c r="F624" s="148"/>
    </row>
    <row r="625" ht="15.75" customHeight="1">
      <c r="A625" s="148"/>
      <c r="B625" s="148"/>
      <c r="C625" s="148"/>
      <c r="D625" s="148"/>
      <c r="E625" s="148"/>
      <c r="F625" s="148"/>
    </row>
    <row r="626" ht="15.75" customHeight="1">
      <c r="A626" s="148"/>
      <c r="B626" s="148"/>
      <c r="C626" s="148"/>
      <c r="D626" s="148"/>
      <c r="E626" s="148"/>
      <c r="F626" s="148"/>
    </row>
    <row r="627" ht="15.75" customHeight="1">
      <c r="A627" s="148"/>
      <c r="B627" s="148"/>
      <c r="C627" s="148"/>
      <c r="D627" s="148"/>
      <c r="E627" s="148"/>
      <c r="F627" s="148"/>
    </row>
    <row r="628" ht="15.75" customHeight="1">
      <c r="A628" s="148"/>
      <c r="B628" s="148"/>
      <c r="C628" s="148"/>
      <c r="D628" s="148"/>
      <c r="E628" s="148"/>
      <c r="F628" s="148"/>
    </row>
    <row r="629" ht="15.75" customHeight="1">
      <c r="A629" s="148"/>
      <c r="B629" s="148"/>
      <c r="C629" s="148"/>
      <c r="D629" s="148"/>
      <c r="E629" s="148"/>
      <c r="F629" s="148"/>
    </row>
    <row r="630" ht="15.75" customHeight="1">
      <c r="A630" s="148"/>
      <c r="B630" s="148"/>
      <c r="C630" s="148"/>
      <c r="D630" s="148"/>
      <c r="E630" s="148"/>
      <c r="F630" s="148"/>
    </row>
    <row r="631" ht="15.75" customHeight="1">
      <c r="A631" s="148"/>
      <c r="B631" s="148"/>
      <c r="C631" s="148"/>
      <c r="D631" s="148"/>
      <c r="E631" s="148"/>
      <c r="F631" s="148"/>
    </row>
    <row r="632" ht="15.75" customHeight="1">
      <c r="A632" s="148"/>
      <c r="B632" s="148"/>
      <c r="C632" s="148"/>
      <c r="D632" s="148"/>
      <c r="E632" s="148"/>
      <c r="F632" s="148"/>
    </row>
    <row r="633" ht="15.75" customHeight="1">
      <c r="A633" s="148"/>
      <c r="B633" s="148"/>
      <c r="C633" s="148"/>
      <c r="D633" s="148"/>
      <c r="E633" s="148"/>
      <c r="F633" s="148"/>
    </row>
    <row r="634" ht="15.75" customHeight="1">
      <c r="A634" s="148"/>
      <c r="B634" s="148"/>
      <c r="C634" s="148"/>
      <c r="D634" s="148"/>
      <c r="E634" s="148"/>
      <c r="F634" s="148"/>
    </row>
    <row r="635" ht="15.75" customHeight="1">
      <c r="A635" s="148"/>
      <c r="B635" s="148"/>
      <c r="C635" s="148"/>
      <c r="D635" s="148"/>
      <c r="E635" s="148"/>
      <c r="F635" s="148"/>
    </row>
    <row r="636" ht="15.75" customHeight="1">
      <c r="A636" s="148"/>
      <c r="B636" s="148"/>
      <c r="C636" s="148"/>
      <c r="D636" s="148"/>
      <c r="E636" s="148"/>
      <c r="F636" s="148"/>
    </row>
    <row r="637" ht="15.75" customHeight="1">
      <c r="A637" s="148"/>
      <c r="B637" s="148"/>
      <c r="C637" s="148"/>
      <c r="D637" s="148"/>
      <c r="E637" s="148"/>
      <c r="F637" s="148"/>
    </row>
    <row r="638" ht="15.75" customHeight="1">
      <c r="A638" s="148"/>
      <c r="B638" s="148"/>
      <c r="C638" s="148"/>
      <c r="D638" s="148"/>
      <c r="E638" s="148"/>
      <c r="F638" s="148"/>
    </row>
    <row r="639" ht="15.75" customHeight="1">
      <c r="A639" s="148"/>
      <c r="B639" s="148"/>
      <c r="C639" s="148"/>
      <c r="D639" s="148"/>
      <c r="E639" s="148"/>
      <c r="F639" s="148"/>
    </row>
    <row r="640" ht="15.75" customHeight="1">
      <c r="A640" s="148"/>
      <c r="B640" s="148"/>
      <c r="C640" s="148"/>
      <c r="D640" s="148"/>
      <c r="E640" s="148"/>
      <c r="F640" s="148"/>
    </row>
    <row r="641" ht="15.75" customHeight="1">
      <c r="A641" s="148"/>
      <c r="B641" s="148"/>
      <c r="C641" s="148"/>
      <c r="D641" s="148"/>
      <c r="E641" s="148"/>
      <c r="F641" s="148"/>
    </row>
    <row r="642" ht="15.75" customHeight="1">
      <c r="A642" s="148"/>
      <c r="B642" s="148"/>
      <c r="C642" s="148"/>
      <c r="D642" s="148"/>
      <c r="E642" s="148"/>
      <c r="F642" s="148"/>
    </row>
    <row r="643" ht="15.75" customHeight="1">
      <c r="A643" s="148"/>
      <c r="B643" s="148"/>
      <c r="C643" s="148"/>
      <c r="D643" s="148"/>
      <c r="E643" s="148"/>
      <c r="F643" s="148"/>
    </row>
    <row r="644" ht="15.75" customHeight="1">
      <c r="A644" s="148"/>
      <c r="B644" s="148"/>
      <c r="C644" s="148"/>
      <c r="D644" s="148"/>
      <c r="E644" s="148"/>
      <c r="F644" s="148"/>
    </row>
    <row r="645" ht="15.75" customHeight="1">
      <c r="A645" s="148"/>
      <c r="B645" s="148"/>
      <c r="C645" s="148"/>
      <c r="D645" s="148"/>
      <c r="E645" s="148"/>
      <c r="F645" s="148"/>
    </row>
    <row r="646" ht="15.75" customHeight="1">
      <c r="A646" s="148"/>
      <c r="B646" s="148"/>
      <c r="C646" s="148"/>
      <c r="D646" s="148"/>
      <c r="E646" s="148"/>
      <c r="F646" s="148"/>
    </row>
    <row r="647" ht="15.75" customHeight="1">
      <c r="A647" s="148"/>
      <c r="B647" s="148"/>
      <c r="C647" s="148"/>
      <c r="D647" s="148"/>
      <c r="E647" s="148"/>
      <c r="F647" s="148"/>
    </row>
    <row r="648" ht="15.75" customHeight="1">
      <c r="A648" s="148"/>
      <c r="B648" s="148"/>
      <c r="C648" s="148"/>
      <c r="D648" s="148"/>
      <c r="E648" s="148"/>
      <c r="F648" s="148"/>
    </row>
    <row r="649" ht="15.75" customHeight="1">
      <c r="A649" s="148"/>
      <c r="B649" s="148"/>
      <c r="C649" s="148"/>
      <c r="D649" s="148"/>
      <c r="E649" s="148"/>
      <c r="F649" s="148"/>
    </row>
    <row r="650" ht="15.75" customHeight="1">
      <c r="A650" s="148"/>
      <c r="B650" s="148"/>
      <c r="C650" s="148"/>
      <c r="D650" s="148"/>
      <c r="E650" s="148"/>
      <c r="F650" s="148"/>
    </row>
    <row r="651" ht="15.75" customHeight="1">
      <c r="A651" s="148"/>
      <c r="B651" s="148"/>
      <c r="C651" s="148"/>
      <c r="D651" s="148"/>
      <c r="E651" s="148"/>
      <c r="F651" s="148"/>
    </row>
    <row r="652" ht="15.75" customHeight="1">
      <c r="A652" s="148"/>
      <c r="B652" s="148"/>
      <c r="C652" s="148"/>
      <c r="D652" s="148"/>
      <c r="E652" s="148"/>
      <c r="F652" s="148"/>
    </row>
    <row r="653" ht="15.75" customHeight="1">
      <c r="A653" s="148"/>
      <c r="B653" s="148"/>
      <c r="C653" s="148"/>
      <c r="D653" s="148"/>
      <c r="E653" s="148"/>
      <c r="F653" s="148"/>
    </row>
    <row r="654" ht="15.75" customHeight="1">
      <c r="A654" s="148"/>
      <c r="B654" s="148"/>
      <c r="C654" s="148"/>
      <c r="D654" s="148"/>
      <c r="E654" s="148"/>
      <c r="F654" s="148"/>
    </row>
    <row r="655" ht="15.75" customHeight="1">
      <c r="A655" s="148"/>
      <c r="B655" s="148"/>
      <c r="C655" s="148"/>
      <c r="D655" s="148"/>
      <c r="E655" s="148"/>
      <c r="F655" s="148"/>
    </row>
    <row r="656" ht="15.75" customHeight="1">
      <c r="A656" s="148"/>
      <c r="B656" s="148"/>
      <c r="C656" s="148"/>
      <c r="D656" s="148"/>
      <c r="E656" s="148"/>
      <c r="F656" s="148"/>
    </row>
    <row r="657" ht="15.75" customHeight="1">
      <c r="A657" s="148"/>
      <c r="B657" s="148"/>
      <c r="C657" s="148"/>
      <c r="D657" s="148"/>
      <c r="E657" s="148"/>
      <c r="F657" s="148"/>
    </row>
    <row r="658" ht="15.75" customHeight="1">
      <c r="A658" s="148"/>
      <c r="B658" s="148"/>
      <c r="C658" s="148"/>
      <c r="D658" s="148"/>
      <c r="E658" s="148"/>
      <c r="F658" s="148"/>
    </row>
    <row r="659" ht="15.75" customHeight="1">
      <c r="A659" s="148"/>
      <c r="B659" s="148"/>
      <c r="C659" s="148"/>
      <c r="D659" s="148"/>
      <c r="E659" s="148"/>
      <c r="F659" s="148"/>
    </row>
    <row r="660" ht="15.75" customHeight="1">
      <c r="A660" s="148"/>
      <c r="B660" s="148"/>
      <c r="C660" s="148"/>
      <c r="D660" s="148"/>
      <c r="E660" s="148"/>
      <c r="F660" s="148"/>
    </row>
    <row r="661" ht="15.75" customHeight="1">
      <c r="A661" s="148"/>
      <c r="B661" s="148"/>
      <c r="C661" s="148"/>
      <c r="D661" s="148"/>
      <c r="E661" s="148"/>
      <c r="F661" s="148"/>
    </row>
    <row r="662" ht="15.75" customHeight="1">
      <c r="A662" s="148"/>
      <c r="B662" s="148"/>
      <c r="C662" s="148"/>
      <c r="D662" s="148"/>
      <c r="E662" s="148"/>
      <c r="F662" s="148"/>
    </row>
    <row r="663" ht="15.75" customHeight="1">
      <c r="A663" s="148"/>
      <c r="B663" s="148"/>
      <c r="C663" s="148"/>
      <c r="D663" s="148"/>
      <c r="E663" s="148"/>
      <c r="F663" s="148"/>
    </row>
    <row r="664" ht="15.75" customHeight="1">
      <c r="A664" s="148"/>
      <c r="B664" s="148"/>
      <c r="C664" s="148"/>
      <c r="D664" s="148"/>
      <c r="E664" s="148"/>
      <c r="F664" s="148"/>
    </row>
    <row r="665" ht="15.75" customHeight="1">
      <c r="A665" s="148"/>
      <c r="B665" s="148"/>
      <c r="C665" s="148"/>
      <c r="D665" s="148"/>
      <c r="E665" s="148"/>
      <c r="F665" s="148"/>
    </row>
    <row r="666" ht="15.75" customHeight="1">
      <c r="A666" s="148"/>
      <c r="B666" s="148"/>
      <c r="C666" s="148"/>
      <c r="D666" s="148"/>
      <c r="E666" s="148"/>
      <c r="F666" s="148"/>
    </row>
    <row r="667" ht="15.75" customHeight="1">
      <c r="A667" s="148"/>
      <c r="B667" s="148"/>
      <c r="C667" s="148"/>
      <c r="D667" s="148"/>
      <c r="E667" s="148"/>
      <c r="F667" s="148"/>
    </row>
    <row r="668" ht="15.75" customHeight="1">
      <c r="A668" s="148"/>
      <c r="B668" s="148"/>
      <c r="C668" s="148"/>
      <c r="D668" s="148"/>
      <c r="E668" s="148"/>
      <c r="F668" s="148"/>
    </row>
    <row r="669" ht="15.75" customHeight="1">
      <c r="A669" s="148"/>
      <c r="B669" s="148"/>
      <c r="C669" s="148"/>
      <c r="D669" s="148"/>
      <c r="E669" s="148"/>
      <c r="F669" s="148"/>
    </row>
    <row r="670" ht="15.75" customHeight="1">
      <c r="A670" s="148"/>
      <c r="B670" s="148"/>
      <c r="C670" s="148"/>
      <c r="D670" s="148"/>
      <c r="E670" s="148"/>
      <c r="F670" s="148"/>
    </row>
    <row r="671" ht="15.75" customHeight="1">
      <c r="A671" s="148"/>
      <c r="B671" s="148"/>
      <c r="C671" s="148"/>
      <c r="D671" s="148"/>
      <c r="E671" s="148"/>
      <c r="F671" s="148"/>
    </row>
    <row r="672" ht="15.75" customHeight="1">
      <c r="A672" s="148"/>
      <c r="B672" s="148"/>
      <c r="C672" s="148"/>
      <c r="D672" s="148"/>
      <c r="E672" s="148"/>
      <c r="F672" s="148"/>
    </row>
    <row r="673" ht="15.75" customHeight="1">
      <c r="A673" s="148"/>
      <c r="B673" s="148"/>
      <c r="C673" s="148"/>
      <c r="D673" s="148"/>
      <c r="E673" s="148"/>
      <c r="F673" s="148"/>
    </row>
    <row r="674" ht="15.75" customHeight="1">
      <c r="A674" s="148"/>
      <c r="B674" s="148"/>
      <c r="C674" s="148"/>
      <c r="D674" s="148"/>
      <c r="E674" s="148"/>
      <c r="F674" s="148"/>
    </row>
    <row r="675" ht="15.75" customHeight="1">
      <c r="A675" s="148"/>
      <c r="B675" s="148"/>
      <c r="C675" s="148"/>
      <c r="D675" s="148"/>
      <c r="E675" s="148"/>
      <c r="F675" s="148"/>
    </row>
    <row r="676" ht="15.75" customHeight="1">
      <c r="A676" s="148"/>
      <c r="B676" s="148"/>
      <c r="C676" s="148"/>
      <c r="D676" s="148"/>
      <c r="E676" s="148"/>
      <c r="F676" s="148"/>
    </row>
    <row r="677" ht="15.75" customHeight="1">
      <c r="A677" s="148"/>
      <c r="B677" s="148"/>
      <c r="C677" s="148"/>
      <c r="D677" s="148"/>
      <c r="E677" s="148"/>
      <c r="F677" s="148"/>
    </row>
    <row r="678" ht="15.75" customHeight="1">
      <c r="A678" s="148"/>
      <c r="B678" s="148"/>
      <c r="C678" s="148"/>
      <c r="D678" s="148"/>
      <c r="E678" s="148"/>
      <c r="F678" s="148"/>
    </row>
    <row r="679" ht="15.75" customHeight="1">
      <c r="A679" s="148"/>
      <c r="B679" s="148"/>
      <c r="C679" s="148"/>
      <c r="D679" s="148"/>
      <c r="E679" s="148"/>
      <c r="F679" s="148"/>
    </row>
    <row r="680" ht="15.75" customHeight="1">
      <c r="A680" s="148"/>
      <c r="B680" s="148"/>
      <c r="C680" s="148"/>
      <c r="D680" s="148"/>
      <c r="E680" s="148"/>
      <c r="F680" s="148"/>
    </row>
    <row r="681" ht="15.75" customHeight="1">
      <c r="A681" s="148"/>
      <c r="B681" s="148"/>
      <c r="C681" s="148"/>
      <c r="D681" s="148"/>
      <c r="E681" s="148"/>
      <c r="F681" s="148"/>
    </row>
    <row r="682" ht="15.75" customHeight="1">
      <c r="A682" s="148"/>
      <c r="B682" s="148"/>
      <c r="C682" s="148"/>
      <c r="D682" s="148"/>
      <c r="E682" s="148"/>
      <c r="F682" s="148"/>
    </row>
    <row r="683" ht="15.75" customHeight="1">
      <c r="A683" s="148"/>
      <c r="B683" s="148"/>
      <c r="C683" s="148"/>
      <c r="D683" s="148"/>
      <c r="E683" s="148"/>
      <c r="F683" s="148"/>
    </row>
    <row r="684" ht="15.75" customHeight="1">
      <c r="A684" s="148"/>
      <c r="B684" s="148"/>
      <c r="C684" s="148"/>
      <c r="D684" s="148"/>
      <c r="E684" s="148"/>
      <c r="F684" s="148"/>
    </row>
    <row r="685" ht="15.75" customHeight="1">
      <c r="A685" s="148"/>
      <c r="B685" s="148"/>
      <c r="C685" s="148"/>
      <c r="D685" s="148"/>
      <c r="E685" s="148"/>
      <c r="F685" s="148"/>
    </row>
    <row r="686" ht="15.75" customHeight="1">
      <c r="A686" s="148"/>
      <c r="B686" s="148"/>
      <c r="C686" s="148"/>
      <c r="D686" s="148"/>
      <c r="E686" s="148"/>
      <c r="F686" s="148"/>
    </row>
    <row r="687" ht="15.75" customHeight="1">
      <c r="A687" s="148"/>
      <c r="B687" s="148"/>
      <c r="C687" s="148"/>
      <c r="D687" s="148"/>
      <c r="E687" s="148"/>
      <c r="F687" s="148"/>
    </row>
    <row r="688" ht="15.75" customHeight="1">
      <c r="A688" s="148"/>
      <c r="B688" s="148"/>
      <c r="C688" s="148"/>
      <c r="D688" s="148"/>
      <c r="E688" s="148"/>
      <c r="F688" s="148"/>
    </row>
    <row r="689" ht="15.75" customHeight="1">
      <c r="A689" s="148"/>
      <c r="B689" s="148"/>
      <c r="C689" s="148"/>
      <c r="D689" s="148"/>
      <c r="E689" s="148"/>
      <c r="F689" s="148"/>
    </row>
    <row r="690" ht="15.75" customHeight="1">
      <c r="A690" s="148"/>
      <c r="B690" s="148"/>
      <c r="C690" s="148"/>
      <c r="D690" s="148"/>
      <c r="E690" s="148"/>
      <c r="F690" s="148"/>
    </row>
    <row r="691" ht="15.75" customHeight="1">
      <c r="A691" s="148"/>
      <c r="B691" s="148"/>
      <c r="C691" s="148"/>
      <c r="D691" s="148"/>
      <c r="E691" s="148"/>
      <c r="F691" s="148"/>
    </row>
    <row r="692" ht="15.75" customHeight="1">
      <c r="A692" s="148"/>
      <c r="B692" s="148"/>
      <c r="C692" s="148"/>
      <c r="D692" s="148"/>
      <c r="E692" s="148"/>
      <c r="F692" s="148"/>
    </row>
    <row r="693" ht="15.75" customHeight="1">
      <c r="A693" s="148"/>
      <c r="B693" s="148"/>
      <c r="C693" s="148"/>
      <c r="D693" s="148"/>
      <c r="E693" s="148"/>
      <c r="F693" s="148"/>
    </row>
    <row r="694" ht="15.75" customHeight="1">
      <c r="A694" s="148"/>
      <c r="B694" s="148"/>
      <c r="C694" s="148"/>
      <c r="D694" s="148"/>
      <c r="E694" s="148"/>
      <c r="F694" s="148"/>
    </row>
    <row r="695" ht="15.75" customHeight="1">
      <c r="A695" s="148"/>
      <c r="B695" s="148"/>
      <c r="C695" s="148"/>
      <c r="D695" s="148"/>
      <c r="E695" s="148"/>
      <c r="F695" s="148"/>
    </row>
    <row r="696" ht="15.75" customHeight="1">
      <c r="A696" s="148"/>
      <c r="B696" s="148"/>
      <c r="C696" s="148"/>
      <c r="D696" s="148"/>
      <c r="E696" s="148"/>
      <c r="F696" s="148"/>
    </row>
    <row r="697" ht="15.75" customHeight="1">
      <c r="A697" s="148"/>
      <c r="B697" s="148"/>
      <c r="C697" s="148"/>
      <c r="D697" s="148"/>
      <c r="E697" s="148"/>
      <c r="F697" s="148"/>
    </row>
    <row r="698" ht="15.75" customHeight="1">
      <c r="A698" s="148"/>
      <c r="B698" s="148"/>
      <c r="C698" s="148"/>
      <c r="D698" s="148"/>
      <c r="E698" s="148"/>
      <c r="F698" s="148"/>
    </row>
    <row r="699" ht="15.75" customHeight="1">
      <c r="A699" s="148"/>
      <c r="B699" s="148"/>
      <c r="C699" s="148"/>
      <c r="D699" s="148"/>
      <c r="E699" s="148"/>
      <c r="F699" s="148"/>
    </row>
    <row r="700" ht="15.75" customHeight="1">
      <c r="A700" s="148"/>
      <c r="B700" s="148"/>
      <c r="C700" s="148"/>
      <c r="D700" s="148"/>
      <c r="E700" s="148"/>
      <c r="F700" s="148"/>
    </row>
    <row r="701" ht="15.75" customHeight="1">
      <c r="A701" s="148"/>
      <c r="B701" s="148"/>
      <c r="C701" s="148"/>
      <c r="D701" s="148"/>
      <c r="E701" s="148"/>
      <c r="F701" s="148"/>
    </row>
    <row r="702" ht="15.75" customHeight="1">
      <c r="A702" s="148"/>
      <c r="B702" s="148"/>
      <c r="C702" s="148"/>
      <c r="D702" s="148"/>
      <c r="E702" s="148"/>
      <c r="F702" s="148"/>
    </row>
    <row r="703" ht="15.75" customHeight="1">
      <c r="A703" s="148"/>
      <c r="B703" s="148"/>
      <c r="C703" s="148"/>
      <c r="D703" s="148"/>
      <c r="E703" s="148"/>
      <c r="F703" s="148"/>
    </row>
    <row r="704" ht="15.75" customHeight="1">
      <c r="A704" s="148"/>
      <c r="B704" s="148"/>
      <c r="C704" s="148"/>
      <c r="D704" s="148"/>
      <c r="E704" s="148"/>
      <c r="F704" s="148"/>
    </row>
    <row r="705" ht="15.75" customHeight="1">
      <c r="A705" s="148"/>
      <c r="B705" s="148"/>
      <c r="C705" s="148"/>
      <c r="D705" s="148"/>
      <c r="E705" s="148"/>
      <c r="F705" s="148"/>
    </row>
    <row r="706" ht="15.75" customHeight="1">
      <c r="A706" s="148"/>
      <c r="B706" s="148"/>
      <c r="C706" s="148"/>
      <c r="D706" s="148"/>
      <c r="E706" s="148"/>
      <c r="F706" s="148"/>
    </row>
    <row r="707" ht="15.75" customHeight="1">
      <c r="A707" s="148"/>
      <c r="B707" s="148"/>
      <c r="C707" s="148"/>
      <c r="D707" s="148"/>
      <c r="E707" s="148"/>
      <c r="F707" s="148"/>
    </row>
    <row r="708" ht="15.75" customHeight="1">
      <c r="A708" s="148"/>
      <c r="B708" s="148"/>
      <c r="C708" s="148"/>
      <c r="D708" s="148"/>
      <c r="E708" s="148"/>
      <c r="F708" s="148"/>
    </row>
    <row r="709" ht="15.75" customHeight="1">
      <c r="A709" s="148"/>
      <c r="B709" s="148"/>
      <c r="C709" s="148"/>
      <c r="D709" s="148"/>
      <c r="E709" s="148"/>
      <c r="F709" s="148"/>
    </row>
    <row r="710" ht="15.75" customHeight="1">
      <c r="A710" s="148"/>
      <c r="B710" s="148"/>
      <c r="C710" s="148"/>
      <c r="D710" s="148"/>
      <c r="E710" s="148"/>
      <c r="F710" s="148"/>
    </row>
    <row r="711" ht="15.75" customHeight="1">
      <c r="A711" s="148"/>
      <c r="B711" s="148"/>
      <c r="C711" s="148"/>
      <c r="D711" s="148"/>
      <c r="E711" s="148"/>
      <c r="F711" s="148"/>
    </row>
    <row r="712" ht="15.75" customHeight="1">
      <c r="A712" s="148"/>
      <c r="B712" s="148"/>
      <c r="C712" s="148"/>
      <c r="D712" s="148"/>
      <c r="E712" s="148"/>
      <c r="F712" s="148"/>
    </row>
    <row r="713" ht="15.75" customHeight="1">
      <c r="A713" s="148"/>
      <c r="B713" s="148"/>
      <c r="C713" s="148"/>
      <c r="D713" s="148"/>
      <c r="E713" s="148"/>
      <c r="F713" s="148"/>
    </row>
    <row r="714" ht="15.75" customHeight="1">
      <c r="A714" s="148"/>
      <c r="B714" s="148"/>
      <c r="C714" s="148"/>
      <c r="D714" s="148"/>
      <c r="E714" s="148"/>
      <c r="F714" s="148"/>
    </row>
    <row r="715" ht="15.75" customHeight="1">
      <c r="A715" s="148"/>
      <c r="B715" s="148"/>
      <c r="C715" s="148"/>
      <c r="D715" s="148"/>
      <c r="E715" s="148"/>
      <c r="F715" s="148"/>
    </row>
    <row r="716" ht="15.75" customHeight="1">
      <c r="A716" s="148"/>
      <c r="B716" s="148"/>
      <c r="C716" s="148"/>
      <c r="D716" s="148"/>
      <c r="E716" s="148"/>
      <c r="F716" s="148"/>
    </row>
    <row r="717" ht="15.75" customHeight="1">
      <c r="A717" s="148"/>
      <c r="B717" s="148"/>
      <c r="C717" s="148"/>
      <c r="D717" s="148"/>
      <c r="E717" s="148"/>
      <c r="F717" s="148"/>
    </row>
    <row r="718" ht="15.75" customHeight="1">
      <c r="A718" s="148"/>
      <c r="B718" s="148"/>
      <c r="C718" s="148"/>
      <c r="D718" s="148"/>
      <c r="E718" s="148"/>
      <c r="F718" s="148"/>
    </row>
    <row r="719" ht="15.75" customHeight="1">
      <c r="A719" s="148"/>
      <c r="B719" s="148"/>
      <c r="C719" s="148"/>
      <c r="D719" s="148"/>
      <c r="E719" s="148"/>
      <c r="F719" s="148"/>
    </row>
    <row r="720" ht="15.75" customHeight="1">
      <c r="A720" s="148"/>
      <c r="B720" s="148"/>
      <c r="C720" s="148"/>
      <c r="D720" s="148"/>
      <c r="E720" s="148"/>
      <c r="F720" s="148"/>
    </row>
    <row r="721" ht="15.75" customHeight="1">
      <c r="A721" s="148"/>
      <c r="B721" s="148"/>
      <c r="C721" s="148"/>
      <c r="D721" s="148"/>
      <c r="E721" s="148"/>
      <c r="F721" s="148"/>
    </row>
    <row r="722" ht="15.75" customHeight="1">
      <c r="A722" s="148"/>
      <c r="B722" s="148"/>
      <c r="C722" s="148"/>
      <c r="D722" s="148"/>
      <c r="E722" s="148"/>
      <c r="F722" s="148"/>
    </row>
    <row r="723" ht="15.75" customHeight="1">
      <c r="A723" s="148"/>
      <c r="B723" s="148"/>
      <c r="C723" s="148"/>
      <c r="D723" s="148"/>
      <c r="E723" s="148"/>
      <c r="F723" s="148"/>
    </row>
    <row r="724" ht="15.75" customHeight="1">
      <c r="A724" s="148"/>
      <c r="B724" s="148"/>
      <c r="C724" s="148"/>
      <c r="D724" s="148"/>
      <c r="E724" s="148"/>
      <c r="F724" s="148"/>
    </row>
    <row r="725" ht="15.75" customHeight="1">
      <c r="A725" s="148"/>
      <c r="B725" s="148"/>
      <c r="C725" s="148"/>
      <c r="D725" s="148"/>
      <c r="E725" s="148"/>
      <c r="F725" s="148"/>
    </row>
    <row r="726" ht="15.75" customHeight="1">
      <c r="A726" s="148"/>
      <c r="B726" s="148"/>
      <c r="C726" s="148"/>
      <c r="D726" s="148"/>
      <c r="E726" s="148"/>
      <c r="F726" s="148"/>
    </row>
    <row r="727" ht="15.75" customHeight="1">
      <c r="A727" s="148"/>
      <c r="B727" s="148"/>
      <c r="C727" s="148"/>
      <c r="D727" s="148"/>
      <c r="E727" s="148"/>
      <c r="F727" s="148"/>
    </row>
    <row r="728" ht="15.75" customHeight="1">
      <c r="A728" s="148"/>
      <c r="B728" s="148"/>
      <c r="C728" s="148"/>
      <c r="D728" s="148"/>
      <c r="E728" s="148"/>
      <c r="F728" s="148"/>
    </row>
    <row r="729" ht="15.75" customHeight="1">
      <c r="A729" s="148"/>
      <c r="B729" s="148"/>
      <c r="C729" s="148"/>
      <c r="D729" s="148"/>
      <c r="E729" s="148"/>
      <c r="F729" s="148"/>
    </row>
    <row r="730" ht="15.75" customHeight="1">
      <c r="A730" s="148"/>
      <c r="B730" s="148"/>
      <c r="C730" s="148"/>
      <c r="D730" s="148"/>
      <c r="E730" s="148"/>
      <c r="F730" s="148"/>
    </row>
    <row r="731" ht="15.75" customHeight="1">
      <c r="A731" s="148"/>
      <c r="B731" s="148"/>
      <c r="C731" s="148"/>
      <c r="D731" s="148"/>
      <c r="E731" s="148"/>
      <c r="F731" s="148"/>
    </row>
    <row r="732" ht="15.75" customHeight="1">
      <c r="A732" s="148"/>
      <c r="B732" s="148"/>
      <c r="C732" s="148"/>
      <c r="D732" s="148"/>
      <c r="E732" s="148"/>
      <c r="F732" s="148"/>
    </row>
    <row r="733" ht="15.75" customHeight="1">
      <c r="A733" s="148"/>
      <c r="B733" s="148"/>
      <c r="C733" s="148"/>
      <c r="D733" s="148"/>
      <c r="E733" s="148"/>
      <c r="F733" s="148"/>
    </row>
    <row r="734" ht="15.75" customHeight="1">
      <c r="A734" s="148"/>
      <c r="B734" s="148"/>
      <c r="C734" s="148"/>
      <c r="D734" s="148"/>
      <c r="E734" s="148"/>
      <c r="F734" s="148"/>
    </row>
    <row r="735" ht="15.75" customHeight="1">
      <c r="A735" s="148"/>
      <c r="B735" s="148"/>
      <c r="C735" s="148"/>
      <c r="D735" s="148"/>
      <c r="E735" s="148"/>
      <c r="F735" s="148"/>
    </row>
    <row r="736" ht="15.75" customHeight="1">
      <c r="A736" s="148"/>
      <c r="B736" s="148"/>
      <c r="C736" s="148"/>
      <c r="D736" s="148"/>
      <c r="E736" s="148"/>
      <c r="F736" s="148"/>
    </row>
    <row r="737" ht="15.75" customHeight="1">
      <c r="A737" s="148"/>
      <c r="B737" s="148"/>
      <c r="C737" s="148"/>
      <c r="D737" s="148"/>
      <c r="E737" s="148"/>
      <c r="F737" s="148"/>
    </row>
    <row r="738" ht="15.75" customHeight="1">
      <c r="A738" s="148"/>
      <c r="B738" s="148"/>
      <c r="C738" s="148"/>
      <c r="D738" s="148"/>
      <c r="E738" s="148"/>
      <c r="F738" s="148"/>
    </row>
    <row r="739" ht="15.75" customHeight="1">
      <c r="A739" s="148"/>
      <c r="B739" s="148"/>
      <c r="C739" s="148"/>
      <c r="D739" s="148"/>
      <c r="E739" s="148"/>
      <c r="F739" s="148"/>
    </row>
    <row r="740" ht="15.75" customHeight="1">
      <c r="A740" s="148"/>
      <c r="B740" s="148"/>
      <c r="C740" s="148"/>
      <c r="D740" s="148"/>
      <c r="E740" s="148"/>
      <c r="F740" s="148"/>
    </row>
    <row r="741" ht="15.75" customHeight="1">
      <c r="A741" s="148"/>
      <c r="B741" s="148"/>
      <c r="C741" s="148"/>
      <c r="D741" s="148"/>
      <c r="E741" s="148"/>
      <c r="F741" s="148"/>
    </row>
    <row r="742" ht="15.75" customHeight="1">
      <c r="A742" s="148"/>
      <c r="B742" s="148"/>
      <c r="C742" s="148"/>
      <c r="D742" s="148"/>
      <c r="E742" s="148"/>
      <c r="F742" s="148"/>
    </row>
    <row r="743" ht="15.75" customHeight="1">
      <c r="A743" s="148"/>
      <c r="B743" s="148"/>
      <c r="C743" s="148"/>
      <c r="D743" s="148"/>
      <c r="E743" s="148"/>
      <c r="F743" s="148"/>
    </row>
    <row r="744" ht="15.75" customHeight="1">
      <c r="A744" s="148"/>
      <c r="B744" s="148"/>
      <c r="C744" s="148"/>
      <c r="D744" s="148"/>
      <c r="E744" s="148"/>
      <c r="F744" s="148"/>
    </row>
    <row r="745" ht="15.75" customHeight="1">
      <c r="A745" s="148"/>
      <c r="B745" s="148"/>
      <c r="C745" s="148"/>
      <c r="D745" s="148"/>
      <c r="E745" s="148"/>
      <c r="F745" s="148"/>
    </row>
    <row r="746" ht="15.75" customHeight="1">
      <c r="A746" s="148"/>
      <c r="B746" s="148"/>
      <c r="C746" s="148"/>
      <c r="D746" s="148"/>
      <c r="E746" s="148"/>
      <c r="F746" s="148"/>
    </row>
    <row r="747" ht="15.75" customHeight="1">
      <c r="A747" s="148"/>
      <c r="B747" s="148"/>
      <c r="C747" s="148"/>
      <c r="D747" s="148"/>
      <c r="E747" s="148"/>
      <c r="F747" s="148"/>
    </row>
    <row r="748" ht="15.75" customHeight="1">
      <c r="A748" s="148"/>
      <c r="B748" s="148"/>
      <c r="C748" s="148"/>
      <c r="D748" s="148"/>
      <c r="E748" s="148"/>
      <c r="F748" s="148"/>
    </row>
    <row r="749" ht="15.75" customHeight="1">
      <c r="A749" s="148"/>
      <c r="B749" s="148"/>
      <c r="C749" s="148"/>
      <c r="D749" s="148"/>
      <c r="E749" s="148"/>
      <c r="F749" s="148"/>
    </row>
    <row r="750" ht="15.75" customHeight="1">
      <c r="A750" s="148"/>
      <c r="B750" s="148"/>
      <c r="C750" s="148"/>
      <c r="D750" s="148"/>
      <c r="E750" s="148"/>
      <c r="F750" s="148"/>
    </row>
    <row r="751" ht="15.75" customHeight="1">
      <c r="A751" s="148"/>
      <c r="B751" s="148"/>
      <c r="C751" s="148"/>
      <c r="D751" s="148"/>
      <c r="E751" s="148"/>
      <c r="F751" s="148"/>
    </row>
    <row r="752" ht="15.75" customHeight="1">
      <c r="A752" s="148"/>
      <c r="B752" s="148"/>
      <c r="C752" s="148"/>
      <c r="D752" s="148"/>
      <c r="E752" s="148"/>
      <c r="F752" s="148"/>
    </row>
    <row r="753" ht="15.75" customHeight="1">
      <c r="A753" s="148"/>
      <c r="B753" s="148"/>
      <c r="C753" s="148"/>
      <c r="D753" s="148"/>
      <c r="E753" s="148"/>
      <c r="F753" s="148"/>
    </row>
    <row r="754" ht="15.75" customHeight="1">
      <c r="A754" s="148"/>
      <c r="B754" s="148"/>
      <c r="C754" s="148"/>
      <c r="D754" s="148"/>
      <c r="E754" s="148"/>
      <c r="F754" s="148"/>
    </row>
    <row r="755" ht="15.75" customHeight="1">
      <c r="A755" s="148"/>
      <c r="B755" s="148"/>
      <c r="C755" s="148"/>
      <c r="D755" s="148"/>
      <c r="E755" s="148"/>
      <c r="F755" s="148"/>
    </row>
    <row r="756" ht="15.75" customHeight="1">
      <c r="A756" s="148"/>
      <c r="B756" s="148"/>
      <c r="C756" s="148"/>
      <c r="D756" s="148"/>
      <c r="E756" s="148"/>
      <c r="F756" s="148"/>
    </row>
    <row r="757" ht="15.75" customHeight="1">
      <c r="A757" s="148"/>
      <c r="B757" s="148"/>
      <c r="C757" s="148"/>
      <c r="D757" s="148"/>
      <c r="E757" s="148"/>
      <c r="F757" s="148"/>
    </row>
    <row r="758" ht="15.75" customHeight="1">
      <c r="A758" s="148"/>
      <c r="B758" s="148"/>
      <c r="C758" s="148"/>
      <c r="D758" s="148"/>
      <c r="E758" s="148"/>
      <c r="F758" s="148"/>
    </row>
    <row r="759" ht="15.75" customHeight="1">
      <c r="A759" s="148"/>
      <c r="B759" s="148"/>
      <c r="C759" s="148"/>
      <c r="D759" s="148"/>
      <c r="E759" s="148"/>
      <c r="F759" s="148"/>
    </row>
    <row r="760" ht="15.75" customHeight="1">
      <c r="A760" s="148"/>
      <c r="B760" s="148"/>
      <c r="C760" s="148"/>
      <c r="D760" s="148"/>
      <c r="E760" s="148"/>
      <c r="F760" s="148"/>
    </row>
    <row r="761" ht="15.75" customHeight="1">
      <c r="A761" s="148"/>
      <c r="B761" s="148"/>
      <c r="C761" s="148"/>
      <c r="D761" s="148"/>
      <c r="E761" s="148"/>
      <c r="F761" s="148"/>
    </row>
    <row r="762" ht="15.75" customHeight="1">
      <c r="A762" s="148"/>
      <c r="B762" s="148"/>
      <c r="C762" s="148"/>
      <c r="D762" s="148"/>
      <c r="E762" s="148"/>
      <c r="F762" s="148"/>
    </row>
    <row r="763" ht="15.75" customHeight="1">
      <c r="A763" s="148"/>
      <c r="B763" s="148"/>
      <c r="C763" s="148"/>
      <c r="D763" s="148"/>
      <c r="E763" s="148"/>
      <c r="F763" s="148"/>
    </row>
    <row r="764" ht="15.75" customHeight="1">
      <c r="A764" s="148"/>
      <c r="B764" s="148"/>
      <c r="C764" s="148"/>
      <c r="D764" s="148"/>
      <c r="E764" s="148"/>
      <c r="F764" s="148"/>
    </row>
    <row r="765" ht="15.75" customHeight="1">
      <c r="A765" s="148"/>
      <c r="B765" s="148"/>
      <c r="C765" s="148"/>
      <c r="D765" s="148"/>
      <c r="E765" s="148"/>
      <c r="F765" s="148"/>
    </row>
    <row r="766" ht="15.75" customHeight="1">
      <c r="A766" s="148"/>
      <c r="B766" s="148"/>
      <c r="C766" s="148"/>
      <c r="D766" s="148"/>
      <c r="E766" s="148"/>
      <c r="F766" s="148"/>
    </row>
    <row r="767" ht="15.75" customHeight="1">
      <c r="A767" s="148"/>
      <c r="B767" s="148"/>
      <c r="C767" s="148"/>
      <c r="D767" s="148"/>
      <c r="E767" s="148"/>
      <c r="F767" s="148"/>
    </row>
    <row r="768" ht="15.75" customHeight="1">
      <c r="A768" s="148"/>
      <c r="B768" s="148"/>
      <c r="C768" s="148"/>
      <c r="D768" s="148"/>
      <c r="E768" s="148"/>
      <c r="F768" s="148"/>
    </row>
    <row r="769" ht="15.75" customHeight="1">
      <c r="A769" s="148"/>
      <c r="B769" s="148"/>
      <c r="C769" s="148"/>
      <c r="D769" s="148"/>
      <c r="E769" s="148"/>
      <c r="F769" s="148"/>
    </row>
    <row r="770" ht="15.75" customHeight="1">
      <c r="A770" s="148"/>
      <c r="B770" s="148"/>
      <c r="C770" s="148"/>
      <c r="D770" s="148"/>
      <c r="E770" s="148"/>
      <c r="F770" s="148"/>
    </row>
    <row r="771" ht="15.75" customHeight="1">
      <c r="A771" s="148"/>
      <c r="B771" s="148"/>
      <c r="C771" s="148"/>
      <c r="D771" s="148"/>
      <c r="E771" s="148"/>
      <c r="F771" s="148"/>
    </row>
    <row r="772" ht="15.75" customHeight="1">
      <c r="A772" s="148"/>
      <c r="B772" s="148"/>
      <c r="C772" s="148"/>
      <c r="D772" s="148"/>
      <c r="E772" s="148"/>
      <c r="F772" s="148"/>
    </row>
    <row r="773" ht="15.75" customHeight="1">
      <c r="A773" s="148"/>
      <c r="B773" s="148"/>
      <c r="C773" s="148"/>
      <c r="D773" s="148"/>
      <c r="E773" s="148"/>
      <c r="F773" s="148"/>
    </row>
    <row r="774" ht="15.75" customHeight="1">
      <c r="A774" s="148"/>
      <c r="B774" s="148"/>
      <c r="C774" s="148"/>
      <c r="D774" s="148"/>
      <c r="E774" s="148"/>
      <c r="F774" s="148"/>
    </row>
    <row r="775" ht="15.75" customHeight="1">
      <c r="A775" s="148"/>
      <c r="B775" s="148"/>
      <c r="C775" s="148"/>
      <c r="D775" s="148"/>
      <c r="E775" s="148"/>
      <c r="F775" s="148"/>
    </row>
    <row r="776" ht="15.75" customHeight="1">
      <c r="A776" s="148"/>
      <c r="B776" s="148"/>
      <c r="C776" s="148"/>
      <c r="D776" s="148"/>
      <c r="E776" s="148"/>
      <c r="F776" s="148"/>
    </row>
    <row r="777" ht="15.75" customHeight="1">
      <c r="A777" s="148"/>
      <c r="B777" s="148"/>
      <c r="C777" s="148"/>
      <c r="D777" s="148"/>
      <c r="E777" s="148"/>
      <c r="F777" s="148"/>
    </row>
    <row r="778" ht="15.75" customHeight="1">
      <c r="A778" s="148"/>
      <c r="B778" s="148"/>
      <c r="C778" s="148"/>
      <c r="D778" s="148"/>
      <c r="E778" s="148"/>
      <c r="F778" s="148"/>
    </row>
    <row r="779" ht="15.75" customHeight="1">
      <c r="A779" s="148"/>
      <c r="B779" s="148"/>
      <c r="C779" s="148"/>
      <c r="D779" s="148"/>
      <c r="E779" s="148"/>
      <c r="F779" s="148"/>
    </row>
    <row r="780" ht="15.75" customHeight="1">
      <c r="A780" s="148"/>
      <c r="B780" s="148"/>
      <c r="C780" s="148"/>
      <c r="D780" s="148"/>
      <c r="E780" s="148"/>
      <c r="F780" s="148"/>
    </row>
    <row r="781" ht="15.75" customHeight="1">
      <c r="A781" s="148"/>
      <c r="B781" s="148"/>
      <c r="C781" s="148"/>
      <c r="D781" s="148"/>
      <c r="E781" s="148"/>
      <c r="F781" s="148"/>
    </row>
    <row r="782" ht="15.75" customHeight="1">
      <c r="A782" s="148"/>
      <c r="B782" s="148"/>
      <c r="C782" s="148"/>
      <c r="D782" s="148"/>
      <c r="E782" s="148"/>
      <c r="F782" s="148"/>
    </row>
    <row r="783" ht="15.75" customHeight="1">
      <c r="A783" s="148"/>
      <c r="B783" s="148"/>
      <c r="C783" s="148"/>
      <c r="D783" s="148"/>
      <c r="E783" s="148"/>
      <c r="F783" s="148"/>
    </row>
    <row r="784" ht="15.75" customHeight="1">
      <c r="A784" s="148"/>
      <c r="B784" s="148"/>
      <c r="C784" s="148"/>
      <c r="D784" s="148"/>
      <c r="E784" s="148"/>
      <c r="F784" s="148"/>
    </row>
    <row r="785" ht="15.75" customHeight="1">
      <c r="A785" s="148"/>
      <c r="B785" s="148"/>
      <c r="C785" s="148"/>
      <c r="D785" s="148"/>
      <c r="E785" s="148"/>
      <c r="F785" s="148"/>
    </row>
    <row r="786" ht="15.75" customHeight="1">
      <c r="A786" s="148"/>
      <c r="B786" s="148"/>
      <c r="C786" s="148"/>
      <c r="D786" s="148"/>
      <c r="E786" s="148"/>
      <c r="F786" s="148"/>
    </row>
    <row r="787" ht="15.75" customHeight="1">
      <c r="A787" s="148"/>
      <c r="B787" s="148"/>
      <c r="C787" s="148"/>
      <c r="D787" s="148"/>
      <c r="E787" s="148"/>
      <c r="F787" s="148"/>
    </row>
    <row r="788" ht="15.75" customHeight="1">
      <c r="A788" s="148"/>
      <c r="B788" s="148"/>
      <c r="C788" s="148"/>
      <c r="D788" s="148"/>
      <c r="E788" s="148"/>
      <c r="F788" s="148"/>
    </row>
    <row r="789" ht="15.75" customHeight="1">
      <c r="A789" s="148"/>
      <c r="B789" s="148"/>
      <c r="C789" s="148"/>
      <c r="D789" s="148"/>
      <c r="E789" s="148"/>
      <c r="F789" s="148"/>
    </row>
    <row r="790" ht="15.75" customHeight="1">
      <c r="A790" s="148"/>
      <c r="B790" s="148"/>
      <c r="C790" s="148"/>
      <c r="D790" s="148"/>
      <c r="E790" s="148"/>
      <c r="F790" s="148"/>
    </row>
    <row r="791" ht="15.75" customHeight="1">
      <c r="A791" s="148"/>
      <c r="B791" s="148"/>
      <c r="C791" s="148"/>
      <c r="D791" s="148"/>
      <c r="E791" s="148"/>
      <c r="F791" s="148"/>
    </row>
    <row r="792" ht="15.75" customHeight="1">
      <c r="A792" s="148"/>
      <c r="B792" s="148"/>
      <c r="C792" s="148"/>
      <c r="D792" s="148"/>
      <c r="E792" s="148"/>
      <c r="F792" s="148"/>
    </row>
    <row r="793" ht="15.75" customHeight="1">
      <c r="A793" s="148"/>
      <c r="B793" s="148"/>
      <c r="C793" s="148"/>
      <c r="D793" s="148"/>
      <c r="E793" s="148"/>
      <c r="F793" s="148"/>
    </row>
    <row r="794" ht="15.75" customHeight="1">
      <c r="A794" s="148"/>
      <c r="B794" s="148"/>
      <c r="C794" s="148"/>
      <c r="D794" s="148"/>
      <c r="E794" s="148"/>
      <c r="F794" s="148"/>
    </row>
    <row r="795" ht="15.75" customHeight="1">
      <c r="A795" s="148"/>
      <c r="B795" s="148"/>
      <c r="C795" s="148"/>
      <c r="D795" s="148"/>
      <c r="E795" s="148"/>
      <c r="F795" s="148"/>
    </row>
    <row r="796" ht="15.75" customHeight="1">
      <c r="A796" s="148"/>
      <c r="B796" s="148"/>
      <c r="C796" s="148"/>
      <c r="D796" s="148"/>
      <c r="E796" s="148"/>
      <c r="F796" s="148"/>
    </row>
    <row r="797" ht="15.75" customHeight="1">
      <c r="A797" s="148"/>
      <c r="B797" s="148"/>
      <c r="C797" s="148"/>
      <c r="D797" s="148"/>
      <c r="E797" s="148"/>
      <c r="F797" s="148"/>
    </row>
    <row r="798" ht="15.75" customHeight="1">
      <c r="A798" s="148"/>
      <c r="B798" s="148"/>
      <c r="C798" s="148"/>
      <c r="D798" s="148"/>
      <c r="E798" s="148"/>
      <c r="F798" s="148"/>
    </row>
    <row r="799" ht="15.75" customHeight="1">
      <c r="A799" s="148"/>
      <c r="B799" s="148"/>
      <c r="C799" s="148"/>
      <c r="D799" s="148"/>
      <c r="E799" s="148"/>
      <c r="F799" s="148"/>
    </row>
    <row r="800" ht="15.75" customHeight="1">
      <c r="A800" s="148"/>
      <c r="B800" s="148"/>
      <c r="C800" s="148"/>
      <c r="D800" s="148"/>
      <c r="E800" s="148"/>
      <c r="F800" s="148"/>
    </row>
    <row r="801" ht="15.75" customHeight="1">
      <c r="A801" s="148"/>
      <c r="B801" s="148"/>
      <c r="C801" s="148"/>
      <c r="D801" s="148"/>
      <c r="E801" s="148"/>
      <c r="F801" s="148"/>
    </row>
    <row r="802" ht="15.75" customHeight="1">
      <c r="A802" s="148"/>
      <c r="B802" s="148"/>
      <c r="C802" s="148"/>
      <c r="D802" s="148"/>
      <c r="E802" s="148"/>
      <c r="F802" s="148"/>
    </row>
    <row r="803" ht="15.75" customHeight="1">
      <c r="A803" s="148"/>
      <c r="B803" s="148"/>
      <c r="C803" s="148"/>
      <c r="D803" s="148"/>
      <c r="E803" s="148"/>
      <c r="F803" s="148"/>
    </row>
    <row r="804" ht="15.75" customHeight="1">
      <c r="A804" s="148"/>
      <c r="B804" s="148"/>
      <c r="C804" s="148"/>
      <c r="D804" s="148"/>
      <c r="E804" s="148"/>
      <c r="F804" s="148"/>
    </row>
    <row r="805" ht="15.75" customHeight="1">
      <c r="A805" s="148"/>
      <c r="B805" s="148"/>
      <c r="C805" s="148"/>
      <c r="D805" s="148"/>
      <c r="E805" s="148"/>
      <c r="F805" s="148"/>
    </row>
    <row r="806" ht="15.75" customHeight="1">
      <c r="A806" s="148"/>
      <c r="B806" s="148"/>
      <c r="C806" s="148"/>
      <c r="D806" s="148"/>
      <c r="E806" s="148"/>
      <c r="F806" s="148"/>
    </row>
    <row r="807" ht="15.75" customHeight="1">
      <c r="A807" s="148"/>
      <c r="B807" s="148"/>
      <c r="C807" s="148"/>
      <c r="D807" s="148"/>
      <c r="E807" s="148"/>
      <c r="F807" s="148"/>
    </row>
    <row r="808" ht="15.75" customHeight="1">
      <c r="A808" s="148"/>
      <c r="B808" s="148"/>
      <c r="C808" s="148"/>
      <c r="D808" s="148"/>
      <c r="E808" s="148"/>
      <c r="F808" s="148"/>
    </row>
    <row r="809" ht="15.75" customHeight="1">
      <c r="A809" s="148"/>
      <c r="B809" s="148"/>
      <c r="C809" s="148"/>
      <c r="D809" s="148"/>
      <c r="E809" s="148"/>
      <c r="F809" s="148"/>
    </row>
    <row r="810" ht="15.75" customHeight="1">
      <c r="A810" s="148"/>
      <c r="B810" s="148"/>
      <c r="C810" s="148"/>
      <c r="D810" s="148"/>
      <c r="E810" s="148"/>
      <c r="F810" s="148"/>
    </row>
    <row r="811" ht="15.75" customHeight="1">
      <c r="A811" s="148"/>
      <c r="B811" s="148"/>
      <c r="C811" s="148"/>
      <c r="D811" s="148"/>
      <c r="E811" s="148"/>
      <c r="F811" s="148"/>
    </row>
    <row r="812" ht="15.75" customHeight="1">
      <c r="A812" s="148"/>
      <c r="B812" s="148"/>
      <c r="C812" s="148"/>
      <c r="D812" s="148"/>
      <c r="E812" s="148"/>
      <c r="F812" s="148"/>
    </row>
    <row r="813" ht="15.75" customHeight="1">
      <c r="A813" s="148"/>
      <c r="B813" s="148"/>
      <c r="C813" s="148"/>
      <c r="D813" s="148"/>
      <c r="E813" s="148"/>
      <c r="F813" s="148"/>
    </row>
    <row r="814" ht="15.75" customHeight="1">
      <c r="A814" s="148"/>
      <c r="B814" s="148"/>
      <c r="C814" s="148"/>
      <c r="D814" s="148"/>
      <c r="E814" s="148"/>
      <c r="F814" s="148"/>
    </row>
    <row r="815" ht="15.75" customHeight="1">
      <c r="A815" s="148"/>
      <c r="B815" s="148"/>
      <c r="C815" s="148"/>
      <c r="D815" s="148"/>
      <c r="E815" s="148"/>
      <c r="F815" s="148"/>
    </row>
    <row r="816" ht="15.75" customHeight="1">
      <c r="A816" s="148"/>
      <c r="B816" s="148"/>
      <c r="C816" s="148"/>
      <c r="D816" s="148"/>
      <c r="E816" s="148"/>
      <c r="F816" s="148"/>
    </row>
    <row r="817" ht="15.75" customHeight="1">
      <c r="A817" s="148"/>
      <c r="B817" s="148"/>
      <c r="C817" s="148"/>
      <c r="D817" s="148"/>
      <c r="E817" s="148"/>
      <c r="F817" s="148"/>
    </row>
    <row r="818" ht="15.75" customHeight="1">
      <c r="A818" s="148"/>
      <c r="B818" s="148"/>
      <c r="C818" s="148"/>
      <c r="D818" s="148"/>
      <c r="E818" s="148"/>
      <c r="F818" s="148"/>
    </row>
    <row r="819" ht="15.75" customHeight="1">
      <c r="A819" s="148"/>
      <c r="B819" s="148"/>
      <c r="C819" s="148"/>
      <c r="D819" s="148"/>
      <c r="E819" s="148"/>
      <c r="F819" s="148"/>
    </row>
    <row r="820" ht="15.75" customHeight="1">
      <c r="A820" s="148"/>
      <c r="B820" s="148"/>
      <c r="C820" s="148"/>
      <c r="D820" s="148"/>
      <c r="E820" s="148"/>
      <c r="F820" s="148"/>
    </row>
    <row r="821" ht="15.75" customHeight="1">
      <c r="A821" s="148"/>
      <c r="B821" s="148"/>
      <c r="C821" s="148"/>
      <c r="D821" s="148"/>
      <c r="E821" s="148"/>
      <c r="F821" s="148"/>
    </row>
    <row r="822" ht="15.75" customHeight="1">
      <c r="A822" s="148"/>
      <c r="B822" s="148"/>
      <c r="C822" s="148"/>
      <c r="D822" s="148"/>
      <c r="E822" s="148"/>
      <c r="F822" s="148"/>
    </row>
    <row r="823" ht="15.75" customHeight="1">
      <c r="A823" s="148"/>
      <c r="B823" s="148"/>
      <c r="C823" s="148"/>
      <c r="D823" s="148"/>
      <c r="E823" s="148"/>
      <c r="F823" s="148"/>
    </row>
    <row r="824" ht="15.75" customHeight="1">
      <c r="A824" s="148"/>
      <c r="B824" s="148"/>
      <c r="C824" s="148"/>
      <c r="D824" s="148"/>
      <c r="E824" s="148"/>
      <c r="F824" s="148"/>
    </row>
    <row r="825" ht="15.75" customHeight="1">
      <c r="A825" s="148"/>
      <c r="B825" s="148"/>
      <c r="C825" s="148"/>
      <c r="D825" s="148"/>
      <c r="E825" s="148"/>
      <c r="F825" s="148"/>
    </row>
    <row r="826" ht="15.75" customHeight="1">
      <c r="A826" s="148"/>
      <c r="B826" s="148"/>
      <c r="C826" s="148"/>
      <c r="D826" s="148"/>
      <c r="E826" s="148"/>
      <c r="F826" s="148"/>
    </row>
    <row r="827" ht="15.75" customHeight="1">
      <c r="A827" s="148"/>
      <c r="B827" s="148"/>
      <c r="C827" s="148"/>
      <c r="D827" s="148"/>
      <c r="E827" s="148"/>
      <c r="F827" s="148"/>
    </row>
    <row r="828" ht="15.75" customHeight="1">
      <c r="A828" s="148"/>
      <c r="B828" s="148"/>
      <c r="C828" s="148"/>
      <c r="D828" s="148"/>
      <c r="E828" s="148"/>
      <c r="F828" s="148"/>
    </row>
    <row r="829" ht="15.75" customHeight="1">
      <c r="A829" s="148"/>
      <c r="B829" s="148"/>
      <c r="C829" s="148"/>
      <c r="D829" s="148"/>
      <c r="E829" s="148"/>
      <c r="F829" s="148"/>
    </row>
    <row r="830" ht="15.75" customHeight="1">
      <c r="A830" s="148"/>
      <c r="B830" s="148"/>
      <c r="C830" s="148"/>
      <c r="D830" s="148"/>
      <c r="E830" s="148"/>
      <c r="F830" s="148"/>
    </row>
    <row r="831" ht="15.75" customHeight="1">
      <c r="A831" s="148"/>
      <c r="B831" s="148"/>
      <c r="C831" s="148"/>
      <c r="D831" s="148"/>
      <c r="E831" s="148"/>
      <c r="F831" s="148"/>
    </row>
    <row r="832" ht="15.75" customHeight="1">
      <c r="A832" s="148"/>
      <c r="B832" s="148"/>
      <c r="C832" s="148"/>
      <c r="D832" s="148"/>
      <c r="E832" s="148"/>
      <c r="F832" s="148"/>
    </row>
    <row r="833" ht="15.75" customHeight="1">
      <c r="A833" s="148"/>
      <c r="B833" s="148"/>
      <c r="C833" s="148"/>
      <c r="D833" s="148"/>
      <c r="E833" s="148"/>
      <c r="F833" s="148"/>
    </row>
    <row r="834" ht="15.75" customHeight="1">
      <c r="A834" s="148"/>
      <c r="B834" s="148"/>
      <c r="C834" s="148"/>
      <c r="D834" s="148"/>
      <c r="E834" s="148"/>
      <c r="F834" s="148"/>
    </row>
    <row r="835" ht="15.75" customHeight="1">
      <c r="A835" s="148"/>
      <c r="B835" s="148"/>
      <c r="C835" s="148"/>
      <c r="D835" s="148"/>
      <c r="E835" s="148"/>
      <c r="F835" s="148"/>
    </row>
    <row r="836" ht="15.75" customHeight="1">
      <c r="A836" s="148"/>
      <c r="B836" s="148"/>
      <c r="C836" s="148"/>
      <c r="D836" s="148"/>
      <c r="E836" s="148"/>
      <c r="F836" s="148"/>
    </row>
    <row r="837" ht="15.75" customHeight="1">
      <c r="A837" s="148"/>
      <c r="B837" s="148"/>
      <c r="C837" s="148"/>
      <c r="D837" s="148"/>
      <c r="E837" s="148"/>
      <c r="F837" s="148"/>
    </row>
    <row r="838" ht="15.75" customHeight="1">
      <c r="A838" s="148"/>
      <c r="B838" s="148"/>
      <c r="C838" s="148"/>
      <c r="D838" s="148"/>
      <c r="E838" s="148"/>
      <c r="F838" s="148"/>
    </row>
    <row r="839" ht="15.75" customHeight="1">
      <c r="A839" s="148"/>
      <c r="B839" s="148"/>
      <c r="C839" s="148"/>
      <c r="D839" s="148"/>
      <c r="E839" s="148"/>
      <c r="F839" s="148"/>
    </row>
    <row r="840" ht="15.75" customHeight="1">
      <c r="A840" s="148"/>
      <c r="B840" s="148"/>
      <c r="C840" s="148"/>
      <c r="D840" s="148"/>
      <c r="E840" s="148"/>
      <c r="F840" s="148"/>
    </row>
    <row r="841" ht="15.75" customHeight="1">
      <c r="A841" s="148"/>
      <c r="B841" s="148"/>
      <c r="C841" s="148"/>
      <c r="D841" s="148"/>
      <c r="E841" s="148"/>
      <c r="F841" s="148"/>
    </row>
    <row r="842" ht="15.75" customHeight="1">
      <c r="A842" s="148"/>
      <c r="B842" s="148"/>
      <c r="C842" s="148"/>
      <c r="D842" s="148"/>
      <c r="E842" s="148"/>
      <c r="F842" s="148"/>
    </row>
    <row r="843" ht="15.75" customHeight="1">
      <c r="A843" s="148"/>
      <c r="B843" s="148"/>
      <c r="C843" s="148"/>
      <c r="D843" s="148"/>
      <c r="E843" s="148"/>
      <c r="F843" s="148"/>
    </row>
    <row r="844" ht="15.75" customHeight="1">
      <c r="A844" s="148"/>
      <c r="B844" s="148"/>
      <c r="C844" s="148"/>
      <c r="D844" s="148"/>
      <c r="E844" s="148"/>
      <c r="F844" s="148"/>
    </row>
    <row r="845" ht="15.75" customHeight="1">
      <c r="A845" s="148"/>
      <c r="B845" s="148"/>
      <c r="C845" s="148"/>
      <c r="D845" s="148"/>
      <c r="E845" s="148"/>
      <c r="F845" s="148"/>
    </row>
    <row r="846" ht="15.75" customHeight="1">
      <c r="A846" s="148"/>
      <c r="B846" s="148"/>
      <c r="C846" s="148"/>
      <c r="D846" s="148"/>
      <c r="E846" s="148"/>
      <c r="F846" s="148"/>
    </row>
    <row r="847" ht="15.75" customHeight="1">
      <c r="A847" s="148"/>
      <c r="B847" s="148"/>
      <c r="C847" s="148"/>
      <c r="D847" s="148"/>
      <c r="E847" s="148"/>
      <c r="F847" s="148"/>
    </row>
    <row r="848" ht="15.75" customHeight="1">
      <c r="A848" s="148"/>
      <c r="B848" s="148"/>
      <c r="C848" s="148"/>
      <c r="D848" s="148"/>
      <c r="E848" s="148"/>
      <c r="F848" s="148"/>
    </row>
    <row r="849" ht="15.75" customHeight="1">
      <c r="A849" s="148"/>
      <c r="B849" s="148"/>
      <c r="C849" s="148"/>
      <c r="D849" s="148"/>
      <c r="E849" s="148"/>
      <c r="F849" s="148"/>
    </row>
    <row r="850" ht="15.75" customHeight="1">
      <c r="A850" s="148"/>
      <c r="B850" s="148"/>
      <c r="C850" s="148"/>
      <c r="D850" s="148"/>
      <c r="E850" s="148"/>
      <c r="F850" s="148"/>
    </row>
    <row r="851" ht="15.75" customHeight="1">
      <c r="A851" s="148"/>
      <c r="B851" s="148"/>
      <c r="C851" s="148"/>
      <c r="D851" s="148"/>
      <c r="E851" s="148"/>
      <c r="F851" s="148"/>
    </row>
    <row r="852" ht="15.75" customHeight="1">
      <c r="A852" s="148"/>
      <c r="B852" s="148"/>
      <c r="C852" s="148"/>
      <c r="D852" s="148"/>
      <c r="E852" s="148"/>
      <c r="F852" s="148"/>
    </row>
    <row r="853" ht="15.75" customHeight="1">
      <c r="A853" s="148"/>
      <c r="B853" s="148"/>
      <c r="C853" s="148"/>
      <c r="D853" s="148"/>
      <c r="E853" s="148"/>
      <c r="F853" s="148"/>
    </row>
    <row r="854" ht="15.75" customHeight="1">
      <c r="A854" s="148"/>
      <c r="B854" s="148"/>
      <c r="C854" s="148"/>
      <c r="D854" s="148"/>
      <c r="E854" s="148"/>
      <c r="F854" s="148"/>
    </row>
    <row r="855" ht="15.75" customHeight="1">
      <c r="A855" s="148"/>
      <c r="B855" s="148"/>
      <c r="C855" s="148"/>
      <c r="D855" s="148"/>
      <c r="E855" s="148"/>
      <c r="F855" s="148"/>
    </row>
    <row r="856" ht="15.75" customHeight="1">
      <c r="A856" s="148"/>
      <c r="B856" s="148"/>
      <c r="C856" s="148"/>
      <c r="D856" s="148"/>
      <c r="E856" s="148"/>
      <c r="F856" s="148"/>
    </row>
    <row r="857" ht="15.75" customHeight="1">
      <c r="A857" s="148"/>
      <c r="B857" s="148"/>
      <c r="C857" s="148"/>
      <c r="D857" s="148"/>
      <c r="E857" s="148"/>
      <c r="F857" s="148"/>
    </row>
    <row r="858" ht="15.75" customHeight="1">
      <c r="A858" s="148"/>
      <c r="B858" s="148"/>
      <c r="C858" s="148"/>
      <c r="D858" s="148"/>
      <c r="E858" s="148"/>
      <c r="F858" s="148"/>
    </row>
    <row r="859" ht="15.75" customHeight="1">
      <c r="A859" s="148"/>
      <c r="B859" s="148"/>
      <c r="C859" s="148"/>
      <c r="D859" s="148"/>
      <c r="E859" s="148"/>
      <c r="F859" s="148"/>
    </row>
    <row r="860" ht="15.75" customHeight="1">
      <c r="A860" s="148"/>
      <c r="B860" s="148"/>
      <c r="C860" s="148"/>
      <c r="D860" s="148"/>
      <c r="E860" s="148"/>
      <c r="F860" s="148"/>
    </row>
    <row r="861" ht="15.75" customHeight="1">
      <c r="A861" s="148"/>
      <c r="B861" s="148"/>
      <c r="C861" s="148"/>
      <c r="D861" s="148"/>
      <c r="E861" s="148"/>
      <c r="F861" s="148"/>
    </row>
    <row r="862" ht="15.75" customHeight="1">
      <c r="A862" s="148"/>
      <c r="B862" s="148"/>
      <c r="C862" s="148"/>
      <c r="D862" s="148"/>
      <c r="E862" s="148"/>
      <c r="F862" s="148"/>
    </row>
    <row r="863" ht="15.75" customHeight="1">
      <c r="A863" s="148"/>
      <c r="B863" s="148"/>
      <c r="C863" s="148"/>
      <c r="D863" s="148"/>
      <c r="E863" s="148"/>
      <c r="F863" s="148"/>
    </row>
    <row r="864" ht="15.75" customHeight="1">
      <c r="A864" s="148"/>
      <c r="B864" s="148"/>
      <c r="C864" s="148"/>
      <c r="D864" s="148"/>
      <c r="E864" s="148"/>
      <c r="F864" s="148"/>
    </row>
    <row r="865" ht="15.75" customHeight="1">
      <c r="A865" s="148"/>
      <c r="B865" s="148"/>
      <c r="C865" s="148"/>
      <c r="D865" s="148"/>
      <c r="E865" s="148"/>
      <c r="F865" s="148"/>
    </row>
    <row r="866" ht="15.75" customHeight="1">
      <c r="A866" s="148"/>
      <c r="B866" s="148"/>
      <c r="C866" s="148"/>
      <c r="D866" s="148"/>
      <c r="E866" s="148"/>
      <c r="F866" s="148"/>
    </row>
    <row r="867" ht="15.75" customHeight="1">
      <c r="A867" s="148"/>
      <c r="B867" s="148"/>
      <c r="C867" s="148"/>
      <c r="D867" s="148"/>
      <c r="E867" s="148"/>
      <c r="F867" s="148"/>
    </row>
    <row r="868" ht="15.75" customHeight="1">
      <c r="A868" s="148"/>
      <c r="B868" s="148"/>
      <c r="C868" s="148"/>
      <c r="D868" s="148"/>
      <c r="E868" s="148"/>
      <c r="F868" s="148"/>
    </row>
    <row r="869" ht="15.75" customHeight="1">
      <c r="A869" s="148"/>
      <c r="B869" s="148"/>
      <c r="C869" s="148"/>
      <c r="D869" s="148"/>
      <c r="E869" s="148"/>
      <c r="F869" s="148"/>
    </row>
    <row r="870" ht="15.75" customHeight="1">
      <c r="A870" s="148"/>
      <c r="B870" s="148"/>
      <c r="C870" s="148"/>
      <c r="D870" s="148"/>
      <c r="E870" s="148"/>
      <c r="F870" s="148"/>
    </row>
    <row r="871" ht="15.75" customHeight="1">
      <c r="A871" s="148"/>
      <c r="B871" s="148"/>
      <c r="C871" s="148"/>
      <c r="D871" s="148"/>
      <c r="E871" s="148"/>
      <c r="F871" s="148"/>
    </row>
    <row r="872" ht="15.75" customHeight="1">
      <c r="A872" s="148"/>
      <c r="B872" s="148"/>
      <c r="C872" s="148"/>
      <c r="D872" s="148"/>
      <c r="E872" s="148"/>
      <c r="F872" s="148"/>
    </row>
    <row r="873" ht="15.75" customHeight="1">
      <c r="A873" s="148"/>
      <c r="B873" s="148"/>
      <c r="C873" s="148"/>
      <c r="D873" s="148"/>
      <c r="E873" s="148"/>
      <c r="F873" s="148"/>
    </row>
    <row r="874" ht="15.75" customHeight="1">
      <c r="A874" s="148"/>
      <c r="B874" s="148"/>
      <c r="C874" s="148"/>
      <c r="D874" s="148"/>
      <c r="E874" s="148"/>
      <c r="F874" s="148"/>
    </row>
    <row r="875" ht="15.75" customHeight="1">
      <c r="A875" s="148"/>
      <c r="B875" s="148"/>
      <c r="C875" s="148"/>
      <c r="D875" s="148"/>
      <c r="E875" s="148"/>
      <c r="F875" s="148"/>
    </row>
    <row r="876" ht="15.75" customHeight="1">
      <c r="A876" s="148"/>
      <c r="B876" s="148"/>
      <c r="C876" s="148"/>
      <c r="D876" s="148"/>
      <c r="E876" s="148"/>
      <c r="F876" s="148"/>
    </row>
    <row r="877" ht="15.75" customHeight="1">
      <c r="A877" s="148"/>
      <c r="B877" s="148"/>
      <c r="C877" s="148"/>
      <c r="D877" s="148"/>
      <c r="E877" s="148"/>
      <c r="F877" s="148"/>
    </row>
    <row r="878" ht="15.75" customHeight="1">
      <c r="A878" s="148"/>
      <c r="B878" s="148"/>
      <c r="C878" s="148"/>
      <c r="D878" s="148"/>
      <c r="E878" s="148"/>
      <c r="F878" s="148"/>
    </row>
    <row r="879" ht="15.75" customHeight="1">
      <c r="A879" s="148"/>
      <c r="B879" s="148"/>
      <c r="C879" s="148"/>
      <c r="D879" s="148"/>
      <c r="E879" s="148"/>
      <c r="F879" s="148"/>
    </row>
    <row r="880" ht="15.75" customHeight="1">
      <c r="A880" s="148"/>
      <c r="B880" s="148"/>
      <c r="C880" s="148"/>
      <c r="D880" s="148"/>
      <c r="E880" s="148"/>
      <c r="F880" s="148"/>
    </row>
    <row r="881" ht="15.75" customHeight="1">
      <c r="A881" s="148"/>
      <c r="B881" s="148"/>
      <c r="C881" s="148"/>
      <c r="D881" s="148"/>
      <c r="E881" s="148"/>
      <c r="F881" s="148"/>
    </row>
    <row r="882" ht="15.75" customHeight="1">
      <c r="A882" s="148"/>
      <c r="B882" s="148"/>
      <c r="C882" s="148"/>
      <c r="D882" s="148"/>
      <c r="E882" s="148"/>
      <c r="F882" s="148"/>
    </row>
    <row r="883" ht="15.75" customHeight="1">
      <c r="A883" s="148"/>
      <c r="B883" s="148"/>
      <c r="C883" s="148"/>
      <c r="D883" s="148"/>
      <c r="E883" s="148"/>
      <c r="F883" s="148"/>
    </row>
    <row r="884" ht="15.75" customHeight="1">
      <c r="A884" s="148"/>
      <c r="B884" s="148"/>
      <c r="C884" s="148"/>
      <c r="D884" s="148"/>
      <c r="E884" s="148"/>
      <c r="F884" s="148"/>
    </row>
    <row r="885" ht="15.75" customHeight="1">
      <c r="A885" s="148"/>
      <c r="B885" s="148"/>
      <c r="C885" s="148"/>
      <c r="D885" s="148"/>
      <c r="E885" s="148"/>
      <c r="F885" s="148"/>
    </row>
    <row r="886" ht="15.75" customHeight="1">
      <c r="A886" s="148"/>
      <c r="B886" s="148"/>
      <c r="C886" s="148"/>
      <c r="D886" s="148"/>
      <c r="E886" s="148"/>
      <c r="F886" s="148"/>
    </row>
    <row r="887" ht="15.75" customHeight="1">
      <c r="A887" s="148"/>
      <c r="B887" s="148"/>
      <c r="C887" s="148"/>
      <c r="D887" s="148"/>
      <c r="E887" s="148"/>
      <c r="F887" s="148"/>
    </row>
    <row r="888" ht="15.75" customHeight="1">
      <c r="A888" s="148"/>
      <c r="B888" s="148"/>
      <c r="C888" s="148"/>
      <c r="D888" s="148"/>
      <c r="E888" s="148"/>
      <c r="F888" s="148"/>
    </row>
    <row r="889" ht="15.75" customHeight="1">
      <c r="A889" s="148"/>
      <c r="B889" s="148"/>
      <c r="C889" s="148"/>
      <c r="D889" s="148"/>
      <c r="E889" s="148"/>
      <c r="F889" s="148"/>
    </row>
    <row r="890" ht="15.75" customHeight="1">
      <c r="A890" s="148"/>
      <c r="B890" s="148"/>
      <c r="C890" s="148"/>
      <c r="D890" s="148"/>
      <c r="E890" s="148"/>
      <c r="F890" s="148"/>
    </row>
    <row r="891" ht="15.75" customHeight="1">
      <c r="A891" s="148"/>
      <c r="B891" s="148"/>
      <c r="C891" s="148"/>
      <c r="D891" s="148"/>
      <c r="E891" s="148"/>
      <c r="F891" s="148"/>
    </row>
    <row r="892" ht="15.75" customHeight="1">
      <c r="A892" s="148"/>
      <c r="B892" s="148"/>
      <c r="C892" s="148"/>
      <c r="D892" s="148"/>
      <c r="E892" s="148"/>
      <c r="F892" s="148"/>
    </row>
    <row r="893" ht="15.75" customHeight="1">
      <c r="A893" s="148"/>
      <c r="B893" s="148"/>
      <c r="C893" s="148"/>
      <c r="D893" s="148"/>
      <c r="E893" s="148"/>
      <c r="F893" s="148"/>
    </row>
    <row r="894" ht="15.75" customHeight="1">
      <c r="A894" s="148"/>
      <c r="B894" s="148"/>
      <c r="C894" s="148"/>
      <c r="D894" s="148"/>
      <c r="E894" s="148"/>
      <c r="F894" s="148"/>
    </row>
    <row r="895" ht="15.75" customHeight="1">
      <c r="A895" s="148"/>
      <c r="B895" s="148"/>
      <c r="C895" s="148"/>
      <c r="D895" s="148"/>
      <c r="E895" s="148"/>
      <c r="F895" s="148"/>
    </row>
    <row r="896" ht="15.75" customHeight="1">
      <c r="A896" s="148"/>
      <c r="B896" s="148"/>
      <c r="C896" s="148"/>
      <c r="D896" s="148"/>
      <c r="E896" s="148"/>
      <c r="F896" s="148"/>
    </row>
    <row r="897" ht="15.75" customHeight="1">
      <c r="A897" s="148"/>
      <c r="B897" s="148"/>
      <c r="C897" s="148"/>
      <c r="D897" s="148"/>
      <c r="E897" s="148"/>
      <c r="F897" s="148"/>
    </row>
    <row r="898" ht="15.75" customHeight="1">
      <c r="A898" s="148"/>
      <c r="B898" s="148"/>
      <c r="C898" s="148"/>
      <c r="D898" s="148"/>
      <c r="E898" s="148"/>
      <c r="F898" s="148"/>
    </row>
    <row r="899" ht="15.75" customHeight="1">
      <c r="A899" s="148"/>
      <c r="B899" s="148"/>
      <c r="C899" s="148"/>
      <c r="D899" s="148"/>
      <c r="E899" s="148"/>
      <c r="F899" s="148"/>
    </row>
    <row r="900" ht="15.75" customHeight="1">
      <c r="A900" s="148"/>
      <c r="B900" s="148"/>
      <c r="C900" s="148"/>
      <c r="D900" s="148"/>
      <c r="E900" s="148"/>
      <c r="F900" s="148"/>
    </row>
    <row r="901" ht="15.75" customHeight="1">
      <c r="A901" s="148"/>
      <c r="B901" s="148"/>
      <c r="C901" s="148"/>
      <c r="D901" s="148"/>
      <c r="E901" s="148"/>
      <c r="F901" s="148"/>
    </row>
    <row r="902" ht="15.75" customHeight="1">
      <c r="A902" s="148"/>
      <c r="B902" s="148"/>
      <c r="C902" s="148"/>
      <c r="D902" s="148"/>
      <c r="E902" s="148"/>
      <c r="F902" s="148"/>
    </row>
    <row r="903" ht="15.75" customHeight="1">
      <c r="A903" s="148"/>
      <c r="B903" s="148"/>
      <c r="C903" s="148"/>
      <c r="D903" s="148"/>
      <c r="E903" s="148"/>
      <c r="F903" s="148"/>
    </row>
    <row r="904" ht="15.75" customHeight="1">
      <c r="A904" s="148"/>
      <c r="B904" s="148"/>
      <c r="C904" s="148"/>
      <c r="D904" s="148"/>
      <c r="E904" s="148"/>
      <c r="F904" s="148"/>
    </row>
    <row r="905" ht="15.75" customHeight="1">
      <c r="A905" s="148"/>
      <c r="B905" s="148"/>
      <c r="C905" s="148"/>
      <c r="D905" s="148"/>
      <c r="E905" s="148"/>
      <c r="F905" s="148"/>
    </row>
    <row r="906" ht="15.75" customHeight="1">
      <c r="A906" s="148"/>
      <c r="B906" s="148"/>
      <c r="C906" s="148"/>
      <c r="D906" s="148"/>
      <c r="E906" s="148"/>
      <c r="F906" s="148"/>
    </row>
    <row r="907" ht="15.75" customHeight="1">
      <c r="A907" s="148"/>
      <c r="B907" s="148"/>
      <c r="C907" s="148"/>
      <c r="D907" s="148"/>
      <c r="E907" s="148"/>
      <c r="F907" s="148"/>
    </row>
    <row r="908" ht="15.75" customHeight="1">
      <c r="A908" s="148"/>
      <c r="B908" s="148"/>
      <c r="C908" s="148"/>
      <c r="D908" s="148"/>
      <c r="E908" s="148"/>
      <c r="F908" s="148"/>
    </row>
    <row r="909" ht="15.75" customHeight="1">
      <c r="A909" s="148"/>
      <c r="B909" s="148"/>
      <c r="C909" s="148"/>
      <c r="D909" s="148"/>
      <c r="E909" s="148"/>
      <c r="F909" s="148"/>
    </row>
    <row r="910" ht="15.75" customHeight="1">
      <c r="A910" s="148"/>
      <c r="B910" s="148"/>
      <c r="C910" s="148"/>
      <c r="D910" s="148"/>
      <c r="E910" s="148"/>
      <c r="F910" s="148"/>
    </row>
    <row r="911" ht="15.75" customHeight="1">
      <c r="A911" s="148"/>
      <c r="B911" s="148"/>
      <c r="C911" s="148"/>
      <c r="D911" s="148"/>
      <c r="E911" s="148"/>
      <c r="F911" s="148"/>
    </row>
    <row r="912" ht="15.75" customHeight="1">
      <c r="A912" s="148"/>
      <c r="B912" s="148"/>
      <c r="C912" s="148"/>
      <c r="D912" s="148"/>
      <c r="E912" s="148"/>
      <c r="F912" s="148"/>
    </row>
    <row r="913" ht="15.75" customHeight="1">
      <c r="A913" s="148"/>
      <c r="B913" s="148"/>
      <c r="C913" s="148"/>
      <c r="D913" s="148"/>
      <c r="E913" s="148"/>
      <c r="F913" s="148"/>
    </row>
    <row r="914" ht="15.75" customHeight="1">
      <c r="A914" s="148"/>
      <c r="B914" s="148"/>
      <c r="C914" s="148"/>
      <c r="D914" s="148"/>
      <c r="E914" s="148"/>
      <c r="F914" s="148"/>
    </row>
    <row r="915" ht="15.75" customHeight="1">
      <c r="A915" s="148"/>
      <c r="B915" s="148"/>
      <c r="C915" s="148"/>
      <c r="D915" s="148"/>
      <c r="E915" s="148"/>
      <c r="F915" s="148"/>
    </row>
    <row r="916" ht="15.75" customHeight="1">
      <c r="A916" s="148"/>
      <c r="B916" s="148"/>
      <c r="C916" s="148"/>
      <c r="D916" s="148"/>
      <c r="E916" s="148"/>
      <c r="F916" s="148"/>
    </row>
    <row r="917" ht="15.75" customHeight="1">
      <c r="A917" s="148"/>
      <c r="B917" s="148"/>
      <c r="C917" s="148"/>
      <c r="D917" s="148"/>
      <c r="E917" s="148"/>
      <c r="F917" s="148"/>
    </row>
    <row r="918" ht="15.75" customHeight="1">
      <c r="A918" s="148"/>
      <c r="B918" s="148"/>
      <c r="C918" s="148"/>
      <c r="D918" s="148"/>
      <c r="E918" s="148"/>
      <c r="F918" s="148"/>
    </row>
    <row r="919" ht="15.75" customHeight="1">
      <c r="A919" s="148"/>
      <c r="B919" s="148"/>
      <c r="C919" s="148"/>
      <c r="D919" s="148"/>
      <c r="E919" s="148"/>
      <c r="F919" s="148"/>
    </row>
    <row r="920" ht="15.75" customHeight="1">
      <c r="A920" s="148"/>
      <c r="B920" s="148"/>
      <c r="C920" s="148"/>
      <c r="D920" s="148"/>
      <c r="E920" s="148"/>
      <c r="F920" s="148"/>
    </row>
    <row r="921" ht="15.75" customHeight="1">
      <c r="A921" s="148"/>
      <c r="B921" s="148"/>
      <c r="C921" s="148"/>
      <c r="D921" s="148"/>
      <c r="E921" s="148"/>
      <c r="F921" s="148"/>
    </row>
    <row r="922" ht="15.75" customHeight="1">
      <c r="A922" s="148"/>
      <c r="B922" s="148"/>
      <c r="C922" s="148"/>
      <c r="D922" s="148"/>
      <c r="E922" s="148"/>
      <c r="F922" s="148"/>
    </row>
    <row r="923" ht="15.75" customHeight="1">
      <c r="A923" s="148"/>
      <c r="B923" s="148"/>
      <c r="C923" s="148"/>
      <c r="D923" s="148"/>
      <c r="E923" s="148"/>
      <c r="F923" s="148"/>
    </row>
    <row r="924" ht="15.75" customHeight="1">
      <c r="A924" s="148"/>
      <c r="B924" s="148"/>
      <c r="C924" s="148"/>
      <c r="D924" s="148"/>
      <c r="E924" s="148"/>
      <c r="F924" s="148"/>
    </row>
    <row r="925" ht="15.75" customHeight="1">
      <c r="A925" s="148"/>
      <c r="B925" s="148"/>
      <c r="C925" s="148"/>
      <c r="D925" s="148"/>
      <c r="E925" s="148"/>
      <c r="F925" s="148"/>
    </row>
    <row r="926" ht="15.75" customHeight="1">
      <c r="A926" s="148"/>
      <c r="B926" s="148"/>
      <c r="C926" s="148"/>
      <c r="D926" s="148"/>
      <c r="E926" s="148"/>
      <c r="F926" s="148"/>
    </row>
    <row r="927" ht="15.75" customHeight="1">
      <c r="A927" s="148"/>
      <c r="B927" s="148"/>
      <c r="C927" s="148"/>
      <c r="D927" s="148"/>
      <c r="E927" s="148"/>
      <c r="F927" s="148"/>
    </row>
    <row r="928" ht="15.75" customHeight="1">
      <c r="A928" s="148"/>
      <c r="B928" s="148"/>
      <c r="C928" s="148"/>
      <c r="D928" s="148"/>
      <c r="E928" s="148"/>
      <c r="F928" s="148"/>
    </row>
    <row r="929" ht="15.75" customHeight="1">
      <c r="A929" s="148"/>
      <c r="B929" s="148"/>
      <c r="C929" s="148"/>
      <c r="D929" s="148"/>
      <c r="E929" s="148"/>
      <c r="F929" s="148"/>
    </row>
    <row r="930" ht="15.75" customHeight="1">
      <c r="A930" s="148"/>
      <c r="B930" s="148"/>
      <c r="C930" s="148"/>
      <c r="D930" s="148"/>
      <c r="E930" s="148"/>
      <c r="F930" s="148"/>
    </row>
    <row r="931" ht="15.75" customHeight="1">
      <c r="A931" s="148"/>
      <c r="B931" s="148"/>
      <c r="C931" s="148"/>
      <c r="D931" s="148"/>
      <c r="E931" s="148"/>
      <c r="F931" s="148"/>
    </row>
    <row r="932" ht="15.75" customHeight="1">
      <c r="A932" s="148"/>
      <c r="B932" s="148"/>
      <c r="C932" s="148"/>
      <c r="D932" s="148"/>
      <c r="E932" s="148"/>
      <c r="F932" s="148"/>
    </row>
    <row r="933" ht="15.75" customHeight="1">
      <c r="A933" s="148"/>
      <c r="B933" s="148"/>
      <c r="C933" s="148"/>
      <c r="D933" s="148"/>
      <c r="E933" s="148"/>
      <c r="F933" s="148"/>
    </row>
    <row r="934" ht="15.75" customHeight="1">
      <c r="A934" s="148"/>
      <c r="B934" s="148"/>
      <c r="C934" s="148"/>
      <c r="D934" s="148"/>
      <c r="E934" s="148"/>
      <c r="F934" s="148"/>
    </row>
    <row r="935" ht="15.75" customHeight="1">
      <c r="A935" s="148"/>
      <c r="B935" s="148"/>
      <c r="C935" s="148"/>
      <c r="D935" s="148"/>
      <c r="E935" s="148"/>
      <c r="F935" s="148"/>
    </row>
    <row r="936" ht="15.75" customHeight="1">
      <c r="A936" s="148"/>
      <c r="B936" s="148"/>
      <c r="C936" s="148"/>
      <c r="D936" s="148"/>
      <c r="E936" s="148"/>
      <c r="F936" s="148"/>
    </row>
    <row r="937" ht="15.75" customHeight="1">
      <c r="A937" s="148"/>
      <c r="B937" s="148"/>
      <c r="C937" s="148"/>
      <c r="D937" s="148"/>
      <c r="E937" s="148"/>
      <c r="F937" s="148"/>
    </row>
    <row r="938" ht="15.75" customHeight="1">
      <c r="A938" s="148"/>
      <c r="B938" s="148"/>
      <c r="C938" s="148"/>
      <c r="D938" s="148"/>
      <c r="E938" s="148"/>
      <c r="F938" s="148"/>
    </row>
    <row r="939" ht="15.75" customHeight="1">
      <c r="A939" s="148"/>
      <c r="B939" s="148"/>
      <c r="C939" s="148"/>
      <c r="D939" s="148"/>
      <c r="E939" s="148"/>
      <c r="F939" s="148"/>
    </row>
    <row r="940" ht="15.75" customHeight="1">
      <c r="A940" s="148"/>
      <c r="B940" s="148"/>
      <c r="C940" s="148"/>
      <c r="D940" s="148"/>
      <c r="E940" s="148"/>
      <c r="F940" s="148"/>
    </row>
    <row r="941" ht="15.75" customHeight="1">
      <c r="A941" s="148"/>
      <c r="B941" s="148"/>
      <c r="C941" s="148"/>
      <c r="D941" s="148"/>
      <c r="E941" s="148"/>
      <c r="F941" s="148"/>
    </row>
    <row r="942" ht="15.75" customHeight="1">
      <c r="A942" s="148"/>
      <c r="B942" s="148"/>
      <c r="C942" s="148"/>
      <c r="D942" s="148"/>
      <c r="E942" s="148"/>
      <c r="F942" s="148"/>
    </row>
    <row r="943" ht="15.75" customHeight="1">
      <c r="A943" s="148"/>
      <c r="B943" s="148"/>
      <c r="C943" s="148"/>
      <c r="D943" s="148"/>
      <c r="E943" s="148"/>
      <c r="F943" s="148"/>
    </row>
    <row r="944" ht="15.75" customHeight="1">
      <c r="A944" s="148"/>
      <c r="B944" s="148"/>
      <c r="C944" s="148"/>
      <c r="D944" s="148"/>
      <c r="E944" s="148"/>
      <c r="F944" s="148"/>
    </row>
    <row r="945" ht="15.75" customHeight="1">
      <c r="A945" s="148"/>
      <c r="B945" s="148"/>
      <c r="C945" s="148"/>
      <c r="D945" s="148"/>
      <c r="E945" s="148"/>
      <c r="F945" s="148"/>
    </row>
    <row r="946" ht="15.75" customHeight="1">
      <c r="A946" s="148"/>
      <c r="B946" s="148"/>
      <c r="C946" s="148"/>
      <c r="D946" s="148"/>
      <c r="E946" s="148"/>
      <c r="F946" s="148"/>
    </row>
    <row r="947" ht="15.75" customHeight="1">
      <c r="A947" s="148"/>
      <c r="B947" s="148"/>
      <c r="C947" s="148"/>
      <c r="D947" s="148"/>
      <c r="E947" s="148"/>
      <c r="F947" s="148"/>
    </row>
    <row r="948" ht="15.75" customHeight="1">
      <c r="A948" s="148"/>
      <c r="B948" s="148"/>
      <c r="C948" s="148"/>
      <c r="D948" s="148"/>
      <c r="E948" s="148"/>
      <c r="F948" s="148"/>
    </row>
    <row r="949" ht="15.75" customHeight="1">
      <c r="A949" s="148"/>
      <c r="B949" s="148"/>
      <c r="C949" s="148"/>
      <c r="D949" s="148"/>
      <c r="E949" s="148"/>
      <c r="F949" s="148"/>
    </row>
    <row r="950" ht="15.75" customHeight="1">
      <c r="A950" s="148"/>
      <c r="B950" s="148"/>
      <c r="C950" s="148"/>
      <c r="D950" s="148"/>
      <c r="E950" s="148"/>
      <c r="F950" s="148"/>
    </row>
    <row r="951" ht="15.75" customHeight="1">
      <c r="A951" s="148"/>
      <c r="B951" s="148"/>
      <c r="C951" s="148"/>
      <c r="D951" s="148"/>
      <c r="E951" s="148"/>
      <c r="F951" s="148"/>
    </row>
    <row r="952" ht="15.75" customHeight="1">
      <c r="A952" s="148"/>
      <c r="B952" s="148"/>
      <c r="C952" s="148"/>
      <c r="D952" s="148"/>
      <c r="E952" s="148"/>
      <c r="F952" s="148"/>
    </row>
    <row r="953" ht="15.75" customHeight="1">
      <c r="A953" s="148"/>
      <c r="B953" s="148"/>
      <c r="C953" s="148"/>
      <c r="D953" s="148"/>
      <c r="E953" s="148"/>
      <c r="F953" s="148"/>
    </row>
    <row r="954" ht="15.75" customHeight="1">
      <c r="A954" s="148"/>
      <c r="B954" s="148"/>
      <c r="C954" s="148"/>
      <c r="D954" s="148"/>
      <c r="E954" s="148"/>
      <c r="F954" s="148"/>
    </row>
    <row r="955" ht="15.75" customHeight="1">
      <c r="A955" s="148"/>
      <c r="B955" s="148"/>
      <c r="C955" s="148"/>
      <c r="D955" s="148"/>
      <c r="E955" s="148"/>
      <c r="F955" s="148"/>
    </row>
    <row r="956" ht="15.75" customHeight="1">
      <c r="A956" s="148"/>
      <c r="B956" s="148"/>
      <c r="C956" s="148"/>
      <c r="D956" s="148"/>
      <c r="E956" s="148"/>
      <c r="F956" s="148"/>
    </row>
    <row r="957" ht="15.75" customHeight="1">
      <c r="A957" s="148"/>
      <c r="B957" s="148"/>
      <c r="C957" s="148"/>
      <c r="D957" s="148"/>
      <c r="E957" s="148"/>
      <c r="F957" s="148"/>
    </row>
    <row r="958" ht="15.75" customHeight="1">
      <c r="A958" s="148"/>
      <c r="B958" s="148"/>
      <c r="C958" s="148"/>
      <c r="D958" s="148"/>
      <c r="E958" s="148"/>
      <c r="F958" s="148"/>
    </row>
    <row r="959" ht="15.75" customHeight="1">
      <c r="A959" s="148"/>
      <c r="B959" s="148"/>
      <c r="C959" s="148"/>
      <c r="D959" s="148"/>
      <c r="E959" s="148"/>
      <c r="F959" s="148"/>
    </row>
    <row r="960" ht="15.75" customHeight="1">
      <c r="A960" s="148"/>
      <c r="B960" s="148"/>
      <c r="C960" s="148"/>
      <c r="D960" s="148"/>
      <c r="E960" s="148"/>
      <c r="F960" s="148"/>
    </row>
    <row r="961" ht="15.75" customHeight="1">
      <c r="A961" s="148"/>
      <c r="B961" s="148"/>
      <c r="C961" s="148"/>
      <c r="D961" s="148"/>
      <c r="E961" s="148"/>
      <c r="F961" s="148"/>
    </row>
    <row r="962" ht="15.75" customHeight="1">
      <c r="A962" s="148"/>
      <c r="B962" s="148"/>
      <c r="C962" s="148"/>
      <c r="D962" s="148"/>
      <c r="E962" s="148"/>
      <c r="F962" s="148"/>
    </row>
    <row r="963" ht="15.75" customHeight="1">
      <c r="A963" s="148"/>
      <c r="B963" s="148"/>
      <c r="C963" s="148"/>
      <c r="D963" s="148"/>
      <c r="E963" s="148"/>
      <c r="F963" s="148"/>
    </row>
    <row r="964" ht="15.75" customHeight="1">
      <c r="A964" s="148"/>
      <c r="B964" s="148"/>
      <c r="C964" s="148"/>
      <c r="D964" s="148"/>
      <c r="E964" s="148"/>
      <c r="F964" s="148"/>
    </row>
    <row r="965" ht="15.75" customHeight="1">
      <c r="A965" s="148"/>
      <c r="B965" s="148"/>
      <c r="C965" s="148"/>
      <c r="D965" s="148"/>
      <c r="E965" s="148"/>
      <c r="F965" s="148"/>
    </row>
    <row r="966" ht="15.75" customHeight="1">
      <c r="A966" s="148"/>
      <c r="B966" s="148"/>
      <c r="C966" s="148"/>
      <c r="D966" s="148"/>
      <c r="E966" s="148"/>
      <c r="F966" s="148"/>
    </row>
    <row r="967" ht="15.75" customHeight="1">
      <c r="A967" s="148"/>
      <c r="B967" s="148"/>
      <c r="C967" s="148"/>
      <c r="D967" s="148"/>
      <c r="E967" s="148"/>
      <c r="F967" s="148"/>
    </row>
    <row r="968" ht="15.75" customHeight="1">
      <c r="A968" s="148"/>
      <c r="B968" s="148"/>
      <c r="C968" s="148"/>
      <c r="D968" s="148"/>
      <c r="E968" s="148"/>
      <c r="F968" s="148"/>
    </row>
    <row r="969" ht="15.75" customHeight="1">
      <c r="A969" s="148"/>
      <c r="B969" s="148"/>
      <c r="C969" s="148"/>
      <c r="D969" s="148"/>
      <c r="E969" s="148"/>
      <c r="F969" s="148"/>
    </row>
    <row r="970" ht="15.75" customHeight="1">
      <c r="A970" s="148"/>
      <c r="B970" s="148"/>
      <c r="C970" s="148"/>
      <c r="D970" s="148"/>
      <c r="E970" s="148"/>
      <c r="F970" s="148"/>
    </row>
    <row r="971" ht="15.75" customHeight="1">
      <c r="A971" s="148"/>
      <c r="B971" s="148"/>
      <c r="C971" s="148"/>
      <c r="D971" s="148"/>
      <c r="E971" s="148"/>
      <c r="F971" s="148"/>
    </row>
    <row r="972" ht="15.75" customHeight="1">
      <c r="A972" s="148"/>
      <c r="B972" s="148"/>
      <c r="C972" s="148"/>
      <c r="D972" s="148"/>
      <c r="E972" s="148"/>
      <c r="F972" s="148"/>
    </row>
    <row r="973" ht="15.75" customHeight="1">
      <c r="A973" s="148"/>
      <c r="B973" s="148"/>
      <c r="C973" s="148"/>
      <c r="D973" s="148"/>
      <c r="E973" s="148"/>
      <c r="F973" s="148"/>
    </row>
    <row r="974" ht="15.75" customHeight="1">
      <c r="A974" s="148"/>
      <c r="B974" s="148"/>
      <c r="C974" s="148"/>
      <c r="D974" s="148"/>
      <c r="E974" s="148"/>
      <c r="F974" s="148"/>
    </row>
    <row r="975" ht="15.75" customHeight="1">
      <c r="A975" s="148"/>
      <c r="B975" s="148"/>
      <c r="C975" s="148"/>
      <c r="D975" s="148"/>
      <c r="E975" s="148"/>
      <c r="F975" s="148"/>
    </row>
    <row r="976" ht="15.75" customHeight="1">
      <c r="A976" s="148"/>
      <c r="B976" s="148"/>
      <c r="C976" s="148"/>
      <c r="D976" s="148"/>
      <c r="E976" s="148"/>
      <c r="F976" s="148"/>
    </row>
    <row r="977" ht="15.75" customHeight="1">
      <c r="A977" s="148"/>
      <c r="B977" s="148"/>
      <c r="C977" s="148"/>
      <c r="D977" s="148"/>
      <c r="E977" s="148"/>
      <c r="F977" s="148"/>
    </row>
    <row r="978" ht="15.75" customHeight="1">
      <c r="A978" s="148"/>
      <c r="B978" s="148"/>
      <c r="C978" s="148"/>
      <c r="D978" s="148"/>
      <c r="E978" s="148"/>
      <c r="F978" s="148"/>
    </row>
    <row r="979" ht="15.75" customHeight="1">
      <c r="A979" s="148"/>
      <c r="B979" s="148"/>
      <c r="C979" s="148"/>
      <c r="D979" s="148"/>
      <c r="E979" s="148"/>
      <c r="F979" s="148"/>
    </row>
    <row r="980" ht="15.75" customHeight="1">
      <c r="A980" s="148"/>
      <c r="B980" s="148"/>
      <c r="C980" s="148"/>
      <c r="D980" s="148"/>
      <c r="E980" s="148"/>
      <c r="F980" s="148"/>
    </row>
    <row r="981" ht="15.75" customHeight="1">
      <c r="A981" s="148"/>
      <c r="B981" s="148"/>
      <c r="C981" s="148"/>
      <c r="D981" s="148"/>
      <c r="E981" s="148"/>
      <c r="F981" s="148"/>
    </row>
    <row r="982" ht="15.75" customHeight="1">
      <c r="A982" s="148"/>
      <c r="B982" s="148"/>
      <c r="C982" s="148"/>
      <c r="D982" s="148"/>
      <c r="E982" s="148"/>
      <c r="F982" s="148"/>
    </row>
    <row r="983" ht="15.75" customHeight="1">
      <c r="A983" s="148"/>
      <c r="B983" s="148"/>
      <c r="C983" s="148"/>
      <c r="D983" s="148"/>
      <c r="E983" s="148"/>
      <c r="F983" s="148"/>
    </row>
    <row r="984" ht="15.75" customHeight="1">
      <c r="A984" s="148"/>
      <c r="B984" s="148"/>
      <c r="C984" s="148"/>
      <c r="D984" s="148"/>
      <c r="E984" s="148"/>
      <c r="F984" s="148"/>
    </row>
    <row r="985" ht="15.75" customHeight="1">
      <c r="A985" s="148"/>
      <c r="B985" s="148"/>
      <c r="C985" s="148"/>
      <c r="D985" s="148"/>
      <c r="E985" s="148"/>
      <c r="F985" s="148"/>
    </row>
    <row r="986" ht="15.75" customHeight="1">
      <c r="A986" s="148"/>
      <c r="B986" s="148"/>
      <c r="C986" s="148"/>
      <c r="D986" s="148"/>
      <c r="E986" s="148"/>
      <c r="F986" s="148"/>
    </row>
    <row r="987" ht="15.75" customHeight="1">
      <c r="A987" s="148"/>
      <c r="B987" s="148"/>
      <c r="C987" s="148"/>
      <c r="D987" s="148"/>
      <c r="E987" s="148"/>
      <c r="F987" s="148"/>
    </row>
    <row r="988" ht="15.75" customHeight="1">
      <c r="A988" s="148"/>
      <c r="B988" s="148"/>
      <c r="C988" s="148"/>
      <c r="D988" s="148"/>
      <c r="E988" s="148"/>
      <c r="F988" s="148"/>
    </row>
    <row r="989" ht="15.75" customHeight="1">
      <c r="A989" s="148"/>
      <c r="B989" s="148"/>
      <c r="C989" s="148"/>
      <c r="D989" s="148"/>
      <c r="E989" s="148"/>
      <c r="F989" s="148"/>
    </row>
    <row r="990" ht="15.75" customHeight="1">
      <c r="A990" s="148"/>
      <c r="B990" s="148"/>
      <c r="C990" s="148"/>
      <c r="D990" s="148"/>
      <c r="E990" s="148"/>
      <c r="F990" s="148"/>
    </row>
    <row r="991" ht="15.75" customHeight="1">
      <c r="A991" s="148"/>
      <c r="B991" s="148"/>
      <c r="C991" s="148"/>
      <c r="D991" s="148"/>
      <c r="E991" s="148"/>
      <c r="F991" s="148"/>
    </row>
    <row r="992" ht="15.75" customHeight="1">
      <c r="A992" s="148"/>
      <c r="B992" s="148"/>
      <c r="C992" s="148"/>
      <c r="D992" s="148"/>
      <c r="E992" s="148"/>
      <c r="F992" s="148"/>
    </row>
    <row r="993" ht="15.75" customHeight="1">
      <c r="A993" s="148"/>
      <c r="B993" s="148"/>
      <c r="C993" s="148"/>
      <c r="D993" s="148"/>
      <c r="E993" s="148"/>
      <c r="F993" s="148"/>
    </row>
    <row r="994" ht="15.75" customHeight="1">
      <c r="A994" s="148"/>
      <c r="B994" s="148"/>
      <c r="C994" s="148"/>
      <c r="D994" s="148"/>
      <c r="E994" s="148"/>
      <c r="F994" s="148"/>
    </row>
    <row r="995" ht="15.75" customHeight="1">
      <c r="A995" s="148"/>
      <c r="B995" s="148"/>
      <c r="C995" s="148"/>
      <c r="D995" s="148"/>
      <c r="E995" s="148"/>
      <c r="F995" s="148"/>
    </row>
    <row r="996" ht="15.75" customHeight="1">
      <c r="A996" s="148"/>
      <c r="B996" s="148"/>
      <c r="C996" s="148"/>
      <c r="D996" s="148"/>
      <c r="E996" s="148"/>
      <c r="F996" s="148"/>
    </row>
    <row r="997" ht="15.75" customHeight="1">
      <c r="A997" s="148"/>
      <c r="B997" s="148"/>
      <c r="C997" s="148"/>
      <c r="D997" s="148"/>
      <c r="E997" s="148"/>
      <c r="F997" s="148"/>
    </row>
    <row r="998" ht="15.75" customHeight="1">
      <c r="A998" s="148"/>
      <c r="B998" s="148"/>
      <c r="C998" s="148"/>
      <c r="D998" s="148"/>
      <c r="E998" s="148"/>
      <c r="F998" s="148"/>
    </row>
    <row r="999" ht="15.75" customHeight="1">
      <c r="A999" s="148"/>
      <c r="B999" s="148"/>
      <c r="C999" s="148"/>
      <c r="D999" s="148"/>
      <c r="E999" s="148"/>
      <c r="F999" s="148"/>
    </row>
    <row r="1000" ht="15.75" customHeight="1">
      <c r="A1000" s="148"/>
      <c r="B1000" s="148"/>
      <c r="C1000" s="148"/>
      <c r="D1000" s="148"/>
      <c r="E1000" s="148"/>
      <c r="F1000" s="148"/>
    </row>
  </sheetData>
  <mergeCells count="11">
    <mergeCell ref="A30:E30"/>
    <mergeCell ref="A33:E33"/>
    <mergeCell ref="A38:E38"/>
    <mergeCell ref="A40:E40"/>
    <mergeCell ref="A3:E3"/>
    <mergeCell ref="A5:E5"/>
    <mergeCell ref="A17:E17"/>
    <mergeCell ref="A19:E19"/>
    <mergeCell ref="A21:E21"/>
    <mergeCell ref="A25:E25"/>
    <mergeCell ref="A28:E28"/>
  </mergeCells>
  <conditionalFormatting sqref="E6:E50">
    <cfRule type="cellIs" dxfId="5" priority="1" operator="equal">
      <formula>"Active"</formula>
    </cfRule>
  </conditionalFormatting>
  <conditionalFormatting sqref="E6:E50">
    <cfRule type="cellIs" dxfId="6" priority="2" operator="equal">
      <formula>"Pending"</formula>
    </cfRule>
  </conditionalFormatting>
  <conditionalFormatting sqref="E6:E50">
    <cfRule type="cellIs" dxfId="7" priority="3" operator="equal">
      <formula>"Excluded"</formula>
    </cfRule>
  </conditionalFormatting>
  <dataValidations>
    <dataValidation type="list" allowBlank="1" showInputMessage="1" prompt="Status - Active = being tested | Pending = not yet | Excluded = out of scope" sqref="E4 E6:E16 E18 E20 E22:E24 E26:E27 E29 E31:E32 E34:E37 E39 E41:E50">
      <formula1>"Active,Pending,Excluded"</formula1>
    </dataValidation>
  </dataValidations>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2.14"/>
    <col customWidth="1" min="3" max="3" width="53.43"/>
    <col customWidth="1" min="4" max="4" width="9.71"/>
    <col customWidth="1" min="5" max="5" width="48.0"/>
    <col customWidth="1" min="6" max="6" width="8.57"/>
    <col customWidth="1" min="7" max="7" width="8.0"/>
    <col customWidth="1" min="8" max="8" width="15.57"/>
    <col customWidth="1" min="9" max="9" width="74.0"/>
    <col customWidth="1" min="10" max="10" width="88.43"/>
    <col customWidth="1" min="11" max="11" width="112.43"/>
    <col customWidth="1" min="12" max="12" width="134.57"/>
    <col customWidth="1" min="13" max="13" width="15.0"/>
    <col customWidth="1" min="14" max="14" width="15.29"/>
    <col customWidth="1" min="16" max="16" width="170.71"/>
  </cols>
  <sheetData>
    <row r="1">
      <c r="A1" s="177" t="s">
        <v>63</v>
      </c>
      <c r="B1" s="177" t="s">
        <v>53</v>
      </c>
      <c r="C1" s="177" t="s">
        <v>52</v>
      </c>
      <c r="D1" s="177" t="s">
        <v>31</v>
      </c>
      <c r="E1" s="177" t="s">
        <v>1211</v>
      </c>
      <c r="F1" s="177" t="s">
        <v>57</v>
      </c>
      <c r="G1" s="177" t="s">
        <v>56</v>
      </c>
      <c r="H1" s="177" t="s">
        <v>46</v>
      </c>
      <c r="I1" s="178" t="s">
        <v>5</v>
      </c>
      <c r="J1" s="177" t="s">
        <v>1213</v>
      </c>
      <c r="K1" s="177" t="s">
        <v>1214</v>
      </c>
      <c r="L1" s="177" t="s">
        <v>1215</v>
      </c>
      <c r="M1" s="177" t="s">
        <v>1216</v>
      </c>
      <c r="N1" s="177" t="s">
        <v>1217</v>
      </c>
      <c r="O1" s="177" t="s">
        <v>1218</v>
      </c>
      <c r="P1" s="177" t="s">
        <v>1219</v>
      </c>
      <c r="Q1" s="179"/>
      <c r="R1" s="179"/>
      <c r="S1" s="179"/>
      <c r="T1" s="179"/>
      <c r="U1" s="179"/>
      <c r="V1" s="179"/>
      <c r="W1" s="179"/>
    </row>
    <row r="2">
      <c r="A2" s="74" t="s">
        <v>253</v>
      </c>
      <c r="B2" s="180"/>
      <c r="C2" s="180"/>
      <c r="D2" s="180"/>
      <c r="E2" s="180"/>
      <c r="F2" s="180"/>
      <c r="G2" s="180"/>
      <c r="H2" s="181"/>
      <c r="I2" s="181"/>
      <c r="J2" s="181"/>
      <c r="K2" s="181"/>
      <c r="L2" s="181"/>
      <c r="M2" s="180"/>
      <c r="N2" s="182"/>
      <c r="O2" s="183"/>
      <c r="P2" s="181"/>
      <c r="Q2" s="179"/>
      <c r="R2" s="179"/>
      <c r="S2" s="179"/>
      <c r="T2" s="179"/>
      <c r="U2" s="179"/>
      <c r="V2" s="179"/>
      <c r="W2" s="179"/>
    </row>
    <row r="3">
      <c r="A3" s="180" t="s">
        <v>1224</v>
      </c>
      <c r="B3" s="180">
        <v>2060122.0</v>
      </c>
      <c r="C3" s="180" t="s">
        <v>1227</v>
      </c>
      <c r="D3" s="180" t="s">
        <v>1228</v>
      </c>
      <c r="E3" s="180" t="s">
        <v>1229</v>
      </c>
      <c r="F3" s="180" t="s">
        <v>85</v>
      </c>
      <c r="G3" s="180" t="s">
        <v>146</v>
      </c>
      <c r="H3" s="180" t="s">
        <v>1230</v>
      </c>
      <c r="I3" s="181" t="s">
        <v>1231</v>
      </c>
      <c r="J3" s="181" t="s">
        <v>1232</v>
      </c>
      <c r="K3" s="181" t="s">
        <v>1233</v>
      </c>
      <c r="L3" s="181" t="s">
        <v>1234</v>
      </c>
      <c r="M3" s="180" t="s">
        <v>1235</v>
      </c>
      <c r="N3" s="182">
        <v>46219.0</v>
      </c>
      <c r="O3" s="183"/>
      <c r="P3" s="181"/>
      <c r="Q3" s="179"/>
      <c r="R3" s="179"/>
      <c r="S3" s="179"/>
      <c r="T3" s="179"/>
      <c r="U3" s="179"/>
      <c r="V3" s="179"/>
      <c r="W3" s="179"/>
    </row>
    <row r="4">
      <c r="A4" s="180" t="s">
        <v>1237</v>
      </c>
      <c r="B4" s="180">
        <v>2060208.0</v>
      </c>
      <c r="C4" s="180" t="s">
        <v>442</v>
      </c>
      <c r="D4" s="180" t="s">
        <v>1228</v>
      </c>
      <c r="E4" s="180" t="s">
        <v>1239</v>
      </c>
      <c r="F4" s="180" t="s">
        <v>85</v>
      </c>
      <c r="G4" s="180" t="s">
        <v>146</v>
      </c>
      <c r="H4" s="180" t="s">
        <v>1230</v>
      </c>
      <c r="I4" s="181" t="s">
        <v>1240</v>
      </c>
      <c r="J4" s="181" t="s">
        <v>1241</v>
      </c>
      <c r="K4" s="181" t="s">
        <v>1242</v>
      </c>
      <c r="L4" s="181" t="s">
        <v>1243</v>
      </c>
      <c r="M4" s="180" t="s">
        <v>1235</v>
      </c>
      <c r="N4" s="182">
        <v>46219.0</v>
      </c>
      <c r="O4" s="183"/>
      <c r="P4" s="181"/>
      <c r="Q4" s="179"/>
      <c r="R4" s="179"/>
      <c r="S4" s="179"/>
      <c r="T4" s="179"/>
      <c r="U4" s="179"/>
      <c r="V4" s="179"/>
      <c r="W4" s="179"/>
    </row>
    <row r="5">
      <c r="A5" s="180" t="s">
        <v>1246</v>
      </c>
      <c r="B5" s="180">
        <v>2060221.0</v>
      </c>
      <c r="C5" s="180" t="s">
        <v>968</v>
      </c>
      <c r="D5" s="180" t="s">
        <v>1228</v>
      </c>
      <c r="E5" s="180" t="s">
        <v>315</v>
      </c>
      <c r="F5" s="180" t="s">
        <v>85</v>
      </c>
      <c r="G5" s="180" t="s">
        <v>146</v>
      </c>
      <c r="H5" s="180" t="s">
        <v>1230</v>
      </c>
      <c r="I5" s="181" t="s">
        <v>1247</v>
      </c>
      <c r="J5" s="181" t="s">
        <v>1248</v>
      </c>
      <c r="K5" s="181" t="s">
        <v>1249</v>
      </c>
      <c r="L5" s="181" t="s">
        <v>1250</v>
      </c>
      <c r="M5" s="180" t="s">
        <v>1235</v>
      </c>
      <c r="N5" s="182">
        <v>46219.0</v>
      </c>
      <c r="O5" s="182">
        <v>46226.0</v>
      </c>
      <c r="P5" s="181" t="s">
        <v>1252</v>
      </c>
      <c r="Q5" s="179"/>
      <c r="R5" s="179"/>
      <c r="S5" s="179"/>
      <c r="T5" s="179"/>
      <c r="U5" s="179"/>
      <c r="V5" s="179"/>
      <c r="W5" s="179"/>
    </row>
    <row r="6">
      <c r="A6" s="180" t="s">
        <v>1254</v>
      </c>
      <c r="B6" s="180">
        <v>2060713.0</v>
      </c>
      <c r="C6" s="180" t="s">
        <v>1256</v>
      </c>
      <c r="D6" s="180" t="s">
        <v>1228</v>
      </c>
      <c r="E6" s="180" t="s">
        <v>1257</v>
      </c>
      <c r="F6" s="180" t="s">
        <v>85</v>
      </c>
      <c r="G6" s="180" t="s">
        <v>146</v>
      </c>
      <c r="H6" s="180" t="s">
        <v>1230</v>
      </c>
      <c r="I6" s="181" t="s">
        <v>1258</v>
      </c>
      <c r="J6" s="181" t="s">
        <v>1259</v>
      </c>
      <c r="K6" s="181" t="s">
        <v>1260</v>
      </c>
      <c r="L6" s="181" t="s">
        <v>1261</v>
      </c>
      <c r="M6" s="180" t="s">
        <v>1235</v>
      </c>
      <c r="N6" s="182">
        <v>46223.0</v>
      </c>
      <c r="O6" s="182">
        <v>46226.0</v>
      </c>
      <c r="P6" s="181" t="s">
        <v>1252</v>
      </c>
      <c r="Q6" s="179"/>
      <c r="R6" s="179"/>
      <c r="S6" s="179"/>
      <c r="T6" s="179"/>
      <c r="U6" s="179"/>
      <c r="V6" s="179"/>
      <c r="W6" s="179"/>
    </row>
    <row r="7">
      <c r="A7" s="180" t="s">
        <v>1264</v>
      </c>
      <c r="B7" s="184">
        <v>2061003.0</v>
      </c>
      <c r="C7" s="184" t="s">
        <v>1265</v>
      </c>
      <c r="D7" s="180" t="s">
        <v>1228</v>
      </c>
      <c r="E7" s="184" t="s">
        <v>1266</v>
      </c>
      <c r="F7" s="184" t="s">
        <v>85</v>
      </c>
      <c r="G7" s="184" t="s">
        <v>146</v>
      </c>
      <c r="H7" s="180" t="s">
        <v>1230</v>
      </c>
      <c r="I7" s="181" t="s">
        <v>1268</v>
      </c>
      <c r="J7" s="181" t="s">
        <v>1269</v>
      </c>
      <c r="K7" s="181" t="s">
        <v>1270</v>
      </c>
      <c r="L7" s="181" t="s">
        <v>1271</v>
      </c>
      <c r="M7" s="180" t="s">
        <v>1235</v>
      </c>
      <c r="N7" s="185">
        <v>46223.0</v>
      </c>
      <c r="O7" s="182">
        <v>46226.0</v>
      </c>
      <c r="P7" s="181" t="s">
        <v>1252</v>
      </c>
    </row>
    <row r="8">
      <c r="A8" s="180" t="s">
        <v>1273</v>
      </c>
      <c r="B8" s="184">
        <v>2060231.0</v>
      </c>
      <c r="C8" s="184" t="s">
        <v>992</v>
      </c>
      <c r="D8" s="184" t="s">
        <v>1228</v>
      </c>
      <c r="E8" s="184" t="s">
        <v>1274</v>
      </c>
      <c r="F8" s="184" t="s">
        <v>262</v>
      </c>
      <c r="G8" s="184" t="s">
        <v>146</v>
      </c>
      <c r="H8" s="180" t="s">
        <v>1230</v>
      </c>
      <c r="I8" s="181" t="s">
        <v>1277</v>
      </c>
      <c r="J8" s="184" t="s">
        <v>1278</v>
      </c>
      <c r="K8" s="184" t="s">
        <v>1279</v>
      </c>
      <c r="L8" s="184" t="s">
        <v>1280</v>
      </c>
      <c r="M8" s="180" t="s">
        <v>1235</v>
      </c>
      <c r="N8" s="185">
        <v>46223.0</v>
      </c>
      <c r="O8" s="182">
        <v>46226.0</v>
      </c>
      <c r="P8" s="181" t="s">
        <v>1252</v>
      </c>
    </row>
    <row r="9">
      <c r="A9" s="180" t="s">
        <v>1281</v>
      </c>
      <c r="B9" s="184">
        <v>2060232.0</v>
      </c>
      <c r="C9" s="184" t="s">
        <v>997</v>
      </c>
      <c r="D9" s="184" t="s">
        <v>1228</v>
      </c>
      <c r="E9" s="184" t="s">
        <v>1274</v>
      </c>
      <c r="F9" s="184" t="s">
        <v>262</v>
      </c>
      <c r="G9" s="184" t="s">
        <v>146</v>
      </c>
      <c r="H9" s="180" t="s">
        <v>1230</v>
      </c>
      <c r="I9" s="181" t="s">
        <v>1283</v>
      </c>
      <c r="J9" s="184" t="s">
        <v>1278</v>
      </c>
      <c r="K9" s="184" t="s">
        <v>1279</v>
      </c>
      <c r="L9" s="184" t="s">
        <v>1284</v>
      </c>
      <c r="M9" s="180" t="s">
        <v>1235</v>
      </c>
      <c r="N9" s="185">
        <v>46223.0</v>
      </c>
      <c r="O9" s="182">
        <v>46226.0</v>
      </c>
      <c r="P9" s="181" t="s">
        <v>1252</v>
      </c>
    </row>
    <row r="10">
      <c r="A10" s="180" t="s">
        <v>1287</v>
      </c>
      <c r="B10" s="184">
        <v>2060228.0</v>
      </c>
      <c r="C10" s="184" t="s">
        <v>977</v>
      </c>
      <c r="D10" s="184" t="s">
        <v>1228</v>
      </c>
      <c r="E10" s="184" t="s">
        <v>1274</v>
      </c>
      <c r="F10" s="184" t="s">
        <v>262</v>
      </c>
      <c r="G10" s="184" t="s">
        <v>146</v>
      </c>
      <c r="H10" s="180" t="s">
        <v>1230</v>
      </c>
      <c r="I10" s="181" t="s">
        <v>1289</v>
      </c>
      <c r="J10" s="184" t="s">
        <v>1278</v>
      </c>
      <c r="K10" s="184" t="s">
        <v>1279</v>
      </c>
      <c r="L10" s="184" t="s">
        <v>1290</v>
      </c>
      <c r="M10" s="180" t="s">
        <v>1235</v>
      </c>
      <c r="N10" s="185">
        <v>46223.0</v>
      </c>
      <c r="O10" s="182">
        <v>46226.0</v>
      </c>
      <c r="P10" s="181" t="s">
        <v>1252</v>
      </c>
    </row>
    <row r="11">
      <c r="A11" s="180" t="s">
        <v>1292</v>
      </c>
      <c r="B11" s="184">
        <v>2060229.0</v>
      </c>
      <c r="C11" s="184" t="s">
        <v>982</v>
      </c>
      <c r="D11" s="184" t="s">
        <v>1228</v>
      </c>
      <c r="E11" s="184" t="s">
        <v>1274</v>
      </c>
      <c r="F11" s="184" t="s">
        <v>262</v>
      </c>
      <c r="G11" s="184" t="s">
        <v>146</v>
      </c>
      <c r="H11" s="180" t="s">
        <v>1230</v>
      </c>
      <c r="I11" s="181" t="s">
        <v>1293</v>
      </c>
      <c r="J11" s="184" t="s">
        <v>1278</v>
      </c>
      <c r="K11" s="184" t="s">
        <v>1279</v>
      </c>
      <c r="L11" s="184" t="s">
        <v>1294</v>
      </c>
      <c r="M11" s="180" t="s">
        <v>1235</v>
      </c>
      <c r="N11" s="185">
        <v>46223.0</v>
      </c>
      <c r="O11" s="182">
        <v>46226.0</v>
      </c>
      <c r="P11" s="181" t="s">
        <v>1252</v>
      </c>
    </row>
    <row r="12">
      <c r="A12" s="180" t="s">
        <v>1295</v>
      </c>
      <c r="B12" s="184">
        <v>2060230.0</v>
      </c>
      <c r="C12" s="184" t="s">
        <v>987</v>
      </c>
      <c r="D12" s="184" t="s">
        <v>1228</v>
      </c>
      <c r="E12" s="184" t="s">
        <v>1274</v>
      </c>
      <c r="F12" s="184" t="s">
        <v>262</v>
      </c>
      <c r="G12" s="184" t="s">
        <v>146</v>
      </c>
      <c r="H12" s="180" t="s">
        <v>1230</v>
      </c>
      <c r="I12" s="181" t="s">
        <v>1299</v>
      </c>
      <c r="J12" s="184" t="s">
        <v>1278</v>
      </c>
      <c r="K12" s="184" t="s">
        <v>1279</v>
      </c>
      <c r="L12" s="184" t="s">
        <v>1300</v>
      </c>
      <c r="M12" s="180" t="s">
        <v>1235</v>
      </c>
      <c r="N12" s="185">
        <v>46223.0</v>
      </c>
      <c r="O12" s="182">
        <v>46226.0</v>
      </c>
      <c r="P12" s="181" t="s">
        <v>1252</v>
      </c>
    </row>
    <row r="13">
      <c r="A13" s="180" t="s">
        <v>1301</v>
      </c>
      <c r="B13" s="184">
        <v>2061111.0</v>
      </c>
      <c r="C13" s="184" t="s">
        <v>1032</v>
      </c>
      <c r="D13" s="184" t="s">
        <v>1228</v>
      </c>
      <c r="E13" s="184" t="s">
        <v>1302</v>
      </c>
      <c r="F13" s="184" t="s">
        <v>262</v>
      </c>
      <c r="G13" s="184" t="s">
        <v>146</v>
      </c>
      <c r="H13" s="180" t="s">
        <v>1230</v>
      </c>
      <c r="I13" s="181" t="s">
        <v>1304</v>
      </c>
      <c r="J13" s="184" t="s">
        <v>1278</v>
      </c>
      <c r="K13" s="184" t="s">
        <v>1279</v>
      </c>
      <c r="L13" s="184" t="s">
        <v>1305</v>
      </c>
      <c r="M13" s="180" t="s">
        <v>1235</v>
      </c>
      <c r="N13" s="185">
        <v>46223.0</v>
      </c>
      <c r="O13" s="182">
        <v>46226.0</v>
      </c>
      <c r="P13" s="181" t="s">
        <v>1252</v>
      </c>
    </row>
    <row r="14">
      <c r="A14" s="180" t="s">
        <v>1306</v>
      </c>
      <c r="B14" s="184">
        <v>2060113.0</v>
      </c>
      <c r="C14" s="184" t="s">
        <v>1307</v>
      </c>
      <c r="D14" s="184" t="s">
        <v>1228</v>
      </c>
      <c r="E14" s="184" t="s">
        <v>1308</v>
      </c>
      <c r="F14" s="184" t="s">
        <v>262</v>
      </c>
      <c r="G14" s="184" t="s">
        <v>146</v>
      </c>
      <c r="H14" s="184" t="s">
        <v>1230</v>
      </c>
      <c r="I14" s="181" t="s">
        <v>1309</v>
      </c>
      <c r="J14" s="184" t="s">
        <v>1310</v>
      </c>
      <c r="K14" s="184" t="s">
        <v>1311</v>
      </c>
      <c r="L14" s="184" t="s">
        <v>1312</v>
      </c>
      <c r="M14" s="180" t="s">
        <v>1235</v>
      </c>
      <c r="N14" s="185">
        <v>46223.0</v>
      </c>
      <c r="O14" s="185">
        <v>46300.0</v>
      </c>
      <c r="P14" s="184"/>
    </row>
    <row r="15">
      <c r="A15" s="180" t="s">
        <v>1314</v>
      </c>
      <c r="B15" s="184">
        <v>2060114.0</v>
      </c>
      <c r="C15" s="184" t="s">
        <v>1316</v>
      </c>
      <c r="D15" s="184" t="s">
        <v>1228</v>
      </c>
      <c r="E15" s="184" t="s">
        <v>1308</v>
      </c>
      <c r="F15" s="184" t="s">
        <v>262</v>
      </c>
      <c r="G15" s="184" t="s">
        <v>146</v>
      </c>
      <c r="H15" s="184" t="s">
        <v>1230</v>
      </c>
      <c r="I15" s="181" t="s">
        <v>1317</v>
      </c>
      <c r="J15" s="184" t="s">
        <v>1310</v>
      </c>
      <c r="K15" s="184" t="s">
        <v>1311</v>
      </c>
      <c r="L15" s="184" t="s">
        <v>1319</v>
      </c>
      <c r="M15" s="180" t="s">
        <v>1235</v>
      </c>
      <c r="N15" s="185">
        <v>46223.0</v>
      </c>
      <c r="O15" s="185">
        <v>46300.0</v>
      </c>
      <c r="P15" s="184"/>
    </row>
    <row r="16" ht="15.75" customHeight="1">
      <c r="A16" s="180" t="s">
        <v>1320</v>
      </c>
      <c r="B16" s="184">
        <v>2060115.0</v>
      </c>
      <c r="C16" s="184" t="s">
        <v>1321</v>
      </c>
      <c r="D16" s="184" t="s">
        <v>1228</v>
      </c>
      <c r="E16" s="184" t="s">
        <v>1308</v>
      </c>
      <c r="F16" s="184" t="s">
        <v>262</v>
      </c>
      <c r="G16" s="184" t="s">
        <v>146</v>
      </c>
      <c r="H16" s="184" t="s">
        <v>1230</v>
      </c>
      <c r="I16" s="181" t="s">
        <v>1323</v>
      </c>
      <c r="J16" s="184" t="s">
        <v>1310</v>
      </c>
      <c r="K16" s="184" t="s">
        <v>1311</v>
      </c>
      <c r="L16" s="184" t="s">
        <v>1325</v>
      </c>
      <c r="M16" s="180" t="s">
        <v>1235</v>
      </c>
      <c r="N16" s="185">
        <v>46223.0</v>
      </c>
      <c r="O16" s="185">
        <v>46300.0</v>
      </c>
      <c r="P16" s="184"/>
    </row>
    <row r="17">
      <c r="A17" s="180" t="s">
        <v>1326</v>
      </c>
      <c r="B17" s="184">
        <v>2060120.0</v>
      </c>
      <c r="C17" s="184" t="s">
        <v>1327</v>
      </c>
      <c r="D17" s="184" t="s">
        <v>1228</v>
      </c>
      <c r="E17" s="184" t="s">
        <v>1308</v>
      </c>
      <c r="F17" s="184" t="s">
        <v>262</v>
      </c>
      <c r="G17" s="184" t="s">
        <v>146</v>
      </c>
      <c r="H17" s="180" t="s">
        <v>1230</v>
      </c>
      <c r="I17" s="181" t="s">
        <v>1328</v>
      </c>
      <c r="J17" s="184" t="s">
        <v>1329</v>
      </c>
      <c r="K17" s="184" t="s">
        <v>1330</v>
      </c>
      <c r="L17" s="184" t="s">
        <v>1331</v>
      </c>
      <c r="M17" s="180" t="s">
        <v>1235</v>
      </c>
      <c r="N17" s="185">
        <v>46223.0</v>
      </c>
      <c r="O17" s="185">
        <v>46300.0</v>
      </c>
      <c r="P17" s="186" t="s">
        <v>1252</v>
      </c>
    </row>
    <row r="18">
      <c r="A18" s="180" t="s">
        <v>1334</v>
      </c>
      <c r="B18" s="184">
        <v>2060714.0</v>
      </c>
      <c r="C18" s="184" t="s">
        <v>1335</v>
      </c>
      <c r="D18" s="184" t="s">
        <v>1228</v>
      </c>
      <c r="E18" s="184" t="s">
        <v>1336</v>
      </c>
      <c r="F18" s="184" t="s">
        <v>262</v>
      </c>
      <c r="G18" s="184" t="s">
        <v>146</v>
      </c>
      <c r="H18" s="184" t="s">
        <v>1230</v>
      </c>
      <c r="I18" s="181" t="s">
        <v>1339</v>
      </c>
      <c r="J18" s="184" t="s">
        <v>1329</v>
      </c>
      <c r="K18" s="184" t="s">
        <v>1330</v>
      </c>
      <c r="L18" s="184" t="s">
        <v>1340</v>
      </c>
      <c r="M18" s="180" t="s">
        <v>1235</v>
      </c>
      <c r="N18" s="185">
        <v>46223.0</v>
      </c>
      <c r="O18" s="185">
        <v>46300.0</v>
      </c>
      <c r="P18" s="184"/>
    </row>
    <row r="19">
      <c r="A19" s="180" t="s">
        <v>1341</v>
      </c>
      <c r="B19" s="184">
        <v>2060414.0</v>
      </c>
      <c r="C19" s="184" t="s">
        <v>1342</v>
      </c>
      <c r="D19" s="184" t="s">
        <v>1228</v>
      </c>
      <c r="E19" s="184" t="s">
        <v>1343</v>
      </c>
      <c r="F19" s="184" t="s">
        <v>262</v>
      </c>
      <c r="G19" s="184" t="s">
        <v>146</v>
      </c>
      <c r="H19" s="184" t="s">
        <v>1230</v>
      </c>
      <c r="I19" s="181" t="s">
        <v>1344</v>
      </c>
      <c r="J19" s="184" t="s">
        <v>1345</v>
      </c>
      <c r="K19" s="184" t="s">
        <v>1346</v>
      </c>
      <c r="L19" s="184" t="s">
        <v>1347</v>
      </c>
      <c r="M19" s="180" t="s">
        <v>1235</v>
      </c>
      <c r="N19" s="185">
        <v>46223.0</v>
      </c>
      <c r="O19" s="185">
        <v>46300.0</v>
      </c>
      <c r="P19" s="184"/>
    </row>
    <row r="20">
      <c r="A20" s="180" t="s">
        <v>1348</v>
      </c>
      <c r="B20" s="184">
        <v>2060415.0</v>
      </c>
      <c r="C20" s="184" t="s">
        <v>1349</v>
      </c>
      <c r="D20" s="184" t="s">
        <v>1228</v>
      </c>
      <c r="E20" s="184" t="s">
        <v>1343</v>
      </c>
      <c r="F20" s="184" t="s">
        <v>262</v>
      </c>
      <c r="G20" s="184" t="s">
        <v>146</v>
      </c>
      <c r="H20" s="184" t="s">
        <v>1230</v>
      </c>
      <c r="I20" s="181" t="s">
        <v>1352</v>
      </c>
      <c r="J20" s="184" t="s">
        <v>1345</v>
      </c>
      <c r="K20" s="184" t="s">
        <v>1346</v>
      </c>
      <c r="L20" s="184" t="s">
        <v>1353</v>
      </c>
      <c r="M20" s="180" t="s">
        <v>1235</v>
      </c>
      <c r="N20" s="185">
        <v>46223.0</v>
      </c>
      <c r="O20" s="185">
        <v>46300.0</v>
      </c>
      <c r="P20" s="184"/>
    </row>
    <row r="21">
      <c r="A21" s="180" t="s">
        <v>1354</v>
      </c>
      <c r="B21" s="184">
        <v>2060512.0</v>
      </c>
      <c r="C21" s="184" t="s">
        <v>1355</v>
      </c>
      <c r="D21" s="184" t="s">
        <v>1228</v>
      </c>
      <c r="E21" s="184" t="s">
        <v>1356</v>
      </c>
      <c r="F21" s="184" t="s">
        <v>262</v>
      </c>
      <c r="G21" s="184" t="s">
        <v>146</v>
      </c>
      <c r="H21" s="184" t="s">
        <v>1230</v>
      </c>
      <c r="I21" s="181" t="s">
        <v>1358</v>
      </c>
      <c r="J21" s="184"/>
      <c r="K21" s="184" t="s">
        <v>1360</v>
      </c>
      <c r="L21" s="184" t="s">
        <v>1361</v>
      </c>
      <c r="M21" s="180" t="s">
        <v>1235</v>
      </c>
      <c r="N21" s="185">
        <v>46223.0</v>
      </c>
      <c r="O21" s="185">
        <v>46300.0</v>
      </c>
      <c r="P21" s="184"/>
    </row>
    <row r="22">
      <c r="A22" s="180" t="s">
        <v>1362</v>
      </c>
      <c r="B22" s="184">
        <v>2060234.0</v>
      </c>
      <c r="C22" s="184" t="s">
        <v>1007</v>
      </c>
      <c r="D22" s="184" t="s">
        <v>1228</v>
      </c>
      <c r="E22" s="184" t="s">
        <v>1274</v>
      </c>
      <c r="F22" s="184" t="s">
        <v>85</v>
      </c>
      <c r="G22" s="184" t="s">
        <v>146</v>
      </c>
      <c r="H22" s="184" t="s">
        <v>1230</v>
      </c>
      <c r="I22" s="181" t="s">
        <v>1363</v>
      </c>
      <c r="J22" s="184" t="s">
        <v>1364</v>
      </c>
      <c r="K22" s="184" t="s">
        <v>1365</v>
      </c>
      <c r="L22" s="184" t="s">
        <v>1366</v>
      </c>
      <c r="M22" s="180" t="s">
        <v>1235</v>
      </c>
      <c r="N22" s="185">
        <v>46225.0</v>
      </c>
      <c r="O22" s="185">
        <v>46300.0</v>
      </c>
      <c r="P22" s="184"/>
    </row>
    <row r="23">
      <c r="A23" s="180" t="s">
        <v>1368</v>
      </c>
      <c r="B23" s="180"/>
      <c r="C23" s="180" t="s">
        <v>1369</v>
      </c>
      <c r="D23" s="180" t="s">
        <v>1228</v>
      </c>
      <c r="E23" s="180" t="s">
        <v>1308</v>
      </c>
      <c r="F23" s="180" t="s">
        <v>85</v>
      </c>
      <c r="G23" s="180" t="s">
        <v>146</v>
      </c>
      <c r="H23" s="184" t="s">
        <v>1372</v>
      </c>
      <c r="I23" s="181" t="s">
        <v>1373</v>
      </c>
      <c r="J23" s="181" t="s">
        <v>1374</v>
      </c>
      <c r="K23" s="181" t="s">
        <v>1375</v>
      </c>
      <c r="L23" s="181" t="s">
        <v>1377</v>
      </c>
      <c r="M23" s="180" t="s">
        <v>1378</v>
      </c>
      <c r="N23" s="182">
        <v>46240.0</v>
      </c>
      <c r="O23" s="183"/>
      <c r="P23" s="181" t="s">
        <v>1380</v>
      </c>
      <c r="Q23" s="179"/>
      <c r="R23" s="179"/>
      <c r="S23" s="179"/>
      <c r="T23" s="179"/>
      <c r="U23" s="179"/>
      <c r="V23" s="179"/>
      <c r="W23" s="179"/>
    </row>
    <row r="24">
      <c r="A24" s="180" t="s">
        <v>1381</v>
      </c>
      <c r="B24" s="180">
        <v>2061401.0</v>
      </c>
      <c r="C24" s="180" t="s">
        <v>1382</v>
      </c>
      <c r="D24" s="180" t="s">
        <v>1228</v>
      </c>
      <c r="E24" s="180" t="s">
        <v>1383</v>
      </c>
      <c r="F24" s="180" t="s">
        <v>85</v>
      </c>
      <c r="G24" s="180" t="s">
        <v>146</v>
      </c>
      <c r="H24" s="184" t="s">
        <v>1372</v>
      </c>
      <c r="I24" s="181" t="s">
        <v>1384</v>
      </c>
      <c r="J24" s="181" t="s">
        <v>1384</v>
      </c>
      <c r="K24" s="181" t="s">
        <v>1387</v>
      </c>
      <c r="L24" s="181" t="s">
        <v>1388</v>
      </c>
      <c r="M24" s="180" t="s">
        <v>1235</v>
      </c>
      <c r="N24" s="182">
        <v>46281.0</v>
      </c>
      <c r="O24" s="183"/>
      <c r="P24" s="181"/>
      <c r="Q24" s="179"/>
      <c r="R24" s="179"/>
      <c r="S24" s="179"/>
      <c r="T24" s="179"/>
      <c r="U24" s="179"/>
      <c r="V24" s="179"/>
      <c r="W24" s="179"/>
    </row>
    <row r="25">
      <c r="A25" s="180" t="s">
        <v>1389</v>
      </c>
      <c r="B25" s="180">
        <v>2061403.0</v>
      </c>
      <c r="C25" s="180" t="s">
        <v>1391</v>
      </c>
      <c r="D25" s="180" t="s">
        <v>1228</v>
      </c>
      <c r="E25" s="180" t="s">
        <v>1383</v>
      </c>
      <c r="F25" s="180" t="s">
        <v>85</v>
      </c>
      <c r="G25" s="180" t="s">
        <v>146</v>
      </c>
      <c r="H25" s="184" t="s">
        <v>1372</v>
      </c>
      <c r="I25" s="181" t="s">
        <v>1393</v>
      </c>
      <c r="J25" s="181" t="s">
        <v>1393</v>
      </c>
      <c r="K25" s="181" t="s">
        <v>1394</v>
      </c>
      <c r="L25" s="181" t="s">
        <v>1395</v>
      </c>
      <c r="M25" s="180" t="s">
        <v>1235</v>
      </c>
      <c r="N25" s="182">
        <v>46282.0</v>
      </c>
      <c r="O25" s="183"/>
      <c r="P25" s="181"/>
      <c r="Q25" s="179"/>
      <c r="R25" s="179"/>
      <c r="S25" s="179"/>
      <c r="T25" s="179"/>
      <c r="U25" s="179"/>
      <c r="V25" s="179"/>
      <c r="W25" s="179"/>
    </row>
    <row r="26">
      <c r="A26" s="180" t="s">
        <v>1396</v>
      </c>
      <c r="B26" s="180">
        <v>2060124.0</v>
      </c>
      <c r="C26" s="180" t="s">
        <v>1397</v>
      </c>
      <c r="D26" s="180" t="s">
        <v>1228</v>
      </c>
      <c r="E26" s="180" t="s">
        <v>1308</v>
      </c>
      <c r="F26" s="180" t="s">
        <v>75</v>
      </c>
      <c r="G26" s="180" t="s">
        <v>74</v>
      </c>
      <c r="H26" s="184" t="s">
        <v>1230</v>
      </c>
      <c r="I26" s="181" t="s">
        <v>1400</v>
      </c>
      <c r="J26" s="181" t="s">
        <v>1401</v>
      </c>
      <c r="K26" s="181" t="s">
        <v>1402</v>
      </c>
      <c r="L26" s="181" t="s">
        <v>1403</v>
      </c>
      <c r="M26" s="180" t="s">
        <v>1235</v>
      </c>
      <c r="N26" s="182">
        <v>46282.0</v>
      </c>
      <c r="O26" s="185">
        <v>46300.0</v>
      </c>
      <c r="P26" s="181" t="s">
        <v>1404</v>
      </c>
      <c r="Q26" s="179"/>
      <c r="R26" s="179"/>
      <c r="S26" s="179"/>
      <c r="T26" s="179"/>
      <c r="U26" s="179"/>
      <c r="V26" s="179"/>
      <c r="W26" s="179"/>
    </row>
    <row r="27">
      <c r="A27" s="180" t="s">
        <v>1407</v>
      </c>
      <c r="B27" s="180">
        <v>2060236.0</v>
      </c>
      <c r="C27" s="180" t="s">
        <v>1016</v>
      </c>
      <c r="D27" s="180" t="s">
        <v>1228</v>
      </c>
      <c r="E27" s="180" t="s">
        <v>1274</v>
      </c>
      <c r="F27" s="180" t="s">
        <v>85</v>
      </c>
      <c r="G27" s="180" t="s">
        <v>74</v>
      </c>
      <c r="H27" s="184" t="s">
        <v>1230</v>
      </c>
      <c r="I27" s="181" t="s">
        <v>1408</v>
      </c>
      <c r="J27" s="181" t="s">
        <v>1409</v>
      </c>
      <c r="K27" s="181" t="s">
        <v>1410</v>
      </c>
      <c r="L27" s="181" t="s">
        <v>1411</v>
      </c>
      <c r="M27" s="180" t="s">
        <v>1235</v>
      </c>
      <c r="N27" s="182">
        <v>46286.0</v>
      </c>
      <c r="O27" s="185">
        <v>46300.0</v>
      </c>
      <c r="P27" s="181" t="s">
        <v>1412</v>
      </c>
      <c r="Q27" s="179"/>
      <c r="R27" s="179"/>
      <c r="S27" s="179"/>
      <c r="T27" s="179"/>
      <c r="U27" s="179"/>
      <c r="V27" s="179"/>
      <c r="W27" s="179"/>
    </row>
    <row r="28">
      <c r="A28" s="180" t="s">
        <v>1413</v>
      </c>
      <c r="B28" s="180">
        <v>2060908.0</v>
      </c>
      <c r="C28" s="180" t="s">
        <v>1414</v>
      </c>
      <c r="D28" s="180" t="s">
        <v>1228</v>
      </c>
      <c r="E28" s="180" t="s">
        <v>1415</v>
      </c>
      <c r="F28" s="180" t="s">
        <v>85</v>
      </c>
      <c r="G28" s="180" t="s">
        <v>146</v>
      </c>
      <c r="H28" s="184" t="s">
        <v>1230</v>
      </c>
      <c r="I28" s="181" t="s">
        <v>1416</v>
      </c>
      <c r="J28" s="181" t="s">
        <v>1417</v>
      </c>
      <c r="K28" s="181" t="s">
        <v>1418</v>
      </c>
      <c r="L28" s="181" t="s">
        <v>1419</v>
      </c>
      <c r="M28" s="180" t="s">
        <v>1235</v>
      </c>
      <c r="N28" s="182">
        <v>46286.0</v>
      </c>
      <c r="O28" s="185">
        <v>46300.0</v>
      </c>
      <c r="P28" s="181" t="s">
        <v>1420</v>
      </c>
      <c r="Q28" s="179"/>
      <c r="R28" s="179"/>
      <c r="S28" s="179"/>
      <c r="T28" s="179"/>
      <c r="U28" s="179"/>
      <c r="V28" s="179"/>
      <c r="W28" s="179"/>
    </row>
    <row r="29">
      <c r="A29" s="180" t="s">
        <v>1421</v>
      </c>
      <c r="B29" s="180">
        <v>2061510.0</v>
      </c>
      <c r="C29" s="180" t="s">
        <v>1187</v>
      </c>
      <c r="D29" s="180" t="s">
        <v>1228</v>
      </c>
      <c r="E29" s="180" t="s">
        <v>1422</v>
      </c>
      <c r="F29" s="180" t="s">
        <v>262</v>
      </c>
      <c r="G29" s="180" t="s">
        <v>261</v>
      </c>
      <c r="H29" s="184" t="s">
        <v>1230</v>
      </c>
      <c r="I29" s="181" t="s">
        <v>1425</v>
      </c>
      <c r="J29" s="181" t="s">
        <v>1426</v>
      </c>
      <c r="K29" s="181" t="s">
        <v>1427</v>
      </c>
      <c r="L29" s="181" t="s">
        <v>1428</v>
      </c>
      <c r="M29" s="180" t="s">
        <v>1235</v>
      </c>
      <c r="N29" s="182">
        <v>46286.0</v>
      </c>
      <c r="O29" s="183"/>
      <c r="P29" s="181" t="s">
        <v>1429</v>
      </c>
      <c r="Q29" s="179"/>
      <c r="R29" s="179"/>
      <c r="S29" s="179"/>
      <c r="T29" s="179"/>
      <c r="U29" s="179"/>
      <c r="V29" s="179"/>
      <c r="W29" s="179"/>
    </row>
    <row r="30">
      <c r="A30" s="180" t="s">
        <v>1150</v>
      </c>
      <c r="B30" s="180">
        <v>2061613.0</v>
      </c>
      <c r="C30" s="180" t="s">
        <v>1148</v>
      </c>
      <c r="D30" s="180" t="s">
        <v>1228</v>
      </c>
      <c r="E30" s="180" t="s">
        <v>1431</v>
      </c>
      <c r="F30" s="180" t="s">
        <v>85</v>
      </c>
      <c r="G30" s="180" t="s">
        <v>146</v>
      </c>
      <c r="H30" s="184" t="s">
        <v>1230</v>
      </c>
      <c r="I30" s="181" t="s">
        <v>1432</v>
      </c>
      <c r="J30" s="181" t="s">
        <v>1433</v>
      </c>
      <c r="K30" s="181" t="s">
        <v>1434</v>
      </c>
      <c r="L30" s="181" t="s">
        <v>1435</v>
      </c>
      <c r="M30" s="180" t="s">
        <v>1235</v>
      </c>
      <c r="N30" s="182">
        <v>46288.0</v>
      </c>
      <c r="O30" s="185">
        <v>46300.0</v>
      </c>
      <c r="P30" s="181" t="s">
        <v>1436</v>
      </c>
      <c r="Q30" s="179"/>
      <c r="R30" s="179"/>
      <c r="S30" s="179"/>
      <c r="T30" s="179"/>
      <c r="U30" s="179"/>
      <c r="V30" s="179"/>
      <c r="W30" s="179"/>
    </row>
    <row r="31">
      <c r="A31" s="180" t="s">
        <v>1438</v>
      </c>
      <c r="B31" s="180">
        <v>2060910.0</v>
      </c>
      <c r="C31" s="180" t="s">
        <v>1439</v>
      </c>
      <c r="D31" s="180" t="s">
        <v>1228</v>
      </c>
      <c r="E31" s="180" t="s">
        <v>1415</v>
      </c>
      <c r="F31" s="180" t="s">
        <v>85</v>
      </c>
      <c r="G31" s="180" t="s">
        <v>146</v>
      </c>
      <c r="H31" s="184" t="s">
        <v>1230</v>
      </c>
      <c r="I31" s="181" t="s">
        <v>1440</v>
      </c>
      <c r="J31" s="181" t="s">
        <v>1441</v>
      </c>
      <c r="K31" s="181" t="s">
        <v>1442</v>
      </c>
      <c r="L31" s="181" t="s">
        <v>1443</v>
      </c>
      <c r="M31" s="180" t="s">
        <v>1235</v>
      </c>
      <c r="N31" s="182">
        <v>46288.0</v>
      </c>
      <c r="O31" s="185">
        <v>46300.0</v>
      </c>
      <c r="P31" s="181" t="s">
        <v>1444</v>
      </c>
      <c r="Q31" s="179"/>
      <c r="R31" s="179"/>
      <c r="S31" s="179"/>
      <c r="T31" s="179"/>
      <c r="U31" s="179"/>
      <c r="V31" s="179"/>
      <c r="W31" s="179"/>
    </row>
    <row r="32">
      <c r="A32" s="180" t="s">
        <v>1445</v>
      </c>
      <c r="B32" s="180">
        <v>2060324.0</v>
      </c>
      <c r="C32" s="180" t="s">
        <v>1405</v>
      </c>
      <c r="D32" s="180" t="s">
        <v>1228</v>
      </c>
      <c r="E32" s="180" t="s">
        <v>1446</v>
      </c>
      <c r="F32" s="180" t="s">
        <v>262</v>
      </c>
      <c r="G32" s="180" t="s">
        <v>261</v>
      </c>
      <c r="H32" s="184" t="s">
        <v>1230</v>
      </c>
      <c r="I32" s="181" t="s">
        <v>1448</v>
      </c>
      <c r="J32" s="181" t="s">
        <v>1433</v>
      </c>
      <c r="K32" s="181" t="s">
        <v>1449</v>
      </c>
      <c r="L32" s="181" t="s">
        <v>1451</v>
      </c>
      <c r="M32" s="180" t="s">
        <v>1235</v>
      </c>
      <c r="N32" s="182">
        <v>46289.0</v>
      </c>
      <c r="O32" s="185">
        <v>46300.0</v>
      </c>
      <c r="P32" s="181" t="s">
        <v>1453</v>
      </c>
      <c r="Q32" s="179"/>
      <c r="R32" s="179"/>
      <c r="S32" s="179"/>
      <c r="T32" s="179"/>
      <c r="U32" s="179"/>
      <c r="V32" s="179"/>
      <c r="W32" s="179"/>
    </row>
    <row r="33">
      <c r="A33" s="180" t="s">
        <v>1455</v>
      </c>
      <c r="B33" s="180">
        <v>2061402.0</v>
      </c>
      <c r="C33" s="180" t="s">
        <v>1456</v>
      </c>
      <c r="D33" s="180" t="s">
        <v>1228</v>
      </c>
      <c r="E33" s="180" t="s">
        <v>1383</v>
      </c>
      <c r="F33" s="180" t="s">
        <v>85</v>
      </c>
      <c r="G33" s="180" t="s">
        <v>146</v>
      </c>
      <c r="H33" s="184" t="s">
        <v>1230</v>
      </c>
      <c r="I33" s="181" t="s">
        <v>1457</v>
      </c>
      <c r="J33" s="181" t="s">
        <v>1458</v>
      </c>
      <c r="K33" s="181" t="s">
        <v>1459</v>
      </c>
      <c r="L33" s="181" t="s">
        <v>1460</v>
      </c>
      <c r="M33" s="180" t="s">
        <v>1235</v>
      </c>
      <c r="N33" s="182">
        <v>46293.0</v>
      </c>
      <c r="O33" s="185">
        <v>46300.0</v>
      </c>
      <c r="P33" s="181" t="s">
        <v>1461</v>
      </c>
      <c r="Q33" s="179"/>
      <c r="R33" s="179"/>
      <c r="S33" s="179"/>
      <c r="T33" s="179"/>
      <c r="U33" s="179"/>
      <c r="V33" s="179"/>
      <c r="W33" s="179"/>
    </row>
    <row r="34">
      <c r="A34" s="180" t="s">
        <v>1462</v>
      </c>
      <c r="B34" s="180">
        <v>2061404.0</v>
      </c>
      <c r="C34" s="180" t="s">
        <v>1463</v>
      </c>
      <c r="D34" s="180" t="s">
        <v>1228</v>
      </c>
      <c r="E34" s="180" t="s">
        <v>1383</v>
      </c>
      <c r="F34" s="180" t="s">
        <v>85</v>
      </c>
      <c r="G34" s="180" t="s">
        <v>146</v>
      </c>
      <c r="H34" s="184" t="s">
        <v>1372</v>
      </c>
      <c r="I34" s="181" t="s">
        <v>1464</v>
      </c>
      <c r="J34" s="181" t="s">
        <v>1465</v>
      </c>
      <c r="K34" s="181" t="s">
        <v>1466</v>
      </c>
      <c r="L34" s="181" t="s">
        <v>1467</v>
      </c>
      <c r="M34" s="180" t="s">
        <v>1235</v>
      </c>
      <c r="N34" s="182">
        <v>46293.0</v>
      </c>
      <c r="O34" s="183"/>
      <c r="P34" s="181" t="s">
        <v>1469</v>
      </c>
      <c r="Q34" s="179"/>
      <c r="R34" s="179"/>
      <c r="S34" s="179"/>
      <c r="T34" s="179"/>
      <c r="U34" s="179"/>
      <c r="V34" s="179"/>
      <c r="W34" s="179"/>
    </row>
    <row r="35">
      <c r="A35" s="180" t="s">
        <v>1471</v>
      </c>
      <c r="B35" s="180">
        <v>2061602.0</v>
      </c>
      <c r="C35" s="180" t="s">
        <v>479</v>
      </c>
      <c r="D35" s="180" t="s">
        <v>1228</v>
      </c>
      <c r="E35" s="180" t="s">
        <v>1431</v>
      </c>
      <c r="F35" s="180" t="s">
        <v>75</v>
      </c>
      <c r="G35" s="180" t="s">
        <v>74</v>
      </c>
      <c r="H35" s="184" t="s">
        <v>1230</v>
      </c>
      <c r="I35" s="181" t="s">
        <v>1473</v>
      </c>
      <c r="J35" s="181" t="s">
        <v>1474</v>
      </c>
      <c r="K35" s="181" t="s">
        <v>1475</v>
      </c>
      <c r="L35" s="181" t="s">
        <v>1476</v>
      </c>
      <c r="M35" s="180" t="s">
        <v>1235</v>
      </c>
      <c r="N35" s="182">
        <v>46297.0</v>
      </c>
      <c r="O35" s="183"/>
      <c r="P35" s="181" t="s">
        <v>1477</v>
      </c>
      <c r="Q35" s="179"/>
      <c r="R35" s="179"/>
      <c r="S35" s="179"/>
      <c r="T35" s="179"/>
      <c r="U35" s="179"/>
      <c r="V35" s="179"/>
      <c r="W35" s="179"/>
    </row>
    <row r="36">
      <c r="A36" s="180" t="s">
        <v>1478</v>
      </c>
      <c r="B36" s="180">
        <v>2060413.0</v>
      </c>
      <c r="C36" s="180" t="s">
        <v>1479</v>
      </c>
      <c r="D36" s="180" t="s">
        <v>1228</v>
      </c>
      <c r="E36" s="180" t="s">
        <v>1343</v>
      </c>
      <c r="F36" s="180" t="s">
        <v>85</v>
      </c>
      <c r="G36" s="180" t="s">
        <v>146</v>
      </c>
      <c r="H36" s="184" t="s">
        <v>1230</v>
      </c>
      <c r="I36" s="181" t="s">
        <v>1480</v>
      </c>
      <c r="J36" s="181" t="s">
        <v>1480</v>
      </c>
      <c r="K36" s="181" t="s">
        <v>1481</v>
      </c>
      <c r="L36" s="181" t="s">
        <v>1481</v>
      </c>
      <c r="M36" s="180" t="s">
        <v>1235</v>
      </c>
      <c r="N36" s="182">
        <v>46300.0</v>
      </c>
      <c r="O36" s="182">
        <v>46303.0</v>
      </c>
      <c r="P36" s="181" t="s">
        <v>1482</v>
      </c>
      <c r="Q36" s="179"/>
      <c r="R36" s="179"/>
      <c r="S36" s="179"/>
      <c r="T36" s="179"/>
      <c r="U36" s="179"/>
      <c r="V36" s="179"/>
      <c r="W36" s="179"/>
    </row>
    <row r="37">
      <c r="A37" s="180" t="s">
        <v>1484</v>
      </c>
      <c r="B37" s="180">
        <v>2060514.0</v>
      </c>
      <c r="C37" s="180" t="s">
        <v>1485</v>
      </c>
      <c r="D37" s="180" t="s">
        <v>1228</v>
      </c>
      <c r="E37" s="180" t="s">
        <v>1356</v>
      </c>
      <c r="F37" s="180" t="s">
        <v>85</v>
      </c>
      <c r="G37" s="180" t="s">
        <v>146</v>
      </c>
      <c r="H37" s="184" t="s">
        <v>1230</v>
      </c>
      <c r="I37" s="181" t="s">
        <v>1488</v>
      </c>
      <c r="J37" s="181" t="s">
        <v>1488</v>
      </c>
      <c r="K37" s="181" t="s">
        <v>1481</v>
      </c>
      <c r="L37" s="181" t="s">
        <v>1481</v>
      </c>
      <c r="M37" s="180" t="s">
        <v>1235</v>
      </c>
      <c r="N37" s="182">
        <v>46300.0</v>
      </c>
      <c r="O37" s="182">
        <v>46303.0</v>
      </c>
      <c r="P37" s="181" t="s">
        <v>1482</v>
      </c>
      <c r="Q37" s="179"/>
      <c r="R37" s="179"/>
      <c r="S37" s="179"/>
      <c r="T37" s="179"/>
      <c r="U37" s="179"/>
      <c r="V37" s="179"/>
      <c r="W37" s="179"/>
    </row>
    <row r="38">
      <c r="A38" s="180" t="s">
        <v>1490</v>
      </c>
      <c r="B38" s="180">
        <v>2060711.0</v>
      </c>
      <c r="C38" s="180" t="s">
        <v>1491</v>
      </c>
      <c r="D38" s="180" t="s">
        <v>1228</v>
      </c>
      <c r="E38" s="180" t="s">
        <v>1336</v>
      </c>
      <c r="F38" s="180" t="s">
        <v>85</v>
      </c>
      <c r="G38" s="180" t="s">
        <v>146</v>
      </c>
      <c r="H38" s="184" t="s">
        <v>1230</v>
      </c>
      <c r="I38" s="181" t="s">
        <v>1492</v>
      </c>
      <c r="J38" s="181" t="s">
        <v>1492</v>
      </c>
      <c r="K38" s="181" t="s">
        <v>1481</v>
      </c>
      <c r="L38" s="181" t="s">
        <v>1481</v>
      </c>
      <c r="M38" s="180" t="s">
        <v>1235</v>
      </c>
      <c r="N38" s="182">
        <v>46300.0</v>
      </c>
      <c r="O38" s="182">
        <v>46303.0</v>
      </c>
      <c r="P38" s="181" t="s">
        <v>1482</v>
      </c>
      <c r="Q38" s="179"/>
      <c r="R38" s="179"/>
      <c r="S38" s="179"/>
      <c r="T38" s="179"/>
      <c r="U38" s="179"/>
      <c r="V38" s="179"/>
      <c r="W38" s="179"/>
    </row>
    <row r="39">
      <c r="A39" s="180" t="s">
        <v>1494</v>
      </c>
      <c r="B39" s="180">
        <v>2060102.0</v>
      </c>
      <c r="C39" s="180" t="s">
        <v>778</v>
      </c>
      <c r="D39" s="180" t="s">
        <v>1228</v>
      </c>
      <c r="E39" s="180" t="s">
        <v>1308</v>
      </c>
      <c r="F39" s="180" t="s">
        <v>85</v>
      </c>
      <c r="G39" s="180" t="s">
        <v>146</v>
      </c>
      <c r="H39" s="184" t="s">
        <v>1230</v>
      </c>
      <c r="I39" s="181" t="s">
        <v>1495</v>
      </c>
      <c r="J39" s="181" t="s">
        <v>1496</v>
      </c>
      <c r="K39" s="181" t="s">
        <v>1497</v>
      </c>
      <c r="L39" s="181" t="s">
        <v>1498</v>
      </c>
      <c r="M39" s="180" t="s">
        <v>1235</v>
      </c>
      <c r="N39" s="182">
        <v>46300.0</v>
      </c>
      <c r="O39" s="183"/>
      <c r="P39" s="181"/>
      <c r="Q39" s="179"/>
      <c r="R39" s="179"/>
      <c r="S39" s="179"/>
      <c r="T39" s="179"/>
      <c r="U39" s="179"/>
      <c r="V39" s="179"/>
      <c r="W39" s="179"/>
    </row>
    <row r="40">
      <c r="A40" s="180" t="s">
        <v>1500</v>
      </c>
      <c r="B40" s="180">
        <v>2060103.0</v>
      </c>
      <c r="C40" s="180" t="s">
        <v>782</v>
      </c>
      <c r="D40" s="180" t="s">
        <v>1228</v>
      </c>
      <c r="E40" s="180" t="s">
        <v>1308</v>
      </c>
      <c r="F40" s="180" t="s">
        <v>85</v>
      </c>
      <c r="G40" s="180" t="s">
        <v>146</v>
      </c>
      <c r="H40" s="184" t="s">
        <v>1230</v>
      </c>
      <c r="I40" s="181" t="s">
        <v>1502</v>
      </c>
      <c r="J40" s="181" t="s">
        <v>1496</v>
      </c>
      <c r="K40" s="181" t="s">
        <v>1497</v>
      </c>
      <c r="L40" s="181" t="s">
        <v>1498</v>
      </c>
      <c r="M40" s="180" t="s">
        <v>1235</v>
      </c>
      <c r="N40" s="182">
        <v>46300.0</v>
      </c>
      <c r="O40" s="183"/>
      <c r="P40" s="181"/>
      <c r="Q40" s="179"/>
      <c r="R40" s="179"/>
      <c r="S40" s="179"/>
      <c r="T40" s="179"/>
      <c r="U40" s="179"/>
      <c r="V40" s="179"/>
      <c r="W40" s="179"/>
    </row>
    <row r="41">
      <c r="A41" s="180" t="s">
        <v>1504</v>
      </c>
      <c r="B41" s="180">
        <v>2060201.0</v>
      </c>
      <c r="C41" s="180" t="s">
        <v>415</v>
      </c>
      <c r="D41" s="180" t="s">
        <v>1228</v>
      </c>
      <c r="E41" s="180" t="s">
        <v>1274</v>
      </c>
      <c r="F41" s="180" t="s">
        <v>85</v>
      </c>
      <c r="G41" s="180" t="s">
        <v>146</v>
      </c>
      <c r="H41" s="184" t="s">
        <v>1230</v>
      </c>
      <c r="I41" s="181" t="s">
        <v>1505</v>
      </c>
      <c r="J41" s="181" t="s">
        <v>1496</v>
      </c>
      <c r="K41" s="181" t="s">
        <v>1497</v>
      </c>
      <c r="L41" s="181" t="s">
        <v>1498</v>
      </c>
      <c r="M41" s="180" t="s">
        <v>1235</v>
      </c>
      <c r="N41" s="182">
        <v>46300.0</v>
      </c>
      <c r="O41" s="183"/>
      <c r="P41" s="181"/>
      <c r="Q41" s="179"/>
      <c r="R41" s="179"/>
      <c r="S41" s="179"/>
      <c r="T41" s="179"/>
      <c r="U41" s="179"/>
      <c r="V41" s="179"/>
      <c r="W41" s="179"/>
    </row>
    <row r="42">
      <c r="A42" s="180" t="s">
        <v>1506</v>
      </c>
      <c r="B42" s="180">
        <v>2060208.0</v>
      </c>
      <c r="C42" s="180" t="s">
        <v>442</v>
      </c>
      <c r="D42" s="180" t="s">
        <v>1228</v>
      </c>
      <c r="E42" s="180" t="s">
        <v>1274</v>
      </c>
      <c r="F42" s="180" t="s">
        <v>85</v>
      </c>
      <c r="G42" s="180" t="s">
        <v>146</v>
      </c>
      <c r="H42" s="184" t="s">
        <v>1230</v>
      </c>
      <c r="I42" s="181" t="s">
        <v>1507</v>
      </c>
      <c r="J42" s="181" t="s">
        <v>1496</v>
      </c>
      <c r="K42" s="181" t="s">
        <v>1497</v>
      </c>
      <c r="L42" s="181" t="s">
        <v>1498</v>
      </c>
      <c r="M42" s="180" t="s">
        <v>1235</v>
      </c>
      <c r="N42" s="182">
        <v>46300.0</v>
      </c>
      <c r="O42" s="183"/>
      <c r="P42" s="181"/>
      <c r="Q42" s="179"/>
      <c r="R42" s="179"/>
      <c r="S42" s="179"/>
      <c r="T42" s="179"/>
      <c r="U42" s="179"/>
      <c r="V42" s="179"/>
      <c r="W42" s="179"/>
    </row>
    <row r="43">
      <c r="A43" s="180" t="s">
        <v>1510</v>
      </c>
      <c r="B43" s="180">
        <v>2060218.0</v>
      </c>
      <c r="C43" s="180" t="s">
        <v>951</v>
      </c>
      <c r="D43" s="180" t="s">
        <v>1228</v>
      </c>
      <c r="E43" s="180" t="s">
        <v>1274</v>
      </c>
      <c r="F43" s="180" t="s">
        <v>85</v>
      </c>
      <c r="G43" s="180" t="s">
        <v>146</v>
      </c>
      <c r="H43" s="184" t="s">
        <v>1230</v>
      </c>
      <c r="I43" s="181" t="s">
        <v>1513</v>
      </c>
      <c r="J43" s="181" t="s">
        <v>1496</v>
      </c>
      <c r="K43" s="181" t="s">
        <v>1497</v>
      </c>
      <c r="L43" s="181" t="s">
        <v>1498</v>
      </c>
      <c r="M43" s="180" t="s">
        <v>1235</v>
      </c>
      <c r="N43" s="182">
        <v>46300.0</v>
      </c>
      <c r="O43" s="183"/>
      <c r="P43" s="181"/>
      <c r="Q43" s="179"/>
      <c r="R43" s="179"/>
      <c r="S43" s="179"/>
      <c r="T43" s="179"/>
      <c r="U43" s="179"/>
      <c r="V43" s="179"/>
      <c r="W43" s="179"/>
    </row>
    <row r="44">
      <c r="A44" s="180" t="s">
        <v>1189</v>
      </c>
      <c r="B44" s="180">
        <v>2061510.0</v>
      </c>
      <c r="C44" s="180" t="s">
        <v>1187</v>
      </c>
      <c r="D44" s="180" t="s">
        <v>1228</v>
      </c>
      <c r="E44" s="180" t="s">
        <v>1422</v>
      </c>
      <c r="F44" s="180" t="s">
        <v>262</v>
      </c>
      <c r="G44" s="180" t="s">
        <v>261</v>
      </c>
      <c r="H44" s="184" t="s">
        <v>1372</v>
      </c>
      <c r="I44" s="181" t="s">
        <v>1515</v>
      </c>
      <c r="J44" s="181" t="s">
        <v>1516</v>
      </c>
      <c r="K44" s="181" t="s">
        <v>1517</v>
      </c>
      <c r="L44" s="181" t="s">
        <v>1518</v>
      </c>
      <c r="M44" s="180" t="s">
        <v>1235</v>
      </c>
      <c r="N44" s="182">
        <v>46301.0</v>
      </c>
      <c r="O44" s="183"/>
      <c r="P44" s="181" t="s">
        <v>1519</v>
      </c>
      <c r="Q44" s="179"/>
      <c r="R44" s="179"/>
      <c r="S44" s="179"/>
      <c r="T44" s="179"/>
      <c r="U44" s="179"/>
      <c r="V44" s="179"/>
      <c r="W44" s="179"/>
    </row>
    <row r="45">
      <c r="A45" s="180" t="s">
        <v>622</v>
      </c>
      <c r="B45" s="180">
        <v>2061602.0</v>
      </c>
      <c r="C45" s="180" t="s">
        <v>479</v>
      </c>
      <c r="D45" s="180" t="s">
        <v>1228</v>
      </c>
      <c r="E45" s="180" t="s">
        <v>1431</v>
      </c>
      <c r="F45" s="180" t="s">
        <v>75</v>
      </c>
      <c r="G45" s="180" t="s">
        <v>74</v>
      </c>
      <c r="H45" s="184" t="s">
        <v>1372</v>
      </c>
      <c r="I45" s="181" t="s">
        <v>1521</v>
      </c>
      <c r="J45" s="181" t="s">
        <v>1524</v>
      </c>
      <c r="K45" s="181" t="s">
        <v>1525</v>
      </c>
      <c r="L45" s="181" t="s">
        <v>1526</v>
      </c>
      <c r="M45" s="180" t="s">
        <v>1235</v>
      </c>
      <c r="N45" s="182">
        <v>46301.0</v>
      </c>
      <c r="O45" s="183"/>
      <c r="P45" s="181" t="s">
        <v>1528</v>
      </c>
      <c r="Q45" s="179"/>
      <c r="R45" s="179"/>
      <c r="S45" s="179"/>
      <c r="T45" s="179"/>
      <c r="U45" s="179"/>
      <c r="V45" s="179"/>
      <c r="W45" s="179"/>
    </row>
    <row r="46">
      <c r="A46" s="180" t="s">
        <v>1529</v>
      </c>
      <c r="B46" s="180">
        <v>2060221.0</v>
      </c>
      <c r="C46" s="180" t="s">
        <v>968</v>
      </c>
      <c r="D46" s="180" t="s">
        <v>1228</v>
      </c>
      <c r="E46" s="180" t="s">
        <v>1274</v>
      </c>
      <c r="F46" s="180" t="s">
        <v>85</v>
      </c>
      <c r="G46" s="180" t="s">
        <v>146</v>
      </c>
      <c r="H46" s="184" t="s">
        <v>1230</v>
      </c>
      <c r="I46" s="181" t="s">
        <v>1530</v>
      </c>
      <c r="J46" s="181" t="s">
        <v>1530</v>
      </c>
      <c r="K46" s="181" t="s">
        <v>1531</v>
      </c>
      <c r="L46" s="181" t="s">
        <v>1531</v>
      </c>
      <c r="M46" s="180" t="s">
        <v>1235</v>
      </c>
      <c r="N46" s="182">
        <v>46303.0</v>
      </c>
      <c r="O46" s="183"/>
      <c r="P46" s="181"/>
      <c r="Q46" s="179"/>
      <c r="R46" s="179"/>
      <c r="S46" s="179"/>
      <c r="T46" s="179"/>
      <c r="U46" s="179"/>
      <c r="V46" s="179"/>
      <c r="W46" s="179"/>
    </row>
    <row r="47">
      <c r="A47" s="180" t="s">
        <v>885</v>
      </c>
      <c r="B47" s="180">
        <v>2061009.0</v>
      </c>
      <c r="C47" s="180" t="s">
        <v>883</v>
      </c>
      <c r="D47" s="180" t="s">
        <v>1228</v>
      </c>
      <c r="E47" s="180" t="s">
        <v>1682</v>
      </c>
      <c r="F47" s="180" t="s">
        <v>262</v>
      </c>
      <c r="G47" s="180" t="s">
        <v>146</v>
      </c>
      <c r="H47" s="184" t="s">
        <v>1372</v>
      </c>
      <c r="I47" s="181" t="s">
        <v>1686</v>
      </c>
      <c r="J47" s="181" t="s">
        <v>1687</v>
      </c>
      <c r="K47" s="181" t="s">
        <v>1688</v>
      </c>
      <c r="L47" s="181" t="s">
        <v>1689</v>
      </c>
      <c r="M47" s="180" t="s">
        <v>1235</v>
      </c>
      <c r="N47" s="182">
        <v>46309.0</v>
      </c>
      <c r="O47" s="183"/>
      <c r="P47" s="181" t="s">
        <v>1691</v>
      </c>
      <c r="Q47" s="179"/>
      <c r="R47" s="179"/>
      <c r="S47" s="179"/>
      <c r="T47" s="179"/>
      <c r="U47" s="179"/>
      <c r="V47" s="179"/>
      <c r="W47" s="179"/>
    </row>
    <row r="48">
      <c r="A48" s="180"/>
      <c r="B48" s="180"/>
      <c r="C48" s="180"/>
      <c r="D48" s="180"/>
      <c r="E48" s="180"/>
      <c r="F48" s="180"/>
      <c r="G48" s="180"/>
      <c r="H48" s="181"/>
      <c r="I48" s="181"/>
      <c r="J48" s="181"/>
      <c r="K48" s="181"/>
      <c r="L48" s="181"/>
      <c r="M48" s="180"/>
      <c r="N48" s="182"/>
      <c r="O48" s="183"/>
      <c r="P48" s="181"/>
      <c r="Q48" s="179"/>
      <c r="R48" s="179"/>
      <c r="S48" s="179"/>
      <c r="T48" s="179"/>
      <c r="U48" s="179"/>
      <c r="V48" s="179"/>
      <c r="W48" s="179"/>
    </row>
    <row r="49">
      <c r="A49" s="74" t="s">
        <v>68</v>
      </c>
      <c r="B49" s="180"/>
      <c r="C49" s="180"/>
      <c r="D49" s="180"/>
      <c r="E49" s="180"/>
      <c r="F49" s="180"/>
      <c r="G49" s="180"/>
      <c r="H49" s="181"/>
      <c r="I49" s="181"/>
      <c r="J49" s="181"/>
      <c r="K49" s="181"/>
      <c r="L49" s="181"/>
      <c r="M49" s="180"/>
      <c r="N49" s="182"/>
      <c r="O49" s="183"/>
      <c r="P49" s="181"/>
      <c r="Q49" s="179"/>
      <c r="R49" s="179"/>
      <c r="S49" s="179"/>
      <c r="T49" s="179"/>
      <c r="U49" s="179"/>
      <c r="V49" s="179"/>
      <c r="W49" s="179"/>
    </row>
    <row r="50">
      <c r="A50" s="184" t="s">
        <v>1696</v>
      </c>
      <c r="B50" s="184">
        <v>1.2060101E7</v>
      </c>
      <c r="C50" s="184" t="s">
        <v>106</v>
      </c>
      <c r="D50" s="184" t="s">
        <v>1228</v>
      </c>
      <c r="E50" s="184" t="s">
        <v>1697</v>
      </c>
      <c r="F50" s="184" t="s">
        <v>85</v>
      </c>
      <c r="G50" s="184" t="s">
        <v>146</v>
      </c>
      <c r="H50" s="184" t="s">
        <v>1230</v>
      </c>
      <c r="I50" s="181" t="s">
        <v>1698</v>
      </c>
      <c r="J50" s="184" t="s">
        <v>1699</v>
      </c>
      <c r="K50" s="184" t="s">
        <v>1700</v>
      </c>
      <c r="L50" s="184" t="s">
        <v>1701</v>
      </c>
      <c r="M50" s="180" t="s">
        <v>1235</v>
      </c>
      <c r="N50" s="185">
        <v>46226.0</v>
      </c>
      <c r="O50" s="185">
        <v>46296.0</v>
      </c>
      <c r="P50" s="184"/>
    </row>
    <row r="51">
      <c r="A51" s="184" t="s">
        <v>1704</v>
      </c>
      <c r="B51" s="184">
        <v>1.2060102E7</v>
      </c>
      <c r="C51" s="184" t="s">
        <v>643</v>
      </c>
      <c r="D51" s="184" t="s">
        <v>1228</v>
      </c>
      <c r="E51" s="184" t="s">
        <v>1697</v>
      </c>
      <c r="F51" s="184" t="s">
        <v>85</v>
      </c>
      <c r="G51" s="184" t="s">
        <v>146</v>
      </c>
      <c r="H51" s="184" t="s">
        <v>1230</v>
      </c>
      <c r="I51" s="181" t="s">
        <v>1706</v>
      </c>
      <c r="J51" s="184" t="s">
        <v>1706</v>
      </c>
      <c r="K51" s="184" t="s">
        <v>1707</v>
      </c>
      <c r="L51" s="184" t="s">
        <v>1707</v>
      </c>
      <c r="M51" s="180" t="s">
        <v>1235</v>
      </c>
      <c r="N51" s="185">
        <v>46227.0</v>
      </c>
      <c r="O51" s="185">
        <v>46296.0</v>
      </c>
      <c r="P51" s="184"/>
    </row>
    <row r="52">
      <c r="A52" s="184" t="s">
        <v>1709</v>
      </c>
      <c r="B52" s="184">
        <v>1.2060203E7</v>
      </c>
      <c r="C52" s="184" t="s">
        <v>143</v>
      </c>
      <c r="D52" s="184" t="s">
        <v>1228</v>
      </c>
      <c r="E52" s="184" t="s">
        <v>1710</v>
      </c>
      <c r="F52" s="184" t="s">
        <v>85</v>
      </c>
      <c r="G52" s="184" t="s">
        <v>146</v>
      </c>
      <c r="H52" s="184" t="s">
        <v>1230</v>
      </c>
      <c r="I52" s="181" t="s">
        <v>1711</v>
      </c>
      <c r="J52" s="184" t="s">
        <v>1711</v>
      </c>
      <c r="K52" s="184" t="s">
        <v>1713</v>
      </c>
      <c r="L52" s="184" t="s">
        <v>1715</v>
      </c>
      <c r="M52" s="180" t="s">
        <v>1235</v>
      </c>
      <c r="N52" s="185">
        <v>46230.0</v>
      </c>
      <c r="O52" s="185">
        <v>46296.0</v>
      </c>
      <c r="P52" s="184"/>
    </row>
    <row r="53">
      <c r="A53" s="184" t="s">
        <v>1716</v>
      </c>
      <c r="B53" s="184">
        <v>1.2060207E7</v>
      </c>
      <c r="C53" s="184" t="s">
        <v>161</v>
      </c>
      <c r="D53" s="184" t="s">
        <v>1228</v>
      </c>
      <c r="E53" s="184" t="s">
        <v>1710</v>
      </c>
      <c r="F53" s="184" t="s">
        <v>85</v>
      </c>
      <c r="G53" s="184" t="s">
        <v>146</v>
      </c>
      <c r="H53" s="184" t="s">
        <v>1230</v>
      </c>
      <c r="I53" s="181" t="s">
        <v>1717</v>
      </c>
      <c r="J53" s="184" t="s">
        <v>1717</v>
      </c>
      <c r="K53" s="184" t="s">
        <v>1718</v>
      </c>
      <c r="L53" s="184" t="s">
        <v>1720</v>
      </c>
      <c r="M53" s="180" t="s">
        <v>1235</v>
      </c>
      <c r="N53" s="185">
        <v>46230.0</v>
      </c>
      <c r="O53" s="185">
        <v>46238.0</v>
      </c>
      <c r="P53" s="181" t="s">
        <v>1252</v>
      </c>
    </row>
    <row r="54">
      <c r="A54" s="184" t="s">
        <v>1722</v>
      </c>
      <c r="B54" s="184">
        <v>1.2060507E7</v>
      </c>
      <c r="C54" s="184" t="s">
        <v>360</v>
      </c>
      <c r="D54" s="184" t="s">
        <v>1228</v>
      </c>
      <c r="E54" s="184" t="s">
        <v>1724</v>
      </c>
      <c r="F54" s="184" t="s">
        <v>85</v>
      </c>
      <c r="G54" s="184" t="s">
        <v>146</v>
      </c>
      <c r="H54" s="184" t="s">
        <v>1230</v>
      </c>
      <c r="I54" s="181" t="s">
        <v>1725</v>
      </c>
      <c r="J54" s="184" t="s">
        <v>1726</v>
      </c>
      <c r="K54" s="184" t="s">
        <v>1727</v>
      </c>
      <c r="L54" s="184" t="s">
        <v>1728</v>
      </c>
      <c r="M54" s="180" t="s">
        <v>1235</v>
      </c>
      <c r="N54" s="185">
        <v>46232.0</v>
      </c>
      <c r="O54" s="185">
        <v>46244.0</v>
      </c>
      <c r="P54" s="181" t="s">
        <v>1252</v>
      </c>
    </row>
    <row r="55">
      <c r="A55" s="184" t="s">
        <v>1731</v>
      </c>
      <c r="B55" s="184">
        <v>1.2060511E7</v>
      </c>
      <c r="C55" s="184" t="s">
        <v>765</v>
      </c>
      <c r="D55" s="184" t="s">
        <v>1228</v>
      </c>
      <c r="E55" s="184" t="s">
        <v>1724</v>
      </c>
      <c r="F55" s="184" t="s">
        <v>85</v>
      </c>
      <c r="G55" s="184" t="s">
        <v>146</v>
      </c>
      <c r="H55" s="184" t="s">
        <v>1230</v>
      </c>
      <c r="I55" s="181" t="s">
        <v>1732</v>
      </c>
      <c r="J55" s="184" t="s">
        <v>1732</v>
      </c>
      <c r="K55" s="184" t="s">
        <v>1733</v>
      </c>
      <c r="L55" s="184" t="s">
        <v>1735</v>
      </c>
      <c r="M55" s="180" t="s">
        <v>1235</v>
      </c>
      <c r="N55" s="185">
        <v>46232.0</v>
      </c>
      <c r="O55" s="185">
        <v>46296.0</v>
      </c>
      <c r="P55" s="196"/>
    </row>
    <row r="56">
      <c r="A56" s="184" t="s">
        <v>1740</v>
      </c>
      <c r="B56" s="184">
        <v>1.2060405E7</v>
      </c>
      <c r="C56" s="184" t="s">
        <v>127</v>
      </c>
      <c r="D56" s="184" t="s">
        <v>1228</v>
      </c>
      <c r="E56" s="184" t="s">
        <v>1741</v>
      </c>
      <c r="F56" s="184" t="s">
        <v>85</v>
      </c>
      <c r="G56" s="184" t="s">
        <v>146</v>
      </c>
      <c r="H56" s="184" t="s">
        <v>1372</v>
      </c>
      <c r="I56" s="181" t="s">
        <v>1744</v>
      </c>
      <c r="J56" s="184" t="s">
        <v>1744</v>
      </c>
      <c r="K56" s="184" t="s">
        <v>1746</v>
      </c>
      <c r="L56" s="184" t="s">
        <v>1747</v>
      </c>
      <c r="M56" s="180" t="s">
        <v>1235</v>
      </c>
      <c r="N56" s="185">
        <v>46233.0</v>
      </c>
      <c r="O56" s="185"/>
      <c r="P56" s="196"/>
    </row>
    <row r="57">
      <c r="A57" s="184" t="s">
        <v>1748</v>
      </c>
      <c r="B57" s="184">
        <v>1.2060515E7</v>
      </c>
      <c r="C57" s="184" t="s">
        <v>712</v>
      </c>
      <c r="D57" s="184" t="s">
        <v>1228</v>
      </c>
      <c r="E57" s="184" t="s">
        <v>1724</v>
      </c>
      <c r="F57" s="184" t="s">
        <v>85</v>
      </c>
      <c r="G57" s="184" t="s">
        <v>146</v>
      </c>
      <c r="H57" s="184" t="s">
        <v>1230</v>
      </c>
      <c r="I57" s="181" t="s">
        <v>1751</v>
      </c>
      <c r="J57" s="184" t="s">
        <v>1752</v>
      </c>
      <c r="K57" s="184" t="s">
        <v>1753</v>
      </c>
      <c r="L57" s="184" t="s">
        <v>1754</v>
      </c>
      <c r="M57" s="180" t="s">
        <v>1235</v>
      </c>
      <c r="N57" s="185">
        <v>46234.0</v>
      </c>
      <c r="O57" s="185">
        <v>46296.0</v>
      </c>
      <c r="P57" s="196"/>
    </row>
    <row r="58">
      <c r="A58" s="184" t="s">
        <v>1757</v>
      </c>
      <c r="B58" s="184">
        <v>1.2060201E7</v>
      </c>
      <c r="C58" s="184" t="s">
        <v>135</v>
      </c>
      <c r="D58" s="184" t="s">
        <v>1228</v>
      </c>
      <c r="E58" s="184" t="s">
        <v>1710</v>
      </c>
      <c r="F58" s="184" t="s">
        <v>75</v>
      </c>
      <c r="G58" s="184" t="s">
        <v>74</v>
      </c>
      <c r="H58" s="184" t="s">
        <v>1230</v>
      </c>
      <c r="I58" s="181" t="s">
        <v>1759</v>
      </c>
      <c r="J58" s="184" t="s">
        <v>1760</v>
      </c>
      <c r="K58" s="184" t="s">
        <v>1762</v>
      </c>
      <c r="L58" s="184" t="s">
        <v>1763</v>
      </c>
      <c r="M58" s="180" t="s">
        <v>1235</v>
      </c>
      <c r="N58" s="185">
        <v>46293.0</v>
      </c>
      <c r="O58" s="185">
        <v>46296.0</v>
      </c>
      <c r="P58" s="184" t="s">
        <v>1764</v>
      </c>
    </row>
    <row r="59">
      <c r="A59" s="184" t="s">
        <v>646</v>
      </c>
      <c r="B59" s="184">
        <v>1.2060102E7</v>
      </c>
      <c r="C59" s="184" t="s">
        <v>643</v>
      </c>
      <c r="D59" s="184" t="s">
        <v>1228</v>
      </c>
      <c r="E59" s="184" t="s">
        <v>1697</v>
      </c>
      <c r="F59" s="184" t="s">
        <v>85</v>
      </c>
      <c r="G59" s="184" t="s">
        <v>146</v>
      </c>
      <c r="H59" s="184" t="s">
        <v>1230</v>
      </c>
      <c r="I59" s="181" t="s">
        <v>1768</v>
      </c>
      <c r="J59" s="184" t="s">
        <v>1769</v>
      </c>
      <c r="K59" s="184" t="s">
        <v>1770</v>
      </c>
      <c r="L59" s="184" t="s">
        <v>1772</v>
      </c>
      <c r="M59" s="180" t="s">
        <v>1235</v>
      </c>
      <c r="N59" s="185">
        <v>46295.0</v>
      </c>
      <c r="O59" s="185">
        <v>46300.0</v>
      </c>
      <c r="P59" s="184" t="s">
        <v>1774</v>
      </c>
    </row>
    <row r="60">
      <c r="A60" s="184" t="s">
        <v>1775</v>
      </c>
      <c r="B60" s="184">
        <v>1.2060514E7</v>
      </c>
      <c r="C60" s="184" t="s">
        <v>707</v>
      </c>
      <c r="D60" s="184" t="s">
        <v>1228</v>
      </c>
      <c r="E60" s="184" t="s">
        <v>1724</v>
      </c>
      <c r="F60" s="184" t="s">
        <v>85</v>
      </c>
      <c r="G60" s="184" t="s">
        <v>146</v>
      </c>
      <c r="H60" s="184" t="s">
        <v>1230</v>
      </c>
      <c r="I60" s="181" t="s">
        <v>1778</v>
      </c>
      <c r="J60" s="184" t="s">
        <v>1778</v>
      </c>
      <c r="K60" s="184" t="s">
        <v>1779</v>
      </c>
      <c r="L60" s="184" t="s">
        <v>1779</v>
      </c>
      <c r="M60" s="180" t="s">
        <v>1235</v>
      </c>
      <c r="N60" s="185">
        <v>46300.0</v>
      </c>
      <c r="O60" s="196"/>
      <c r="P60" s="196"/>
    </row>
    <row r="61">
      <c r="A61" s="184" t="s">
        <v>1781</v>
      </c>
      <c r="B61" s="184">
        <v>1.2060515E7</v>
      </c>
      <c r="C61" s="184" t="s">
        <v>712</v>
      </c>
      <c r="D61" s="184" t="s">
        <v>1228</v>
      </c>
      <c r="E61" s="184" t="s">
        <v>1724</v>
      </c>
      <c r="F61" s="184" t="s">
        <v>85</v>
      </c>
      <c r="G61" s="184" t="s">
        <v>146</v>
      </c>
      <c r="H61" s="184" t="s">
        <v>1230</v>
      </c>
      <c r="I61" s="181" t="s">
        <v>1751</v>
      </c>
      <c r="J61" s="184" t="s">
        <v>1751</v>
      </c>
      <c r="K61" s="184" t="s">
        <v>1779</v>
      </c>
      <c r="L61" s="184" t="s">
        <v>1779</v>
      </c>
      <c r="M61" s="180" t="s">
        <v>1235</v>
      </c>
      <c r="N61" s="185">
        <v>46300.0</v>
      </c>
      <c r="O61" s="196"/>
      <c r="P61" s="196"/>
    </row>
    <row r="62">
      <c r="A62" s="184" t="s">
        <v>1783</v>
      </c>
      <c r="B62" s="184">
        <v>1.2060514E7</v>
      </c>
      <c r="C62" s="184" t="s">
        <v>707</v>
      </c>
      <c r="D62" s="184" t="s">
        <v>1228</v>
      </c>
      <c r="E62" s="184" t="s">
        <v>1724</v>
      </c>
      <c r="F62" s="184" t="s">
        <v>85</v>
      </c>
      <c r="G62" s="184" t="s">
        <v>146</v>
      </c>
      <c r="H62" s="184" t="s">
        <v>1230</v>
      </c>
      <c r="I62" s="181" t="s">
        <v>1778</v>
      </c>
      <c r="J62" s="184" t="s">
        <v>1778</v>
      </c>
      <c r="K62" s="184" t="s">
        <v>1784</v>
      </c>
      <c r="L62" s="184" t="s">
        <v>1784</v>
      </c>
      <c r="M62" s="197" t="s">
        <v>1235</v>
      </c>
      <c r="N62" s="185">
        <v>46304.0</v>
      </c>
      <c r="O62" s="196"/>
      <c r="P62" s="196"/>
    </row>
    <row r="63">
      <c r="A63" s="184" t="s">
        <v>242</v>
      </c>
      <c r="B63" s="184">
        <v>1.2060403E7</v>
      </c>
      <c r="C63" s="184" t="s">
        <v>118</v>
      </c>
      <c r="D63" s="184" t="s">
        <v>1228</v>
      </c>
      <c r="E63" s="184" t="s">
        <v>1741</v>
      </c>
      <c r="F63" s="184" t="s">
        <v>85</v>
      </c>
      <c r="G63" s="184" t="s">
        <v>146</v>
      </c>
      <c r="H63" s="184" t="s">
        <v>1372</v>
      </c>
      <c r="I63" s="181" t="s">
        <v>1789</v>
      </c>
      <c r="J63" s="184" t="s">
        <v>1790</v>
      </c>
      <c r="K63" s="184" t="s">
        <v>1791</v>
      </c>
      <c r="L63" s="184" t="s">
        <v>1792</v>
      </c>
      <c r="M63" s="180" t="s">
        <v>1235</v>
      </c>
      <c r="N63" s="185">
        <v>46308.0</v>
      </c>
      <c r="O63" s="196"/>
      <c r="P63" s="184" t="s">
        <v>1793</v>
      </c>
    </row>
    <row r="64">
      <c r="B64" s="198"/>
      <c r="I64" s="199"/>
      <c r="M64" s="179"/>
    </row>
    <row r="65">
      <c r="B65" s="198"/>
      <c r="I65" s="199"/>
      <c r="M65" s="179"/>
    </row>
    <row r="66">
      <c r="B66" s="198"/>
      <c r="I66" s="199"/>
      <c r="M66" s="179"/>
    </row>
    <row r="67">
      <c r="B67" s="198"/>
      <c r="I67" s="199"/>
      <c r="M67" s="179"/>
    </row>
    <row r="68">
      <c r="B68" s="198"/>
      <c r="I68" s="199"/>
      <c r="M68" s="179"/>
    </row>
    <row r="69">
      <c r="B69" s="198"/>
      <c r="I69" s="199"/>
      <c r="M69" s="179"/>
    </row>
    <row r="70">
      <c r="B70" s="198"/>
      <c r="I70" s="199"/>
      <c r="M70" s="179"/>
    </row>
    <row r="71">
      <c r="B71" s="198"/>
      <c r="I71" s="199"/>
      <c r="M71" s="179"/>
    </row>
    <row r="72">
      <c r="B72" s="198"/>
      <c r="I72" s="199"/>
      <c r="M72" s="179"/>
    </row>
    <row r="73">
      <c r="B73" s="198"/>
      <c r="I73" s="199"/>
      <c r="M73" s="179"/>
    </row>
    <row r="74">
      <c r="B74" s="198"/>
      <c r="I74" s="199"/>
      <c r="M74" s="179"/>
    </row>
    <row r="75">
      <c r="B75" s="198"/>
      <c r="I75" s="199"/>
      <c r="M75" s="179"/>
    </row>
    <row r="76">
      <c r="B76" s="198"/>
      <c r="I76" s="199"/>
      <c r="M76" s="179"/>
    </row>
    <row r="77">
      <c r="B77" s="198"/>
      <c r="I77" s="199"/>
      <c r="M77" s="179"/>
    </row>
    <row r="78">
      <c r="B78" s="198"/>
      <c r="I78" s="199"/>
      <c r="M78" s="179"/>
    </row>
    <row r="79">
      <c r="B79" s="198"/>
      <c r="I79" s="199"/>
      <c r="M79" s="179"/>
    </row>
    <row r="80">
      <c r="B80" s="198"/>
      <c r="I80" s="199"/>
      <c r="M80" s="179"/>
    </row>
    <row r="81">
      <c r="B81" s="198"/>
      <c r="I81" s="199"/>
      <c r="M81" s="179"/>
    </row>
    <row r="82">
      <c r="B82" s="198"/>
      <c r="I82" s="199"/>
      <c r="M82" s="179"/>
    </row>
    <row r="83">
      <c r="B83" s="198"/>
      <c r="I83" s="199"/>
      <c r="M83" s="179"/>
    </row>
    <row r="84">
      <c r="B84" s="198"/>
      <c r="I84" s="199"/>
      <c r="M84" s="179"/>
    </row>
    <row r="85">
      <c r="B85" s="198"/>
      <c r="I85" s="199"/>
      <c r="M85" s="179"/>
    </row>
    <row r="86">
      <c r="B86" s="198"/>
      <c r="I86" s="199"/>
      <c r="M86" s="179"/>
    </row>
    <row r="87">
      <c r="B87" s="198"/>
      <c r="I87" s="199"/>
      <c r="M87" s="179"/>
    </row>
    <row r="88">
      <c r="B88" s="198"/>
      <c r="I88" s="199"/>
      <c r="M88" s="179"/>
    </row>
    <row r="89">
      <c r="B89" s="198"/>
      <c r="I89" s="199"/>
      <c r="M89" s="179"/>
    </row>
    <row r="90">
      <c r="B90" s="198"/>
      <c r="I90" s="199"/>
      <c r="M90" s="179"/>
    </row>
    <row r="91">
      <c r="B91" s="198"/>
      <c r="I91" s="199"/>
      <c r="M91" s="179"/>
    </row>
    <row r="92">
      <c r="B92" s="198"/>
      <c r="I92" s="199"/>
      <c r="M92" s="179"/>
    </row>
    <row r="93">
      <c r="B93" s="198"/>
      <c r="I93" s="199"/>
      <c r="M93" s="179"/>
    </row>
    <row r="94">
      <c r="B94" s="198"/>
      <c r="I94" s="199"/>
      <c r="M94" s="179"/>
    </row>
    <row r="95">
      <c r="B95" s="198"/>
      <c r="I95" s="199"/>
      <c r="M95" s="179"/>
    </row>
    <row r="96">
      <c r="B96" s="198"/>
      <c r="I96" s="199"/>
      <c r="M96" s="179"/>
    </row>
    <row r="97">
      <c r="B97" s="198"/>
      <c r="I97" s="199"/>
      <c r="M97" s="179"/>
    </row>
    <row r="98">
      <c r="B98" s="198"/>
      <c r="I98" s="199"/>
      <c r="M98" s="179"/>
    </row>
    <row r="99">
      <c r="B99" s="198"/>
      <c r="I99" s="199"/>
      <c r="M99" s="179"/>
    </row>
    <row r="100">
      <c r="B100" s="198"/>
      <c r="I100" s="199"/>
      <c r="M100" s="179"/>
    </row>
    <row r="101">
      <c r="B101" s="198"/>
      <c r="I101" s="199"/>
      <c r="M101" s="179"/>
    </row>
    <row r="102">
      <c r="B102" s="198"/>
      <c r="I102" s="199"/>
      <c r="M102" s="179"/>
    </row>
    <row r="103">
      <c r="B103" s="198"/>
      <c r="I103" s="199"/>
      <c r="M103" s="179"/>
    </row>
    <row r="104">
      <c r="B104" s="198"/>
      <c r="I104" s="199"/>
      <c r="M104" s="179"/>
    </row>
    <row r="105">
      <c r="B105" s="198"/>
      <c r="I105" s="199"/>
      <c r="M105" s="179"/>
    </row>
    <row r="106">
      <c r="B106" s="198"/>
      <c r="I106" s="199"/>
      <c r="M106" s="179"/>
    </row>
    <row r="107">
      <c r="B107" s="198"/>
      <c r="I107" s="199"/>
      <c r="M107" s="179"/>
    </row>
    <row r="108">
      <c r="B108" s="198"/>
      <c r="I108" s="199"/>
      <c r="M108" s="179"/>
    </row>
    <row r="109">
      <c r="B109" s="198"/>
      <c r="I109" s="199"/>
      <c r="M109" s="179"/>
    </row>
    <row r="110">
      <c r="B110" s="198"/>
      <c r="I110" s="199"/>
      <c r="M110" s="179"/>
    </row>
    <row r="111">
      <c r="B111" s="198"/>
      <c r="I111" s="199"/>
      <c r="M111" s="179"/>
    </row>
    <row r="112">
      <c r="B112" s="198"/>
      <c r="I112" s="199"/>
      <c r="M112" s="179"/>
    </row>
    <row r="113">
      <c r="B113" s="198"/>
      <c r="I113" s="199"/>
      <c r="M113" s="179"/>
    </row>
    <row r="114">
      <c r="B114" s="198"/>
      <c r="I114" s="199"/>
      <c r="M114" s="179"/>
    </row>
    <row r="115">
      <c r="B115" s="198"/>
      <c r="I115" s="199"/>
      <c r="M115" s="179"/>
    </row>
    <row r="116">
      <c r="B116" s="198"/>
      <c r="I116" s="199"/>
      <c r="M116" s="179"/>
    </row>
    <row r="117">
      <c r="B117" s="198"/>
      <c r="I117" s="199"/>
      <c r="M117" s="179"/>
    </row>
    <row r="118">
      <c r="B118" s="198"/>
      <c r="I118" s="199"/>
      <c r="M118" s="179"/>
    </row>
    <row r="119">
      <c r="B119" s="198"/>
      <c r="I119" s="199"/>
      <c r="M119" s="179"/>
    </row>
    <row r="120">
      <c r="B120" s="198"/>
      <c r="I120" s="199"/>
      <c r="M120" s="179"/>
    </row>
    <row r="121">
      <c r="B121" s="198"/>
      <c r="I121" s="199"/>
      <c r="M121" s="179"/>
    </row>
    <row r="122">
      <c r="B122" s="198"/>
      <c r="I122" s="199"/>
      <c r="M122" s="179"/>
    </row>
    <row r="123">
      <c r="B123" s="198"/>
      <c r="I123" s="199"/>
      <c r="M123" s="179"/>
    </row>
    <row r="124">
      <c r="B124" s="198"/>
      <c r="I124" s="199"/>
      <c r="M124" s="179"/>
    </row>
    <row r="125">
      <c r="B125" s="198"/>
      <c r="I125" s="199"/>
      <c r="M125" s="179"/>
    </row>
    <row r="126">
      <c r="B126" s="198"/>
      <c r="I126" s="199"/>
      <c r="M126" s="179"/>
    </row>
    <row r="127">
      <c r="B127" s="198"/>
      <c r="I127" s="199"/>
      <c r="M127" s="179"/>
    </row>
    <row r="128">
      <c r="B128" s="198"/>
      <c r="I128" s="199"/>
      <c r="M128" s="179"/>
    </row>
    <row r="129">
      <c r="B129" s="198"/>
      <c r="I129" s="199"/>
      <c r="M129" s="179"/>
    </row>
    <row r="130">
      <c r="B130" s="198"/>
      <c r="I130" s="199"/>
      <c r="M130" s="179"/>
    </row>
    <row r="131">
      <c r="B131" s="198"/>
      <c r="I131" s="199"/>
      <c r="M131" s="179"/>
    </row>
    <row r="132">
      <c r="B132" s="198"/>
      <c r="I132" s="199"/>
      <c r="M132" s="179"/>
    </row>
    <row r="133">
      <c r="B133" s="198"/>
      <c r="I133" s="199"/>
      <c r="M133" s="179"/>
    </row>
    <row r="134">
      <c r="B134" s="198"/>
      <c r="I134" s="199"/>
      <c r="M134" s="179"/>
    </row>
    <row r="135">
      <c r="B135" s="198"/>
      <c r="I135" s="199"/>
      <c r="M135" s="179"/>
    </row>
    <row r="136">
      <c r="B136" s="198"/>
      <c r="I136" s="199"/>
      <c r="M136" s="179"/>
    </row>
    <row r="137">
      <c r="B137" s="198"/>
      <c r="I137" s="199"/>
      <c r="M137" s="179"/>
    </row>
    <row r="138">
      <c r="B138" s="198"/>
      <c r="I138" s="199"/>
      <c r="M138" s="179"/>
    </row>
    <row r="139">
      <c r="B139" s="198"/>
      <c r="I139" s="199"/>
      <c r="M139" s="179"/>
    </row>
    <row r="140">
      <c r="B140" s="198"/>
      <c r="I140" s="199"/>
      <c r="M140" s="179"/>
    </row>
    <row r="141">
      <c r="B141" s="198"/>
      <c r="I141" s="199"/>
      <c r="M141" s="179"/>
    </row>
    <row r="142">
      <c r="B142" s="198"/>
      <c r="I142" s="199"/>
      <c r="M142" s="179"/>
    </row>
    <row r="143">
      <c r="B143" s="198"/>
      <c r="I143" s="199"/>
      <c r="M143" s="179"/>
    </row>
    <row r="144">
      <c r="B144" s="198"/>
      <c r="I144" s="199"/>
      <c r="M144" s="179"/>
    </row>
    <row r="145">
      <c r="B145" s="198"/>
      <c r="I145" s="199"/>
      <c r="M145" s="179"/>
    </row>
    <row r="146">
      <c r="B146" s="198"/>
      <c r="I146" s="199"/>
      <c r="M146" s="179"/>
    </row>
    <row r="147">
      <c r="B147" s="198"/>
      <c r="I147" s="199"/>
      <c r="M147" s="179"/>
    </row>
    <row r="148">
      <c r="B148" s="198"/>
      <c r="I148" s="199"/>
      <c r="M148" s="179"/>
    </row>
    <row r="149">
      <c r="B149" s="198"/>
      <c r="I149" s="199"/>
      <c r="M149" s="179"/>
    </row>
    <row r="150">
      <c r="B150" s="198"/>
      <c r="I150" s="199"/>
      <c r="M150" s="179"/>
    </row>
    <row r="151">
      <c r="B151" s="198"/>
      <c r="I151" s="199"/>
      <c r="M151" s="179"/>
    </row>
    <row r="152">
      <c r="B152" s="198"/>
      <c r="I152" s="199"/>
      <c r="M152" s="179"/>
    </row>
    <row r="153">
      <c r="B153" s="198"/>
      <c r="I153" s="199"/>
      <c r="M153" s="179"/>
    </row>
    <row r="154">
      <c r="B154" s="198"/>
      <c r="I154" s="199"/>
      <c r="M154" s="179"/>
    </row>
    <row r="155">
      <c r="B155" s="198"/>
      <c r="I155" s="199"/>
      <c r="M155" s="179"/>
    </row>
    <row r="156">
      <c r="B156" s="198"/>
      <c r="I156" s="199"/>
      <c r="M156" s="179"/>
    </row>
    <row r="157">
      <c r="B157" s="198"/>
      <c r="I157" s="199"/>
      <c r="M157" s="179"/>
    </row>
    <row r="158">
      <c r="B158" s="198"/>
      <c r="I158" s="199"/>
      <c r="M158" s="179"/>
    </row>
    <row r="159">
      <c r="B159" s="198"/>
      <c r="I159" s="199"/>
      <c r="M159" s="179"/>
    </row>
    <row r="160">
      <c r="B160" s="198"/>
      <c r="I160" s="199"/>
      <c r="M160" s="179"/>
    </row>
    <row r="161">
      <c r="B161" s="198"/>
      <c r="I161" s="199"/>
      <c r="M161" s="179"/>
    </row>
    <row r="162">
      <c r="B162" s="198"/>
      <c r="I162" s="199"/>
      <c r="M162" s="179"/>
    </row>
    <row r="163">
      <c r="B163" s="198"/>
      <c r="I163" s="199"/>
      <c r="M163" s="179"/>
    </row>
    <row r="164">
      <c r="B164" s="198"/>
      <c r="I164" s="199"/>
      <c r="M164" s="179"/>
    </row>
    <row r="165">
      <c r="B165" s="198"/>
      <c r="I165" s="199"/>
      <c r="M165" s="179"/>
    </row>
    <row r="166">
      <c r="B166" s="198"/>
      <c r="I166" s="199"/>
      <c r="M166" s="179"/>
    </row>
    <row r="167">
      <c r="B167" s="198"/>
      <c r="I167" s="199"/>
      <c r="M167" s="179"/>
    </row>
    <row r="168">
      <c r="B168" s="198"/>
      <c r="I168" s="199"/>
      <c r="M168" s="179"/>
    </row>
    <row r="169">
      <c r="B169" s="198"/>
      <c r="I169" s="199"/>
      <c r="M169" s="179"/>
    </row>
    <row r="170">
      <c r="B170" s="198"/>
      <c r="I170" s="199"/>
      <c r="M170" s="179"/>
    </row>
    <row r="171">
      <c r="B171" s="198"/>
      <c r="I171" s="199"/>
      <c r="M171" s="179"/>
    </row>
    <row r="172">
      <c r="B172" s="198"/>
      <c r="I172" s="199"/>
      <c r="M172" s="179"/>
    </row>
    <row r="173">
      <c r="B173" s="198"/>
      <c r="I173" s="199"/>
      <c r="M173" s="179"/>
    </row>
    <row r="174">
      <c r="B174" s="198"/>
      <c r="I174" s="199"/>
      <c r="M174" s="179"/>
    </row>
    <row r="175">
      <c r="B175" s="198"/>
      <c r="I175" s="199"/>
      <c r="M175" s="179"/>
    </row>
    <row r="176">
      <c r="B176" s="198"/>
      <c r="I176" s="199"/>
      <c r="M176" s="179"/>
    </row>
    <row r="177">
      <c r="B177" s="198"/>
      <c r="I177" s="199"/>
      <c r="M177" s="179"/>
    </row>
    <row r="178">
      <c r="B178" s="198"/>
      <c r="I178" s="199"/>
      <c r="M178" s="179"/>
    </row>
    <row r="179">
      <c r="B179" s="198"/>
      <c r="I179" s="199"/>
      <c r="M179" s="179"/>
    </row>
    <row r="180">
      <c r="B180" s="198"/>
      <c r="I180" s="199"/>
      <c r="M180" s="179"/>
    </row>
    <row r="181">
      <c r="B181" s="198"/>
      <c r="I181" s="199"/>
      <c r="M181" s="179"/>
    </row>
    <row r="182">
      <c r="B182" s="198"/>
      <c r="I182" s="199"/>
      <c r="M182" s="179"/>
    </row>
    <row r="183">
      <c r="B183" s="198"/>
      <c r="I183" s="199"/>
      <c r="M183" s="179"/>
    </row>
    <row r="184">
      <c r="B184" s="198"/>
      <c r="I184" s="199"/>
      <c r="M184" s="179"/>
    </row>
    <row r="185">
      <c r="B185" s="198"/>
      <c r="I185" s="199"/>
      <c r="M185" s="179"/>
    </row>
    <row r="186">
      <c r="B186" s="198"/>
      <c r="I186" s="199"/>
      <c r="M186" s="179"/>
    </row>
    <row r="187">
      <c r="B187" s="198"/>
      <c r="I187" s="199"/>
      <c r="M187" s="179"/>
    </row>
    <row r="188">
      <c r="B188" s="198"/>
      <c r="I188" s="199"/>
      <c r="M188" s="179"/>
    </row>
    <row r="189">
      <c r="B189" s="198"/>
      <c r="I189" s="199"/>
      <c r="M189" s="179"/>
    </row>
    <row r="190">
      <c r="B190" s="198"/>
      <c r="I190" s="199"/>
      <c r="M190" s="179"/>
    </row>
    <row r="191">
      <c r="B191" s="198"/>
      <c r="I191" s="199"/>
      <c r="M191" s="179"/>
    </row>
    <row r="192">
      <c r="B192" s="198"/>
      <c r="I192" s="199"/>
      <c r="M192" s="179"/>
    </row>
    <row r="193">
      <c r="B193" s="198"/>
      <c r="I193" s="199"/>
      <c r="M193" s="179"/>
    </row>
    <row r="194">
      <c r="B194" s="198"/>
      <c r="I194" s="199"/>
      <c r="M194" s="179"/>
    </row>
    <row r="195">
      <c r="B195" s="198"/>
      <c r="I195" s="199"/>
      <c r="M195" s="179"/>
    </row>
    <row r="196">
      <c r="B196" s="198"/>
      <c r="I196" s="199"/>
      <c r="M196" s="179"/>
    </row>
    <row r="197">
      <c r="B197" s="198"/>
      <c r="I197" s="199"/>
      <c r="M197" s="179"/>
    </row>
    <row r="198">
      <c r="B198" s="198"/>
      <c r="I198" s="199"/>
      <c r="M198" s="179"/>
    </row>
    <row r="199">
      <c r="B199" s="198"/>
      <c r="I199" s="199"/>
      <c r="M199" s="179"/>
    </row>
    <row r="200">
      <c r="B200" s="198"/>
      <c r="I200" s="199"/>
      <c r="M200" s="179"/>
    </row>
    <row r="201">
      <c r="B201" s="198"/>
      <c r="I201" s="199"/>
      <c r="M201" s="179"/>
    </row>
    <row r="202">
      <c r="B202" s="198"/>
      <c r="I202" s="199"/>
      <c r="M202" s="179"/>
    </row>
    <row r="203">
      <c r="B203" s="198"/>
      <c r="I203" s="199"/>
      <c r="M203" s="179"/>
    </row>
    <row r="204">
      <c r="B204" s="198"/>
      <c r="I204" s="199"/>
      <c r="M204" s="179"/>
    </row>
    <row r="205">
      <c r="B205" s="198"/>
      <c r="I205" s="199"/>
      <c r="M205" s="179"/>
    </row>
    <row r="206">
      <c r="B206" s="198"/>
      <c r="I206" s="199"/>
      <c r="M206" s="179"/>
    </row>
    <row r="207">
      <c r="B207" s="198"/>
      <c r="I207" s="199"/>
      <c r="M207" s="179"/>
    </row>
    <row r="208">
      <c r="B208" s="198"/>
      <c r="I208" s="199"/>
      <c r="M208" s="179"/>
    </row>
    <row r="209">
      <c r="B209" s="198"/>
      <c r="I209" s="199"/>
      <c r="M209" s="179"/>
    </row>
    <row r="210">
      <c r="B210" s="198"/>
      <c r="I210" s="199"/>
      <c r="M210" s="179"/>
    </row>
    <row r="211">
      <c r="B211" s="198"/>
      <c r="I211" s="199"/>
      <c r="M211" s="179"/>
    </row>
    <row r="212">
      <c r="B212" s="198"/>
      <c r="I212" s="199"/>
      <c r="M212" s="179"/>
    </row>
    <row r="213">
      <c r="B213" s="198"/>
      <c r="I213" s="199"/>
      <c r="M213" s="179"/>
    </row>
    <row r="214">
      <c r="B214" s="198"/>
      <c r="I214" s="199"/>
      <c r="M214" s="179"/>
    </row>
    <row r="215">
      <c r="B215" s="198"/>
      <c r="I215" s="199"/>
      <c r="M215" s="179"/>
    </row>
    <row r="216">
      <c r="B216" s="198"/>
      <c r="I216" s="199"/>
      <c r="M216" s="179"/>
    </row>
    <row r="217">
      <c r="B217" s="198"/>
      <c r="I217" s="199"/>
      <c r="M217" s="179"/>
    </row>
    <row r="218">
      <c r="B218" s="198"/>
      <c r="I218" s="199"/>
      <c r="M218" s="179"/>
    </row>
    <row r="219">
      <c r="B219" s="198"/>
      <c r="I219" s="199"/>
      <c r="M219" s="179"/>
    </row>
    <row r="220">
      <c r="B220" s="198"/>
      <c r="I220" s="199"/>
      <c r="M220" s="179"/>
    </row>
    <row r="221">
      <c r="B221" s="198"/>
      <c r="I221" s="199"/>
      <c r="M221" s="179"/>
    </row>
    <row r="222">
      <c r="B222" s="198"/>
      <c r="I222" s="199"/>
      <c r="M222" s="179"/>
    </row>
    <row r="223">
      <c r="B223" s="198"/>
      <c r="I223" s="199"/>
      <c r="M223" s="179"/>
    </row>
    <row r="224">
      <c r="B224" s="198"/>
      <c r="I224" s="199"/>
      <c r="M224" s="179"/>
    </row>
    <row r="225">
      <c r="B225" s="198"/>
      <c r="I225" s="199"/>
      <c r="M225" s="179"/>
    </row>
    <row r="226">
      <c r="B226" s="198"/>
      <c r="I226" s="199"/>
      <c r="M226" s="179"/>
    </row>
    <row r="227">
      <c r="B227" s="198"/>
      <c r="I227" s="199"/>
      <c r="M227" s="179"/>
    </row>
    <row r="228">
      <c r="B228" s="198"/>
      <c r="I228" s="199"/>
      <c r="M228" s="179"/>
    </row>
    <row r="229">
      <c r="B229" s="198"/>
      <c r="I229" s="199"/>
      <c r="M229" s="179"/>
    </row>
    <row r="230">
      <c r="B230" s="198"/>
      <c r="I230" s="199"/>
      <c r="M230" s="179"/>
    </row>
    <row r="231">
      <c r="B231" s="198"/>
      <c r="I231" s="199"/>
      <c r="M231" s="179"/>
    </row>
    <row r="232">
      <c r="B232" s="198"/>
      <c r="I232" s="199"/>
      <c r="M232" s="179"/>
    </row>
    <row r="233">
      <c r="B233" s="198"/>
      <c r="I233" s="199"/>
      <c r="M233" s="179"/>
    </row>
    <row r="234">
      <c r="B234" s="198"/>
      <c r="I234" s="199"/>
      <c r="M234" s="179"/>
    </row>
    <row r="235">
      <c r="B235" s="198"/>
      <c r="I235" s="199"/>
      <c r="M235" s="179"/>
    </row>
    <row r="236">
      <c r="B236" s="198"/>
      <c r="I236" s="199"/>
      <c r="M236" s="179"/>
    </row>
    <row r="237">
      <c r="B237" s="198"/>
      <c r="I237" s="199"/>
      <c r="M237" s="179"/>
    </row>
    <row r="238">
      <c r="B238" s="198"/>
      <c r="I238" s="199"/>
      <c r="M238" s="179"/>
    </row>
    <row r="239">
      <c r="B239" s="198"/>
      <c r="I239" s="199"/>
      <c r="M239" s="179"/>
    </row>
    <row r="240">
      <c r="B240" s="198"/>
      <c r="I240" s="199"/>
      <c r="M240" s="179"/>
    </row>
    <row r="241">
      <c r="B241" s="198"/>
      <c r="I241" s="199"/>
      <c r="M241" s="179"/>
    </row>
    <row r="242">
      <c r="B242" s="198"/>
      <c r="I242" s="199"/>
      <c r="M242" s="179"/>
    </row>
    <row r="243">
      <c r="B243" s="198"/>
      <c r="I243" s="199"/>
      <c r="M243" s="179"/>
    </row>
    <row r="244">
      <c r="B244" s="198"/>
      <c r="I244" s="199"/>
      <c r="M244" s="179"/>
    </row>
    <row r="245">
      <c r="B245" s="198"/>
      <c r="I245" s="199"/>
      <c r="M245" s="179"/>
    </row>
    <row r="246">
      <c r="B246" s="198"/>
      <c r="I246" s="199"/>
      <c r="M246" s="179"/>
    </row>
    <row r="247">
      <c r="B247" s="198"/>
      <c r="I247" s="199"/>
      <c r="M247" s="179"/>
    </row>
    <row r="248">
      <c r="B248" s="198"/>
      <c r="I248" s="199"/>
      <c r="M248" s="179"/>
    </row>
    <row r="249">
      <c r="B249" s="198"/>
      <c r="I249" s="199"/>
      <c r="M249" s="179"/>
    </row>
    <row r="250">
      <c r="B250" s="198"/>
      <c r="I250" s="199"/>
      <c r="M250" s="179"/>
    </row>
    <row r="251">
      <c r="B251" s="198"/>
      <c r="I251" s="199"/>
      <c r="M251" s="179"/>
    </row>
    <row r="252">
      <c r="B252" s="198"/>
      <c r="I252" s="199"/>
      <c r="M252" s="179"/>
    </row>
    <row r="253">
      <c r="B253" s="198"/>
      <c r="I253" s="199"/>
      <c r="M253" s="179"/>
    </row>
    <row r="254">
      <c r="B254" s="198"/>
      <c r="I254" s="199"/>
      <c r="M254" s="179"/>
    </row>
    <row r="255">
      <c r="B255" s="198"/>
      <c r="I255" s="199"/>
      <c r="M255" s="179"/>
    </row>
    <row r="256">
      <c r="B256" s="198"/>
      <c r="I256" s="199"/>
      <c r="M256" s="179"/>
    </row>
    <row r="257">
      <c r="B257" s="198"/>
      <c r="I257" s="199"/>
      <c r="M257" s="179"/>
    </row>
    <row r="258">
      <c r="B258" s="198"/>
      <c r="I258" s="199"/>
      <c r="M258" s="179"/>
    </row>
    <row r="259">
      <c r="B259" s="198"/>
      <c r="I259" s="199"/>
      <c r="M259" s="179"/>
    </row>
    <row r="260">
      <c r="B260" s="198"/>
      <c r="I260" s="199"/>
      <c r="M260" s="179"/>
    </row>
    <row r="261">
      <c r="B261" s="198"/>
      <c r="I261" s="199"/>
      <c r="M261" s="179"/>
    </row>
    <row r="262">
      <c r="B262" s="198"/>
      <c r="I262" s="199"/>
      <c r="M262" s="179"/>
    </row>
    <row r="263">
      <c r="B263" s="198"/>
      <c r="I263" s="199"/>
      <c r="M263" s="179"/>
    </row>
    <row r="264">
      <c r="B264" s="198"/>
      <c r="I264" s="199"/>
      <c r="M264" s="179"/>
    </row>
    <row r="265">
      <c r="B265" s="198"/>
      <c r="I265" s="199"/>
      <c r="M265" s="179"/>
    </row>
    <row r="266">
      <c r="B266" s="198"/>
      <c r="I266" s="199"/>
      <c r="M266" s="179"/>
    </row>
    <row r="267">
      <c r="B267" s="198"/>
      <c r="I267" s="199"/>
      <c r="M267" s="179"/>
    </row>
    <row r="268">
      <c r="B268" s="198"/>
      <c r="I268" s="199"/>
      <c r="M268" s="179"/>
    </row>
    <row r="269">
      <c r="B269" s="198"/>
      <c r="I269" s="199"/>
      <c r="M269" s="179"/>
    </row>
    <row r="270">
      <c r="B270" s="198"/>
      <c r="I270" s="199"/>
      <c r="M270" s="179"/>
    </row>
    <row r="271">
      <c r="B271" s="198"/>
      <c r="I271" s="199"/>
      <c r="M271" s="179"/>
    </row>
    <row r="272">
      <c r="B272" s="198"/>
      <c r="I272" s="199"/>
      <c r="M272" s="179"/>
    </row>
    <row r="273">
      <c r="B273" s="198"/>
      <c r="I273" s="199"/>
      <c r="M273" s="179"/>
    </row>
    <row r="274">
      <c r="B274" s="198"/>
      <c r="I274" s="199"/>
      <c r="M274" s="179"/>
    </row>
    <row r="275">
      <c r="B275" s="198"/>
      <c r="I275" s="199"/>
      <c r="M275" s="179"/>
    </row>
    <row r="276">
      <c r="B276" s="198"/>
      <c r="I276" s="199"/>
      <c r="M276" s="179"/>
    </row>
    <row r="277">
      <c r="B277" s="198"/>
      <c r="I277" s="199"/>
      <c r="M277" s="179"/>
    </row>
    <row r="278">
      <c r="B278" s="198"/>
      <c r="I278" s="199"/>
      <c r="M278" s="179"/>
    </row>
    <row r="279">
      <c r="B279" s="198"/>
      <c r="I279" s="199"/>
      <c r="M279" s="179"/>
    </row>
    <row r="280">
      <c r="B280" s="198"/>
      <c r="I280" s="199"/>
      <c r="M280" s="179"/>
    </row>
    <row r="281">
      <c r="B281" s="198"/>
      <c r="I281" s="199"/>
      <c r="M281" s="179"/>
    </row>
    <row r="282">
      <c r="B282" s="198"/>
      <c r="I282" s="199"/>
      <c r="M282" s="179"/>
    </row>
    <row r="283">
      <c r="B283" s="198"/>
      <c r="I283" s="199"/>
      <c r="M283" s="179"/>
    </row>
    <row r="284">
      <c r="B284" s="198"/>
      <c r="I284" s="199"/>
      <c r="M284" s="179"/>
    </row>
    <row r="285">
      <c r="B285" s="198"/>
      <c r="I285" s="199"/>
      <c r="M285" s="179"/>
    </row>
    <row r="286">
      <c r="B286" s="198"/>
      <c r="I286" s="199"/>
      <c r="M286" s="179"/>
    </row>
    <row r="287">
      <c r="B287" s="198"/>
      <c r="I287" s="199"/>
      <c r="M287" s="179"/>
    </row>
    <row r="288">
      <c r="B288" s="198"/>
      <c r="I288" s="199"/>
      <c r="M288" s="179"/>
    </row>
    <row r="289">
      <c r="B289" s="198"/>
      <c r="I289" s="199"/>
      <c r="M289" s="179"/>
    </row>
    <row r="290">
      <c r="B290" s="198"/>
      <c r="I290" s="199"/>
      <c r="M290" s="179"/>
    </row>
    <row r="291">
      <c r="B291" s="198"/>
      <c r="I291" s="199"/>
      <c r="M291" s="179"/>
    </row>
    <row r="292">
      <c r="B292" s="198"/>
      <c r="I292" s="199"/>
      <c r="M292" s="179"/>
    </row>
    <row r="293">
      <c r="B293" s="198"/>
      <c r="I293" s="199"/>
      <c r="M293" s="179"/>
    </row>
    <row r="294">
      <c r="B294" s="198"/>
      <c r="I294" s="199"/>
      <c r="M294" s="179"/>
    </row>
    <row r="295">
      <c r="B295" s="198"/>
      <c r="I295" s="199"/>
      <c r="M295" s="179"/>
    </row>
    <row r="296">
      <c r="B296" s="198"/>
      <c r="I296" s="199"/>
      <c r="M296" s="179"/>
    </row>
    <row r="297">
      <c r="B297" s="198"/>
      <c r="I297" s="199"/>
      <c r="M297" s="179"/>
    </row>
    <row r="298">
      <c r="B298" s="198"/>
      <c r="I298" s="199"/>
      <c r="M298" s="179"/>
    </row>
    <row r="299">
      <c r="B299" s="198"/>
      <c r="I299" s="199"/>
      <c r="M299" s="179"/>
    </row>
    <row r="300">
      <c r="B300" s="198"/>
      <c r="I300" s="199"/>
      <c r="M300" s="179"/>
    </row>
    <row r="301">
      <c r="B301" s="198"/>
      <c r="I301" s="199"/>
      <c r="M301" s="179"/>
    </row>
    <row r="302">
      <c r="B302" s="198"/>
      <c r="I302" s="199"/>
      <c r="M302" s="179"/>
    </row>
    <row r="303">
      <c r="B303" s="198"/>
      <c r="I303" s="199"/>
      <c r="M303" s="179"/>
    </row>
    <row r="304">
      <c r="B304" s="198"/>
      <c r="I304" s="199"/>
      <c r="M304" s="179"/>
    </row>
    <row r="305">
      <c r="B305" s="198"/>
      <c r="I305" s="199"/>
      <c r="M305" s="179"/>
    </row>
    <row r="306">
      <c r="B306" s="198"/>
      <c r="I306" s="199"/>
      <c r="M306" s="179"/>
    </row>
    <row r="307">
      <c r="B307" s="198"/>
      <c r="I307" s="199"/>
      <c r="M307" s="179"/>
    </row>
    <row r="308">
      <c r="B308" s="198"/>
      <c r="I308" s="199"/>
      <c r="M308" s="179"/>
    </row>
    <row r="309">
      <c r="B309" s="198"/>
      <c r="I309" s="199"/>
      <c r="M309" s="179"/>
    </row>
    <row r="310">
      <c r="B310" s="198"/>
      <c r="I310" s="199"/>
      <c r="M310" s="179"/>
    </row>
    <row r="311">
      <c r="B311" s="198"/>
      <c r="I311" s="199"/>
      <c r="M311" s="179"/>
    </row>
    <row r="312">
      <c r="B312" s="198"/>
      <c r="I312" s="199"/>
      <c r="M312" s="179"/>
    </row>
    <row r="313">
      <c r="B313" s="198"/>
      <c r="I313" s="199"/>
      <c r="M313" s="179"/>
    </row>
    <row r="314">
      <c r="B314" s="198"/>
      <c r="I314" s="199"/>
      <c r="M314" s="179"/>
    </row>
    <row r="315">
      <c r="B315" s="198"/>
      <c r="I315" s="199"/>
      <c r="M315" s="179"/>
    </row>
    <row r="316">
      <c r="B316" s="198"/>
      <c r="I316" s="199"/>
      <c r="M316" s="179"/>
    </row>
    <row r="317">
      <c r="B317" s="198"/>
      <c r="I317" s="199"/>
      <c r="M317" s="179"/>
    </row>
    <row r="318">
      <c r="B318" s="198"/>
      <c r="I318" s="199"/>
      <c r="M318" s="179"/>
    </row>
    <row r="319">
      <c r="B319" s="198"/>
      <c r="I319" s="199"/>
      <c r="M319" s="179"/>
    </row>
    <row r="320">
      <c r="B320" s="198"/>
      <c r="I320" s="199"/>
      <c r="M320" s="179"/>
    </row>
    <row r="321">
      <c r="B321" s="198"/>
      <c r="I321" s="199"/>
      <c r="M321" s="179"/>
    </row>
    <row r="322">
      <c r="B322" s="198"/>
      <c r="I322" s="199"/>
      <c r="M322" s="179"/>
    </row>
    <row r="323">
      <c r="B323" s="198"/>
      <c r="I323" s="199"/>
      <c r="M323" s="179"/>
    </row>
    <row r="324">
      <c r="B324" s="198"/>
      <c r="I324" s="199"/>
      <c r="M324" s="179"/>
    </row>
    <row r="325">
      <c r="B325" s="198"/>
      <c r="I325" s="199"/>
      <c r="M325" s="179"/>
    </row>
    <row r="326">
      <c r="B326" s="198"/>
      <c r="I326" s="199"/>
      <c r="M326" s="179"/>
    </row>
    <row r="327">
      <c r="B327" s="198"/>
      <c r="I327" s="199"/>
      <c r="M327" s="179"/>
    </row>
    <row r="328">
      <c r="B328" s="198"/>
      <c r="I328" s="199"/>
      <c r="M328" s="179"/>
    </row>
    <row r="329">
      <c r="B329" s="198"/>
      <c r="I329" s="199"/>
      <c r="M329" s="179"/>
    </row>
    <row r="330">
      <c r="B330" s="198"/>
      <c r="I330" s="199"/>
      <c r="M330" s="179"/>
    </row>
    <row r="331">
      <c r="B331" s="198"/>
      <c r="I331" s="199"/>
      <c r="M331" s="179"/>
    </row>
    <row r="332">
      <c r="B332" s="198"/>
      <c r="I332" s="199"/>
      <c r="M332" s="179"/>
    </row>
    <row r="333">
      <c r="B333" s="198"/>
      <c r="I333" s="199"/>
      <c r="M333" s="179"/>
    </row>
    <row r="334">
      <c r="B334" s="198"/>
      <c r="I334" s="199"/>
      <c r="M334" s="179"/>
    </row>
    <row r="335">
      <c r="B335" s="198"/>
      <c r="I335" s="199"/>
      <c r="M335" s="179"/>
    </row>
    <row r="336">
      <c r="B336" s="198"/>
      <c r="I336" s="199"/>
      <c r="M336" s="179"/>
    </row>
    <row r="337">
      <c r="B337" s="198"/>
      <c r="I337" s="199"/>
      <c r="M337" s="179"/>
    </row>
    <row r="338">
      <c r="B338" s="198"/>
      <c r="I338" s="199"/>
      <c r="M338" s="179"/>
    </row>
    <row r="339">
      <c r="B339" s="198"/>
      <c r="I339" s="199"/>
      <c r="M339" s="179"/>
    </row>
    <row r="340">
      <c r="B340" s="198"/>
      <c r="I340" s="199"/>
      <c r="M340" s="179"/>
    </row>
    <row r="341">
      <c r="B341" s="198"/>
      <c r="I341" s="199"/>
      <c r="M341" s="179"/>
    </row>
    <row r="342">
      <c r="B342" s="198"/>
      <c r="I342" s="199"/>
      <c r="M342" s="179"/>
    </row>
    <row r="343">
      <c r="B343" s="198"/>
      <c r="I343" s="199"/>
      <c r="M343" s="179"/>
    </row>
    <row r="344">
      <c r="B344" s="198"/>
      <c r="I344" s="199"/>
      <c r="M344" s="179"/>
    </row>
    <row r="345">
      <c r="B345" s="198"/>
      <c r="I345" s="199"/>
      <c r="M345" s="179"/>
    </row>
    <row r="346">
      <c r="B346" s="198"/>
      <c r="I346" s="199"/>
      <c r="M346" s="179"/>
    </row>
    <row r="347">
      <c r="B347" s="198"/>
      <c r="I347" s="199"/>
      <c r="M347" s="179"/>
    </row>
    <row r="348">
      <c r="B348" s="198"/>
      <c r="I348" s="199"/>
      <c r="M348" s="179"/>
    </row>
    <row r="349">
      <c r="B349" s="198"/>
      <c r="I349" s="199"/>
      <c r="M349" s="179"/>
    </row>
    <row r="350">
      <c r="B350" s="198"/>
      <c r="I350" s="199"/>
      <c r="M350" s="179"/>
    </row>
    <row r="351">
      <c r="B351" s="198"/>
      <c r="I351" s="199"/>
      <c r="M351" s="179"/>
    </row>
    <row r="352">
      <c r="B352" s="198"/>
      <c r="I352" s="199"/>
      <c r="M352" s="179"/>
    </row>
    <row r="353">
      <c r="B353" s="198"/>
      <c r="I353" s="199"/>
      <c r="M353" s="179"/>
    </row>
    <row r="354">
      <c r="B354" s="198"/>
      <c r="I354" s="199"/>
      <c r="M354" s="179"/>
    </row>
    <row r="355">
      <c r="B355" s="198"/>
      <c r="I355" s="199"/>
      <c r="M355" s="179"/>
    </row>
    <row r="356">
      <c r="B356" s="198"/>
      <c r="I356" s="199"/>
      <c r="M356" s="179"/>
    </row>
    <row r="357">
      <c r="B357" s="198"/>
      <c r="I357" s="199"/>
      <c r="M357" s="179"/>
    </row>
    <row r="358">
      <c r="B358" s="198"/>
      <c r="I358" s="199"/>
      <c r="M358" s="179"/>
    </row>
    <row r="359">
      <c r="B359" s="198"/>
      <c r="I359" s="199"/>
      <c r="M359" s="179"/>
    </row>
    <row r="360">
      <c r="B360" s="198"/>
      <c r="I360" s="199"/>
      <c r="M360" s="179"/>
    </row>
    <row r="361">
      <c r="B361" s="198"/>
      <c r="I361" s="199"/>
      <c r="M361" s="179"/>
    </row>
    <row r="362">
      <c r="B362" s="198"/>
      <c r="I362" s="199"/>
      <c r="M362" s="179"/>
    </row>
    <row r="363">
      <c r="B363" s="198"/>
      <c r="I363" s="199"/>
      <c r="M363" s="179"/>
    </row>
    <row r="364">
      <c r="B364" s="198"/>
      <c r="I364" s="199"/>
      <c r="M364" s="179"/>
    </row>
    <row r="365">
      <c r="B365" s="198"/>
      <c r="I365" s="199"/>
      <c r="M365" s="179"/>
    </row>
    <row r="366">
      <c r="B366" s="198"/>
      <c r="I366" s="199"/>
      <c r="M366" s="179"/>
    </row>
    <row r="367">
      <c r="B367" s="198"/>
      <c r="I367" s="199"/>
      <c r="M367" s="179"/>
    </row>
    <row r="368">
      <c r="B368" s="198"/>
      <c r="I368" s="199"/>
      <c r="M368" s="179"/>
    </row>
    <row r="369">
      <c r="B369" s="198"/>
      <c r="I369" s="199"/>
      <c r="M369" s="179"/>
    </row>
    <row r="370">
      <c r="B370" s="198"/>
      <c r="I370" s="199"/>
      <c r="M370" s="179"/>
    </row>
    <row r="371">
      <c r="B371" s="198"/>
      <c r="I371" s="199"/>
      <c r="M371" s="179"/>
    </row>
    <row r="372">
      <c r="B372" s="198"/>
      <c r="I372" s="199"/>
      <c r="M372" s="179"/>
    </row>
    <row r="373">
      <c r="B373" s="198"/>
      <c r="I373" s="199"/>
      <c r="M373" s="179"/>
    </row>
    <row r="374">
      <c r="B374" s="198"/>
      <c r="I374" s="199"/>
      <c r="M374" s="179"/>
    </row>
    <row r="375">
      <c r="B375" s="198"/>
      <c r="I375" s="199"/>
      <c r="M375" s="179"/>
    </row>
    <row r="376">
      <c r="B376" s="198"/>
      <c r="I376" s="199"/>
      <c r="M376" s="179"/>
    </row>
    <row r="377">
      <c r="B377" s="198"/>
      <c r="I377" s="199"/>
      <c r="M377" s="179"/>
    </row>
    <row r="378">
      <c r="B378" s="198"/>
      <c r="I378" s="199"/>
      <c r="M378" s="179"/>
    </row>
    <row r="379">
      <c r="B379" s="198"/>
      <c r="I379" s="199"/>
      <c r="M379" s="179"/>
    </row>
    <row r="380">
      <c r="B380" s="198"/>
      <c r="I380" s="199"/>
      <c r="M380" s="179"/>
    </row>
    <row r="381">
      <c r="B381" s="198"/>
      <c r="I381" s="199"/>
      <c r="M381" s="179"/>
    </row>
    <row r="382">
      <c r="B382" s="198"/>
      <c r="I382" s="199"/>
      <c r="M382" s="179"/>
    </row>
    <row r="383">
      <c r="B383" s="198"/>
      <c r="I383" s="199"/>
      <c r="M383" s="179"/>
    </row>
    <row r="384">
      <c r="B384" s="198"/>
      <c r="I384" s="199"/>
      <c r="M384" s="179"/>
    </row>
    <row r="385">
      <c r="B385" s="198"/>
      <c r="I385" s="199"/>
      <c r="M385" s="179"/>
    </row>
    <row r="386">
      <c r="B386" s="198"/>
      <c r="I386" s="199"/>
      <c r="M386" s="179"/>
    </row>
    <row r="387">
      <c r="B387" s="198"/>
      <c r="I387" s="199"/>
      <c r="M387" s="179"/>
    </row>
    <row r="388">
      <c r="B388" s="198"/>
      <c r="I388" s="199"/>
      <c r="M388" s="179"/>
    </row>
    <row r="389">
      <c r="B389" s="198"/>
      <c r="I389" s="199"/>
      <c r="M389" s="179"/>
    </row>
    <row r="390">
      <c r="B390" s="198"/>
      <c r="I390" s="199"/>
      <c r="M390" s="179"/>
    </row>
    <row r="391">
      <c r="B391" s="198"/>
      <c r="I391" s="199"/>
      <c r="M391" s="179"/>
    </row>
    <row r="392">
      <c r="B392" s="198"/>
      <c r="I392" s="199"/>
      <c r="M392" s="179"/>
    </row>
    <row r="393">
      <c r="B393" s="198"/>
      <c r="I393" s="199"/>
      <c r="M393" s="179"/>
    </row>
    <row r="394">
      <c r="B394" s="198"/>
      <c r="I394" s="199"/>
      <c r="M394" s="179"/>
    </row>
    <row r="395">
      <c r="B395" s="198"/>
      <c r="I395" s="199"/>
      <c r="M395" s="179"/>
    </row>
    <row r="396">
      <c r="B396" s="198"/>
      <c r="I396" s="199"/>
      <c r="M396" s="179"/>
    </row>
    <row r="397">
      <c r="B397" s="198"/>
      <c r="I397" s="199"/>
      <c r="M397" s="179"/>
    </row>
    <row r="398">
      <c r="B398" s="198"/>
      <c r="I398" s="199"/>
      <c r="M398" s="179"/>
    </row>
    <row r="399">
      <c r="B399" s="198"/>
      <c r="I399" s="199"/>
      <c r="M399" s="179"/>
    </row>
    <row r="400">
      <c r="B400" s="198"/>
      <c r="I400" s="199"/>
      <c r="M400" s="179"/>
    </row>
    <row r="401">
      <c r="B401" s="198"/>
      <c r="I401" s="199"/>
      <c r="M401" s="179"/>
    </row>
    <row r="402">
      <c r="B402" s="198"/>
      <c r="I402" s="199"/>
      <c r="M402" s="179"/>
    </row>
    <row r="403">
      <c r="B403" s="198"/>
      <c r="I403" s="199"/>
      <c r="M403" s="179"/>
    </row>
    <row r="404">
      <c r="B404" s="198"/>
      <c r="I404" s="199"/>
      <c r="M404" s="179"/>
    </row>
    <row r="405">
      <c r="B405" s="198"/>
      <c r="I405" s="199"/>
      <c r="M405" s="179"/>
    </row>
    <row r="406">
      <c r="B406" s="198"/>
      <c r="I406" s="199"/>
      <c r="M406" s="179"/>
    </row>
    <row r="407">
      <c r="B407" s="198"/>
      <c r="I407" s="199"/>
      <c r="M407" s="179"/>
    </row>
    <row r="408">
      <c r="B408" s="198"/>
      <c r="I408" s="199"/>
      <c r="M408" s="179"/>
    </row>
    <row r="409">
      <c r="B409" s="198"/>
      <c r="I409" s="199"/>
      <c r="M409" s="179"/>
    </row>
    <row r="410">
      <c r="B410" s="198"/>
      <c r="I410" s="199"/>
      <c r="M410" s="179"/>
    </row>
    <row r="411">
      <c r="B411" s="198"/>
      <c r="I411" s="199"/>
      <c r="M411" s="179"/>
    </row>
    <row r="412">
      <c r="B412" s="198"/>
      <c r="I412" s="199"/>
      <c r="M412" s="179"/>
    </row>
    <row r="413">
      <c r="B413" s="198"/>
      <c r="I413" s="199"/>
      <c r="M413" s="179"/>
    </row>
    <row r="414">
      <c r="B414" s="198"/>
      <c r="I414" s="199"/>
      <c r="M414" s="179"/>
    </row>
    <row r="415">
      <c r="B415" s="198"/>
      <c r="I415" s="199"/>
      <c r="M415" s="179"/>
    </row>
    <row r="416">
      <c r="B416" s="198"/>
      <c r="I416" s="199"/>
      <c r="M416" s="179"/>
    </row>
    <row r="417">
      <c r="B417" s="198"/>
      <c r="I417" s="199"/>
      <c r="M417" s="179"/>
    </row>
    <row r="418">
      <c r="B418" s="198"/>
      <c r="I418" s="199"/>
      <c r="M418" s="179"/>
    </row>
    <row r="419">
      <c r="B419" s="198"/>
      <c r="I419" s="199"/>
      <c r="M419" s="179"/>
    </row>
    <row r="420">
      <c r="B420" s="198"/>
      <c r="I420" s="199"/>
      <c r="M420" s="179"/>
    </row>
    <row r="421">
      <c r="B421" s="198"/>
      <c r="I421" s="199"/>
      <c r="M421" s="179"/>
    </row>
    <row r="422">
      <c r="B422" s="198"/>
      <c r="I422" s="199"/>
      <c r="M422" s="179"/>
    </row>
    <row r="423">
      <c r="B423" s="198"/>
      <c r="I423" s="199"/>
      <c r="M423" s="179"/>
    </row>
    <row r="424">
      <c r="B424" s="198"/>
      <c r="I424" s="199"/>
      <c r="M424" s="179"/>
    </row>
    <row r="425">
      <c r="B425" s="198"/>
      <c r="I425" s="199"/>
      <c r="M425" s="179"/>
    </row>
    <row r="426">
      <c r="B426" s="198"/>
      <c r="I426" s="199"/>
      <c r="M426" s="179"/>
    </row>
    <row r="427">
      <c r="B427" s="198"/>
      <c r="I427" s="199"/>
      <c r="M427" s="179"/>
    </row>
    <row r="428">
      <c r="B428" s="198"/>
      <c r="I428" s="199"/>
      <c r="M428" s="179"/>
    </row>
    <row r="429">
      <c r="B429" s="198"/>
      <c r="I429" s="199"/>
      <c r="M429" s="179"/>
    </row>
    <row r="430">
      <c r="B430" s="198"/>
      <c r="I430" s="199"/>
      <c r="M430" s="179"/>
    </row>
    <row r="431">
      <c r="B431" s="198"/>
      <c r="I431" s="199"/>
      <c r="M431" s="179"/>
    </row>
    <row r="432">
      <c r="B432" s="198"/>
      <c r="I432" s="199"/>
      <c r="M432" s="179"/>
    </row>
    <row r="433">
      <c r="B433" s="198"/>
      <c r="I433" s="199"/>
      <c r="M433" s="179"/>
    </row>
    <row r="434">
      <c r="B434" s="198"/>
      <c r="I434" s="199"/>
      <c r="M434" s="179"/>
    </row>
    <row r="435">
      <c r="B435" s="198"/>
      <c r="I435" s="199"/>
      <c r="M435" s="179"/>
    </row>
    <row r="436">
      <c r="B436" s="198"/>
      <c r="I436" s="199"/>
      <c r="M436" s="179"/>
    </row>
    <row r="437">
      <c r="B437" s="198"/>
      <c r="I437" s="199"/>
      <c r="M437" s="179"/>
    </row>
    <row r="438">
      <c r="B438" s="198"/>
      <c r="I438" s="199"/>
      <c r="M438" s="179"/>
    </row>
    <row r="439">
      <c r="B439" s="198"/>
      <c r="I439" s="199"/>
      <c r="M439" s="179"/>
    </row>
    <row r="440">
      <c r="B440" s="198"/>
      <c r="I440" s="199"/>
      <c r="M440" s="179"/>
    </row>
    <row r="441">
      <c r="B441" s="198"/>
      <c r="I441" s="199"/>
      <c r="M441" s="179"/>
    </row>
    <row r="442">
      <c r="B442" s="198"/>
      <c r="I442" s="199"/>
      <c r="M442" s="179"/>
    </row>
    <row r="443">
      <c r="B443" s="198"/>
      <c r="I443" s="199"/>
      <c r="M443" s="179"/>
    </row>
    <row r="444">
      <c r="B444" s="198"/>
      <c r="I444" s="199"/>
      <c r="M444" s="179"/>
    </row>
    <row r="445">
      <c r="B445" s="198"/>
      <c r="I445" s="199"/>
      <c r="M445" s="179"/>
    </row>
    <row r="446">
      <c r="B446" s="198"/>
      <c r="I446" s="199"/>
      <c r="M446" s="179"/>
    </row>
    <row r="447">
      <c r="B447" s="198"/>
      <c r="I447" s="199"/>
      <c r="M447" s="179"/>
    </row>
    <row r="448">
      <c r="B448" s="198"/>
      <c r="I448" s="199"/>
      <c r="M448" s="179"/>
    </row>
    <row r="449">
      <c r="B449" s="198"/>
      <c r="I449" s="199"/>
      <c r="M449" s="179"/>
    </row>
    <row r="450">
      <c r="B450" s="198"/>
      <c r="I450" s="199"/>
      <c r="M450" s="179"/>
    </row>
    <row r="451">
      <c r="B451" s="198"/>
      <c r="I451" s="199"/>
      <c r="M451" s="179"/>
    </row>
    <row r="452">
      <c r="B452" s="198"/>
      <c r="I452" s="199"/>
      <c r="M452" s="179"/>
    </row>
    <row r="453">
      <c r="B453" s="198"/>
      <c r="I453" s="199"/>
      <c r="M453" s="179"/>
    </row>
    <row r="454">
      <c r="B454" s="198"/>
      <c r="I454" s="199"/>
      <c r="M454" s="179"/>
    </row>
    <row r="455">
      <c r="B455" s="198"/>
      <c r="I455" s="199"/>
      <c r="M455" s="179"/>
    </row>
    <row r="456">
      <c r="B456" s="198"/>
      <c r="I456" s="199"/>
      <c r="M456" s="179"/>
    </row>
    <row r="457">
      <c r="B457" s="198"/>
      <c r="I457" s="199"/>
      <c r="M457" s="179"/>
    </row>
    <row r="458">
      <c r="B458" s="198"/>
      <c r="I458" s="199"/>
      <c r="M458" s="179"/>
    </row>
    <row r="459">
      <c r="B459" s="198"/>
      <c r="I459" s="199"/>
      <c r="M459" s="179"/>
    </row>
    <row r="460">
      <c r="B460" s="198"/>
      <c r="I460" s="199"/>
      <c r="M460" s="179"/>
    </row>
    <row r="461">
      <c r="B461" s="198"/>
      <c r="I461" s="199"/>
      <c r="M461" s="179"/>
    </row>
    <row r="462">
      <c r="B462" s="198"/>
      <c r="I462" s="199"/>
      <c r="M462" s="179"/>
    </row>
    <row r="463">
      <c r="B463" s="198"/>
      <c r="I463" s="199"/>
      <c r="M463" s="179"/>
    </row>
    <row r="464">
      <c r="B464" s="198"/>
      <c r="I464" s="199"/>
      <c r="M464" s="179"/>
    </row>
    <row r="465">
      <c r="B465" s="198"/>
      <c r="I465" s="199"/>
      <c r="M465" s="179"/>
    </row>
    <row r="466">
      <c r="B466" s="198"/>
      <c r="I466" s="199"/>
      <c r="M466" s="179"/>
    </row>
    <row r="467">
      <c r="B467" s="198"/>
      <c r="I467" s="199"/>
      <c r="M467" s="179"/>
    </row>
    <row r="468">
      <c r="B468" s="198"/>
      <c r="I468" s="199"/>
      <c r="M468" s="179"/>
    </row>
    <row r="469">
      <c r="B469" s="198"/>
      <c r="I469" s="199"/>
      <c r="M469" s="179"/>
    </row>
    <row r="470">
      <c r="B470" s="198"/>
      <c r="I470" s="199"/>
      <c r="M470" s="179"/>
    </row>
    <row r="471">
      <c r="B471" s="198"/>
      <c r="I471" s="199"/>
      <c r="M471" s="179"/>
    </row>
    <row r="472">
      <c r="B472" s="198"/>
      <c r="I472" s="199"/>
      <c r="M472" s="179"/>
    </row>
    <row r="473">
      <c r="B473" s="198"/>
      <c r="I473" s="199"/>
      <c r="M473" s="179"/>
    </row>
    <row r="474">
      <c r="B474" s="198"/>
      <c r="I474" s="199"/>
      <c r="M474" s="179"/>
    </row>
    <row r="475">
      <c r="B475" s="198"/>
      <c r="I475" s="199"/>
      <c r="M475" s="179"/>
    </row>
    <row r="476">
      <c r="B476" s="198"/>
      <c r="I476" s="199"/>
      <c r="M476" s="179"/>
    </row>
    <row r="477">
      <c r="B477" s="198"/>
      <c r="I477" s="199"/>
      <c r="M477" s="179"/>
    </row>
    <row r="478">
      <c r="B478" s="198"/>
      <c r="I478" s="199"/>
      <c r="M478" s="179"/>
    </row>
    <row r="479">
      <c r="B479" s="198"/>
      <c r="I479" s="199"/>
      <c r="M479" s="179"/>
    </row>
    <row r="480">
      <c r="B480" s="198"/>
      <c r="I480" s="199"/>
      <c r="M480" s="179"/>
    </row>
    <row r="481">
      <c r="B481" s="198"/>
      <c r="I481" s="199"/>
      <c r="M481" s="179"/>
    </row>
    <row r="482">
      <c r="B482" s="198"/>
      <c r="I482" s="199"/>
      <c r="M482" s="179"/>
    </row>
    <row r="483">
      <c r="B483" s="198"/>
      <c r="I483" s="199"/>
      <c r="M483" s="179"/>
    </row>
    <row r="484">
      <c r="B484" s="198"/>
      <c r="I484" s="199"/>
      <c r="M484" s="179"/>
    </row>
    <row r="485">
      <c r="B485" s="198"/>
      <c r="I485" s="199"/>
      <c r="M485" s="179"/>
    </row>
    <row r="486">
      <c r="B486" s="198"/>
      <c r="I486" s="199"/>
      <c r="M486" s="179"/>
    </row>
    <row r="487">
      <c r="B487" s="198"/>
      <c r="I487" s="199"/>
      <c r="M487" s="179"/>
    </row>
    <row r="488">
      <c r="B488" s="198"/>
      <c r="I488" s="199"/>
      <c r="M488" s="179"/>
    </row>
    <row r="489">
      <c r="B489" s="198"/>
      <c r="I489" s="199"/>
      <c r="M489" s="179"/>
    </row>
    <row r="490">
      <c r="B490" s="198"/>
      <c r="I490" s="199"/>
      <c r="M490" s="179"/>
    </row>
    <row r="491">
      <c r="B491" s="198"/>
      <c r="I491" s="199"/>
      <c r="M491" s="179"/>
    </row>
    <row r="492">
      <c r="B492" s="198"/>
      <c r="I492" s="199"/>
      <c r="M492" s="179"/>
    </row>
    <row r="493">
      <c r="B493" s="198"/>
      <c r="I493" s="199"/>
      <c r="M493" s="179"/>
    </row>
    <row r="494">
      <c r="B494" s="198"/>
      <c r="I494" s="199"/>
      <c r="M494" s="179"/>
    </row>
    <row r="495">
      <c r="B495" s="198"/>
      <c r="I495" s="199"/>
      <c r="M495" s="179"/>
    </row>
    <row r="496">
      <c r="B496" s="198"/>
      <c r="I496" s="199"/>
      <c r="M496" s="179"/>
    </row>
    <row r="497">
      <c r="B497" s="198"/>
      <c r="I497" s="199"/>
      <c r="M497" s="179"/>
    </row>
    <row r="498">
      <c r="B498" s="198"/>
      <c r="I498" s="199"/>
      <c r="M498" s="179"/>
    </row>
    <row r="499">
      <c r="B499" s="198"/>
      <c r="I499" s="199"/>
      <c r="M499" s="179"/>
    </row>
    <row r="500">
      <c r="B500" s="198"/>
      <c r="I500" s="199"/>
      <c r="M500" s="179"/>
    </row>
    <row r="501">
      <c r="B501" s="198"/>
      <c r="I501" s="199"/>
      <c r="M501" s="179"/>
    </row>
    <row r="502">
      <c r="B502" s="198"/>
      <c r="I502" s="199"/>
      <c r="M502" s="179"/>
    </row>
    <row r="503">
      <c r="B503" s="198"/>
      <c r="I503" s="199"/>
      <c r="M503" s="179"/>
    </row>
    <row r="504">
      <c r="B504" s="198"/>
      <c r="I504" s="199"/>
      <c r="M504" s="179"/>
    </row>
    <row r="505">
      <c r="B505" s="198"/>
      <c r="I505" s="199"/>
      <c r="M505" s="179"/>
    </row>
    <row r="506">
      <c r="B506" s="198"/>
      <c r="I506" s="199"/>
      <c r="M506" s="179"/>
    </row>
    <row r="507">
      <c r="B507" s="198"/>
      <c r="I507" s="199"/>
      <c r="M507" s="179"/>
    </row>
    <row r="508">
      <c r="B508" s="198"/>
      <c r="I508" s="199"/>
      <c r="M508" s="179"/>
    </row>
    <row r="509">
      <c r="B509" s="198"/>
      <c r="I509" s="199"/>
      <c r="M509" s="179"/>
    </row>
    <row r="510">
      <c r="B510" s="198"/>
      <c r="I510" s="199"/>
      <c r="M510" s="179"/>
    </row>
    <row r="511">
      <c r="B511" s="198"/>
      <c r="I511" s="199"/>
      <c r="M511" s="179"/>
    </row>
    <row r="512">
      <c r="B512" s="198"/>
      <c r="I512" s="199"/>
      <c r="M512" s="179"/>
    </row>
    <row r="513">
      <c r="B513" s="198"/>
      <c r="I513" s="199"/>
      <c r="M513" s="179"/>
    </row>
    <row r="514">
      <c r="B514" s="198"/>
      <c r="I514" s="199"/>
      <c r="M514" s="179"/>
    </row>
    <row r="515">
      <c r="B515" s="198"/>
      <c r="I515" s="199"/>
      <c r="M515" s="179"/>
    </row>
    <row r="516">
      <c r="B516" s="198"/>
      <c r="I516" s="199"/>
      <c r="M516" s="179"/>
    </row>
    <row r="517">
      <c r="B517" s="198"/>
      <c r="I517" s="199"/>
      <c r="M517" s="179"/>
    </row>
    <row r="518">
      <c r="B518" s="198"/>
      <c r="I518" s="199"/>
      <c r="M518" s="179"/>
    </row>
    <row r="519">
      <c r="B519" s="198"/>
      <c r="I519" s="199"/>
      <c r="M519" s="179"/>
    </row>
    <row r="520">
      <c r="B520" s="198"/>
      <c r="I520" s="199"/>
      <c r="M520" s="179"/>
    </row>
    <row r="521">
      <c r="B521" s="198"/>
      <c r="I521" s="199"/>
      <c r="M521" s="179"/>
    </row>
    <row r="522">
      <c r="B522" s="198"/>
      <c r="I522" s="199"/>
      <c r="M522" s="179"/>
    </row>
    <row r="523">
      <c r="B523" s="198"/>
      <c r="I523" s="199"/>
      <c r="M523" s="179"/>
    </row>
    <row r="524">
      <c r="B524" s="198"/>
      <c r="I524" s="199"/>
      <c r="M524" s="179"/>
    </row>
    <row r="525">
      <c r="B525" s="198"/>
      <c r="I525" s="199"/>
      <c r="M525" s="179"/>
    </row>
    <row r="526">
      <c r="B526" s="198"/>
      <c r="I526" s="199"/>
      <c r="M526" s="179"/>
    </row>
    <row r="527">
      <c r="B527" s="198"/>
      <c r="I527" s="199"/>
      <c r="M527" s="179"/>
    </row>
    <row r="528">
      <c r="B528" s="198"/>
      <c r="I528" s="199"/>
      <c r="M528" s="179"/>
    </row>
    <row r="529">
      <c r="B529" s="198"/>
      <c r="I529" s="199"/>
      <c r="M529" s="179"/>
    </row>
    <row r="530">
      <c r="B530" s="198"/>
      <c r="I530" s="199"/>
      <c r="M530" s="179"/>
    </row>
    <row r="531">
      <c r="B531" s="198"/>
      <c r="I531" s="199"/>
      <c r="M531" s="179"/>
    </row>
    <row r="532">
      <c r="B532" s="198"/>
      <c r="I532" s="199"/>
      <c r="M532" s="179"/>
    </row>
    <row r="533">
      <c r="B533" s="198"/>
      <c r="I533" s="199"/>
      <c r="M533" s="179"/>
    </row>
    <row r="534">
      <c r="B534" s="198"/>
      <c r="I534" s="199"/>
      <c r="M534" s="179"/>
    </row>
    <row r="535">
      <c r="B535" s="198"/>
      <c r="I535" s="199"/>
      <c r="M535" s="179"/>
    </row>
    <row r="536">
      <c r="B536" s="198"/>
      <c r="I536" s="199"/>
      <c r="M536" s="179"/>
    </row>
    <row r="537">
      <c r="B537" s="198"/>
      <c r="I537" s="199"/>
      <c r="M537" s="179"/>
    </row>
    <row r="538">
      <c r="B538" s="198"/>
      <c r="I538" s="199"/>
      <c r="M538" s="179"/>
    </row>
    <row r="539">
      <c r="B539" s="198"/>
      <c r="I539" s="199"/>
      <c r="M539" s="179"/>
    </row>
    <row r="540">
      <c r="B540" s="198"/>
      <c r="I540" s="199"/>
      <c r="M540" s="179"/>
    </row>
    <row r="541">
      <c r="B541" s="198"/>
      <c r="I541" s="199"/>
      <c r="M541" s="179"/>
    </row>
    <row r="542">
      <c r="B542" s="198"/>
      <c r="I542" s="199"/>
      <c r="M542" s="179"/>
    </row>
    <row r="543">
      <c r="B543" s="198"/>
      <c r="I543" s="199"/>
      <c r="M543" s="179"/>
    </row>
    <row r="544">
      <c r="B544" s="198"/>
      <c r="I544" s="199"/>
      <c r="M544" s="179"/>
    </row>
    <row r="545">
      <c r="B545" s="198"/>
      <c r="I545" s="199"/>
      <c r="M545" s="179"/>
    </row>
    <row r="546">
      <c r="B546" s="198"/>
      <c r="I546" s="199"/>
      <c r="M546" s="179"/>
    </row>
    <row r="547">
      <c r="B547" s="198"/>
      <c r="I547" s="199"/>
      <c r="M547" s="179"/>
    </row>
    <row r="548">
      <c r="B548" s="198"/>
      <c r="I548" s="199"/>
      <c r="M548" s="179"/>
    </row>
    <row r="549">
      <c r="B549" s="198"/>
      <c r="I549" s="199"/>
      <c r="M549" s="179"/>
    </row>
    <row r="550">
      <c r="B550" s="198"/>
      <c r="I550" s="199"/>
      <c r="M550" s="179"/>
    </row>
    <row r="551">
      <c r="B551" s="198"/>
      <c r="I551" s="199"/>
      <c r="M551" s="179"/>
    </row>
    <row r="552">
      <c r="B552" s="198"/>
      <c r="I552" s="199"/>
      <c r="M552" s="179"/>
    </row>
    <row r="553">
      <c r="B553" s="198"/>
      <c r="I553" s="199"/>
      <c r="M553" s="179"/>
    </row>
    <row r="554">
      <c r="B554" s="198"/>
      <c r="I554" s="199"/>
      <c r="M554" s="179"/>
    </row>
    <row r="555">
      <c r="B555" s="198"/>
      <c r="I555" s="199"/>
      <c r="M555" s="179"/>
    </row>
    <row r="556">
      <c r="B556" s="198"/>
      <c r="I556" s="199"/>
      <c r="M556" s="179"/>
    </row>
    <row r="557">
      <c r="B557" s="198"/>
      <c r="I557" s="199"/>
      <c r="M557" s="179"/>
    </row>
    <row r="558">
      <c r="B558" s="198"/>
      <c r="I558" s="199"/>
      <c r="M558" s="179"/>
    </row>
    <row r="559">
      <c r="B559" s="198"/>
      <c r="I559" s="199"/>
      <c r="M559" s="179"/>
    </row>
    <row r="560">
      <c r="B560" s="198"/>
      <c r="I560" s="199"/>
      <c r="M560" s="179"/>
    </row>
    <row r="561">
      <c r="B561" s="198"/>
      <c r="I561" s="199"/>
      <c r="M561" s="179"/>
    </row>
    <row r="562">
      <c r="B562" s="198"/>
      <c r="I562" s="199"/>
      <c r="M562" s="179"/>
    </row>
    <row r="563">
      <c r="B563" s="198"/>
      <c r="I563" s="199"/>
      <c r="M563" s="179"/>
    </row>
    <row r="564">
      <c r="B564" s="198"/>
      <c r="I564" s="199"/>
      <c r="M564" s="179"/>
    </row>
    <row r="565">
      <c r="B565" s="198"/>
      <c r="I565" s="199"/>
      <c r="M565" s="179"/>
    </row>
    <row r="566">
      <c r="B566" s="198"/>
      <c r="I566" s="199"/>
      <c r="M566" s="179"/>
    </row>
    <row r="567">
      <c r="B567" s="198"/>
      <c r="I567" s="199"/>
      <c r="M567" s="179"/>
    </row>
    <row r="568">
      <c r="B568" s="198"/>
      <c r="I568" s="199"/>
      <c r="M568" s="179"/>
    </row>
    <row r="569">
      <c r="B569" s="198"/>
      <c r="I569" s="199"/>
      <c r="M569" s="179"/>
    </row>
    <row r="570">
      <c r="B570" s="198"/>
      <c r="I570" s="199"/>
      <c r="M570" s="179"/>
    </row>
    <row r="571">
      <c r="B571" s="198"/>
      <c r="I571" s="199"/>
      <c r="M571" s="179"/>
    </row>
    <row r="572">
      <c r="B572" s="198"/>
      <c r="I572" s="199"/>
      <c r="M572" s="179"/>
    </row>
    <row r="573">
      <c r="B573" s="198"/>
      <c r="I573" s="199"/>
      <c r="M573" s="179"/>
    </row>
    <row r="574">
      <c r="B574" s="198"/>
      <c r="I574" s="199"/>
      <c r="M574" s="179"/>
    </row>
    <row r="575">
      <c r="B575" s="198"/>
      <c r="I575" s="199"/>
      <c r="M575" s="179"/>
    </row>
    <row r="576">
      <c r="B576" s="198"/>
      <c r="I576" s="199"/>
      <c r="M576" s="179"/>
    </row>
    <row r="577">
      <c r="B577" s="198"/>
      <c r="I577" s="199"/>
      <c r="M577" s="179"/>
    </row>
    <row r="578">
      <c r="B578" s="198"/>
      <c r="I578" s="199"/>
      <c r="M578" s="179"/>
    </row>
    <row r="579">
      <c r="B579" s="198"/>
      <c r="I579" s="199"/>
      <c r="M579" s="179"/>
    </row>
    <row r="580">
      <c r="B580" s="198"/>
      <c r="I580" s="199"/>
      <c r="M580" s="179"/>
    </row>
    <row r="581">
      <c r="B581" s="198"/>
      <c r="I581" s="199"/>
      <c r="M581" s="179"/>
    </row>
    <row r="582">
      <c r="B582" s="198"/>
      <c r="I582" s="199"/>
      <c r="M582" s="179"/>
    </row>
    <row r="583">
      <c r="B583" s="198"/>
      <c r="I583" s="199"/>
      <c r="M583" s="179"/>
    </row>
    <row r="584">
      <c r="B584" s="198"/>
      <c r="I584" s="199"/>
      <c r="M584" s="179"/>
    </row>
    <row r="585">
      <c r="B585" s="198"/>
      <c r="I585" s="199"/>
      <c r="M585" s="179"/>
    </row>
    <row r="586">
      <c r="B586" s="198"/>
      <c r="I586" s="199"/>
      <c r="M586" s="179"/>
    </row>
    <row r="587">
      <c r="B587" s="198"/>
      <c r="I587" s="199"/>
      <c r="M587" s="179"/>
    </row>
    <row r="588">
      <c r="B588" s="198"/>
      <c r="I588" s="199"/>
      <c r="M588" s="179"/>
    </row>
    <row r="589">
      <c r="B589" s="198"/>
      <c r="I589" s="199"/>
      <c r="M589" s="179"/>
    </row>
    <row r="590">
      <c r="B590" s="198"/>
      <c r="I590" s="199"/>
      <c r="M590" s="179"/>
    </row>
    <row r="591">
      <c r="B591" s="198"/>
      <c r="I591" s="199"/>
      <c r="M591" s="179"/>
    </row>
    <row r="592">
      <c r="B592" s="198"/>
      <c r="I592" s="199"/>
      <c r="M592" s="179"/>
    </row>
    <row r="593">
      <c r="B593" s="198"/>
      <c r="I593" s="199"/>
      <c r="M593" s="179"/>
    </row>
    <row r="594">
      <c r="B594" s="198"/>
      <c r="I594" s="199"/>
      <c r="M594" s="179"/>
    </row>
    <row r="595">
      <c r="B595" s="198"/>
      <c r="I595" s="199"/>
      <c r="M595" s="179"/>
    </row>
    <row r="596">
      <c r="B596" s="198"/>
      <c r="I596" s="199"/>
      <c r="M596" s="179"/>
    </row>
    <row r="597">
      <c r="B597" s="198"/>
      <c r="I597" s="199"/>
      <c r="M597" s="179"/>
    </row>
    <row r="598">
      <c r="B598" s="198"/>
      <c r="I598" s="199"/>
      <c r="M598" s="179"/>
    </row>
    <row r="599">
      <c r="B599" s="198"/>
      <c r="I599" s="199"/>
      <c r="M599" s="179"/>
    </row>
    <row r="600">
      <c r="B600" s="198"/>
      <c r="I600" s="199"/>
      <c r="M600" s="179"/>
    </row>
    <row r="601">
      <c r="B601" s="198"/>
      <c r="I601" s="199"/>
      <c r="M601" s="179"/>
    </row>
    <row r="602">
      <c r="B602" s="198"/>
      <c r="I602" s="199"/>
      <c r="M602" s="179"/>
    </row>
    <row r="603">
      <c r="B603" s="198"/>
      <c r="I603" s="199"/>
      <c r="M603" s="179"/>
    </row>
    <row r="604">
      <c r="B604" s="198"/>
      <c r="I604" s="199"/>
      <c r="M604" s="179"/>
    </row>
    <row r="605">
      <c r="B605" s="198"/>
      <c r="I605" s="199"/>
      <c r="M605" s="179"/>
    </row>
    <row r="606">
      <c r="B606" s="198"/>
      <c r="I606" s="199"/>
      <c r="M606" s="179"/>
    </row>
    <row r="607">
      <c r="B607" s="198"/>
      <c r="I607" s="199"/>
      <c r="M607" s="179"/>
    </row>
    <row r="608">
      <c r="B608" s="198"/>
      <c r="I608" s="199"/>
      <c r="M608" s="179"/>
    </row>
    <row r="609">
      <c r="B609" s="198"/>
      <c r="I609" s="199"/>
      <c r="M609" s="179"/>
    </row>
    <row r="610">
      <c r="B610" s="198"/>
      <c r="I610" s="199"/>
      <c r="M610" s="179"/>
    </row>
    <row r="611">
      <c r="B611" s="198"/>
      <c r="I611" s="199"/>
      <c r="M611" s="179"/>
    </row>
    <row r="612">
      <c r="B612" s="198"/>
      <c r="I612" s="199"/>
      <c r="M612" s="179"/>
    </row>
    <row r="613">
      <c r="B613" s="198"/>
      <c r="I613" s="199"/>
      <c r="M613" s="179"/>
    </row>
    <row r="614">
      <c r="B614" s="198"/>
      <c r="I614" s="199"/>
      <c r="M614" s="179"/>
    </row>
    <row r="615">
      <c r="B615" s="198"/>
      <c r="I615" s="199"/>
      <c r="M615" s="179"/>
    </row>
    <row r="616">
      <c r="B616" s="198"/>
      <c r="I616" s="199"/>
      <c r="M616" s="179"/>
    </row>
    <row r="617">
      <c r="B617" s="198"/>
      <c r="I617" s="199"/>
      <c r="M617" s="179"/>
    </row>
    <row r="618">
      <c r="B618" s="198"/>
      <c r="I618" s="199"/>
      <c r="M618" s="179"/>
    </row>
    <row r="619">
      <c r="B619" s="198"/>
      <c r="I619" s="199"/>
      <c r="M619" s="179"/>
    </row>
    <row r="620">
      <c r="B620" s="198"/>
      <c r="I620" s="199"/>
      <c r="M620" s="179"/>
    </row>
    <row r="621">
      <c r="B621" s="198"/>
      <c r="I621" s="199"/>
      <c r="M621" s="179"/>
    </row>
    <row r="622">
      <c r="B622" s="198"/>
      <c r="I622" s="199"/>
      <c r="M622" s="179"/>
    </row>
    <row r="623">
      <c r="B623" s="198"/>
      <c r="I623" s="199"/>
      <c r="M623" s="179"/>
    </row>
    <row r="624">
      <c r="B624" s="198"/>
      <c r="I624" s="199"/>
      <c r="M624" s="179"/>
    </row>
    <row r="625">
      <c r="B625" s="198"/>
      <c r="I625" s="199"/>
      <c r="M625" s="179"/>
    </row>
    <row r="626">
      <c r="B626" s="198"/>
      <c r="I626" s="199"/>
      <c r="M626" s="179"/>
    </row>
    <row r="627">
      <c r="B627" s="198"/>
      <c r="I627" s="199"/>
      <c r="M627" s="179"/>
    </row>
    <row r="628">
      <c r="B628" s="198"/>
      <c r="I628" s="199"/>
      <c r="M628" s="179"/>
    </row>
    <row r="629">
      <c r="B629" s="198"/>
      <c r="I629" s="199"/>
      <c r="M629" s="179"/>
    </row>
    <row r="630">
      <c r="B630" s="198"/>
      <c r="I630" s="199"/>
      <c r="M630" s="179"/>
    </row>
    <row r="631">
      <c r="B631" s="198"/>
      <c r="I631" s="199"/>
      <c r="M631" s="179"/>
    </row>
    <row r="632">
      <c r="B632" s="198"/>
      <c r="I632" s="199"/>
      <c r="M632" s="179"/>
    </row>
    <row r="633">
      <c r="B633" s="198"/>
      <c r="I633" s="199"/>
      <c r="M633" s="179"/>
    </row>
    <row r="634">
      <c r="B634" s="198"/>
      <c r="I634" s="199"/>
      <c r="M634" s="179"/>
    </row>
    <row r="635">
      <c r="B635" s="198"/>
      <c r="I635" s="199"/>
      <c r="M635" s="179"/>
    </row>
    <row r="636">
      <c r="B636" s="198"/>
      <c r="I636" s="199"/>
      <c r="M636" s="179"/>
    </row>
    <row r="637">
      <c r="B637" s="198"/>
      <c r="I637" s="199"/>
      <c r="M637" s="179"/>
    </row>
    <row r="638">
      <c r="B638" s="198"/>
      <c r="I638" s="199"/>
      <c r="M638" s="179"/>
    </row>
    <row r="639">
      <c r="B639" s="198"/>
      <c r="I639" s="199"/>
      <c r="M639" s="179"/>
    </row>
    <row r="640">
      <c r="B640" s="198"/>
      <c r="I640" s="199"/>
      <c r="M640" s="179"/>
    </row>
    <row r="641">
      <c r="B641" s="198"/>
      <c r="I641" s="199"/>
      <c r="M641" s="179"/>
    </row>
    <row r="642">
      <c r="B642" s="198"/>
      <c r="I642" s="199"/>
      <c r="M642" s="179"/>
    </row>
    <row r="643">
      <c r="B643" s="198"/>
      <c r="I643" s="199"/>
      <c r="M643" s="179"/>
    </row>
    <row r="644">
      <c r="B644" s="198"/>
      <c r="I644" s="199"/>
      <c r="M644" s="179"/>
    </row>
    <row r="645">
      <c r="B645" s="198"/>
      <c r="I645" s="199"/>
      <c r="M645" s="179"/>
    </row>
    <row r="646">
      <c r="B646" s="198"/>
      <c r="I646" s="199"/>
      <c r="M646" s="179"/>
    </row>
    <row r="647">
      <c r="B647" s="198"/>
      <c r="I647" s="199"/>
      <c r="M647" s="179"/>
    </row>
    <row r="648">
      <c r="B648" s="198"/>
      <c r="I648" s="199"/>
      <c r="M648" s="179"/>
    </row>
    <row r="649">
      <c r="B649" s="198"/>
      <c r="I649" s="199"/>
      <c r="M649" s="179"/>
    </row>
    <row r="650">
      <c r="B650" s="198"/>
      <c r="I650" s="199"/>
      <c r="M650" s="179"/>
    </row>
    <row r="651">
      <c r="B651" s="198"/>
      <c r="I651" s="199"/>
      <c r="M651" s="179"/>
    </row>
    <row r="652">
      <c r="B652" s="198"/>
      <c r="I652" s="199"/>
      <c r="M652" s="179"/>
    </row>
    <row r="653">
      <c r="B653" s="198"/>
      <c r="I653" s="199"/>
      <c r="M653" s="179"/>
    </row>
    <row r="654">
      <c r="B654" s="198"/>
      <c r="I654" s="199"/>
      <c r="M654" s="179"/>
    </row>
    <row r="655">
      <c r="B655" s="198"/>
      <c r="I655" s="199"/>
      <c r="M655" s="179"/>
    </row>
    <row r="656">
      <c r="B656" s="198"/>
      <c r="I656" s="199"/>
      <c r="M656" s="179"/>
    </row>
    <row r="657">
      <c r="B657" s="198"/>
      <c r="I657" s="199"/>
      <c r="M657" s="179"/>
    </row>
    <row r="658">
      <c r="B658" s="198"/>
      <c r="I658" s="199"/>
      <c r="M658" s="179"/>
    </row>
    <row r="659">
      <c r="B659" s="198"/>
      <c r="I659" s="199"/>
      <c r="M659" s="179"/>
    </row>
    <row r="660">
      <c r="B660" s="198"/>
      <c r="I660" s="199"/>
      <c r="M660" s="179"/>
    </row>
    <row r="661">
      <c r="B661" s="198"/>
      <c r="I661" s="199"/>
      <c r="M661" s="179"/>
    </row>
    <row r="662">
      <c r="B662" s="198"/>
      <c r="I662" s="199"/>
      <c r="M662" s="179"/>
    </row>
    <row r="663">
      <c r="B663" s="198"/>
      <c r="I663" s="199"/>
      <c r="M663" s="179"/>
    </row>
    <row r="664">
      <c r="B664" s="198"/>
      <c r="I664" s="199"/>
      <c r="M664" s="179"/>
    </row>
    <row r="665">
      <c r="B665" s="198"/>
      <c r="I665" s="199"/>
      <c r="M665" s="179"/>
    </row>
    <row r="666">
      <c r="B666" s="198"/>
      <c r="I666" s="199"/>
      <c r="M666" s="179"/>
    </row>
    <row r="667">
      <c r="B667" s="198"/>
      <c r="I667" s="199"/>
      <c r="M667" s="179"/>
    </row>
    <row r="668">
      <c r="B668" s="198"/>
      <c r="I668" s="199"/>
      <c r="M668" s="179"/>
    </row>
    <row r="669">
      <c r="B669" s="198"/>
      <c r="I669" s="199"/>
      <c r="M669" s="179"/>
    </row>
    <row r="670">
      <c r="B670" s="198"/>
      <c r="I670" s="199"/>
      <c r="M670" s="179"/>
    </row>
    <row r="671">
      <c r="B671" s="198"/>
      <c r="I671" s="199"/>
      <c r="M671" s="179"/>
    </row>
    <row r="672">
      <c r="B672" s="198"/>
      <c r="I672" s="199"/>
      <c r="M672" s="179"/>
    </row>
    <row r="673">
      <c r="B673" s="198"/>
      <c r="I673" s="199"/>
      <c r="M673" s="179"/>
    </row>
    <row r="674">
      <c r="B674" s="198"/>
      <c r="I674" s="199"/>
      <c r="M674" s="179"/>
    </row>
    <row r="675">
      <c r="B675" s="198"/>
      <c r="I675" s="199"/>
      <c r="M675" s="179"/>
    </row>
    <row r="676">
      <c r="B676" s="198"/>
      <c r="I676" s="199"/>
      <c r="M676" s="179"/>
    </row>
    <row r="677">
      <c r="B677" s="198"/>
      <c r="I677" s="199"/>
      <c r="M677" s="179"/>
    </row>
    <row r="678">
      <c r="B678" s="198"/>
      <c r="I678" s="199"/>
      <c r="M678" s="179"/>
    </row>
    <row r="679">
      <c r="B679" s="198"/>
      <c r="I679" s="199"/>
      <c r="M679" s="179"/>
    </row>
    <row r="680">
      <c r="B680" s="198"/>
      <c r="I680" s="199"/>
      <c r="M680" s="179"/>
    </row>
    <row r="681">
      <c r="B681" s="198"/>
      <c r="I681" s="199"/>
      <c r="M681" s="179"/>
    </row>
    <row r="682">
      <c r="B682" s="198"/>
      <c r="I682" s="199"/>
      <c r="M682" s="179"/>
    </row>
    <row r="683">
      <c r="B683" s="198"/>
      <c r="I683" s="199"/>
      <c r="M683" s="179"/>
    </row>
    <row r="684">
      <c r="B684" s="198"/>
      <c r="I684" s="199"/>
      <c r="M684" s="179"/>
    </row>
    <row r="685">
      <c r="B685" s="198"/>
      <c r="I685" s="199"/>
      <c r="M685" s="179"/>
    </row>
    <row r="686">
      <c r="B686" s="198"/>
      <c r="I686" s="199"/>
      <c r="M686" s="179"/>
    </row>
    <row r="687">
      <c r="B687" s="198"/>
      <c r="I687" s="199"/>
      <c r="M687" s="179"/>
    </row>
    <row r="688">
      <c r="B688" s="198"/>
      <c r="I688" s="199"/>
      <c r="M688" s="179"/>
    </row>
    <row r="689">
      <c r="B689" s="198"/>
      <c r="I689" s="199"/>
      <c r="M689" s="179"/>
    </row>
    <row r="690">
      <c r="B690" s="198"/>
      <c r="I690" s="199"/>
      <c r="M690" s="179"/>
    </row>
    <row r="691">
      <c r="B691" s="198"/>
      <c r="I691" s="199"/>
      <c r="M691" s="179"/>
    </row>
    <row r="692">
      <c r="B692" s="198"/>
      <c r="I692" s="199"/>
      <c r="M692" s="179"/>
    </row>
    <row r="693">
      <c r="B693" s="198"/>
      <c r="I693" s="199"/>
      <c r="M693" s="179"/>
    </row>
    <row r="694">
      <c r="B694" s="198"/>
      <c r="I694" s="199"/>
      <c r="M694" s="179"/>
    </row>
    <row r="695">
      <c r="B695" s="198"/>
      <c r="I695" s="199"/>
      <c r="M695" s="179"/>
    </row>
    <row r="696">
      <c r="B696" s="198"/>
      <c r="I696" s="199"/>
      <c r="M696" s="179"/>
    </row>
    <row r="697">
      <c r="B697" s="198"/>
      <c r="I697" s="199"/>
      <c r="M697" s="179"/>
    </row>
    <row r="698">
      <c r="B698" s="198"/>
      <c r="I698" s="199"/>
      <c r="M698" s="179"/>
    </row>
    <row r="699">
      <c r="B699" s="198"/>
      <c r="I699" s="199"/>
      <c r="M699" s="179"/>
    </row>
    <row r="700">
      <c r="B700" s="198"/>
      <c r="I700" s="199"/>
      <c r="M700" s="179"/>
    </row>
    <row r="701">
      <c r="B701" s="198"/>
      <c r="I701" s="199"/>
      <c r="M701" s="179"/>
    </row>
    <row r="702">
      <c r="B702" s="198"/>
      <c r="I702" s="199"/>
      <c r="M702" s="179"/>
    </row>
    <row r="703">
      <c r="B703" s="198"/>
      <c r="I703" s="199"/>
      <c r="M703" s="179"/>
    </row>
    <row r="704">
      <c r="B704" s="198"/>
      <c r="I704" s="199"/>
      <c r="M704" s="179"/>
    </row>
    <row r="705">
      <c r="B705" s="198"/>
      <c r="I705" s="199"/>
      <c r="M705" s="179"/>
    </row>
    <row r="706">
      <c r="B706" s="198"/>
      <c r="I706" s="199"/>
      <c r="M706" s="179"/>
    </row>
    <row r="707">
      <c r="B707" s="198"/>
      <c r="I707" s="199"/>
      <c r="M707" s="179"/>
    </row>
    <row r="708">
      <c r="B708" s="198"/>
      <c r="I708" s="199"/>
      <c r="M708" s="179"/>
    </row>
    <row r="709">
      <c r="B709" s="198"/>
      <c r="I709" s="199"/>
      <c r="M709" s="179"/>
    </row>
    <row r="710">
      <c r="B710" s="198"/>
      <c r="I710" s="199"/>
      <c r="M710" s="179"/>
    </row>
    <row r="711">
      <c r="B711" s="198"/>
      <c r="I711" s="199"/>
      <c r="M711" s="179"/>
    </row>
    <row r="712">
      <c r="B712" s="198"/>
      <c r="I712" s="199"/>
      <c r="M712" s="179"/>
    </row>
    <row r="713">
      <c r="B713" s="198"/>
      <c r="I713" s="199"/>
      <c r="M713" s="179"/>
    </row>
    <row r="714">
      <c r="B714" s="198"/>
      <c r="I714" s="199"/>
      <c r="M714" s="179"/>
    </row>
    <row r="715">
      <c r="B715" s="198"/>
      <c r="I715" s="199"/>
      <c r="M715" s="179"/>
    </row>
    <row r="716">
      <c r="B716" s="198"/>
      <c r="I716" s="199"/>
      <c r="M716" s="179"/>
    </row>
    <row r="717">
      <c r="B717" s="198"/>
      <c r="I717" s="199"/>
      <c r="M717" s="179"/>
    </row>
    <row r="718">
      <c r="B718" s="198"/>
      <c r="I718" s="199"/>
      <c r="M718" s="179"/>
    </row>
    <row r="719">
      <c r="B719" s="198"/>
      <c r="I719" s="199"/>
      <c r="M719" s="179"/>
    </row>
    <row r="720">
      <c r="B720" s="198"/>
      <c r="I720" s="199"/>
      <c r="M720" s="179"/>
    </row>
    <row r="721">
      <c r="B721" s="198"/>
      <c r="I721" s="199"/>
      <c r="M721" s="179"/>
    </row>
    <row r="722">
      <c r="B722" s="198"/>
      <c r="I722" s="199"/>
      <c r="M722" s="179"/>
    </row>
    <row r="723">
      <c r="B723" s="198"/>
      <c r="I723" s="199"/>
      <c r="M723" s="179"/>
    </row>
    <row r="724">
      <c r="B724" s="198"/>
      <c r="I724" s="199"/>
      <c r="M724" s="179"/>
    </row>
    <row r="725">
      <c r="B725" s="198"/>
      <c r="I725" s="199"/>
      <c r="M725" s="179"/>
    </row>
    <row r="726">
      <c r="B726" s="198"/>
      <c r="I726" s="199"/>
      <c r="M726" s="179"/>
    </row>
    <row r="727">
      <c r="B727" s="198"/>
      <c r="I727" s="199"/>
      <c r="M727" s="179"/>
    </row>
    <row r="728">
      <c r="B728" s="198"/>
      <c r="I728" s="199"/>
      <c r="M728" s="179"/>
    </row>
    <row r="729">
      <c r="B729" s="198"/>
      <c r="I729" s="199"/>
      <c r="M729" s="179"/>
    </row>
    <row r="730">
      <c r="B730" s="198"/>
      <c r="I730" s="199"/>
      <c r="M730" s="179"/>
    </row>
    <row r="731">
      <c r="B731" s="198"/>
      <c r="I731" s="199"/>
      <c r="M731" s="179"/>
    </row>
    <row r="732">
      <c r="B732" s="198"/>
      <c r="I732" s="199"/>
      <c r="M732" s="179"/>
    </row>
    <row r="733">
      <c r="B733" s="198"/>
      <c r="I733" s="199"/>
      <c r="M733" s="179"/>
    </row>
    <row r="734">
      <c r="B734" s="198"/>
      <c r="I734" s="199"/>
      <c r="M734" s="179"/>
    </row>
    <row r="735">
      <c r="B735" s="198"/>
      <c r="I735" s="199"/>
      <c r="M735" s="179"/>
    </row>
    <row r="736">
      <c r="B736" s="198"/>
      <c r="I736" s="199"/>
      <c r="M736" s="179"/>
    </row>
    <row r="737">
      <c r="B737" s="198"/>
      <c r="I737" s="199"/>
      <c r="M737" s="179"/>
    </row>
    <row r="738">
      <c r="B738" s="198"/>
      <c r="I738" s="199"/>
      <c r="M738" s="179"/>
    </row>
    <row r="739">
      <c r="B739" s="198"/>
      <c r="I739" s="199"/>
      <c r="M739" s="179"/>
    </row>
    <row r="740">
      <c r="B740" s="198"/>
      <c r="I740" s="199"/>
      <c r="M740" s="179"/>
    </row>
    <row r="741">
      <c r="B741" s="198"/>
      <c r="I741" s="199"/>
      <c r="M741" s="179"/>
    </row>
    <row r="742">
      <c r="B742" s="198"/>
      <c r="I742" s="199"/>
      <c r="M742" s="179"/>
    </row>
    <row r="743">
      <c r="B743" s="198"/>
      <c r="I743" s="199"/>
      <c r="M743" s="179"/>
    </row>
    <row r="744">
      <c r="B744" s="198"/>
      <c r="I744" s="199"/>
      <c r="M744" s="179"/>
    </row>
    <row r="745">
      <c r="B745" s="198"/>
      <c r="I745" s="199"/>
      <c r="M745" s="179"/>
    </row>
    <row r="746">
      <c r="B746" s="198"/>
      <c r="I746" s="199"/>
      <c r="M746" s="179"/>
    </row>
    <row r="747">
      <c r="B747" s="198"/>
      <c r="I747" s="199"/>
      <c r="M747" s="179"/>
    </row>
    <row r="748">
      <c r="B748" s="198"/>
      <c r="I748" s="199"/>
      <c r="M748" s="179"/>
    </row>
    <row r="749">
      <c r="B749" s="198"/>
      <c r="I749" s="199"/>
      <c r="M749" s="179"/>
    </row>
    <row r="750">
      <c r="B750" s="198"/>
      <c r="I750" s="199"/>
      <c r="M750" s="179"/>
    </row>
    <row r="751">
      <c r="B751" s="198"/>
      <c r="I751" s="199"/>
      <c r="M751" s="179"/>
    </row>
    <row r="752">
      <c r="B752" s="198"/>
      <c r="I752" s="199"/>
      <c r="M752" s="179"/>
    </row>
    <row r="753">
      <c r="B753" s="198"/>
      <c r="I753" s="199"/>
      <c r="M753" s="179"/>
    </row>
    <row r="754">
      <c r="B754" s="198"/>
      <c r="I754" s="199"/>
      <c r="M754" s="179"/>
    </row>
    <row r="755">
      <c r="B755" s="198"/>
      <c r="I755" s="199"/>
      <c r="M755" s="179"/>
    </row>
    <row r="756">
      <c r="B756" s="198"/>
      <c r="I756" s="199"/>
      <c r="M756" s="179"/>
    </row>
    <row r="757">
      <c r="B757" s="198"/>
      <c r="I757" s="199"/>
      <c r="M757" s="179"/>
    </row>
    <row r="758">
      <c r="B758" s="198"/>
      <c r="I758" s="199"/>
      <c r="M758" s="179"/>
    </row>
    <row r="759">
      <c r="B759" s="198"/>
      <c r="I759" s="199"/>
      <c r="M759" s="179"/>
    </row>
    <row r="760">
      <c r="B760" s="198"/>
      <c r="I760" s="199"/>
      <c r="M760" s="179"/>
    </row>
    <row r="761">
      <c r="B761" s="198"/>
      <c r="I761" s="199"/>
      <c r="M761" s="179"/>
    </row>
    <row r="762">
      <c r="B762" s="198"/>
      <c r="I762" s="199"/>
      <c r="M762" s="179"/>
    </row>
    <row r="763">
      <c r="B763" s="198"/>
      <c r="I763" s="199"/>
      <c r="M763" s="179"/>
    </row>
    <row r="764">
      <c r="B764" s="198"/>
      <c r="I764" s="199"/>
      <c r="M764" s="179"/>
    </row>
    <row r="765">
      <c r="B765" s="198"/>
      <c r="I765" s="199"/>
      <c r="M765" s="179"/>
    </row>
    <row r="766">
      <c r="B766" s="198"/>
      <c r="I766" s="199"/>
      <c r="M766" s="179"/>
    </row>
    <row r="767">
      <c r="B767" s="198"/>
      <c r="I767" s="199"/>
      <c r="M767" s="179"/>
    </row>
    <row r="768">
      <c r="B768" s="198"/>
      <c r="I768" s="199"/>
      <c r="M768" s="179"/>
    </row>
    <row r="769">
      <c r="B769" s="198"/>
      <c r="I769" s="199"/>
      <c r="M769" s="179"/>
    </row>
    <row r="770">
      <c r="B770" s="198"/>
      <c r="I770" s="199"/>
      <c r="M770" s="179"/>
    </row>
    <row r="771">
      <c r="B771" s="198"/>
      <c r="I771" s="199"/>
      <c r="M771" s="179"/>
    </row>
    <row r="772">
      <c r="B772" s="198"/>
      <c r="I772" s="199"/>
      <c r="M772" s="179"/>
    </row>
    <row r="773">
      <c r="B773" s="198"/>
      <c r="I773" s="199"/>
      <c r="M773" s="179"/>
    </row>
    <row r="774">
      <c r="B774" s="198"/>
      <c r="I774" s="199"/>
      <c r="M774" s="179"/>
    </row>
    <row r="775">
      <c r="B775" s="198"/>
      <c r="I775" s="199"/>
      <c r="M775" s="179"/>
    </row>
    <row r="776">
      <c r="B776" s="198"/>
      <c r="I776" s="199"/>
      <c r="M776" s="179"/>
    </row>
    <row r="777">
      <c r="B777" s="198"/>
      <c r="I777" s="199"/>
      <c r="M777" s="179"/>
    </row>
    <row r="778">
      <c r="B778" s="198"/>
      <c r="I778" s="199"/>
      <c r="M778" s="179"/>
    </row>
    <row r="779">
      <c r="B779" s="198"/>
      <c r="I779" s="199"/>
      <c r="M779" s="179"/>
    </row>
    <row r="780">
      <c r="B780" s="198"/>
      <c r="I780" s="199"/>
      <c r="M780" s="179"/>
    </row>
    <row r="781">
      <c r="B781" s="198"/>
      <c r="I781" s="199"/>
      <c r="M781" s="179"/>
    </row>
    <row r="782">
      <c r="B782" s="198"/>
      <c r="I782" s="199"/>
      <c r="M782" s="179"/>
    </row>
    <row r="783">
      <c r="B783" s="198"/>
      <c r="I783" s="199"/>
      <c r="M783" s="179"/>
    </row>
    <row r="784">
      <c r="B784" s="198"/>
      <c r="I784" s="199"/>
      <c r="M784" s="179"/>
    </row>
    <row r="785">
      <c r="B785" s="198"/>
      <c r="I785" s="199"/>
      <c r="M785" s="179"/>
    </row>
    <row r="786">
      <c r="B786" s="198"/>
      <c r="I786" s="199"/>
      <c r="M786" s="179"/>
    </row>
    <row r="787">
      <c r="B787" s="198"/>
      <c r="I787" s="199"/>
      <c r="M787" s="179"/>
    </row>
    <row r="788">
      <c r="B788" s="198"/>
      <c r="I788" s="199"/>
      <c r="M788" s="179"/>
    </row>
    <row r="789">
      <c r="B789" s="198"/>
      <c r="I789" s="199"/>
      <c r="M789" s="179"/>
    </row>
    <row r="790">
      <c r="B790" s="198"/>
      <c r="I790" s="199"/>
      <c r="M790" s="179"/>
    </row>
    <row r="791">
      <c r="B791" s="198"/>
      <c r="I791" s="199"/>
      <c r="M791" s="179"/>
    </row>
    <row r="792">
      <c r="B792" s="198"/>
      <c r="I792" s="199"/>
      <c r="M792" s="179"/>
    </row>
    <row r="793">
      <c r="B793" s="198"/>
      <c r="I793" s="199"/>
      <c r="M793" s="179"/>
    </row>
    <row r="794">
      <c r="B794" s="198"/>
      <c r="I794" s="199"/>
      <c r="M794" s="179"/>
    </row>
    <row r="795">
      <c r="B795" s="198"/>
      <c r="I795" s="199"/>
      <c r="M795" s="179"/>
    </row>
    <row r="796">
      <c r="B796" s="198"/>
      <c r="I796" s="199"/>
      <c r="M796" s="179"/>
    </row>
    <row r="797">
      <c r="B797" s="198"/>
      <c r="I797" s="199"/>
      <c r="M797" s="179"/>
    </row>
    <row r="798">
      <c r="B798" s="198"/>
      <c r="I798" s="199"/>
      <c r="M798" s="179"/>
    </row>
    <row r="799">
      <c r="B799" s="198"/>
      <c r="I799" s="199"/>
      <c r="M799" s="179"/>
    </row>
    <row r="800">
      <c r="B800" s="198"/>
      <c r="I800" s="199"/>
      <c r="M800" s="179"/>
    </row>
    <row r="801">
      <c r="B801" s="198"/>
      <c r="I801" s="199"/>
      <c r="M801" s="179"/>
    </row>
    <row r="802">
      <c r="B802" s="198"/>
      <c r="I802" s="199"/>
      <c r="M802" s="179"/>
    </row>
    <row r="803">
      <c r="B803" s="198"/>
      <c r="I803" s="199"/>
      <c r="M803" s="179"/>
    </row>
    <row r="804">
      <c r="B804" s="198"/>
      <c r="I804" s="199"/>
      <c r="M804" s="179"/>
    </row>
    <row r="805">
      <c r="B805" s="198"/>
      <c r="I805" s="199"/>
      <c r="M805" s="179"/>
    </row>
    <row r="806">
      <c r="B806" s="198"/>
      <c r="I806" s="199"/>
      <c r="M806" s="179"/>
    </row>
    <row r="807">
      <c r="B807" s="198"/>
      <c r="I807" s="199"/>
      <c r="M807" s="179"/>
    </row>
    <row r="808">
      <c r="B808" s="198"/>
      <c r="I808" s="199"/>
      <c r="M808" s="179"/>
    </row>
    <row r="809">
      <c r="B809" s="198"/>
      <c r="I809" s="199"/>
      <c r="M809" s="179"/>
    </row>
    <row r="810">
      <c r="B810" s="198"/>
      <c r="I810" s="199"/>
      <c r="M810" s="179"/>
    </row>
    <row r="811">
      <c r="B811" s="198"/>
      <c r="I811" s="199"/>
      <c r="M811" s="179"/>
    </row>
    <row r="812">
      <c r="B812" s="198"/>
      <c r="I812" s="199"/>
      <c r="M812" s="179"/>
    </row>
    <row r="813">
      <c r="B813" s="198"/>
      <c r="I813" s="199"/>
      <c r="M813" s="179"/>
    </row>
    <row r="814">
      <c r="B814" s="198"/>
      <c r="I814" s="199"/>
      <c r="M814" s="179"/>
    </row>
    <row r="815">
      <c r="B815" s="198"/>
      <c r="I815" s="199"/>
      <c r="M815" s="179"/>
    </row>
    <row r="816">
      <c r="B816" s="198"/>
      <c r="I816" s="199"/>
      <c r="M816" s="179"/>
    </row>
    <row r="817">
      <c r="B817" s="198"/>
      <c r="I817" s="199"/>
      <c r="M817" s="179"/>
    </row>
    <row r="818">
      <c r="B818" s="198"/>
      <c r="I818" s="199"/>
      <c r="M818" s="179"/>
    </row>
    <row r="819">
      <c r="B819" s="198"/>
      <c r="I819" s="199"/>
      <c r="M819" s="179"/>
    </row>
    <row r="820">
      <c r="B820" s="198"/>
      <c r="I820" s="199"/>
      <c r="M820" s="179"/>
    </row>
    <row r="821">
      <c r="B821" s="198"/>
      <c r="I821" s="199"/>
      <c r="M821" s="179"/>
    </row>
    <row r="822">
      <c r="B822" s="198"/>
      <c r="I822" s="199"/>
      <c r="M822" s="179"/>
    </row>
    <row r="823">
      <c r="B823" s="198"/>
      <c r="I823" s="199"/>
      <c r="M823" s="179"/>
    </row>
    <row r="824">
      <c r="B824" s="198"/>
      <c r="I824" s="199"/>
      <c r="M824" s="179"/>
    </row>
    <row r="825">
      <c r="B825" s="198"/>
      <c r="I825" s="199"/>
      <c r="M825" s="179"/>
    </row>
    <row r="826">
      <c r="B826" s="198"/>
      <c r="I826" s="199"/>
      <c r="M826" s="179"/>
    </row>
    <row r="827">
      <c r="B827" s="198"/>
      <c r="I827" s="199"/>
      <c r="M827" s="179"/>
    </row>
    <row r="828">
      <c r="B828" s="198"/>
      <c r="I828" s="199"/>
      <c r="M828" s="179"/>
    </row>
    <row r="829">
      <c r="B829" s="198"/>
      <c r="I829" s="199"/>
      <c r="M829" s="179"/>
    </row>
    <row r="830">
      <c r="B830" s="198"/>
      <c r="I830" s="199"/>
      <c r="M830" s="179"/>
    </row>
    <row r="831">
      <c r="B831" s="198"/>
      <c r="I831" s="199"/>
      <c r="M831" s="179"/>
    </row>
    <row r="832">
      <c r="B832" s="198"/>
      <c r="I832" s="199"/>
      <c r="M832" s="179"/>
    </row>
    <row r="833">
      <c r="B833" s="198"/>
      <c r="I833" s="199"/>
      <c r="M833" s="179"/>
    </row>
    <row r="834">
      <c r="B834" s="198"/>
      <c r="I834" s="199"/>
      <c r="M834" s="179"/>
    </row>
    <row r="835">
      <c r="B835" s="198"/>
      <c r="I835" s="199"/>
      <c r="M835" s="179"/>
    </row>
    <row r="836">
      <c r="B836" s="198"/>
      <c r="I836" s="199"/>
      <c r="M836" s="179"/>
    </row>
    <row r="837">
      <c r="B837" s="198"/>
      <c r="I837" s="199"/>
      <c r="M837" s="179"/>
    </row>
    <row r="838">
      <c r="B838" s="198"/>
      <c r="I838" s="199"/>
      <c r="M838" s="179"/>
    </row>
    <row r="839">
      <c r="B839" s="198"/>
      <c r="I839" s="199"/>
      <c r="M839" s="179"/>
    </row>
    <row r="840">
      <c r="B840" s="198"/>
      <c r="I840" s="199"/>
      <c r="M840" s="179"/>
    </row>
    <row r="841">
      <c r="B841" s="198"/>
      <c r="I841" s="199"/>
      <c r="M841" s="179"/>
    </row>
    <row r="842">
      <c r="B842" s="198"/>
      <c r="I842" s="199"/>
      <c r="M842" s="179"/>
    </row>
    <row r="843">
      <c r="B843" s="198"/>
      <c r="I843" s="199"/>
      <c r="M843" s="179"/>
    </row>
    <row r="844">
      <c r="B844" s="198"/>
      <c r="I844" s="199"/>
      <c r="M844" s="179"/>
    </row>
    <row r="845">
      <c r="B845" s="198"/>
      <c r="I845" s="199"/>
      <c r="M845" s="179"/>
    </row>
    <row r="846">
      <c r="B846" s="198"/>
      <c r="I846" s="199"/>
      <c r="M846" s="179"/>
    </row>
    <row r="847">
      <c r="B847" s="198"/>
      <c r="I847" s="199"/>
      <c r="M847" s="179"/>
    </row>
    <row r="848">
      <c r="B848" s="198"/>
      <c r="I848" s="199"/>
      <c r="M848" s="179"/>
    </row>
    <row r="849">
      <c r="B849" s="198"/>
      <c r="I849" s="199"/>
      <c r="M849" s="179"/>
    </row>
    <row r="850">
      <c r="B850" s="198"/>
      <c r="I850" s="199"/>
      <c r="M850" s="179"/>
    </row>
    <row r="851">
      <c r="B851" s="198"/>
      <c r="I851" s="199"/>
      <c r="M851" s="179"/>
    </row>
    <row r="852">
      <c r="B852" s="198"/>
      <c r="I852" s="199"/>
      <c r="M852" s="179"/>
    </row>
    <row r="853">
      <c r="B853" s="198"/>
      <c r="I853" s="199"/>
      <c r="M853" s="179"/>
    </row>
    <row r="854">
      <c r="B854" s="198"/>
      <c r="I854" s="199"/>
      <c r="M854" s="179"/>
    </row>
    <row r="855">
      <c r="B855" s="198"/>
      <c r="I855" s="199"/>
      <c r="M855" s="179"/>
    </row>
    <row r="856">
      <c r="B856" s="198"/>
      <c r="I856" s="199"/>
      <c r="M856" s="179"/>
    </row>
    <row r="857">
      <c r="B857" s="198"/>
      <c r="I857" s="199"/>
      <c r="M857" s="179"/>
    </row>
    <row r="858">
      <c r="B858" s="198"/>
      <c r="I858" s="199"/>
      <c r="M858" s="179"/>
    </row>
    <row r="859">
      <c r="B859" s="198"/>
      <c r="I859" s="199"/>
      <c r="M859" s="179"/>
    </row>
    <row r="860">
      <c r="B860" s="198"/>
      <c r="I860" s="199"/>
      <c r="M860" s="179"/>
    </row>
    <row r="861">
      <c r="B861" s="198"/>
      <c r="I861" s="199"/>
      <c r="M861" s="179"/>
    </row>
    <row r="862">
      <c r="B862" s="198"/>
      <c r="I862" s="199"/>
      <c r="M862" s="179"/>
    </row>
    <row r="863">
      <c r="B863" s="198"/>
      <c r="I863" s="199"/>
      <c r="M863" s="179"/>
    </row>
    <row r="864">
      <c r="B864" s="198"/>
      <c r="I864" s="199"/>
      <c r="M864" s="179"/>
    </row>
    <row r="865">
      <c r="B865" s="198"/>
      <c r="I865" s="199"/>
      <c r="M865" s="179"/>
    </row>
    <row r="866">
      <c r="B866" s="198"/>
      <c r="I866" s="199"/>
      <c r="M866" s="179"/>
    </row>
    <row r="867">
      <c r="B867" s="198"/>
      <c r="I867" s="199"/>
      <c r="M867" s="179"/>
    </row>
    <row r="868">
      <c r="B868" s="198"/>
      <c r="I868" s="199"/>
      <c r="M868" s="179"/>
    </row>
    <row r="869">
      <c r="B869" s="198"/>
      <c r="I869" s="199"/>
      <c r="M869" s="179"/>
    </row>
    <row r="870">
      <c r="B870" s="198"/>
      <c r="I870" s="199"/>
      <c r="M870" s="179"/>
    </row>
    <row r="871">
      <c r="B871" s="198"/>
      <c r="I871" s="199"/>
      <c r="M871" s="179"/>
    </row>
    <row r="872">
      <c r="B872" s="198"/>
      <c r="I872" s="199"/>
      <c r="M872" s="179"/>
    </row>
    <row r="873">
      <c r="B873" s="198"/>
      <c r="I873" s="199"/>
      <c r="M873" s="179"/>
    </row>
    <row r="874">
      <c r="B874" s="198"/>
      <c r="I874" s="199"/>
      <c r="M874" s="179"/>
    </row>
    <row r="875">
      <c r="B875" s="198"/>
      <c r="I875" s="199"/>
      <c r="M875" s="179"/>
    </row>
    <row r="876">
      <c r="B876" s="198"/>
      <c r="I876" s="199"/>
      <c r="M876" s="179"/>
    </row>
    <row r="877">
      <c r="B877" s="198"/>
      <c r="I877" s="199"/>
      <c r="M877" s="179"/>
    </row>
    <row r="878">
      <c r="B878" s="198"/>
      <c r="I878" s="199"/>
      <c r="M878" s="179"/>
    </row>
    <row r="879">
      <c r="B879" s="198"/>
      <c r="I879" s="199"/>
      <c r="M879" s="179"/>
    </row>
    <row r="880">
      <c r="B880" s="198"/>
      <c r="I880" s="199"/>
      <c r="M880" s="179"/>
    </row>
    <row r="881">
      <c r="B881" s="198"/>
      <c r="I881" s="199"/>
      <c r="M881" s="179"/>
    </row>
    <row r="882">
      <c r="B882" s="198"/>
      <c r="I882" s="199"/>
      <c r="M882" s="179"/>
    </row>
    <row r="883">
      <c r="B883" s="198"/>
      <c r="I883" s="199"/>
      <c r="M883" s="179"/>
    </row>
    <row r="884">
      <c r="B884" s="198"/>
      <c r="I884" s="199"/>
      <c r="M884" s="179"/>
    </row>
    <row r="885">
      <c r="B885" s="198"/>
      <c r="I885" s="199"/>
      <c r="M885" s="179"/>
    </row>
    <row r="886">
      <c r="B886" s="198"/>
      <c r="I886" s="199"/>
      <c r="M886" s="179"/>
    </row>
    <row r="887">
      <c r="B887" s="198"/>
      <c r="I887" s="199"/>
      <c r="M887" s="179"/>
    </row>
    <row r="888">
      <c r="B888" s="198"/>
      <c r="I888" s="199"/>
      <c r="M888" s="179"/>
    </row>
    <row r="889">
      <c r="B889" s="198"/>
      <c r="I889" s="199"/>
      <c r="M889" s="179"/>
    </row>
    <row r="890">
      <c r="B890" s="198"/>
      <c r="I890" s="199"/>
      <c r="M890" s="179"/>
    </row>
    <row r="891">
      <c r="B891" s="198"/>
      <c r="I891" s="199"/>
      <c r="M891" s="179"/>
    </row>
    <row r="892">
      <c r="B892" s="198"/>
      <c r="I892" s="199"/>
      <c r="M892" s="179"/>
    </row>
    <row r="893">
      <c r="B893" s="198"/>
      <c r="I893" s="199"/>
      <c r="M893" s="179"/>
    </row>
    <row r="894">
      <c r="B894" s="198"/>
      <c r="I894" s="199"/>
      <c r="M894" s="179"/>
    </row>
    <row r="895">
      <c r="B895" s="198"/>
      <c r="I895" s="199"/>
      <c r="M895" s="179"/>
    </row>
    <row r="896">
      <c r="B896" s="198"/>
      <c r="I896" s="199"/>
      <c r="M896" s="179"/>
    </row>
    <row r="897">
      <c r="B897" s="198"/>
      <c r="I897" s="199"/>
      <c r="M897" s="179"/>
    </row>
    <row r="898">
      <c r="B898" s="198"/>
      <c r="I898" s="199"/>
      <c r="M898" s="179"/>
    </row>
    <row r="899">
      <c r="B899" s="198"/>
      <c r="I899" s="199"/>
      <c r="M899" s="179"/>
    </row>
    <row r="900">
      <c r="B900" s="198"/>
      <c r="I900" s="199"/>
      <c r="M900" s="179"/>
    </row>
    <row r="901">
      <c r="B901" s="198"/>
      <c r="I901" s="199"/>
      <c r="M901" s="179"/>
    </row>
    <row r="902">
      <c r="B902" s="198"/>
      <c r="I902" s="199"/>
      <c r="M902" s="179"/>
    </row>
    <row r="903">
      <c r="B903" s="198"/>
      <c r="I903" s="199"/>
      <c r="M903" s="179"/>
    </row>
    <row r="904">
      <c r="B904" s="198"/>
      <c r="I904" s="199"/>
      <c r="M904" s="179"/>
    </row>
    <row r="905">
      <c r="B905" s="198"/>
      <c r="I905" s="199"/>
      <c r="M905" s="179"/>
    </row>
    <row r="906">
      <c r="B906" s="198"/>
      <c r="I906" s="199"/>
      <c r="M906" s="179"/>
    </row>
    <row r="907">
      <c r="B907" s="198"/>
      <c r="I907" s="199"/>
      <c r="M907" s="179"/>
    </row>
    <row r="908">
      <c r="B908" s="198"/>
      <c r="I908" s="199"/>
      <c r="M908" s="179"/>
    </row>
    <row r="909">
      <c r="B909" s="198"/>
      <c r="I909" s="199"/>
      <c r="M909" s="179"/>
    </row>
    <row r="910">
      <c r="B910" s="198"/>
      <c r="I910" s="199"/>
      <c r="M910" s="179"/>
    </row>
    <row r="911">
      <c r="B911" s="198"/>
      <c r="I911" s="199"/>
      <c r="M911" s="179"/>
    </row>
    <row r="912">
      <c r="B912" s="198"/>
      <c r="I912" s="199"/>
      <c r="M912" s="179"/>
    </row>
    <row r="913">
      <c r="B913" s="198"/>
      <c r="I913" s="199"/>
      <c r="M913" s="179"/>
    </row>
    <row r="914">
      <c r="B914" s="198"/>
      <c r="I914" s="199"/>
      <c r="M914" s="179"/>
    </row>
    <row r="915">
      <c r="B915" s="198"/>
      <c r="I915" s="199"/>
      <c r="M915" s="179"/>
    </row>
    <row r="916">
      <c r="B916" s="198"/>
      <c r="I916" s="199"/>
      <c r="M916" s="179"/>
    </row>
    <row r="917">
      <c r="B917" s="198"/>
      <c r="I917" s="199"/>
      <c r="M917" s="179"/>
    </row>
    <row r="918">
      <c r="B918" s="198"/>
      <c r="I918" s="199"/>
      <c r="M918" s="179"/>
    </row>
    <row r="919">
      <c r="B919" s="198"/>
      <c r="I919" s="199"/>
      <c r="M919" s="179"/>
    </row>
    <row r="920">
      <c r="B920" s="198"/>
      <c r="I920" s="199"/>
      <c r="M920" s="179"/>
    </row>
    <row r="921">
      <c r="B921" s="198"/>
      <c r="I921" s="199"/>
      <c r="M921" s="179"/>
    </row>
    <row r="922">
      <c r="B922" s="198"/>
      <c r="I922" s="199"/>
      <c r="M922" s="179"/>
    </row>
    <row r="923">
      <c r="B923" s="198"/>
      <c r="I923" s="199"/>
      <c r="M923" s="179"/>
    </row>
    <row r="924">
      <c r="B924" s="198"/>
      <c r="I924" s="199"/>
      <c r="M924" s="179"/>
    </row>
    <row r="925">
      <c r="B925" s="198"/>
      <c r="I925" s="199"/>
      <c r="M925" s="179"/>
    </row>
    <row r="926">
      <c r="B926" s="198"/>
      <c r="I926" s="199"/>
      <c r="M926" s="179"/>
    </row>
    <row r="927">
      <c r="B927" s="198"/>
      <c r="I927" s="199"/>
      <c r="M927" s="179"/>
    </row>
    <row r="928">
      <c r="B928" s="198"/>
      <c r="I928" s="199"/>
      <c r="M928" s="179"/>
    </row>
    <row r="929">
      <c r="B929" s="198"/>
      <c r="I929" s="199"/>
      <c r="M929" s="179"/>
    </row>
    <row r="930">
      <c r="B930" s="198"/>
      <c r="I930" s="199"/>
      <c r="M930" s="179"/>
    </row>
    <row r="931">
      <c r="B931" s="198"/>
      <c r="I931" s="199"/>
      <c r="M931" s="179"/>
    </row>
    <row r="932">
      <c r="B932" s="198"/>
      <c r="I932" s="199"/>
      <c r="M932" s="179"/>
    </row>
    <row r="933">
      <c r="B933" s="198"/>
      <c r="I933" s="199"/>
      <c r="M933" s="179"/>
    </row>
    <row r="934">
      <c r="B934" s="198"/>
      <c r="I934" s="199"/>
      <c r="M934" s="179"/>
    </row>
    <row r="935">
      <c r="B935" s="198"/>
      <c r="I935" s="199"/>
      <c r="M935" s="179"/>
    </row>
    <row r="936">
      <c r="B936" s="198"/>
      <c r="I936" s="199"/>
      <c r="M936" s="179"/>
    </row>
    <row r="937">
      <c r="B937" s="198"/>
      <c r="I937" s="199"/>
      <c r="M937" s="179"/>
    </row>
    <row r="938">
      <c r="B938" s="198"/>
      <c r="I938" s="199"/>
      <c r="M938" s="179"/>
    </row>
    <row r="939">
      <c r="B939" s="198"/>
      <c r="I939" s="199"/>
      <c r="M939" s="179"/>
    </row>
    <row r="940">
      <c r="B940" s="198"/>
      <c r="I940" s="199"/>
      <c r="M940" s="179"/>
    </row>
    <row r="941">
      <c r="B941" s="198"/>
      <c r="I941" s="199"/>
      <c r="M941" s="179"/>
    </row>
    <row r="942">
      <c r="B942" s="198"/>
      <c r="I942" s="199"/>
      <c r="M942" s="179"/>
    </row>
    <row r="943">
      <c r="B943" s="198"/>
      <c r="I943" s="199"/>
      <c r="M943" s="179"/>
    </row>
    <row r="944">
      <c r="B944" s="198"/>
      <c r="I944" s="199"/>
      <c r="M944" s="179"/>
    </row>
    <row r="945">
      <c r="B945" s="198"/>
      <c r="I945" s="199"/>
      <c r="M945" s="179"/>
    </row>
    <row r="946">
      <c r="B946" s="198"/>
      <c r="I946" s="199"/>
      <c r="M946" s="179"/>
    </row>
    <row r="947">
      <c r="B947" s="198"/>
      <c r="I947" s="199"/>
      <c r="M947" s="179"/>
    </row>
    <row r="948">
      <c r="B948" s="198"/>
      <c r="I948" s="199"/>
      <c r="M948" s="179"/>
    </row>
    <row r="949">
      <c r="B949" s="198"/>
      <c r="I949" s="199"/>
      <c r="M949" s="179"/>
    </row>
    <row r="950">
      <c r="B950" s="198"/>
      <c r="I950" s="199"/>
      <c r="M950" s="179"/>
    </row>
    <row r="951">
      <c r="B951" s="198"/>
      <c r="I951" s="199"/>
      <c r="M951" s="179"/>
    </row>
    <row r="952">
      <c r="B952" s="198"/>
      <c r="I952" s="199"/>
      <c r="M952" s="179"/>
    </row>
    <row r="953">
      <c r="B953" s="198"/>
      <c r="I953" s="199"/>
      <c r="M953" s="179"/>
    </row>
    <row r="954">
      <c r="B954" s="198"/>
      <c r="I954" s="199"/>
      <c r="M954" s="179"/>
    </row>
    <row r="955">
      <c r="B955" s="198"/>
      <c r="I955" s="199"/>
      <c r="M955" s="179"/>
    </row>
    <row r="956">
      <c r="B956" s="198"/>
      <c r="I956" s="199"/>
      <c r="M956" s="179"/>
    </row>
    <row r="957">
      <c r="B957" s="198"/>
      <c r="I957" s="199"/>
      <c r="M957" s="179"/>
    </row>
    <row r="958">
      <c r="B958" s="198"/>
      <c r="I958" s="199"/>
      <c r="M958" s="179"/>
    </row>
    <row r="959">
      <c r="B959" s="198"/>
      <c r="I959" s="199"/>
      <c r="M959" s="179"/>
    </row>
    <row r="960">
      <c r="B960" s="198"/>
      <c r="I960" s="199"/>
      <c r="M960" s="179"/>
    </row>
    <row r="961">
      <c r="B961" s="198"/>
      <c r="I961" s="199"/>
      <c r="M961" s="179"/>
    </row>
    <row r="962">
      <c r="B962" s="198"/>
      <c r="I962" s="199"/>
      <c r="M962" s="179"/>
    </row>
    <row r="963">
      <c r="B963" s="198"/>
      <c r="I963" s="199"/>
      <c r="M963" s="179"/>
    </row>
    <row r="964">
      <c r="B964" s="198"/>
      <c r="I964" s="199"/>
      <c r="M964" s="179"/>
    </row>
    <row r="965">
      <c r="B965" s="198"/>
      <c r="I965" s="199"/>
      <c r="M965" s="179"/>
    </row>
    <row r="966">
      <c r="B966" s="198"/>
      <c r="I966" s="199"/>
      <c r="M966" s="179"/>
    </row>
    <row r="967">
      <c r="B967" s="198"/>
      <c r="I967" s="199"/>
      <c r="M967" s="179"/>
    </row>
    <row r="968">
      <c r="B968" s="198"/>
      <c r="I968" s="199"/>
      <c r="M968" s="179"/>
    </row>
    <row r="969">
      <c r="B969" s="198"/>
      <c r="I969" s="199"/>
      <c r="M969" s="179"/>
    </row>
    <row r="970">
      <c r="B970" s="198"/>
      <c r="I970" s="199"/>
      <c r="M970" s="179"/>
    </row>
    <row r="971">
      <c r="B971" s="198"/>
      <c r="I971" s="199"/>
      <c r="M971" s="179"/>
    </row>
    <row r="972">
      <c r="B972" s="198"/>
      <c r="I972" s="199"/>
      <c r="M972" s="179"/>
    </row>
    <row r="973">
      <c r="B973" s="198"/>
      <c r="I973" s="199"/>
      <c r="M973" s="179"/>
    </row>
    <row r="974">
      <c r="B974" s="198"/>
      <c r="I974" s="199"/>
      <c r="M974" s="179"/>
    </row>
    <row r="975">
      <c r="B975" s="198"/>
      <c r="I975" s="199"/>
      <c r="M975" s="179"/>
    </row>
    <row r="976">
      <c r="B976" s="198"/>
      <c r="I976" s="199"/>
      <c r="M976" s="179"/>
    </row>
    <row r="977">
      <c r="B977" s="198"/>
      <c r="I977" s="199"/>
      <c r="M977" s="179"/>
    </row>
    <row r="978">
      <c r="B978" s="198"/>
      <c r="I978" s="199"/>
      <c r="M978" s="179"/>
    </row>
    <row r="979">
      <c r="B979" s="198"/>
      <c r="I979" s="199"/>
      <c r="M979" s="179"/>
    </row>
    <row r="980">
      <c r="B980" s="198"/>
      <c r="I980" s="199"/>
      <c r="M980" s="179"/>
    </row>
    <row r="981">
      <c r="B981" s="198"/>
      <c r="I981" s="199"/>
      <c r="M981" s="179"/>
    </row>
    <row r="982">
      <c r="B982" s="198"/>
      <c r="I982" s="199"/>
      <c r="M982" s="179"/>
    </row>
    <row r="983">
      <c r="B983" s="198"/>
      <c r="I983" s="199"/>
      <c r="M983" s="179"/>
    </row>
    <row r="984">
      <c r="B984" s="198"/>
      <c r="I984" s="199"/>
      <c r="M984" s="179"/>
    </row>
    <row r="985">
      <c r="B985" s="198"/>
      <c r="I985" s="199"/>
      <c r="M985" s="179"/>
    </row>
    <row r="986">
      <c r="B986" s="198"/>
      <c r="I986" s="199"/>
      <c r="M986" s="179"/>
    </row>
    <row r="987">
      <c r="B987" s="198"/>
      <c r="I987" s="199"/>
      <c r="M987" s="179"/>
    </row>
    <row r="988">
      <c r="B988" s="198"/>
      <c r="I988" s="199"/>
      <c r="M988" s="179"/>
    </row>
    <row r="989">
      <c r="B989" s="198"/>
      <c r="I989" s="199"/>
      <c r="M989" s="179"/>
    </row>
    <row r="990">
      <c r="B990" s="198"/>
      <c r="I990" s="199"/>
      <c r="M990" s="179"/>
    </row>
    <row r="991">
      <c r="B991" s="198"/>
      <c r="I991" s="199"/>
      <c r="M991" s="179"/>
    </row>
    <row r="992">
      <c r="B992" s="198"/>
      <c r="I992" s="199"/>
      <c r="M992" s="179"/>
    </row>
    <row r="993">
      <c r="B993" s="198"/>
      <c r="I993" s="199"/>
      <c r="M993" s="179"/>
    </row>
    <row r="994">
      <c r="B994" s="198"/>
      <c r="I994" s="199"/>
      <c r="M994" s="179"/>
    </row>
    <row r="995">
      <c r="B995" s="198"/>
      <c r="I995" s="199"/>
      <c r="M995" s="179"/>
    </row>
    <row r="996">
      <c r="B996" s="198"/>
      <c r="I996" s="199"/>
      <c r="M996" s="179"/>
    </row>
    <row r="997">
      <c r="B997" s="198"/>
      <c r="I997" s="199"/>
      <c r="M997" s="179"/>
    </row>
    <row r="998">
      <c r="B998" s="198"/>
      <c r="I998" s="199"/>
      <c r="M998" s="179"/>
    </row>
    <row r="999">
      <c r="B999" s="198"/>
      <c r="I999" s="199"/>
      <c r="M999" s="179"/>
    </row>
    <row r="1000">
      <c r="B1000" s="198"/>
      <c r="I1000" s="199"/>
      <c r="M1000" s="179"/>
    </row>
    <row r="1001">
      <c r="B1001" s="198"/>
      <c r="I1001" s="199"/>
      <c r="M1001" s="179"/>
    </row>
    <row r="1002">
      <c r="B1002" s="198"/>
      <c r="I1002" s="199"/>
      <c r="M1002" s="179"/>
    </row>
    <row r="1003">
      <c r="B1003" s="198"/>
      <c r="I1003" s="199"/>
      <c r="M1003" s="179"/>
    </row>
    <row r="1004">
      <c r="B1004" s="198"/>
      <c r="I1004" s="199"/>
      <c r="M1004" s="179"/>
    </row>
    <row r="1005">
      <c r="B1005" s="198"/>
      <c r="I1005" s="199"/>
      <c r="M1005" s="179"/>
    </row>
    <row r="1006">
      <c r="B1006" s="198"/>
      <c r="I1006" s="199"/>
      <c r="M1006" s="179"/>
    </row>
    <row r="1007">
      <c r="B1007" s="198"/>
      <c r="I1007" s="199"/>
      <c r="M1007" s="179"/>
    </row>
    <row r="1008">
      <c r="B1008" s="198"/>
      <c r="I1008" s="199"/>
      <c r="M1008" s="179"/>
    </row>
    <row r="1009">
      <c r="B1009" s="198"/>
      <c r="I1009" s="199"/>
      <c r="M1009" s="179"/>
    </row>
    <row r="1010">
      <c r="B1010" s="198"/>
      <c r="I1010" s="199"/>
      <c r="M1010" s="179"/>
    </row>
    <row r="1011">
      <c r="B1011" s="198"/>
      <c r="I1011" s="199"/>
      <c r="M1011" s="179"/>
    </row>
    <row r="1012">
      <c r="B1012" s="198"/>
      <c r="I1012" s="199"/>
      <c r="M1012" s="179"/>
    </row>
    <row r="1013">
      <c r="B1013" s="198"/>
      <c r="I1013" s="199"/>
      <c r="M1013" s="179"/>
    </row>
    <row r="1014">
      <c r="B1014" s="198"/>
      <c r="I1014" s="199"/>
      <c r="M1014" s="179"/>
    </row>
    <row r="1015">
      <c r="B1015" s="198"/>
      <c r="I1015" s="199"/>
      <c r="M1015" s="179"/>
    </row>
    <row r="1016">
      <c r="B1016" s="198"/>
      <c r="I1016" s="199"/>
      <c r="M1016" s="179"/>
    </row>
    <row r="1017">
      <c r="B1017" s="198"/>
      <c r="I1017" s="199"/>
      <c r="M1017" s="179"/>
    </row>
    <row r="1018">
      <c r="B1018" s="198"/>
      <c r="I1018" s="199"/>
      <c r="M1018" s="179"/>
    </row>
    <row r="1019">
      <c r="B1019" s="198"/>
      <c r="I1019" s="199"/>
      <c r="M1019" s="179"/>
    </row>
    <row r="1020">
      <c r="B1020" s="198"/>
      <c r="I1020" s="199"/>
      <c r="M1020" s="179"/>
    </row>
    <row r="1021">
      <c r="B1021" s="198"/>
      <c r="I1021" s="199"/>
      <c r="M1021" s="179"/>
    </row>
    <row r="1022">
      <c r="B1022" s="198"/>
      <c r="I1022" s="199"/>
      <c r="M1022" s="179"/>
    </row>
    <row r="1023">
      <c r="B1023" s="198"/>
      <c r="I1023" s="199"/>
      <c r="M1023" s="179"/>
    </row>
    <row r="1024">
      <c r="B1024" s="198"/>
      <c r="I1024" s="199"/>
      <c r="M1024" s="179"/>
    </row>
    <row r="1025">
      <c r="B1025" s="198"/>
      <c r="I1025" s="199"/>
      <c r="M1025" s="179"/>
    </row>
    <row r="1026">
      <c r="B1026" s="198"/>
      <c r="I1026" s="199"/>
      <c r="M1026" s="179"/>
    </row>
    <row r="1027">
      <c r="B1027" s="198"/>
      <c r="I1027" s="199"/>
      <c r="M1027" s="179"/>
    </row>
    <row r="1028">
      <c r="B1028" s="198"/>
      <c r="I1028" s="199"/>
      <c r="M1028" s="179"/>
    </row>
  </sheetData>
  <dataValidations>
    <dataValidation type="list" allowBlank="1" showErrorMessage="1" sqref="H3:H47 H50:H63">
      <formula1>"Close,Open"</formula1>
    </dataValidation>
  </dataValidation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2026-05-20T08:37:58Z</dcterms:created>
  <dc:creator>openpyxl</dc:creator>
</cp:coreProperties>
</file>