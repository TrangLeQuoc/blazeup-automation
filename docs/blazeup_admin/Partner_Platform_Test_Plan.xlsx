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Partner Platform" sheetId="2" r:id="rId5"/>
    <sheet state="visible" name="Regression Suite" sheetId="3" r:id="rId6"/>
    <sheet state="visible" name="Execution Log" sheetId="4" r:id="rId7"/>
    <sheet state="visible" name="Test Scope" sheetId="5" r:id="rId8"/>
  </sheets>
  <definedNames>
    <definedName hidden="1" localSheetId="1" name="_xlnm._FilterDatabase">'Partner Platform'!$A$2:$O$243</definedName>
    <definedName hidden="1" localSheetId="2" name="_xlnm._FilterDatabase">'Regression Suite'!$A$1:$F$98</definedName>
    <definedName hidden="1" localSheetId="3" name="_xlnm._FilterDatabase">'Execution Log'!$A$1:$H$101</definedName>
  </definedNames>
  <calcPr/>
  <extLst>
    <ext uri="GoogleSheetsCustomDataVersion2">
      <go:sheetsCustomData xmlns:go="http://customooxmlschemas.google.com/" r:id="rId9" roundtripDataChecksum="eghxiZfFBSzb/LjEvCQJUHSedT/rEx7XX9fmVht7cLc="/>
    </ext>
  </extLst>
</workbook>
</file>

<file path=xl/sharedStrings.xml><?xml version="1.0" encoding="utf-8"?>
<sst xmlns="http://schemas.openxmlformats.org/spreadsheetml/2006/main" count="4642" uniqueCount="1512">
  <si>
    <t xml:space="preserve">TEST PLAN SUMMARY </t>
  </si>
  <si>
    <t>partner-platform-prd-v1.8  |  Generated: 2026-05-20</t>
  </si>
  <si>
    <t>No.</t>
  </si>
  <si>
    <t>BLOCK</t>
  </si>
  <si>
    <t>TOTAL</t>
  </si>
  <si>
    <t>COMPLETED</t>
  </si>
  <si>
    <t>PASSED</t>
  </si>
  <si>
    <t>FAILED</t>
  </si>
  <si>
    <t>NOT STARTED</t>
  </si>
  <si>
    <t>IN PROGRESS</t>
  </si>
  <si>
    <t>BLOCKED</t>
  </si>
  <si>
    <t>Number</t>
  </si>
  <si>
    <t>Percent</t>
  </si>
  <si>
    <t>COMMENT</t>
  </si>
  <si>
    <t>OWNER</t>
  </si>
  <si>
    <t>Partner Platform</t>
  </si>
  <si>
    <t>Trang Le</t>
  </si>
  <si>
    <t>Status</t>
  </si>
  <si>
    <t>Count</t>
  </si>
  <si>
    <t>Pass</t>
  </si>
  <si>
    <t>Fail</t>
  </si>
  <si>
    <t>Not Started</t>
  </si>
  <si>
    <t>In Progress</t>
  </si>
  <si>
    <t>Type</t>
  </si>
  <si>
    <t>UI</t>
  </si>
  <si>
    <t>API</t>
  </si>
  <si>
    <t>Coverage</t>
  </si>
  <si>
    <t>Automation</t>
  </si>
  <si>
    <t>Automated</t>
  </si>
  <si>
    <t>Manual Only</t>
  </si>
  <si>
    <t>Priority</t>
  </si>
  <si>
    <t>P1</t>
  </si>
  <si>
    <t>P2</t>
  </si>
  <si>
    <t>P3</t>
  </si>
  <si>
    <t>P4</t>
  </si>
  <si>
    <t>PARTNER PLATFORM — MODULE STATUS SUMMARY</t>
  </si>
  <si>
    <t>Item</t>
  </si>
  <si>
    <t>Description</t>
  </si>
  <si>
    <t>Summary</t>
  </si>
  <si>
    <t>Manual</t>
  </si>
  <si>
    <t>Total number of tests</t>
  </si>
  <si>
    <t>Number of tests PASSED</t>
  </si>
  <si>
    <t>Number of tests FAILED</t>
  </si>
  <si>
    <t>NOT_STARTED</t>
  </si>
  <si>
    <t>Number of tests that have not been started</t>
  </si>
  <si>
    <t>IN_PROGRESS</t>
  </si>
  <si>
    <t>Number of tests currently being tested</t>
  </si>
  <si>
    <t>Tests that could not be executed</t>
  </si>
  <si>
    <t>UI Test Cases</t>
  </si>
  <si>
    <t>Main Section</t>
  </si>
  <si>
    <t>Main Feature/Function</t>
  </si>
  <si>
    <t>Testcasename</t>
  </si>
  <si>
    <t>Testcase</t>
  </si>
  <si>
    <t>Test Type</t>
  </si>
  <si>
    <t>Severity</t>
  </si>
  <si>
    <t>Manual Status</t>
  </si>
  <si>
    <t>Auto</t>
  </si>
  <si>
    <t>Automation Status</t>
  </si>
  <si>
    <t>Requirement Ref</t>
  </si>
  <si>
    <t>Docs Refer</t>
  </si>
  <si>
    <t>Bug ID</t>
  </si>
  <si>
    <t>Owner</t>
  </si>
  <si>
    <t>Note</t>
  </si>
  <si>
    <t>Test Description</t>
  </si>
  <si>
    <t>Test Step</t>
  </si>
  <si>
    <t>Primary Ref</t>
  </si>
  <si>
    <t>Commissions</t>
  </si>
  <si>
    <t>Commissions &amp; Payouts</t>
  </si>
  <si>
    <t>PARTNER_UI_COMMISSIONS_001</t>
  </si>
  <si>
    <t>Calculate - Type estimated annual value - Commission projection updates live</t>
  </si>
  <si>
    <t>Functional</t>
  </si>
  <si>
    <t>Critical</t>
  </si>
  <si>
    <t>NO</t>
  </si>
  <si>
    <t>§4.4, Risk R2</t>
  </si>
  <si>
    <t>partner-platform-prd-v1.8.md</t>
  </si>
  <si>
    <t>Validate the UI flow for type estimated annual value so that commission projection updates live. Scope covers the commission ledger, payout, dispute, waiver, clawback, rate, and approval behavior, authenticated partner/SA role access as applicable, visible copy/state, primary CTA behavior, and PRD coverage §4.4, Risk R2. Out of scope: unrelated modules and deep backend calculation beyond the data needed to prove this case.</t>
  </si>
  <si>
    <t>1. Open the deal registration commercial/value step.
2. Select a partner tier/deal type fixture with known configured rate.
3. Type or change the estimated annual value/ACV.
4. Verify projected commission updates live with the correct currency, rate, and pending/estimated copy.
5. Confirm the projection carries through to review/confirmation and is not shown as final payout.</t>
  </si>
  <si>
    <t>4.4</t>
  </si>
  <si>
    <t>PARTNER_UI_COMMISSIONS_002</t>
  </si>
  <si>
    <t>View - Commissions page - Earned pending and paid totals are visible</t>
  </si>
  <si>
    <t>Major</t>
  </si>
  <si>
    <t>§4.7</t>
  </si>
  <si>
    <t>Validate the UI flow for commissions page so that earned pending and paid totals are visible. Scope covers the commission ledger, payout, dispute, waiver, clawback, rate, and approval behavior, authenticated partner/SA role access as applicable, visible copy/state, primary CTA behavior, and PRD coverage §4.7. Out of scope: unrelated modules and deep backend calculation beyond the data needed to prove this case.</t>
  </si>
  <si>
    <t>1. Navigate to Commissions with earned, pending, paid, and disputed ledger fixtures.
2. Review summary totals and ledger rows.
3. Open the target commission row if detail is required.
4. Verify deal, close, rate/version, approval, payout, clawback/waiver, and payment status fields.
5. Confirm totals reconcile to visible rows for the fixture.</t>
  </si>
  <si>
    <t>4.7</t>
  </si>
  <si>
    <t>PARTNER_UI_COMMISSIONS_003</t>
  </si>
  <si>
    <t>Trace - Commission row detail - Deal close to payment details are visible</t>
  </si>
  <si>
    <t>§4.7, §5.6</t>
  </si>
  <si>
    <t>Validate the UI flow for commission row detail so that deal close to payment details are visible. Scope covers the commission ledger, payout, dispute, waiver, clawback, rate, and approval behavior, authenticated partner/SA role access as applicable, visible copy/state, primary CTA behavior, and PRD coverage §4.7, §5.6. Out of scope: unrelated modules and deep backend calculation beyond the data needed to prove this case.</t>
  </si>
  <si>
    <t>PARTNER_UI_COMMISSIONS_004</t>
  </si>
  <si>
    <t>Submit - Commission dispute - Dispute is created from one text field</t>
  </si>
  <si>
    <t>Validate the UI flow for commission dispute so that dispute is created from one text field. Scope covers the commission ledger, payout, dispute, waiver, clawback, rate, and approval behavior, authenticated partner/SA role access as applicable, visible copy/state, primary CTA behavior, and PRD coverage §4.7. Out of scope: unrelated modules and deep backend calculation beyond the data needed to prove this case.</t>
  </si>
  <si>
    <t>1. Open Commissions using a fixture eligible for the requested action.
2. Start the action: Commission dispute.
3. Enter the minimum required information or evidence/payment fields.
4. Submit and verify validation, confirmation, and new status/history entry.
5. Confirm dispute is created from one text field and sensitive details are masked or region-appropriate where applicable.</t>
  </si>
  <si>
    <t>PARTNER_UI_COMMISSIONS_005</t>
  </si>
  <si>
    <t>Submit - Product failure waiver - Evidence can be linked and request submitted</t>
  </si>
  <si>
    <t>§4.7, §5.3</t>
  </si>
  <si>
    <t>Validate the UI flow for product failure waiver so that evidence can be linked and request submitted. Scope covers the commission ledger, payout, dispute, waiver, clawback, rate, and approval behavior, authenticated partner/SA role access as applicable, visible copy/state, primary CTA behavior, and PRD coverage §4.7, §5.3. Out of scope: unrelated modules and deep backend calculation beyond the data needed to prove this case.</t>
  </si>
  <si>
    <t>1. Open Commissions using a fixture eligible for the requested action.
2. Start the action: Product failure waiver.
3. Enter the minimum required information or evidence/payment fields.
4. Submit and verify validation, confirmation, and new status/history entry.
5. Confirm evidence can be linked and request submitted and sensitive details are masked or region-appropriate where applicable.</t>
  </si>
  <si>
    <t>PARTNER_UI_COMMISSIONS_006</t>
  </si>
  <si>
    <t>Approve - Commission payout over $10K - Two-eye approval is enforced</t>
  </si>
  <si>
    <t>Security</t>
  </si>
  <si>
    <t>§5.6, §7.5</t>
  </si>
  <si>
    <t>Validate the UI flow for commission payout over $10k so that two-eye approval is enforced. Scope covers the commission ledger, payout, dispute, waiver, clawback, rate, and approval behavior, authenticated partner/SA role access as applicable, visible copy/state, primary CTA behavior, and PRD coverage §5.6, §7.5. Out of scope: unrelated modules and deep backend calculation beyond the data needed to prove this case.</t>
  </si>
  <si>
    <t>1. Log in as an active channel partner user with fixture data that supports this scenario.
2. Open /commissions and confirm the expected partner/SA shell is loaded.
3. Perform the action: approve / Commission payout over $10K.
4. Verify that two-eye approval is enforced and that no unrelated page state regresses.
5. Capture any validation message, status badge, audit indicator, or navigation result required by §5.6, §7.5.</t>
  </si>
  <si>
    <t>5.6</t>
  </si>
  <si>
    <t>PARTNER_UI_COMMISSIONS_007</t>
  </si>
  <si>
    <t>Display - Clawback notification - Policy terms and product-failure waiver path are visible</t>
  </si>
  <si>
    <t>Terms must be shown at approval/notification, not as a surprise.</t>
  </si>
  <si>
    <t>Validate the UI flow for clawback notification so that policy terms and product-failure waiver path are visible. Scope covers the commission ledger, payout, dispute, waiver, clawback, rate, and approval behavior, authenticated partner/SA role access as applicable, visible copy/state, primary CTA behavior, and PRD coverage §4.7, §5.3. Out of scope: unrelated modules and deep backend calculation beyond the data needed to prove this case.</t>
  </si>
  <si>
    <t>1. Open Commissions using a fixture eligible for the requested action.
2. Start the action: Clawback notification.
3. Enter the minimum required information or evidence/payment fields.
4. Submit and verify validation, confirmation, and new status/history entry.
5. Confirm policy terms and product-failure waiver path are visible and sensitive details are masked or region-appropriate where applicable.</t>
  </si>
  <si>
    <t>PARTNER_UI_COMMISSIONS_008</t>
  </si>
  <si>
    <t>Ask - Blazey commission question - Contextual answer is returned</t>
  </si>
  <si>
    <t>§4.3, §10</t>
  </si>
  <si>
    <t>Blazey assistant requirement; §10 is effort estimate only.</t>
  </si>
  <si>
    <t>Validate the UI flow for blazey commission question so that contextual answer is returned. Scope covers the commission ledger, payout, dispute, waiver, clawback, rate, and approval behavior, authenticated partner/SA role access as applicable, visible copy/state, primary CTA behavior, and PRD coverage §4.3, §10. Out of scope: unrelated modules and deep backend calculation beyond the data needed to prove this case.</t>
  </si>
  <si>
    <t>1. Open Dashboard or Commissions page where Blazey assistant is available.
2. Ask a commission-related question using the partner fixture context.
3. Verify the answer references the correct deal/tier/rate context without exposing other partners.
4. Confirm the response includes actionable next step or explanation, not a generic fallback.
5. Check that assistant loading/error states remain usable.</t>
  </si>
  <si>
    <t>PARTNER_UI_COMMISSIONS_009</t>
  </si>
  <si>
    <t>Edit - Payout details by region - Correct payment methods are available</t>
  </si>
  <si>
    <t>SWIFT, ACH, NEFT/IMPS, Vietnam bank transfer.</t>
  </si>
  <si>
    <t>Validate the UI flow for payout details by region so that correct payment methods are available. Scope covers the commission ledger, payout, dispute, waiver, clawback, rate, and approval behavior, authenticated partner/SA role access as applicable, visible copy/state, primary CTA behavior, and PRD coverage §4.7. Out of scope: unrelated modules and deep backend calculation beyond the data needed to prove this case.</t>
  </si>
  <si>
    <t>1. Open Commissions using a fixture eligible for the requested action.
2. Start the action: Payout details by region.
3. Enter the minimum required information or evidence/payment fields.
4. Submit and verify validation, confirmation, and new status/history entry.
5. Confirm correct payment methods are available and sensitive details are masked or region-appropriate where applicable.</t>
  </si>
  <si>
    <t>Commission Display</t>
  </si>
  <si>
    <t>PARTNER_UI_COMMISSIONS_010</t>
  </si>
  <si>
    <t>Display - Reseller deal commission - Reseller rate shown, not referral rate</t>
  </si>
  <si>
    <t>§3 Scenario B, §4.7, §5.3</t>
  </si>
  <si>
    <t>Reseller commission rate differs from Pure Referral rate — must not show referral rate</t>
  </si>
  <si>
    <t>Validate the UI flow for reseller deal commission display so that reseller rate is shown and referral rate is not applied. Scope covers the Commissions &amp; Payouts page, deal-level commission breakdown, rate label, and PRD coverage §3 Scenario B, §4.7, §5.3. Out of scope: payout processing and ledger export.</t>
  </si>
  <si>
    <t>1. Log in as reseller partner with a Won reseller deal.
2. Navigate to Commissions &amp; Payouts.
3. Locate the commission entry for the reseller deal.
4. Verify commission rate shown is the configured reseller rate (not referral/co-sell rate).
5. Confirm rate label clearly identifies it as reseller commission.
6. Verify referral rate is not applied to this deal.</t>
  </si>
  <si>
    <t>Invoice &amp; Billing</t>
  </si>
  <si>
    <t>PARTNER_UI_COMMISSIONS_011</t>
  </si>
  <si>
    <t>Invoice - Reseller deal close - Invoice generated for partner not end-client</t>
  </si>
  <si>
    <t>§3 Scenario B, §5.3</t>
  </si>
  <si>
    <t>Locked decision: BlazeUp invoices the PARTNER, never the end-client, for reseller deals</t>
  </si>
  <si>
    <t>Validate the UI flow for reseller deal invoice so that invoice is generated for partner not end-client. Scope covers the Commissions &amp; Payouts page, invoice/billing section, invoice recipient display, and PRD coverage §3 Scenario B, §5.3. Out of scope: actual payment processing.</t>
  </si>
  <si>
    <t>1. Log in as reseller partner with a Won reseller deal that has passed commission processing.
2. Navigate to Commissions &amp; Payouts.
3. Locate the invoice or billing record for the reseller deal.
4. Verify invoice recipient is the partner entity, not the end-client.
5. Confirm no invoice referencing the end-client name or billing details is visible.
6. Verify invoice amount matches the partner's reseller rate on the deal value.</t>
  </si>
  <si>
    <t>3-B</t>
  </si>
  <si>
    <t>Dashboard</t>
  </si>
  <si>
    <t>Home KPIs &amp; Actions</t>
  </si>
  <si>
    <t>PARTNER_UI_DASHBOARD_001</t>
  </si>
  <si>
    <t>View - Partner shell loads for channel partner - Dashboard is displayed</t>
  </si>
  <si>
    <t>§4.1, §4.2</t>
  </si>
  <si>
    <t>Verify partner.blazeup.ai shell, navigation, and federated dashboard.</t>
  </si>
  <si>
    <t>Validate the UI flow for partner shell loads for channel partner so that dashboard is displayed. Scope covers the partner dashboard KPI, action-required, pipeline snapshot, and tier-progress experience, authenticated partner/SA role access as applicable, visible copy/state, primary CTA behavior, and PRD coverage §4.1, §4.2. Out of scope: unrelated modules and deep backend calculation beyond the data needed to prove this case.</t>
  </si>
  <si>
    <t>1. Log in as an active channel partner user.
2. Navigate to partner portal root `/`.
3. Confirm the Partner shell, brand, demo/banner area, help/profile controls, and navigation render.
4. Verify Dashboard is the active page and no tenant/SA-only navigation is exposed.
5. Confirm seeded dashboard content is visible without loading or authorization errors.</t>
  </si>
  <si>
    <t>PARTNER_UI_DASHBOARD_002</t>
  </si>
  <si>
    <t>Render - Dashboard KPI cards available - Actionable metrics are visible</t>
  </si>
  <si>
    <t>§4.3</t>
  </si>
  <si>
    <t>Pipeline, commission, active clients, and tier progress cards.</t>
  </si>
  <si>
    <t>Validate the UI flow for dashboard kpi cards available so that actionable metrics are visible. Scope covers the partner dashboard KPI, action-required, pipeline snapshot, and tier-progress experience, authenticated partner/SA role access as applicable, visible copy/state, primary CTA behavior, and PRD coverage §4.3. Out of scope: unrelated modules and deep backend calculation beyond the data needed to prove this case.</t>
  </si>
  <si>
    <t>1. Open the Dashboard as a partner with seeded pipeline, commission, client, and tier data.
2. Locate the KPI cards for Pipeline, Commission, Active Clients, and Tier.
3. Verify values, sublabels, icons/status styling, and clickable affordances are visible.
4. Compare displayed values to the fixture dataset used for the test.
5. Confirm loading skeletons are gone and no KPI is blank or duplicated.</t>
  </si>
  <si>
    <t>4.3</t>
  </si>
  <si>
    <t>PARTNER_UI_DASHBOARD_003</t>
  </si>
  <si>
    <t>Render - Tier progress exists on dashboard - Progress to next tier is visible</t>
  </si>
  <si>
    <t>§2.1, §4.3</t>
  </si>
  <si>
    <t>Validate the UI flow for tier progress exists on dashboard so that progress to next tier is visible. Scope covers the partner dashboard KPI, action-required, pipeline snapshot, and tier-progress experience, authenticated partner/SA role access as applicable, visible copy/state, primary CTA behavior, and PRD coverage §2.1, §4.3. Out of scope: unrelated modules and deep backend calculation beyond the data needed to prove this case.</t>
  </si>
  <si>
    <t>1. Open Dashboard using a partner fixture with current tier, T12M ARR, and next-tier threshold.
2. Locate the Tier Progress component.
3. Verify current tier, threshold target, progress bar, current ARR, and remaining delta are shown.
4. Change fixture or use a partner near threshold if supported and refresh.
5. Confirm progress and next-tier copy follow PRD tier rules and remain readable.</t>
  </si>
  <si>
    <t>PARTNER_UI_DASHBOARD_004</t>
  </si>
  <si>
    <t>Render - Action Required list has pending tasks - Partner sees next actions</t>
  </si>
  <si>
    <t>Validate the UI flow for action required list has pending tasks so that partner sees next actions. Scope covers the partner dashboard KPI, action-required, pipeline snapshot, and tier-progress experience, authenticated partner/SA role access as applicable, visible copy/state, primary CTA behavior, and PRD coverage §4.3. Out of scope: unrelated modules and deep backend calculation beyond the data needed to prove this case.</t>
  </si>
  <si>
    <t>1. Open Dashboard with fixture data containing at least one renewal/action item.
2. Locate the Action Required section.
3. Verify each item shows clear context, client/deal name, urgency/status, and the correct CTA.
4. Click the relevant CTA when applicable.
5. Confirm navigation or detail state matches the item type and no stale action remains visible.</t>
  </si>
  <si>
    <t>PARTNER_UI_DASHBOARD_005</t>
  </si>
  <si>
    <t>Calculate - Tier qualification dashboard - T12M ARR threshold and next-tier delta are visible</t>
  </si>
  <si>
    <t>Requirement-phase case; automation mapping later.</t>
  </si>
  <si>
    <t>Validate the UI flow for tier qualification dashboard so that t12m arr threshold and next-tier delta are visible. Scope covers the partner dashboard KPI, action-required, pipeline snapshot, and tier-progress experience, authenticated partner/SA role access as applicable, visible copy/state, primary CTA behavior, and PRD coverage §2.1, §4.3. Out of scope: unrelated modules and deep backend calculation beyond the data needed to prove this case.</t>
  </si>
  <si>
    <t>Tier Progress</t>
  </si>
  <si>
    <t>PARTNER_UI_DASHBOARD_006</t>
  </si>
  <si>
    <t>Warn - Tier downgrade pending - 30-day notice and grace quarter are displayed</t>
  </si>
  <si>
    <t>§2.1, §5.5</t>
  </si>
  <si>
    <t>Covers downgrade psychology and grace-quarter rule.</t>
  </si>
  <si>
    <t>Validate the UI flow for tier downgrade pending so that 30-day notice and grace quarter are displayed. Scope covers the partner dashboard KPI, action-required, pipeline snapshot, and tier-progress experience, authenticated partner/SA role access as applicable, visible copy/state, primary CTA behavior, and PRD coverage §2.1, §5.5. Out of scope: unrelated modules and deep backend calculation beyond the data needed to prove this case.</t>
  </si>
  <si>
    <t>1. Log in as an active channel partner user with fixture data that supports this scenario.
2. Open / and confirm the expected partner/SA shell is loaded.
3. Perform the action: warn / Tier downgrade pending.
4. Verify that 30-day notice and grace quarter are displayed and that no unrelated page state regresses.
5. Capture any validation message, status badge, audit indicator, or navigation result required by §2.1, §5.5.</t>
  </si>
  <si>
    <t>5.5</t>
  </si>
  <si>
    <t>PARTNER_UI_DASHBOARD_007</t>
  </si>
  <si>
    <t>Validate - Dashboard hides vanity metrics - Only actionable/clickable values are shown</t>
  </si>
  <si>
    <t>Negative</t>
  </si>
  <si>
    <t>Minor</t>
  </si>
  <si>
    <t>Validate the UI flow for dashboard hides vanity metrics so that only actionable/clickable values are shown. Scope covers the partner dashboard KPI, action-required, pipeline snapshot, and tier-progress experience, authenticated partner/SA role access as applicable, visible copy/state, primary CTA behavior, and PRD coverage §4.3. Out of scope: unrelated modules and deep backend calculation beyond the data needed to prove this case.</t>
  </si>
  <si>
    <t>1. Open Dashboard with standard partner fixture data.
2. Review all visible metrics and cards.
3. Confirm each displayed value is actionable, navigable, or decision-supporting per PRD.
4. Verify non-actionable vanity metrics are absent from the first dashboard view.
5. Confirm page hierarchy still highlights action items, tier progress, and pipeline snapshot.</t>
  </si>
  <si>
    <t>Blazey AI Assistant</t>
  </si>
  <si>
    <t>PARTNER_UI_DASHBOARD_008</t>
  </si>
  <si>
    <t>Ask - Blazey deal status question on dashboard - Current deal stage and assigned rep contact are returned</t>
  </si>
  <si>
    <t>§4.3, §10.10</t>
  </si>
  <si>
    <t>[FIX ADDED 2026-05-27] §10.10 Blazey "deal status" tool not covered — added TC</t>
  </si>
  <si>
    <t>Validate the Blazey AI assistant on the dashboard correctly handles deal status queries so that current deal stage and assigned rep contact are returned.</t>
  </si>
  <si>
    <t>1. Log in as an active channel partner.
2. On the dashboard, open the Blazey AI assistant widget.
3. Type a deal status query e.g. "What is the status of my deal with Acme Corp?".
4. Verify the response includes: current deal stage, next action, and BlazeUp rep contact.
5. Confirm the response is scoped to the logged-in partner deals only.</t>
  </si>
  <si>
    <t>PARTNER_UI_DASHBOARD_009</t>
  </si>
  <si>
    <t>Ask - Blazey tier projection question on dashboard - ARR needed and timeline to next tier are displayed</t>
  </si>
  <si>
    <t>[FIX ADDED 2026-05-27] §10.10 Blazey "tier projection" tool not covered — added TC</t>
  </si>
  <si>
    <t>Validate the Blazey AI assistant on the dashboard correctly handles tier projection queries so that ARR needed and timeline to next tier are displayed.</t>
  </si>
  <si>
    <t>1. Log in as an active channel partner.
2. On the dashboard, open the Blazey AI assistant widget.
3. Type a tier projection query e.g. "How much more ARR do I need to reach Premier?".
4. Verify the response includes: current tier, T12M ARR, ARR gap to next tier, and estimated timeline.
5. Confirm figures match the tier progress bar data displayed on dashboard.</t>
  </si>
  <si>
    <t>My Clients</t>
  </si>
  <si>
    <t>Client Health &amp; MSP</t>
  </si>
  <si>
    <t>PARTNER_UI_MY_CLIENTS_001</t>
  </si>
  <si>
    <t>Click - Action Required renewal CTA - Renewal registration flow opens</t>
  </si>
  <si>
    <t>§4.3, §4.6</t>
  </si>
  <si>
    <t>Validate the UI flow for action required renewal cta so that renewal registration flow opens. Scope covers the post-close client list, client health detail, renewal actions, and MSP consent/access behavior, authenticated partner/SA role access as applicable, visible copy/state, primary CTA behavior, and PRD coverage §4.3, §4.6. Out of scope: unrelated modules and deep backend calculation beyond the data needed to prove this case.</t>
  </si>
  <si>
    <t>1. Open Dashboard as a partner with a fixture containing a client renewal action item (e.g. Meridian Ltd renewal in 18 days).
2. Locate the Action Required section and confirm the renewal item shows client name, renewal date, and a Register renewal deal CTA.
3. Click the Register renewal deal CTA on the renewal action item.
4. Verify the deal registration wizard opens in renewal/expansion context with the client name and tenant reference prefilled.
5. Confirm the registration form does not require re-entering company details already known from the existing client record.</t>
  </si>
  <si>
    <t>4.6</t>
  </si>
  <si>
    <t>PARTNER_UI_MY_CLIENTS_002</t>
  </si>
  <si>
    <t>List - Open My Clients - Post-close clients are displayed</t>
  </si>
  <si>
    <t>§4.6</t>
  </si>
  <si>
    <t>Validate the UI flow for open my clients so that post-close clients are displayed. Scope covers the post-close client list, client health detail, renewal actions, and MSP consent/access behavior, authenticated partner/SA role access as applicable, visible copy/state, primary CTA behavior, and PRD coverage §4.6. Out of scope: unrelated modules and deep backend calculation beyond the data needed to prove this case.</t>
  </si>
  <si>
    <t>1. Navigate to My Clients with active client fixtures including healthy, at-risk, and renewing clients.
2. Apply the action/filter/search: Open My Clients.
3. Verify client rows show name, ARR, health, renewal date, and modules.
4. Confirm post-close clients are displayed and counts/tabs match the fixture.
5. Clear filters and confirm the complete client list returns.</t>
  </si>
  <si>
    <t>PARTNER_UI_MY_CLIENTS_003</t>
  </si>
  <si>
    <t>Open - Client health detail - ARR, renewal, usage, tickets, and CSM are visible</t>
  </si>
  <si>
    <t>§1.3, §4.6</t>
  </si>
  <si>
    <t>Validate the UI flow for client health detail so that arr, renewal, usage, tickets, and csm are visible. Scope covers the post-close client list, client health detail, renewal actions, and MSP consent/access behavior, authenticated partner/SA role access as applicable, visible copy/state, primary CTA behavior, and PRD coverage §1.3, §4.6. Out of scope: unrelated modules and deep backend calculation beyond the data needed to prove this case.</t>
  </si>
  <si>
    <t>1. Open My Clients and select a seeded client such as Meridian Ltd.
2. Navigate to the Client Health Detail page.
3. Verify ARR, renewal, adoption/usage, module health, ticket summary, and CSM/owner context are visible.
4. Confirm Blazey insight or renewal recommendation appears when the fixture is at risk.
5. Verify CTA behavior does not expose restricted client data.</t>
  </si>
  <si>
    <t>PARTNER_UI_MY_CLIENTS_004</t>
  </si>
  <si>
    <t>Register - Renewal deal from client detail - Renewal context is prefilled</t>
  </si>
  <si>
    <t>§3 Scenario F, §4.6</t>
  </si>
  <si>
    <t>Validate the UI flow for renewal deal from client detail so that renewal context is prefilled. Scope covers the post-close client list, client health detail, renewal actions, and MSP consent/access behavior, authenticated partner/SA role access as applicable, visible copy/state, primary CTA behavior, and PRD coverage §3 Scenario F, §4.6. Out of scope: unrelated modules and deep backend calculation beyond the data needed to prove this case.</t>
  </si>
  <si>
    <t>1. Open Dashboard or Client Health Detail with Meridian Ltd renewal fixture.
2. Click the Register renewal deal CTA.
3. Confirm the deal-registration flow opens in renewal/expansion context.
4. Verify client name, tenant/client reference, renewal date, and existing module context are prefilled.
5. Confirm the user can continue without re-entering unrelated new-logo data.</t>
  </si>
  <si>
    <t>PARTNER_UI_MY_CLIENTS_005</t>
  </si>
  <si>
    <t>Add - MSP managed client - Provisioning form is shown</t>
  </si>
  <si>
    <t>§3 Scenario G, §7.3</t>
  </si>
  <si>
    <t>Validate the UI flow for msp managed client so that provisioning form is shown. Scope covers the post-close client list, client health detail, renewal actions, and MSP consent/access behavior, authenticated partner/SA role access as applicable, visible copy/state, primary CTA behavior, and PRD coverage §3 Scenario G, §7.3. Out of scope: unrelated modules and deep backend calculation beyond the data needed to prove this case.</t>
  </si>
  <si>
    <t>1. Log in as an MSP partner with managed-client fixtures.
2. Open My Clients or client provisioning flow for: MSP managed client.
3. Verify ticket-content consent is off by default unless explicitly granted.
4. Confirm counts/severity are visible but body/content is hidden without consent.
5. Complete the action and verify provisioning form is shown with audit-friendly consent state.</t>
  </si>
  <si>
    <t>3-G</t>
  </si>
  <si>
    <t>PARTNER_UI_MY_CLIENTS_006</t>
  </si>
  <si>
    <t>Toggle - MSP ticket consent default - Consent is off by default</t>
  </si>
  <si>
    <t>§3 Scenario G, §7.3, §9.2</t>
  </si>
  <si>
    <t>Validate the UI flow for msp ticket consent default so that consent is off by default. Scope covers the post-close client list, client health detail, renewal actions, and MSP consent/access behavior, authenticated partner/SA role access as applicable, visible copy/state, primary CTA behavior, and PRD coverage §3 Scenario G, §7.3, §9.2. Out of scope: unrelated modules and deep backend calculation beyond the data needed to prove this case.</t>
  </si>
  <si>
    <t>1. Log in as an MSP partner with managed-client fixtures.
2. Open My Clients or client provisioning flow for: MSP ticket consent default.
3. Verify ticket-content consent is off by default unless explicitly granted.
4. Confirm counts/severity are visible but body/content is hidden without consent.
5. Complete the action and verify consent is off by default with audit-friendly consent state.</t>
  </si>
  <si>
    <t>PARTNER_UI_MY_CLIENTS_007</t>
  </si>
  <si>
    <t>Filter - Renewal This Quarter - Only qualifying clients are shown</t>
  </si>
  <si>
    <t>Validate the UI flow for renewal this quarter so that only qualifying clients are shown. Scope covers the post-close client list, client health detail, renewal actions, and MSP consent/access behavior, authenticated partner/SA role access as applicable, visible copy/state, primary CTA behavior, and PRD coverage §4.6. Out of scope: unrelated modules and deep backend calculation beyond the data needed to prove this case.</t>
  </si>
  <si>
    <t>1. Navigate to My Clients with active client fixtures including healthy, at-risk, and renewing clients.
2. Apply the action/filter/search: Renewal This Quarter.
3. Verify client rows show name, ARR, health, renewal date, and modules.
4. Confirm only qualifying clients are shown and counts/tabs match the fixture.
5. Clear filters and confirm the complete client list returns.</t>
  </si>
  <si>
    <t>PARTNER_UI_MY_CLIENTS_008</t>
  </si>
  <si>
    <t>Filter - Health At Risk - At-risk clients are shown</t>
  </si>
  <si>
    <t>Validate the UI flow for health at risk so that at-risk clients are shown. Scope covers the post-close client list, client health detail, renewal actions, and MSP consent/access behavior, authenticated partner/SA role access as applicable, visible copy/state, primary CTA behavior, and PRD coverage §1.3, §4.6. Out of scope: unrelated modules and deep backend calculation beyond the data needed to prove this case.</t>
  </si>
  <si>
    <t>1. Navigate to My Clients with active client fixtures including healthy, at-risk, and renewing clients.
2. Apply the action/filter/search: Health At Risk.
3. Verify client rows show name, ARR, health, renewal date, and modules.
4. Confirm at-risk clients are shown and counts/tabs match the fixture.
5. Clear filters and confirm the complete client list returns.</t>
  </si>
  <si>
    <t>PARTNER_UI_MY_CLIENTS_009</t>
  </si>
  <si>
    <t>Search - Find client by name - Matching clients are displayed</t>
  </si>
  <si>
    <t>Validate the UI flow for find client by name so that matching clients are displayed. Scope covers the post-close client list, client health detail, renewal actions, and MSP consent/access behavior, authenticated partner/SA role access as applicable, visible copy/state, primary CTA behavior, and PRD coverage §4.6. Out of scope: unrelated modules and deep backend calculation beyond the data needed to prove this case.</t>
  </si>
  <si>
    <t>1. Navigate to My Clients with active client fixtures including healthy, at-risk, and renewing clients.
2. Apply the action/filter/search: Find client by name.
3. Verify client rows show name, ARR, health, renewal date, and modules.
4. Confirm matching clients are displayed and counts/tabs match the fixture.
5. Clear filters and confirm the complete client list returns.</t>
  </si>
  <si>
    <t>PARTNER_UI_MY_CLIENTS_010</t>
  </si>
  <si>
    <t>Display - Blazey client insight - Adoption recommendation appears</t>
  </si>
  <si>
    <t>Validate the UI flow for blazey client insight so that adoption recommendation appears. Scope covers the post-close client list, client health detail, renewal actions, and MSP consent/access behavior, authenticated partner/SA role access as applicable, visible copy/state, primary CTA behavior, and PRD coverage §1.3, §4.6. Out of scope: unrelated modules and deep backend calculation beyond the data needed to prove this case.</t>
  </si>
  <si>
    <t>Expansion Deal</t>
  </si>
  <si>
    <t>PARTNER_UI_MY_CLIENTS_011</t>
  </si>
  <si>
    <t>Register - Expansion deal from My Clients - Existing client pre-filled in wizard</t>
  </si>
  <si>
    <t>§3 Scenario F, §4.6, §4.4</t>
  </si>
  <si>
    <t>Expansion starts from My Clients — existing client context must pre-fill wizard, not blank form</t>
  </si>
  <si>
    <t>Validate the UI flow for expansion deal registration from My Clients so that existing client details are pre-filled in the deal wizard. Scope covers the My Clients list, client detail page, expansion deal CTA, deal registration wizard pre-fill behavior, and PRD coverage §3 Scenario F, §4.6, §4.4. Out of scope: commission calculation and tenant provisioning.</t>
  </si>
  <si>
    <t>1. Log in as an active partner with at least one existing closed client in My Clients.
2. Navigate to My Clients and open the client detail page.
3. Locate and click the "Register Expansion Deal" CTA.
4. Verify the deal registration wizard opens with company name, domain, and tenant reference pre-filled from the existing client record.
5. Confirm the wizard does not require re-entering client details already on file.
6. Submit the expansion deal and verify it appears in My Pipeline.</t>
  </si>
  <si>
    <t>3-F</t>
  </si>
  <si>
    <t>PARTNER_UI_MY_CLIENTS_012</t>
  </si>
  <si>
    <t>§3 Scenario F, §7.4</t>
  </si>
  <si>
    <t>Key invariant: expansion must reuse existing tenant_id — new tenant must NOT be provisioned</t>
  </si>
  <si>
    <t>Validate the UI flow for expansion deal submission so that existing tenant_id is reused and no new tenant is created. Scope covers the deal registration wizard review step, submission confirmation, deal detail page tenant reference, and PRD coverage §3 Scenario F, §7.4. Out of scope: commission calculation and billing.</t>
  </si>
  <si>
    <t>1. Submit an expansion deal for an existing client via the registration wizard (from TC_011 or equivalent fixture).
2. Open the submitted deal in My Pipeline and navigate to deal detail.
3. Verify the deal detail shows the existing client's tenant_id (not a new one).
4. Confirm no new tenant provisioning task or pending-tenant state is shown.
5. Verify the expansion deal is linked to the same client record in My Clients.</t>
  </si>
  <si>
    <t>PARTNER_UI_MY_CLIENTS_013</t>
  </si>
  <si>
    <t>§3 Scenario F, §4.6, §7.4</t>
  </si>
  <si>
    <t>After expansion close, ARR on client card must reflect the expanded value</t>
  </si>
  <si>
    <t>Validate the UI flow for post-close expansion deal so that ARR is updated in the My Clients client detail card. Scope covers the My Clients list, client detail page, ARR metric display, and PRD coverage §3 Scenario F, §4.6, §7.4. Out of scope: commission payout and new tenant provisioning.</t>
  </si>
  <si>
    <t>1. Log in as a partner with a Won expansion deal fixture for an existing client.
2. Navigate to My Clients and open the client detail page for that client.
3. Verify the ARR displayed on the client detail card reflects the updated value after the expansion close.
4. Confirm the ARR increase matches the expansion deal value.
5. Verify no duplicate client record was created — the same client entry shows the expanded ARR.</t>
  </si>
  <si>
    <t>My Pipeline</t>
  </si>
  <si>
    <t>Deal Registration</t>
  </si>
  <si>
    <t>PARTNER_UI_MY_PIPELINE_001</t>
  </si>
  <si>
    <t>Register - Enter valid company details - Wizard advances to contact step</t>
  </si>
  <si>
    <t>§4.4</t>
  </si>
  <si>
    <t>Validate the UI flow for enter valid company details so that wizard advances to contact step. Scope covers the deal registration wizard, validation, billing/deal-type capture, confirmation, and submission flow, authenticated partner/SA role access as applicable, visible copy/state, primary CTA behavior, and PRD coverage §4.4. Out of scope: unrelated modules and deep backend calculation beyond the data needed to prove this case.</t>
  </si>
  <si>
    <t>1. Open `/deals/register` as a partner allowed to register deals.
2. Enter valid company name, domain, region, and basic prospect details.
3. Click Next or continue to the contact step.
4. Verify the wizard advances and preserves the company data.
5. Confirm no validation error appears for valid inputs.</t>
  </si>
  <si>
    <t>PARTNER_UI_MY_PIPELINE_002</t>
  </si>
  <si>
    <t>Validate - Leave company name blank - Required field error is shown</t>
  </si>
  <si>
    <t>Validate the UI flow for leave company name blank so that required field error is shown. Scope covers the deal registration wizard, validation, billing/deal-type capture, confirmation, and submission flow, authenticated partner/SA role access as applicable, visible copy/state, primary CTA behavior, and PRD coverage §4.4. Out of scope: unrelated modules and deep backend calculation beyond the data needed to prove this case.</t>
  </si>
  <si>
    <t>1. Open `/deals/register` and navigate to the step containing the target field in this negative case.
2. Fill all other required fields with valid fixture data.
3. Enter or leave the invalid value described by the test case: Leave company name blank.
4. Attempt to continue or submit the step.
5. Verify required field error is shown, focus/field highlighting is clear, and no deal is created.</t>
  </si>
  <si>
    <t>PARTNER_UI_MY_PIPELINE_003</t>
  </si>
  <si>
    <t>Validate - Enter invalid domain - Domain format error is shown</t>
  </si>
  <si>
    <t>Validate the UI flow for enter invalid domain so that domain format error is shown. Scope covers the deal registration wizard, validation, billing/deal-type capture, confirmation, and submission flow, authenticated partner/SA role access as applicable, visible copy/state, primary CTA behavior, and PRD coverage §4.4. Out of scope: unrelated modules and deep backend calculation beyond the data needed to prove this case.</t>
  </si>
  <si>
    <t>1. Open `/deals/register` and navigate to the step containing the target field in this negative case.
2. Fill all other required fields with valid fixture data.
3. Enter or leave the invalid value described by the test case: Enter invalid domain.
4. Attempt to continue or submit the step.
5. Verify domain format error is shown, focus/field highlighting is clear, and no deal is created.</t>
  </si>
  <si>
    <t>PARTNER_UI_MY_PIPELINE_004</t>
  </si>
  <si>
    <t>Warn - Domain already exists - Inline active-account warning is shown</t>
  </si>
  <si>
    <t>§3 Scenario D, §4.4</t>
  </si>
  <si>
    <t>Validate the UI flow for domain already exists so that inline active-account warning is shown. Scope covers the deal registration wizard, validation, billing/deal-type capture, confirmation, and submission flow, authenticated partner/SA role access as applicable, visible copy/state, primary CTA behavior, and PRD coverage §3 Scenario D, §4.4. Out of scope: unrelated modules and deep backend calculation beyond the data needed to prove this case.</t>
  </si>
  <si>
    <t>1. Open deal registration with a domain already owned or registered in the fixture set.
2. Enter the existing domain and trigger validation/enrichment.
3. Confirm the inline warning explains active account/conflict status.
4. Submit the registration only if the scenario requires submission.
5. Verify the deal status moves to conflict queue or the conflict decision UI captures written reasoning as expected.</t>
  </si>
  <si>
    <t>PARTNER_UI_MY_PIPELINE_005</t>
  </si>
  <si>
    <t>Submit - Existing domain with warning - Deal enters conflict queue</t>
  </si>
  <si>
    <t>§3 Scenario D, §5.2</t>
  </si>
  <si>
    <t>Validate the UI flow for existing domain with warning so that deal enters conflict queue. Scope covers the deal registration wizard, validation, billing/deal-type capture, confirmation, and submission flow, authenticated partner/SA role access as applicable, visible copy/state, primary CTA behavior, and PRD coverage §3 Scenario D, §5.2. Out of scope: unrelated modules and deep backend calculation beyond the data needed to prove this case.</t>
  </si>
  <si>
    <t>3-D</t>
  </si>
  <si>
    <t>PARTNER_UI_MY_PIPELINE_006</t>
  </si>
  <si>
    <t>Validate - Enter contact without email - Required field error is shown</t>
  </si>
  <si>
    <t>Validate the UI flow for enter contact without email so that required field error is shown. Scope covers the deal registration wizard, validation, billing/deal-type capture, confirmation, and submission flow, authenticated partner/SA role access as applicable, visible copy/state, primary CTA behavior, and PRD coverage §4.4. Out of scope: unrelated modules and deep backend calculation beyond the data needed to prove this case.</t>
  </si>
  <si>
    <t>1. Open `/deals/register` and navigate to the step containing the target field in this negative case.
2. Fill all other required fields with valid fixture data.
3. Enter or leave the invalid value described by the test case: Enter contact without email.
4. Attempt to continue or submit the step.
5. Verify required field error is shown, focus/field highlighting is clear, and no deal is created.</t>
  </si>
  <si>
    <t>PARTNER_UI_MY_PIPELINE_007</t>
  </si>
  <si>
    <t>Validate - Enter malformed email - Email error is shown</t>
  </si>
  <si>
    <t>Validate the UI flow for enter malformed email so that email error is shown. Scope covers the deal registration wizard, validation, billing/deal-type capture, confirmation, and submission flow, authenticated partner/SA role access as applicable, visible copy/state, primary CTA behavior, and PRD coverage §4.4. Out of scope: unrelated modules and deep backend calculation beyond the data needed to prove this case.</t>
  </si>
  <si>
    <t>1. Open `/deals/register` and navigate to the step containing the target field in this negative case.
2. Fill all other required fields with valid fixture data.
3. Enter or leave the invalid value described by the test case: Enter malformed email.
4. Attempt to continue or submit the step.
5. Verify email error is shown, focus/field highlighting is clear, and no deal is created.</t>
  </si>
  <si>
    <t>PARTNER_UI_MY_PIPELINE_008</t>
  </si>
  <si>
    <t>Select - Choose referral deal type - Direct billing model is implied</t>
  </si>
  <si>
    <t>§2.2, §2.3, §4.4</t>
  </si>
  <si>
    <t>Validate the UI flow for choose referral deal type so that direct billing model is implied. Scope covers the deal registration wizard, validation, billing/deal-type capture, confirmation, and submission flow, authenticated partner/SA role access as applicable, visible copy/state, primary CTA behavior, and PRD coverage §2.2, §2.3, §4.4. Out of scope: unrelated modules and deep backend calculation beyond the data needed to prove this case.</t>
  </si>
  <si>
    <t>1. Open the deal registration wizard and complete required prior fields.
2. Perform the selection described by the case: Choose referral deal type.
3. Continue to the next step and then to the review page.
4. Verify direct billing model is implied and selected values remain persisted after navigation.
5. Confirm incompatible options or billing models are hidden/disabled according to the selected deal type.</t>
  </si>
  <si>
    <t>PARTNER_UI_MY_PIPELINE_009</t>
  </si>
  <si>
    <t>Select - Choose reseller deal type - Reseller billing path is available</t>
  </si>
  <si>
    <t>§2.2, §3 Scenario B, §4.4</t>
  </si>
  <si>
    <t>Validate the UI flow for choose reseller deal type so that reseller billing path is available. Scope covers the deal registration wizard, validation, billing/deal-type capture, confirmation, and submission flow, authenticated partner/SA role access as applicable, visible copy/state, primary CTA behavior, and PRD coverage §2.2, §3 Scenario B, §4.4. Out of scope: unrelated modules and deep backend calculation beyond the data needed to prove this case.</t>
  </si>
  <si>
    <t>1. Open the deal registration wizard and complete required prior fields.
2. Perform the selection described by the case: Choose reseller deal type.
3. Continue to the next step and then to the review page.
4. Verify reseller billing path is available and selected values remain persisted after navigation.
5. Confirm incompatible options or billing models are hidden/disabled according to the selected deal type.</t>
  </si>
  <si>
    <t>PARTNER_UI_MY_PIPELINE_010</t>
  </si>
  <si>
    <t>Select - Choose co-sell deal type - Co-sell option is captured</t>
  </si>
  <si>
    <t>§2.3, §3 Scenario C, §4.4</t>
  </si>
  <si>
    <t>Validate the UI flow for choose co-sell deal type so that co-sell option is captured. Scope covers the deal registration wizard, validation, billing/deal-type capture, confirmation, and submission flow, authenticated partner/SA role access as applicable, visible copy/state, primary CTA behavior, and PRD coverage §2.3, §3 Scenario C, §4.4. Out of scope: unrelated modules and deep backend calculation beyond the data needed to prove this case.</t>
  </si>
  <si>
    <t>1. Open the deal registration wizard and complete required prior fields.
2. Perform the selection described by the case: Choose co-sell deal type.
3. Continue to the next step and then to the review page.
4. Verify co-sell option is captured and selected values remain persisted after navigation.
5. Confirm incompatible options or billing models are hidden/disabled according to the selected deal type.</t>
  </si>
  <si>
    <t>PARTNER_UI_MY_PIPELINE_011</t>
  </si>
  <si>
    <t>Confirm - Review registration summary - All entered data is displayed</t>
  </si>
  <si>
    <t>Validate the UI flow for review registration summary so that all entered data is displayed. Scope covers the deal registration wizard, validation, billing/deal-type capture, confirmation, and submission flow, authenticated partner/SA role access as applicable, visible copy/state, primary CTA behavior, and PRD coverage §4.4. Out of scope: unrelated modules and deep backend calculation beyond the data needed to prove this case.</t>
  </si>
  <si>
    <t>1. Start a new deal registration in desktop viewport with valid referral/reseller/co-sell fixture data.
2. Complete company, contact, modules, deal type, ACV, and expected close date steps.
3. Open the review/confirmation step and compare all fields to the inputs.
4. Submit the registration.
5. Verify all entered data is displayed, response timing if applicable, and the new deal appears in pipeline with the correct initial status.</t>
  </si>
  <si>
    <t>PARTNER_UI_MY_PIPELINE_012</t>
  </si>
  <si>
    <t>Submit - Valid deal registration - Success response appears within 2 seconds</t>
  </si>
  <si>
    <t>Performance</t>
  </si>
  <si>
    <t>Measure perceived response time.</t>
  </si>
  <si>
    <t>Validate the UI flow for valid deal registration so that success response appears within 2 seconds. Scope covers the deal registration wizard, validation, billing/deal-type capture, confirmation, and submission flow, authenticated partner/SA role access as applicable, visible copy/state, primary CTA behavior, and PRD coverage §4.4. Out of scope: unrelated modules and deep backend calculation beyond the data needed to prove this case.</t>
  </si>
  <si>
    <t>1. Start a new deal registration in desktop viewport with valid referral/reseller/co-sell fixture data.
2. Complete company, contact, modules, deal type, ACV, and expected close date steps.
3. Open the review/confirmation step and compare all fields to the inputs.
4. Submit the registration.
5. Verify success response appears within 2 seconds, response timing if applicable, and the new deal appears in pipeline with the correct initial status.</t>
  </si>
  <si>
    <t>PARTNER_UI_MY_PIPELINE_013</t>
  </si>
  <si>
    <t>Complete - Registration on mobile viewport - Flow can finish under 90 seconds</t>
  </si>
  <si>
    <t>Mobile standing-in-car-park target.</t>
  </si>
  <si>
    <t>Validate the UI flow for registration on mobile viewport so that flow can finish under 90 seconds. Scope covers the deal registration wizard, validation, billing/deal-type capture, confirmation, and submission flow, authenticated partner/SA role access as applicable, visible copy/state, primary CTA behavior, and PRD coverage §4.4. Out of scope: unrelated modules and deep backend calculation beyond the data needed to prove this case.</t>
  </si>
  <si>
    <t>1. Start a new deal registration in mobile viewport with valid referral/reseller/co-sell fixture data.
2. Complete company, contact, modules, deal type, ACV, and expected close date steps.
3. Open the review/confirmation step and compare all fields to the inputs.
4. Submit the registration.
5. Verify flow can finish under 90 seconds, response timing if applicable, and the new deal appears in pipeline with the correct initial status.</t>
  </si>
  <si>
    <t>Pipeline Management</t>
  </si>
  <si>
    <t>PARTNER_UI_MY_PIPELINE_014</t>
  </si>
  <si>
    <t>List - Open My Pipeline - All deal stages and counts are visible</t>
  </si>
  <si>
    <t>§4.5</t>
  </si>
  <si>
    <t>Validate the UI flow for open my pipeline so that all deal stages and counts are visible. Scope covers the partner pipeline list, deal detail, collaboration, protection, and co-sell workflow, authenticated partner/SA role access as applicable, visible copy/state, primary CTA behavior, and PRD coverage §4.5. Out of scope: unrelated modules and deep backend calculation beyond the data needed to prove this case.</t>
  </si>
  <si>
    <t>1. Navigate to My Pipeline with fixture deals across Registered, Approved, In Progress, Won, and Lost stages.
2. Verify stage tabs/counts and total open deal summary are visible.
3. Confirm each row/card shows company, ACV, type, stage, age, and close date.
4. Compare counts to fixture data after switching tabs.
5. Confirm Register Deal CTA remains available.</t>
  </si>
  <si>
    <t>4.5</t>
  </si>
  <si>
    <t>PARTNER_UI_MY_PIPELINE_015</t>
  </si>
  <si>
    <t>Open - Deal detail timeline - Registration and approval history is shown</t>
  </si>
  <si>
    <t>§4.5, §9.4</t>
  </si>
  <si>
    <t>Validate the UI flow for deal detail timeline so that registration and approval history is shown. Scope covers the partner pipeline list, deal detail, collaboration, protection, and co-sell workflow, authenticated partner/SA role access as applicable, visible copy/state, primary CTA behavior, and PRD coverage §4.5, §9.4. Out of scope: unrelated modules and deep backend calculation beyond the data needed to prove this case.</t>
  </si>
  <si>
    <t>1. Open My Pipeline and select a deal fixture with detail history.
2. Perform the case action: Deal detail timeline.
3. Verify deal detail shows timeline, collaboration data, documents, or rep profile as applicable.
4. Confirm registration and approval history is shown with correct author, timestamp, metadata, or CTA.
5. Refresh the detail view and confirm persisted data remains visible.</t>
  </si>
  <si>
    <t>PARTNER_UI_MY_PIPELINE_016</t>
  </si>
  <si>
    <t>Accept - Co-sell override proposal - Partner acceptance is recorded</t>
  </si>
  <si>
    <t>§3 Scenario C, §5.2, §8.5</t>
  </si>
  <si>
    <t>Validate the UI flow for co-sell override proposal so that partner acceptance is recorded. Scope covers the partner pipeline list, deal detail, collaboration, protection, and co-sell workflow, authenticated partner/SA role access as applicable, visible copy/state, primary CTA behavior, and PRD coverage §3 Scenario C, §5.2, §8.5. Out of scope: unrelated modules and deep backend calculation beyond the data needed to prove this case.</t>
  </si>
  <si>
    <t>1. Open a co-sell deal fixture with ACV and approval state matching the scenario.
2. Review the proposed split/override area.
3. Attempt the acceptance or override action described by the test case.
4. Verify written partner agreement is required/recorded when ACV is above $100K and unavailable when at or below $100K.
5. Confirm the approved split is locked and visible in the deal record.</t>
  </si>
  <si>
    <t>3-C</t>
  </si>
  <si>
    <t>PARTNER_UI_MY_PIPELINE_017</t>
  </si>
  <si>
    <t>Block - Co-sell override under or equal $100K ACV - Override option is unavailable</t>
  </si>
  <si>
    <t>§3 Scenario C, §5.2</t>
  </si>
  <si>
    <t>Default 70/30 should apply without override path.</t>
  </si>
  <si>
    <t>Validate the UI flow for co-sell override under or equal $100k acv so that override option is unavailable. Scope covers the partner pipeline list, deal detail, collaboration, protection, and co-sell workflow, authenticated partner/SA role access as applicable, visible copy/state, primary CTA behavior, and PRD coverage §3 Scenario C, §5.2. Out of scope: unrelated modules and deep backend calculation beyond the data needed to prove this case.</t>
  </si>
  <si>
    <t>PARTNER_UI_MY_PIPELINE_018</t>
  </si>
  <si>
    <t>Require - Co-sell override above $100K ACV - Partner written agreement is required</t>
  </si>
  <si>
    <t>Override cannot be imposed unilaterally by BlazeUp.</t>
  </si>
  <si>
    <t>Validate the UI flow for co-sell override above $100k acv so that partner written agreement is required. Scope covers the partner pipeline list, deal detail, collaboration, protection, and co-sell workflow, authenticated partner/SA role access as applicable, visible copy/state, primary CTA behavior, and PRD coverage §3 Scenario C, §5.2. Out of scope: unrelated modules and deep backend calculation beyond the data needed to prove this case.</t>
  </si>
  <si>
    <t>PARTNER_UI_MY_PIPELINE_019</t>
  </si>
  <si>
    <t>Enrich - Blur valid domain - Company enrichment data is populated</t>
  </si>
  <si>
    <t>§4.4, §8.5</t>
  </si>
  <si>
    <t>Validate the UI flow for blur valid domain so that company enrichment data is populated. Scope covers the deal registration wizard, validation, billing/deal-type capture, confirmation, and submission flow, authenticated partner/SA role access as applicable, visible copy/state, primary CTA behavior, and PRD coverage §4.4, §8.5. Out of scope: unrelated modules and deep backend calculation beyond the data needed to prove this case.</t>
  </si>
  <si>
    <t>1. Log in as an active channel partner user with fixture data that supports this scenario.
2. Open /deals/register and confirm the expected partner/SA shell is loaded.
3. Perform the action: enrich / Blur valid domain.
4. Verify that company enrichment data is populated and that no unrelated page state regresses.
5. Capture any validation message, status badge, audit indicator, or navigation result required by §4.4, §8.5.</t>
  </si>
  <si>
    <t>PARTNER_UI_MY_PIPELINE_020</t>
  </si>
  <si>
    <t>Select - Choose modules of interest - Selected modules persist to confirmation</t>
  </si>
  <si>
    <t>Validate the UI flow for choose modules of interest so that selected modules persist to confirmation. Scope covers the deal registration wizard, validation, billing/deal-type capture, confirmation, and submission flow, authenticated partner/SA role access as applicable, visible copy/state, primary CTA behavior, and PRD coverage §4.4. Out of scope: unrelated modules and deep backend calculation beyond the data needed to prove this case.</t>
  </si>
  <si>
    <t>1. Open the deal registration wizard and complete required prior fields.
2. Perform the selection described by the case: Choose modules of interest.
3. Continue to the next step and then to the review page.
4. Verify selected modules persist to confirmation and selected values remain persisted after navigation.
5. Confirm incompatible options or billing models are hidden/disabled according to the selected deal type.</t>
  </si>
  <si>
    <t>PARTNER_UI_MY_PIPELINE_021</t>
  </si>
  <si>
    <t>Register - Conflict-lost prospect after 90 days - New registration path is available</t>
  </si>
  <si>
    <t>Allowed only if no deal closed with winning party.</t>
  </si>
  <si>
    <t>Validate the UI flow for conflict-lost prospect after 90 days so that new registration path is available. Scope covers the deal registration wizard, validation, billing/deal-type capture, confirmation, and submission flow, authenticated partner/SA role access as applicable, visible copy/state, primary CTA behavior, and PRD coverage §3 Scenario D, §4.4. Out of scope: unrelated modules and deep backend calculation beyond the data needed to prove this case.</t>
  </si>
  <si>
    <t>1. Log in as an active channel partner user with fixture data that supports this scenario.
2. Open /deals/register and confirm the expected partner/SA shell is loaded.
3. Perform the action: register / Conflict-lost prospect after 90 days.
4. Verify that new registration path is available and that no unrelated page state regresses.
5. Capture any validation message, status badge, audit indicator, or navigation result required by §3 Scenario D, §4.4.</t>
  </si>
  <si>
    <t>PARTNER_UI_MY_PIPELINE_022</t>
  </si>
  <si>
    <t>Block - No deal registration by either partner - Commission is not awarded to any party</t>
  </si>
  <si>
    <t>§3 Scenario I</t>
  </si>
  <si>
    <t>Incentive to register: no registration = no attribution, no exceptions (§3 Scenario I). Prevents retroactive dispute claims.</t>
  </si>
  <si>
    <t>Validate the UI flow for multi-partner influenced deal with no registration so that commission is not awarded to any party. Scope covers the deal registration policy enforcement per §3 Scenario I — when neither partner registers a formal deal, no attribution or commission is created regardless of partner involvement in the sales cycle. Out of scope: registered deal flows covered in Scenarios A–D.</t>
  </si>
  <si>
    <t>1. Set up a fixture where two partners both have activity notes on a prospect but neither has submitted a deal registration for that prospect's domain.\n2. Log in as the first partner and navigate to My Pipeline.\n3. Verify the prospect does not appear in the pipeline (no registration = no pipeline entry).\n4. Log in as the second partner and confirm the same — prospect is not in their pipeline either.\n5. Confirm that after a trial/deal closes for this prospect (simulated by SA), neither partner portal shows a commission entry or attributed client for this prospect.</t>
  </si>
  <si>
    <t>3-I</t>
  </si>
  <si>
    <t>PARTNER_UI_MY_PIPELINE_023</t>
  </si>
  <si>
    <t>Register - Reseller deal type - End-client price field is absent</t>
  </si>
  <si>
    <t>§1.2, §3 Scenario B, §4.4</t>
  </si>
  <si>
    <t>Locked decision: end-client price must NOT be captured in any system field (Renil)</t>
  </si>
  <si>
    <t>Validate the UI flow for reseller deal registration so that end-client price field is absent. Scope covers the deal registration wizard, billing model selection, visible form fields, field visibility rules, and PRD coverage §1.2, §3 Scenario B, §4.4. Out of scope: commission calculation and backend price storage.</t>
  </si>
  <si>
    <t>1. Open the deal registration wizard as an active reseller partner.
2. Select "Reseller" as deal type / billing model.
3. Advance through all wizard steps.
4. Verify no field for end-client price or end-user pricing exists at any step.
5. Confirm wizard completes without requiring price input.
6. Assert submitted deal record does not contain any end-client price field.</t>
  </si>
  <si>
    <t>PARTNER_UI_MY_PIPELINE_024</t>
  </si>
  <si>
    <t>Click - Pipeline snapshot deal card - Deal detail opens</t>
  </si>
  <si>
    <t>§4.3, §4.5</t>
  </si>
  <si>
    <t>Validate the UI flow for pipeline snapshot deal card so that deal detail opens. Scope covers the partner pipeline list, deal detail, collaboration, protection, and co-sell workflow, authenticated partner/SA role access as applicable, visible copy/state, primary CTA behavior, and PRD coverage §4.3, §4.5. Out of scope: unrelated modules and deep backend calculation beyond the data needed to prove this case.</t>
  </si>
  <si>
    <t>1. Open Dashboard with pipeline snapshot data.
2. Click a visible deal card such as Nexus Corp.
3. Confirm navigation to the corresponding deal detail view.
4. Verify company, ACV, stage, type, timeline, and assigned owner data match the selected card.
5. Return to Dashboard and confirm the snapshot state is preserved.</t>
  </si>
  <si>
    <t>PARTNER_UI_MY_PIPELINE_025</t>
  </si>
  <si>
    <t>Search - Filter deals by company text - Matching deals are displayed</t>
  </si>
  <si>
    <t>Validate the UI flow for filter deals by company text so that matching deals are displayed. Scope covers the partner pipeline list, deal detail, collaboration, protection, and co-sell workflow, authenticated partner/SA role access as applicable, visible copy/state, primary CTA behavior, and PRD coverage §4.5. Out of scope: unrelated modules and deep backend calculation beyond the data needed to prove this case.</t>
  </si>
  <si>
    <t>1. Open My Pipeline with multiple deals across companies, types, modules, and stages.
2. Apply the filter/search action: Filter deals by company text.
3. Verify only matching deals remain visible and counts update if designed.
4. Clear the filter/search input.
5. Confirm the full list returns without stale filters.</t>
  </si>
  <si>
    <t>PARTNER_UI_MY_PIPELINE_026</t>
  </si>
  <si>
    <t>Filter - Select deal type - Pipeline list is filtered</t>
  </si>
  <si>
    <t>Validate the UI flow for select deal type so that pipeline list is filtered. Scope covers the partner pipeline list, deal detail, collaboration, protection, and co-sell workflow, authenticated partner/SA role access as applicable, visible copy/state, primary CTA behavior, and PRD coverage §4.5. Out of scope: unrelated modules and deep backend calculation beyond the data needed to prove this case.</t>
  </si>
  <si>
    <t>1. Open My Pipeline with multiple deals across companies, types, modules, and stages.
2. Apply the filter/search action: Select deal type.
3. Verify only matching deals remain visible and counts update if designed.
4. Clear the filter/search input.
5. Confirm the full list returns without stale filters.</t>
  </si>
  <si>
    <t>PARTNER_UI_MY_PIPELINE_027</t>
  </si>
  <si>
    <t>Filter - Select module - Pipeline list is filtered</t>
  </si>
  <si>
    <t>Validate the UI flow for select module so that pipeline list is filtered. Scope covers the partner pipeline list, deal detail, collaboration, protection, and co-sell workflow, authenticated partner/SA role access as applicable, visible copy/state, primary CTA behavior, and PRD coverage §4.5. Out of scope: unrelated modules and deep backend calculation beyond the data needed to prove this case.</t>
  </si>
  <si>
    <t>1. Open My Pipeline with multiple deals across companies, types, modules, and stages.
2. Apply the filter/search action: Select module.
3. Verify only matching deals remain visible and counts update if designed.
4. Clear the filter/search input.
5. Confirm the full list returns without stale filters.</t>
  </si>
  <si>
    <t>PARTNER_UI_MY_PIPELINE_028</t>
  </si>
  <si>
    <t>Add - Deal shared note - Note appears with author and timestamp</t>
  </si>
  <si>
    <t>§3 Scenario C, §4.5</t>
  </si>
  <si>
    <t>Validate the UI flow for deal shared note so that note appears with author and timestamp. Scope covers the partner pipeline list, deal detail, collaboration, protection, and co-sell workflow, authenticated partner/SA role access as applicable, visible copy/state, primary CTA behavior, and PRD coverage §3 Scenario C, §4.5. Out of scope: unrelated modules and deep backend calculation beyond the data needed to prove this case.</t>
  </si>
  <si>
    <t>1. Open My Pipeline and select a deal fixture with detail history.
2. Perform the case action: Deal shared note.
3. Verify deal detail shows timeline, collaboration data, documents, or rep profile as applicable.
4. Confirm note appears with author and timestamp with correct author, timestamp, metadata, or CTA.
5. Refresh the detail view and confirm persisted data remains visible.</t>
  </si>
  <si>
    <t>PARTNER_UI_MY_PIPELINE_029</t>
  </si>
  <si>
    <t>Upload - Deal document - Document appears in deal detail</t>
  </si>
  <si>
    <t>Validate the UI flow for deal document so that document appears in deal detail. Scope covers the partner pipeline list, deal detail, collaboration, protection, and co-sell workflow, authenticated partner/SA role access as applicable, visible copy/state, primary CTA behavior, and PRD coverage §4.5. Out of scope: unrelated modules and deep backend calculation beyond the data needed to prove this case.</t>
  </si>
  <si>
    <t>1. Open My Pipeline and select a deal fixture with detail history.
2. Perform the case action: Deal document.
3. Verify deal detail shows timeline, collaboration data, documents, or rep profile as applicable.
4. Confirm document appears in deal detail with correct author, timestamp, metadata, or CTA.
5. Refresh the detail view and confirm persisted data remains visible.</t>
  </si>
  <si>
    <t>PARTNER_UI_MY_PIPELINE_030</t>
  </si>
  <si>
    <t>View - Assigned BlazeUp rep - Name, photo, email, and scheduling CTA are visible</t>
  </si>
  <si>
    <t>§3 Scenario A, §4.5</t>
  </si>
  <si>
    <t>Validate the UI flow for assigned blazeup rep so that name, photo, email, and scheduling cta are visible. Scope covers the partner pipeline list, deal detail, collaboration, protection, and co-sell workflow, authenticated partner/SA role access as applicable, visible copy/state, primary CTA behavior, and PRD coverage §3 Scenario A, §4.5. Out of scope: unrelated modules and deep backend calculation beyond the data needed to prove this case.</t>
  </si>
  <si>
    <t>1. Open My Pipeline and select a deal fixture with detail history.
2. Perform the case action: Assigned BlazeUp rep.
3. Verify deal detail shows timeline, collaboration data, documents, or rep profile as applicable.
4. Confirm name, photo, email, and scheduling cta are visible with correct author, timestamp, metadata, or CTA.
5. Refresh the detail view and confirm persisted data remains visible.</t>
  </si>
  <si>
    <t>3-A</t>
  </si>
  <si>
    <t>PARTNER_UI_MY_PIPELINE_031</t>
  </si>
  <si>
    <t>Request - Manual protection extension - Request is submitted with reason</t>
  </si>
  <si>
    <t>§5.2, §8.5</t>
  </si>
  <si>
    <t>Validate the UI flow for manual protection extension so that request is submitted with reason. Scope covers the partner pipeline list, deal detail, collaboration, protection, and co-sell workflow, authenticated partner/SA role access as applicable, visible copy/state, primary CTA behavior, and PRD coverage §5.2, §8.5. Out of scope: unrelated modules and deep backend calculation beyond the data needed to prove this case.</t>
  </si>
  <si>
    <t>1. Open a deal fixture with active deal protection close to expiry.
2. Click Request protection extension.
3. Enter a valid business reason and submit.
4. Verify the request is queued for SA review with timestamp/status.
5. Confirm protection clock/status reflects pending extension without granting duplicate auto-extension.</t>
  </si>
  <si>
    <t>5.2</t>
  </si>
  <si>
    <t>Deal Management</t>
  </si>
  <si>
    <t>PARTNER_UI_MY_PIPELINE_032</t>
  </si>
  <si>
    <t>Won - Reseller marks deal Won - Partner self-confirms close without SA approval</t>
  </si>
  <si>
    <t>§3 Scenario B, §4.4, §5.2</t>
  </si>
  <si>
    <t xml:space="preserve"> Reseller close: partner controls Won — no SA approval gate in flow</t>
  </si>
  <si>
    <t>Validate the UI flow for reseller deal Won so that partner self-confirms close without SA approval gate. Scope covers the deal detail page, Won action CTA, approval state machine, deal status update, and PRD coverage §3 Scenario B, §4.4, §5.2. Out of scope: commission calculation and tenant provisioning.</t>
  </si>
  <si>
    <t>1. Log in as reseller partner with an active registered deal.
2. Open the deal detail page.
3. Click "Mark as Won" CTA.
4. Verify no SA approval step or pending-approval state is shown — action completes immediately.
5. Verify deal status updates to Won.
6. Confirm partner receives in-portal confirmation.</t>
  </si>
  <si>
    <t>Deal List View</t>
  </si>
  <si>
    <t>PARTNER_UI_MY_PIPELINE_033</t>
  </si>
  <si>
    <t>Display - Pipeline deal card - Reseller billing model tag is visible</t>
  </si>
  <si>
    <t>§3 Scenario B, §4.5</t>
  </si>
  <si>
    <t>Validate the UI flow for pipeline deal card display so that reseller billing model tag is visible. Scope covers the My Pipeline list view, deal card component, billing model indicator, and PRD coverage §3 Scenario B, §4.5. Out of scope: deal registration and commission calculation.</t>
  </si>
  <si>
    <t>1. Log in as reseller partner with at least one registered reseller deal.
2. Navigate to My Pipeline.
3. Locate the reseller deal card.
4. Verify deal card shows "Reseller" billing model tag/label.
5. Confirm tag is absent on non-reseller deal cards in the same list.</t>
  </si>
  <si>
    <t>Partner Portal Shell</t>
  </si>
  <si>
    <t>Navigation &amp; Shell</t>
  </si>
  <si>
    <t>PARTNER_UI_PARTNER_PORTAL_SHELL_001</t>
  </si>
  <si>
    <t>Navigate - Open main menu routes - Correct page content is shown</t>
  </si>
  <si>
    <t>§4.2</t>
  </si>
  <si>
    <t>Dashboard, deals, clients, commissions, training, resources, team, settings, support.</t>
  </si>
  <si>
    <t>Validate the UI flow for open main menu routes so that correct page content is shown. Scope covers the Partner Portal Shell / Navigation &amp; Shell behavior, authenticated partner/SA role access as applicable, visible copy/state, primary CTA behavior, and PRD coverage §4.2. Out of scope: unrelated modules and deep backend calculation beyond the data needed to prove this case.</t>
  </si>
  <si>
    <t>1. Log in as an active channel partner user.
2. Click each primary nav item: Dashboard, My Pipeline, My Clients, Commissions, and Training.
3. Confirm the active tab updates and the expected page heading/content appears for each route.
4. Use browser back/forward or route navigation to confirm state remains stable.
5. Verify inaccessible or not-yet-enabled routes do not appear as broken pages.</t>
  </si>
  <si>
    <t>4.2</t>
  </si>
  <si>
    <t>Responsive Layout</t>
  </si>
  <si>
    <t>PARTNER_UI_PARTNER_PORTAL_SHELL_002</t>
  </si>
  <si>
    <t>Responsive - Partner portal mobile layout - Controls remain usable</t>
  </si>
  <si>
    <t>§4.1, §4.4</t>
  </si>
  <si>
    <t>Validate the UI flow for partner portal mobile layout so that controls remain usable. Scope covers the Partner Portal Shell / Responsive Layout behavior, authenticated partner/SA role access as applicable, visible copy/state, primary CTA behavior, and PRD coverage §4.1, §4.4. Out of scope: unrelated modules and deep backend calculation beyond the data needed to prove this case.</t>
  </si>
  <si>
    <t>1. Open the partner portal in desktop viewport and identify the target controls.
2. Resize or run the case in common mobile viewport widths.
3. Verify navigation, filters, tables/cards, CTAs, and forms remain visible and tappable.
4. Exercise one key workflow such as opening a deal or client detail.
5. Confirm no text overlap, clipped buttons, or inaccessible horizontal content blocks the workflow.</t>
  </si>
  <si>
    <t>4.1</t>
  </si>
  <si>
    <t>Dual Account Switcher</t>
  </si>
  <si>
    <t>PARTNER_UI_PARTNER_PORTAL_SHELL_003</t>
  </si>
  <si>
    <t>Switch - Dual account partner activates account switcher - Pack and Channel dashboards toggle correctly</t>
  </si>
  <si>
    <t>§3-H</t>
  </si>
  <si>
    <t>[FIX ADDED 2026-05-27] §3-H Dual Account had no UI TC — covers account switcher between Pack and Channel dashboards</t>
  </si>
  <si>
    <t>Validate the UI flow for a dual account partner switching between Pack and Channel dashboards so that each dashboard correctly reflects the right account context.</t>
  </si>
  <si>
    <t>1. Log in as a partner with both Pack and Channel account types.
2. Locate the account switcher control in the portal shell.
3. Click to switch to Pack dashboard — verify Pack-specific content is displayed.
4. Switch back to Channel dashboard — verify Channel-specific content is displayed.
5. Confirm no data from Pack account leaks into Channel view and vice versa.</t>
  </si>
  <si>
    <t>3-H</t>
  </si>
  <si>
    <t>Partner Team</t>
  </si>
  <si>
    <t>Team &amp; Referral Links</t>
  </si>
  <si>
    <t>PARTNER_UI_PARTNER_TEAM_001</t>
  </si>
  <si>
    <t>Invite - Partner team member - Invitation is sent with role</t>
  </si>
  <si>
    <t>§4.10</t>
  </si>
  <si>
    <t>Validate the UI flow for partner team member so that invitation is sent with role. Scope covers the partner team administration and referral-link tracking behavior, authenticated partner/SA role access as applicable, visible copy/state, primary CTA behavior, and PRD coverage §4.10. Out of scope: unrelated modules and deep backend calculation beyond the data needed to prove this case.</t>
  </si>
  <si>
    <t>1. Navigate to Partner Team or Settings referral-link area.
2. Perform the action: Partner team member.
3. Verify role/campaign/link fields validate and save correctly.
4. Confirm invitation is sent with role and the new row/link is visible.
5. For copy action, verify clipboard success message and link format include the partner slug/campaign identifier.</t>
  </si>
  <si>
    <t>4.10</t>
  </si>
  <si>
    <t>PARTNER_UI_PARTNER_TEAM_002</t>
  </si>
  <si>
    <t>Create - Campaign referral link - Link and analytics row are created</t>
  </si>
  <si>
    <t>§4.10, §8.4</t>
  </si>
  <si>
    <t>Validate the UI flow for campaign referral link so that link and analytics row are created. Scope covers the partner team administration and referral-link tracking behavior, authenticated partner/SA role access as applicable, visible copy/state, primary CTA behavior, and PRD coverage §4.10, §8.4. Out of scope: unrelated modules and deep backend calculation beyond the data needed to prove this case.</t>
  </si>
  <si>
    <t>1. Navigate to Partner Team or Settings referral-link area.
2. Perform the action: Campaign referral link.
3. Verify role/campaign/link fields validate and save correctly.
4. Confirm link and analytics row are created and the new row/link is visible.
5. For copy action, verify clipboard success message and link format include the partner slug/campaign identifier.</t>
  </si>
  <si>
    <t>PARTNER_UI_PARTNER_TEAM_003</t>
  </si>
  <si>
    <t>Copy - Referral link - Clipboard action succeeds</t>
  </si>
  <si>
    <t>Validate the UI flow for referral link so that clipboard action succeeds. Scope covers the partner team administration and referral-link tracking behavior, authenticated partner/SA role access as applicable, visible copy/state, primary CTA behavior, and PRD coverage §4.10. Out of scope: unrelated modules and deep backend calculation beyond the data needed to prove this case.</t>
  </si>
  <si>
    <t>1. Navigate to Partner Team or Settings referral-link area.
2. Perform the action: Referral link.
3. Verify role/campaign/link fields validate and save correctly.
4. Confirm clipboard action succeeds and the new row/link is visible.
5. For copy action, verify clipboard success message and link format include the partner slug/campaign identifier.</t>
  </si>
  <si>
    <t>Resources</t>
  </si>
  <si>
    <t>Resources &amp; Sandbox</t>
  </si>
  <si>
    <t>PARTNER_UI_RESOURCES_001</t>
  </si>
  <si>
    <t>Reset - Demo sandbox - Profile selection and reset confirmation are shown</t>
  </si>
  <si>
    <t>§4.9, §8.3, §12.1 B5</t>
  </si>
  <si>
    <t>Validate the UI flow for demo sandbox so that profile selection and reset confirmation are shown. Scope covers the partner resources, co-branded collateral, ROI calculator, and demo sandbox reset behavior, authenticated partner/SA role access as applicable, visible copy/state, primary CTA behavior, and PRD coverage §4.9, §8.3, §12.1 B5. Out of scope: unrelated modules and deep backend calculation beyond the data needed to prove this case.</t>
  </si>
  <si>
    <t>1. Navigate to Resources/Sandbox with partner profile and logo fixtures configured.
2. Perform the action: Demo sandbox.
3. Verify the correct file, generated asset, calculator output, or sandbox reset confirmation is produced.
4. Confirm profile selection and reset confirmation are shown and selected sandbox profile/reset warning are clear where applicable.
5. Validate generated/downloaded content uses partner branding and does not include another partner data.</t>
  </si>
  <si>
    <t>4.9</t>
  </si>
  <si>
    <t>PARTNER_UI_RESOURCES_002</t>
  </si>
  <si>
    <t>Configure - Demo sandbox weekly auto-reset - Toggle is default off with reset warning</t>
  </si>
  <si>
    <t>On-demand reset remains primary; weekly reset optional.</t>
  </si>
  <si>
    <t>Validate the UI flow for demo sandbox weekly auto-reset so that toggle is default off with reset warning. Scope covers the partner resources, co-branded collateral, ROI calculator, and demo sandbox reset behavior, authenticated partner/SA role access as applicable, visible copy/state, primary CTA behavior, and PRD coverage §4.9, §8.3, §12.1 B5. Out of scope: unrelated modules and deep backend calculation beyond the data needed to prove this case.</t>
  </si>
  <si>
    <t>1. Navigate to Resources/Sandbox with partner profile and logo fixtures configured.
2. Perform the action: Demo sandbox weekly auto-reset.
3. Verify the correct file, generated asset, calculator output, or sandbox reset confirmation is produced.
4. Confirm toggle is default off with reset warning and selected sandbox profile/reset warning are clear where applicable.
5. Validate generated/downloaded content uses partner branding and does not include another partner data.</t>
  </si>
  <si>
    <t>PARTNER_UI_RESOURCES_003</t>
  </si>
  <si>
    <t>Download - Marketing resource - Correct file is served</t>
  </si>
  <si>
    <t>§4.9</t>
  </si>
  <si>
    <t>Validate the UI flow for marketing resource so that correct file is served. Scope covers the partner resources, co-branded collateral, ROI calculator, and demo sandbox reset behavior, authenticated partner/SA role access as applicable, visible copy/state, primary CTA behavior, and PRD coverage §4.9. Out of scope: unrelated modules and deep backend calculation beyond the data needed to prove this case.</t>
  </si>
  <si>
    <t>1. Navigate to Resources/Sandbox with partner profile and logo fixtures configured.
2. Perform the action: Marketing resource.
3. Verify the correct file, generated asset, calculator output, or sandbox reset confirmation is produced.
4. Confirm correct file is served and selected sandbox profile/reset warning are clear where applicable.
5. Validate generated/downloaded content uses partner branding and does not include another partner data.</t>
  </si>
  <si>
    <t>PARTNER_UI_RESOURCES_004</t>
  </si>
  <si>
    <t>Generate - Co-branded pitch deck - Partner logo is inserted</t>
  </si>
  <si>
    <t>Validate the UI flow for co-branded pitch deck so that partner logo is inserted. Scope covers the partner resources, co-branded collateral, ROI calculator, and demo sandbox reset behavior, authenticated partner/SA role access as applicable, visible copy/state, primary CTA behavior, and PRD coverage §4.9. Out of scope: unrelated modules and deep backend calculation beyond the data needed to prove this case.</t>
  </si>
  <si>
    <t>1. Navigate to Resources/Sandbox with partner profile and logo fixtures configured.
2. Perform the action: Co-branded pitch deck.
3. Verify the correct file, generated asset, calculator output, or sandbox reset confirmation is produced.
4. Confirm partner logo is inserted and selected sandbox profile/reset warning are clear where applicable.
5. Validate generated/downloaded content uses partner branding and does not include another partner data.</t>
  </si>
  <si>
    <t>PARTNER_UI_RESOURCES_005</t>
  </si>
  <si>
    <t>Open - ROI calculator - Prospect PDF can be generated</t>
  </si>
  <si>
    <t>Validate the UI flow for roi calculator so that prospect pdf can be generated. Scope covers the partner resources, co-branded collateral, ROI calculator, and demo sandbox reset behavior, authenticated partner/SA role access as applicable, visible copy/state, primary CTA behavior, and PRD coverage §4.9. Out of scope: unrelated modules and deep backend calculation beyond the data needed to prove this case.</t>
  </si>
  <si>
    <t>1. Navigate to Resources/Sandbox with partner profile and logo fixtures configured.
2. Perform the action: ROI calculator.
3. Verify the correct file, generated asset, calculator output, or sandbox reset confirmation is produced.
4. Confirm prospect pdf can be generated and selected sandbox profile/reset warning are clear where applicable.
5. Validate generated/downloaded content uses partner branding and does not include another partner data.</t>
  </si>
  <si>
    <t>SA Partner Module</t>
  </si>
  <si>
    <t>Deal Conflict Queue</t>
  </si>
  <si>
    <t>PARTNER_UI_SA_PARTNER_MODULE_001</t>
  </si>
  <si>
    <t>Resolve - Conflict queue with reasoning - Decision is saved and parties notified</t>
  </si>
  <si>
    <t>§3 Scenario D, §5.2, §9.4</t>
  </si>
  <si>
    <t>Validate the UI flow for conflict queue with reasoning so that decision is saved and parties notified. Scope covers the SA partner-management operations, approval queues, conflict resolution, rates, territories, and analytics, authenticated partner/SA role access as applicable, visible copy/state, primary CTA behavior, and PRD coverage §3 Scenario D, §5.2, §9.4. Out of scope: unrelated modules and deep backend calculation beyond the data needed to prove this case.</t>
  </si>
  <si>
    <t>1. Log in as an SA partner-operations admin with a fixture containing two parties registered on the same domain.
2. Navigate to Deal Management → Conflict Queue and open the conflicted deal.
3. Select the winning party (Partner A or BlazeUp Direct) using the Decision radio buttons.
4. Enter a mandatory written reasoning in the Reasoning field and click Submit Decision.
5. Verify both parties receive a notification, the decision and reasoning are logged to the audit trail, and the conflict record becomes immutable (no further edit possible).</t>
  </si>
  <si>
    <t>PARTNER_UI_SA_PARTNER_MODULE_002</t>
  </si>
  <si>
    <t>Resolve - Conflict queue decision - Prospect confirmation and written reasoning are visible</t>
  </si>
  <si>
    <t>Includes 5 business day mediation expectation.</t>
  </si>
  <si>
    <t>Validate the UI flow for conflict queue decision so that prospect confirmation and written reasoning are visible. Scope covers the SA partner-management operations, approval queues, conflict resolution, rates, territories, and analytics, authenticated partner/SA role access as applicable, visible copy/state, primary CTA behavior, and PRD coverage §3 Scenario D, §5.2, §9.4. Out of scope: unrelated modules and deep backend calculation beyond the data needed to prove this case.</t>
  </si>
  <si>
    <t>1. Log in as an SA partner-operations admin with a conflict fixture where prospect confirmation status is available.
2. Navigate to Deal Management → Conflict Queue and open the conflicted deal.
3. Verify the Prospect Contacted field shows Yes / No / Cannot reach options and the first-registered timestamp is visible for both parties.
4. Select a prospect confirmation status and verify the UI highlights the recommended winner per PRD §3 Scenario D rule order.
5. Confirm written reasoning is required before Submit Decision is enabled and that the 5-business-day SLA indicator is shown on the conflict record.</t>
  </si>
  <si>
    <t>Partner Directory</t>
  </si>
  <si>
    <t>PARTNER_UI_SA_PARTNER_MODULE_003</t>
  </si>
  <si>
    <t>Admin - Partner directory loads - Filters and partner rows are visible</t>
  </si>
  <si>
    <t>§5.1</t>
  </si>
  <si>
    <t>Validate the UI flow for partner directory loads so that filters and partner rows are visible. Scope covers the SA partner-management operations, approval queues, conflict resolution, rates, territories, and analytics, authenticated partner/SA role access as applicable, visible copy/state, primary CTA behavior, and PRD coverage §5.1. Out of scope: unrelated modules and deep backend calculation beyond the data needed to prove this case.</t>
  </si>
  <si>
    <t>1. Log in as an SA partner-operations admin and navigate to /partners.
2. Verify the partner directory table loads with columns: Partner, Tier, ARR, Open Deals, Clients, Status.
3. Apply the Region, Tier, Type, and Status filters one at a time and confirm the list updates correctly after each.
4. Use the search bar to find a partner by name and verify the correct row appears.
5. Click through to Pending Approval tab and confirm pending applicants are listed separately from active partners.</t>
  </si>
  <si>
    <t>5.1</t>
  </si>
  <si>
    <t>SA Operations</t>
  </si>
  <si>
    <t>PARTNER_UI_SA_PARTNER_MODULE_004</t>
  </si>
  <si>
    <t>Review - Partner application FSM - SA Review Legal Countersign and Final Approval stages are visible</t>
  </si>
  <si>
    <t>§5.1, §12.1 B3</t>
  </si>
  <si>
    <t>Validate the UI flow for partner application fsm so that sa review legal countersign and final approval stages are visible. Scope covers the SA partner-management operations, approval queues, conflict resolution, rates, territories, and analytics, authenticated partner/SA role access as applicable, visible copy/state, primary CTA behavior, and PRD coverage §5.1, §12.1 B3. Out of scope: unrelated modules and deep backend calculation beyond the data needed to prove this case.</t>
  </si>
  <si>
    <t>1. Log in as an SA partner-operations admin and navigate to a partner application in Pending Approval status.
2. Verify the application review UI displays three distinct FSM stages: SA Review, Legal Countersign, Final Approval — each with a clear status indicator (active/pending/complete).
3. Confirm the current active stage is highlighted and previous stages show completion state.
4. Verify the SA cannot skip stages — Final Approval button is disabled while Legal Countersign stage is incomplete.
5. Confirm the applicant's company details, contact, regions, type, and team certifications are visible on the same screen.</t>
  </si>
  <si>
    <t>5.1a</t>
  </si>
  <si>
    <t>PARTNER_UI_SA_PARTNER_MODULE_005</t>
  </si>
  <si>
    <t>Block - Missing signed agreement - SA cannot advance to legal countersign</t>
  </si>
  <si>
    <t>Validate the UI flow for missing signed agreement so that sa cannot advance to legal countersign. Scope covers the SA partner-management operations, approval queues, conflict resolution, rates, territories, and analytics, authenticated partner/SA role access as applicable, visible copy/state, primary CTA behavior, and PRD coverage §5.1, §12.1 B3. Out of scope: unrelated modules and deep backend calculation beyond the data needed to prove this case.</t>
  </si>
  <si>
    <t>1. Log in as an SA partner-operations admin and open a partner application that has no signed partner agreement attached.
2. Navigate to the SA Review stage and attempt to advance to Legal Countersign without attaching an agreement.
3. Verify the Advance to Legal Countersign button is disabled or blocked with an inline error message indicating the signed agreement is required.
4. Click Request Agreement and confirm the system sends a notification to the applicant's primary contact.
5. Attach a mock signed agreement document and confirm the Advance button becomes enabled.</t>
  </si>
  <si>
    <t>PARTNER_UI_SA_PARTNER_MODULE_006</t>
  </si>
  <si>
    <t>Countersign - Legal countersigns partner agreement - Final approval becomes available</t>
  </si>
  <si>
    <t>§5.1, §9.4, §12.1 B3</t>
  </si>
  <si>
    <t>Covers staged approval FSM after signed agreement is attached.</t>
  </si>
  <si>
    <t>Validate the UI flow for legal countersigns partner agreement so that final approval becomes available. Scope covers the SA partner-management operations, approval queues, conflict resolution, rates, territories, and analytics, authenticated partner/SA role access as applicable, visible copy/state, primary CTA behavior, and PRD coverage §5.1, §9.4, §12.1 B3. Out of scope: unrelated modules and deep backend calculation beyond the data needed to prove this case.</t>
  </si>
  <si>
    <t>1. Log in as an SA partner-operations admin with required permissions.
2. Open the SA partner module area relevant to: Legal countersigns partner agreement.
3. Locate or create the partner/deal/rate/conflict fixture for this scenario.
4. Perform the action and verify final approval becomes available.
5. Confirm audit trail, written reasoning, approval stage, notification, or analytics update required by the PRD is present.</t>
  </si>
  <si>
    <t>PARTNER_UI_SA_PARTNER_MODULE_007</t>
  </si>
  <si>
    <t>Review - SA deal approval queue - Pending and conflict queues are visible</t>
  </si>
  <si>
    <t>§5.2</t>
  </si>
  <si>
    <t>Validate the UI flow for sa deal approval queue so that pending and conflict queues are visible. Scope covers the SA partner-management operations, approval queues, conflict resolution, rates, territories, and analytics, authenticated partner/SA role access as applicable, visible copy/state, primary CTA behavior, and PRD coverage §5.2. Out of scope: unrelated modules and deep backend calculation beyond the data needed to prove this case.</t>
  </si>
  <si>
    <t>1. Log in as an SA partner-operations admin.
2. Navigate to /partners → Deal Management → Pending Approval queue.
3. Verify the pending approval queue lists deals with partner name, ACV, deal type, domain, enrichment data, and conflict-check status.
4. Switch to the Conflict Queue tab and verify it shows conflicted-domain deals with both parties listed.
5. Confirm the Approve + Assign, Reject, and Request Info buttons are visible on at least one pending deal row.</t>
  </si>
  <si>
    <t>PARTNER_UI_SA_PARTNER_MODULE_008</t>
  </si>
  <si>
    <t>Approve - SA assigns rep to co-sell deal - Approval starts protection clock</t>
  </si>
  <si>
    <t>§5.2, §6.2</t>
  </si>
  <si>
    <t>Validate the UI flow for sa assigns rep to co-sell deal so that approval starts protection clock. Scope covers the SA partner-management operations, approval queues, conflict resolution, rates, territories, and analytics, authenticated partner/SA role access as applicable, visible copy/state, primary CTA behavior, and PRD coverage §5.2, §6.2. Out of scope: unrelated modules and deep backend calculation beyond the data needed to prove this case.</t>
  </si>
  <si>
    <t>1. Log in as an SA partner-operations admin and open a co-sell deal in the Pending Approval queue.
2. Select a BlazeUp rep from the Assign BlazeUp rep dropdown and click Approve + Assign.
3. Verify the deal status changes to Approved and the protection clock start date is stamped with today's date.
4. Confirm the assigned rep receives a task in the dogfood CRM: "Reach out to [partner] re: [prospect] co-sell."
5. Verify the partner portal shows the deal as Approved with the assigned rep's name, photo, and email visible in the deal detail.</t>
  </si>
  <si>
    <t>PARTNER_UI_SA_PARTNER_MODULE_009</t>
  </si>
  <si>
    <t>Configure - Commission rate table - Versioned rates can be edited</t>
  </si>
  <si>
    <t>§5.3, §8.2</t>
  </si>
  <si>
    <t>Validate the UI flow for commission rate table so that versioned rates can be edited. Scope covers the SA partner-management operations, approval queues, conflict resolution, rates, territories, and analytics, authenticated partner/SA role access as applicable, visible copy/state, primary CTA behavior, and PRD coverage §5.3, §8.2. Out of scope: unrelated modules and deep backend calculation beyond the data needed to prove this case.</t>
  </si>
  <si>
    <t>1. Log in as an SA partner-operations admin and navigate to Commission → Rate Table.
2. Verify the current rate table displays all tier × deal-type combinations (Registered/Select/Advanced/Premier × Referral/Reseller/Co-sell) with NN, EN, EE rate fields.
3. Click Edit rates, change one rate value (e.g. Select Referral NN rate), and save.
4. Verify a new version is created with a new version ID and effectiveFrom date; the previous version is preserved in Version history and not overwritten.
5. Confirm a deal approved after the rate change uses the new rate, while a deal approved before continues to show the previously locked rate.</t>
  </si>
  <si>
    <t>5.3</t>
  </si>
  <si>
    <t>PARTNER_UI_SA_PARTNER_MODULE_010</t>
  </si>
  <si>
    <t>Configure - SPIFF programme - Bonus programme is created</t>
  </si>
  <si>
    <t>§5.3</t>
  </si>
  <si>
    <t>Validate the UI flow for spiff programme so that bonus programme is created. Scope covers the SA partner-management operations, approval queues, conflict resolution, rates, territories, and analytics, authenticated partner/SA role access as applicable, visible copy/state, primary CTA behavior, and PRD coverage §5.3. Out of scope: unrelated modules and deep backend calculation beyond the data needed to prove this case.</t>
  </si>
  <si>
    <t>1. Log in as an SA partner-operations admin and navigate to Commission → SPIFF Programmes.
2. Click + Add SPIFF Programme and fill in: name, bonus percentage, applicable regions, applicable tiers (Select/Advanced/Premier), valid from/to dates.
3. Save the programme and verify it appears in the Active SPIFF Programmes list with correct details.
4. Confirm the programme is inactive before the valid from date and that the Edit and Deactivate actions are available.
5. Verify the new SPIFF is included in the commission projection shown to partners when registering a qualifying deal during the programme window.</t>
  </si>
  <si>
    <t>PARTNER_UI_SA_PARTNER_MODULE_011</t>
  </si>
  <si>
    <t>View - SA analytics dashboard - Funnel and waiver metrics are displayed</t>
  </si>
  <si>
    <t>§5.5</t>
  </si>
  <si>
    <t>Validate the UI flow for sa analytics dashboard so that funnel and waiver metrics are displayed. Scope covers the SA partner-management operations, approval queues, conflict resolution, rates, territories, and analytics, authenticated partner/SA role access as applicable, visible copy/state, primary CTA behavior, and PRD coverage §5.5. Out of scope: unrelated modules and deep backend calculation beyond the data needed to prove this case.</t>
  </si>
  <si>
    <t>1. Log in as an SA partner-operations admin and navigate to the Partner Programme Analytics dashboard.
2. Verify the funnel metrics are visible: Registered → Approved → In Progress → Won → Lost with counts and conversion rates.
3. Confirm summary KPIs are shown: Partner-sourced ARR, Approval Rate, Win Rate, Avg Deal Size, Avg Deal Velocity vs direct.
4. Locate the commission metrics section and verify Commission Paid YTD, Pending, Clawbacks Issued, and Clawback Waivers Granted are all displayed as separate line items.
5. Verify the Top 5 Partners by ARR table shows tier badge, PSM allocation type (dedicated vs shared), and client count per partner.</t>
  </si>
  <si>
    <t>PARTNER_UI_SA_PARTNER_MODULE_012</t>
  </si>
  <si>
    <t>Assign - Territory exclusivity - Assignment saves with effective dates</t>
  </si>
  <si>
    <t>§5.4</t>
  </si>
  <si>
    <t>Validate the UI flow for territory exclusivity so that assignment saves with effective dates. Scope covers the SA partner-management operations, approval queues, conflict resolution, rates, territories, and analytics, authenticated partner/SA role access as applicable, visible copy/state, primary CTA behavior, and PRD coverage §5.4. Out of scope: unrelated modules and deep backend calculation beyond the data needed to prove this case.</t>
  </si>
  <si>
    <t>1. Log in as an SA partner-operations admin, open a partner profile, and navigate to Territory Assignments.
2. Click + Assign Territory and fill in: regions (e.g. UAE, Saudi Arabia), verticals (e.g. HR + Payroll), exclusivity type (Exclusive), effective from date, and effective to date.
3. Save and verify the assignment row appears with all selected values and correct date range.
4. Confirm that setting exclusivity type to Exclusive shows a warning if another partner already has Preferred or Exclusive rights in the same region/vertical combination.
5. Verify the territory rule is reflected in conflict resolution: when a new deal is registered in an Exclusive territory, the SA conflict queue auto-routes it to the exclusive partner rather than entering normal first-registered-wins flow.</t>
  </si>
  <si>
    <t>5.4</t>
  </si>
  <si>
    <t>Security / Compliance</t>
  </si>
  <si>
    <t>Security &amp; Compliance</t>
  </si>
  <si>
    <t>PARTNER_UI_SECURITY_COMPLIANCE_001</t>
  </si>
  <si>
    <t>Deny - Cross-partner data access in UI - Other partner data is not visible</t>
  </si>
  <si>
    <t>§9.1</t>
  </si>
  <si>
    <t>Validate the UI flow for cross-partner data access in ui so that other partner data is not visible. Scope covers the partner security, access-control, audit, data minimization, and compliance controls, authenticated partner/SA role access as applicable, visible copy/state, primary CTA behavior, and PRD coverage §9.1. Out of scope: unrelated modules and deep backend calculation beyond the data needed to prove this case.</t>
  </si>
  <si>
    <t>1. Prepare fixtures for at least two partners and one SA/admin action where applicable.
2. Log in with the role required for: Cross-partner data access in UI.
3. Attempt to view, submit, or audit the targeted data/action.
4. Verify other partner data is not visible and only allowed fields/data are exposed.
5. Confirm denial, placeholder, notification, or audit entry includes the required actor/action/context without leaking sensitive data.</t>
  </si>
  <si>
    <t>9.1</t>
  </si>
  <si>
    <t>PARTNER_UI_SECURITY_COMPLIANCE_002</t>
  </si>
  <si>
    <t>Audit - SA action completed - Activity log entry is visible</t>
  </si>
  <si>
    <t>§9.4</t>
  </si>
  <si>
    <t>Validate the UI flow for sa action completed so that activity log entry is visible. Scope covers the partner security, access-control, audit, data minimization, and compliance controls, authenticated partner/SA role access as applicable, visible copy/state, primary CTA behavior, and PRD coverage §9.4. Out of scope: unrelated modules and deep backend calculation beyond the data needed to prove this case.</t>
  </si>
  <si>
    <t>1. Prepare fixtures for at least two partners and one SA/admin action where applicable.
2. Log in with the role required for: SA action completed.
3. Attempt to view, submit, or audit the targeted data/action.
4. Verify activity log entry is visible and only allowed fields/data are exposed.
5. Confirm denial, placeholder, notification, or audit entry includes the required actor/action/context without leaking sensitive data.</t>
  </si>
  <si>
    <t>9.4</t>
  </si>
  <si>
    <t>PARTNER_UI_SECURITY_COMPLIANCE_003</t>
  </si>
  <si>
    <t>Validate - Deal registration prospect data minimization - Only allowed prospect fields are requested</t>
  </si>
  <si>
    <t>Risk R7, §4.4, §9.3</t>
  </si>
  <si>
    <t>Domain, name, email only for prospect contact baseline.</t>
  </si>
  <si>
    <t>Validate the UI flow for deal registration prospect data minimization so that only allowed prospect fields are requested. Scope covers the partner security, access-control, audit, data minimization, and compliance controls, authenticated partner/SA role access as applicable, visible copy/state, primary CTA behavior, and PRD coverage Risk R7, §4.4, §9.3. Out of scope: unrelated modules and deep backend calculation beyond the data needed to prove this case.</t>
  </si>
  <si>
    <t>1. Prepare fixtures for at least two partners and one SA/admin action where applicable.
2. Log in with the role required for: Deal registration prospect data minimization.
3. Attempt to view, submit, or audit the targeted data/action.
4. Verify only allowed prospect fields are requested and only allowed fields/data are exposed.
5. Confirm denial, placeholder, notification, or audit entry includes the required actor/action/context without leaking sensitive data.</t>
  </si>
  <si>
    <t>9.3</t>
  </si>
  <si>
    <t>PARTNER_UI_SECURITY_COMPLIANCE_004</t>
  </si>
  <si>
    <t>Flag - SA impersonation partner notification - Pending legal decision is surfaced as placeholder</t>
  </si>
  <si>
    <t>Compliance</t>
  </si>
  <si>
    <t>§12.2 OQ-18, §9.4</t>
  </si>
  <si>
    <t>Requirement-phase placeholder only until Legal/Compliance decides.</t>
  </si>
  <si>
    <t>Validate the UI flow for sa impersonation partner notification so that pending legal decision is surfaced as placeholder. Scope covers the partner security, access-control, audit, data minimization, and compliance controls, authenticated partner/SA role access as applicable, visible copy/state, primary CTA behavior, and PRD coverage §12.2 OQ-18, §9.4. Out of scope: unrelated modules and deep backend calculation beyond the data needed to prove this case.</t>
  </si>
  <si>
    <t>1. Prepare fixtures for at least two partners and one SA/admin action where applicable.
2. Log in with the role required for: SA impersonation partner notification.
3. Attempt to view, submit, or audit the targeted data/action.
4. Verify pending legal decision is surfaced as placeholder and only allowed fields/data are exposed.
5. Confirm denial, placeholder, notification, or audit entry includes the required actor/action/context without leaking sensitive data.</t>
  </si>
  <si>
    <t>Training</t>
  </si>
  <si>
    <t>Training &amp; Certification</t>
  </si>
  <si>
    <t>PARTNER_UI_TRAINING_001</t>
  </si>
  <si>
    <t>View - Training page - Certifications and progress are displayed</t>
  </si>
  <si>
    <t>§2.4, §4.8</t>
  </si>
  <si>
    <t>Validate the UI flow for training page so that certifications and progress are displayed. Scope covers the training and certification progress experience, authenticated partner/SA role access as applicable, visible copy/state, primary CTA behavior, and PRD coverage §2.4, §4.8. Out of scope: unrelated modules and deep backend calculation beyond the data needed to prove this case.</t>
  </si>
  <si>
    <t>1. Navigate to Training with certification fixture data.
2. Review available certifications, current progress, and locked/unlocked modules.
3. Perform the action: Training page.
4. Verify certifications and progress are displayed and progress/status updates persist.
5. Confirm completion can trigger downstream certification/tier-recheck indicators if visible.</t>
  </si>
  <si>
    <t>4.8</t>
  </si>
  <si>
    <t>PARTNER_UI_TRAINING_002</t>
  </si>
  <si>
    <t>Earn - Certification completed - Certification status updates</t>
  </si>
  <si>
    <t>§2.4, §4.8, §8.3</t>
  </si>
  <si>
    <t>Validate the UI flow for certification completed so that certification status updates. Scope covers the training and certification progress experience, authenticated partner/SA role access as applicable, visible copy/state, primary CTA behavior, and PRD coverage §2.4, §4.8, §8.3. Out of scope: unrelated modules and deep backend calculation beyond the data needed to prove this case.</t>
  </si>
  <si>
    <t>1. Navigate to Training with certification fixture data.
2. Review available certifications, current progress, and locked/unlocked modules.
3. Perform the action: Certification completed.
4. Verify certification status updates and progress/status updates persist.
5. Confirm completion can trigger downstream certification/tier-recheck indicators if visible.</t>
  </si>
  <si>
    <t>PARTNER_UI_TRAINING_003</t>
  </si>
  <si>
    <t>Continue - In-progress learning path - Current module opens</t>
  </si>
  <si>
    <t>§4.8</t>
  </si>
  <si>
    <t>Validate the UI flow for in-progress learning path so that current module opens. Scope covers the training and certification progress experience, authenticated partner/SA role access as applicable, visible copy/state, primary CTA behavior, and PRD coverage §4.8. Out of scope: unrelated modules and deep backend calculation beyond the data needed to prove this case.</t>
  </si>
  <si>
    <t>1. Navigate to Training with certification fixture data.
2. Review available certifications, current progress, and locked/unlocked modules.
3. Perform the action: In-progress learning path.
4. Verify current module opens and progress/status updates persist.
5. Confirm completion can trigger downstream certification/tier-recheck indicators if visible.</t>
  </si>
  <si>
    <t>API / Backend</t>
  </si>
  <si>
    <t>Auth &amp; Access</t>
  </si>
  <si>
    <t>Auth &amp; Access Control</t>
  </si>
  <si>
    <t>PARTNER_API_AUTH_ACCESS_CONTROL_001</t>
  </si>
  <si>
    <t>Authenticate - Valid partner JWT - Partner-scoped request succeeds</t>
  </si>
  <si>
    <t>§4.1, §9.1</t>
  </si>
  <si>
    <t>partner-platform-prd-v1.8.md, https://api.stg.blazeup.ai/sa-partners-api/api-docs</t>
  </si>
  <si>
    <t>Validate the backend/API contract for valid partner JWT so that partner-scoped request succeeds. Scope covers request authorization with a correctly-issued partner JWT — distinct issuer from tenant and SA tokens, session scoped to partnerId, and access granted only to the requesting partner's own data. PRD coverage §4.1, §9.1. Out of scope: visual rendering and manual browser navigation.</t>
  </si>
  <si>
    <t>1. Prepare a valid partner JWT issued by the partner JWT issuer (distinct iss claim from tenant and SA issuers) for an active partner account.
2. Execute GET /v1/partner/dashboard with the valid partner JWT in the Authorization header.
3. Assert the response returns 200 with the correct partner dashboard KPI schema scoped to the requesting partnerId.
4. Verify the response contains only data belonging to the authenticated partner — no other partner's deals, clients, or commissions are present.
5. Confirm the access token lifetime is within the 8-hour window defined in §9.1 and the request is rejected after expiry.</t>
  </si>
  <si>
    <t>PARTNER_API_AUTH_ACCESS_CONTROL_002</t>
  </si>
  <si>
    <t>Reject - Tenant JWT on partner API - Request is unauthorized</t>
  </si>
  <si>
    <t>Validate the backend/API contract for tenant jwt on partner api so that request is unauthorized. Scope covers request authorization, input/fixture setup, response or job outcome, persistence side effects, emitted events/audit where applicable, and PRD coverage §4.1, §9.1. Out of scope: visual rendering and manual browser navigation.</t>
  </si>
  <si>
    <t>1. Prepare API fixtures, auth token/role, and partner/deal/client records required for: Tenant JWT on partner API.
2. Execute Reject against the relevant partner API endpoint, scheduled job, or event consumer with the payload or clock/event state for this case.
3. Assert transport result, status code, and response schema match the contract.
4. Verify that request is unauthorized in persistence, cache, emitted event, ledger, audit log, or downstream CRM state as applicable.
5. Confirm isolation/security expectations from §4.1, §9.1: no cross-partner data leakage and no unintended side effects.</t>
  </si>
  <si>
    <t>PARTNER_API_AUTH_ACCESS_CONTROL_003</t>
  </si>
  <si>
    <t>Reject - Partner JWT accessing another partner - Request is forbidden</t>
  </si>
  <si>
    <t>Validate the backend/API contract for partner jwt accessing another partner so that request is forbidden. Scope covers request authorization, input/fixture setup, response or job outcome, persistence side effects, emitted events/audit where applicable, and PRD coverage §9.1. Out of scope: visual rendering and manual browser navigation.</t>
  </si>
  <si>
    <t>1. Prepare API fixtures, auth token/role, and partner/deal/client records required for: Partner JWT accessing another partner.
2. Execute Reject against the relevant partner API endpoint, scheduled job, or event consumer with the payload or clock/event state for this case.
3. Assert transport result, status code, and response schema match the contract.
4. Verify that request is forbidden in persistence, cache, emitted event, ledger, audit log, or downstream CRM state as applicable.
5. Confirm isolation/security expectations from §9.1: no cross-partner data leakage and no unintended side effects.</t>
  </si>
  <si>
    <t>PARTNER_API_AUTH_ACCESS_CONTROL_004</t>
  </si>
  <si>
    <t>Enforce - Admin MFA policy - Protected action requires MFA</t>
  </si>
  <si>
    <t>§9.1, §12.2 OQ-14</t>
  </si>
  <si>
    <t>Requirement has OQ-14 unresolved; execute after MFA policy decision.</t>
  </si>
  <si>
    <t>Validate the backend/API contract for admin mfa policy so that protected action requires mfa. Scope covers request authorization, input/fixture setup, response or job outcome, persistence side effects, emitted events/audit where applicable, and PRD coverage §9.1, §12.2 OQ-14. Out of scope: visual rendering and manual browser navigation.</t>
  </si>
  <si>
    <t>1. Prepare API fixtures, auth token/role, and partner/deal/client records required for: Admin MFA policy.
2. Execute Enforce against the relevant partner API endpoint, scheduled job, or event consumer with the payload or clock/event state for this case.
3. Assert transport result, status code, and response schema match the contract.
4. Verify that protected action requires mfa in persistence, cache, emitted event, ledger, audit log, or downstream CRM state as applicable.
5. Confirm isolation/security expectations from §9.1, §12.2 OQ-14: no cross-partner data leakage and no unintended side effects.</t>
  </si>
  <si>
    <t>PARTNER_API_AUTH_ACCESS_CONTROL_005</t>
  </si>
  <si>
    <t>Guard - MSP accesses payroll data - Request is forbidden</t>
  </si>
  <si>
    <t>§3 Scenario G, §9.2</t>
  </si>
  <si>
    <t>Validate the backend/API contract for msp accesses payroll data so that request is forbidden. Scope covers request authorization, input/fixture setup, response or job outcome, persistence side effects, emitted events/audit where applicable, and PRD coverage §3 Scenario G, §9.2. Out of scope: visual rendering and manual browser navigation.</t>
  </si>
  <si>
    <t>1. Prepare API fixtures, auth token/role, and partner/deal/client records required for: MSP accesses payroll data.
2. Execute Guard against the relevant partner API endpoint, scheduled job, or event consumer with the payload or clock/event state for this case.
3. Assert transport result, status code, and response schema match the contract.
4. Verify that request is forbidden in persistence, cache, emitted event, ledger, audit log, or downstream CRM state as applicable.
5. Confirm isolation/security expectations from §3 Scenario G, §9.2: no cross-partner data leakage and no unintended side effects.</t>
  </si>
  <si>
    <t>9.2</t>
  </si>
  <si>
    <t>PARTNER_API_AUTH_ACCESS_CONTROL_006</t>
  </si>
  <si>
    <t>Guard - MSP exports employee records - Request is forbidden</t>
  </si>
  <si>
    <t>§9.2</t>
  </si>
  <si>
    <t>Validate the backend/API contract for msp exports employee records so that request is forbidden. Scope covers request authorization, input/fixture setup, response or job outcome, persistence side effects, emitted events/audit where applicable, and PRD coverage §9.2. Out of scope: visual rendering and manual browser navigation.</t>
  </si>
  <si>
    <t>1. Prepare API fixtures, auth token/role, and partner/deal/client records required for: MSP exports employee records.
2. Execute Guard against the relevant partner API endpoint, scheduled job, or event consumer with the payload or clock/event state for this case.
3. Assert transport result, status code, and response schema match the contract.
4. Verify that request is forbidden in persistence, cache, emitted event, ledger, audit log, or downstream CRM state as applicable.
5. Confirm isolation/security expectations from §9.2: no cross-partner data leakage and no unintended side effects.</t>
  </si>
  <si>
    <t>PARTNER_API_AUTH_ACCESS_CONTROL_007</t>
  </si>
  <si>
    <t>Refresh - Valid refresh token - New access token is issued without re-login</t>
  </si>
  <si>
    <t>[NEW 2026-05-27] POST /v1/partner/auth/refresh — token refresh flow not previously covered</t>
  </si>
  <si>
    <t>Validate the backend/API contract for partner token refresh so that a new access token is issued without re-login. Scope covers valid refresh token, expiry handling, and revoked token rejection.</t>
  </si>
  <si>
    <t>1. Prepare a partner user with a valid active session (access + refresh tokens).
2. Execute POST /v1/partner/auth/refresh with the refresh token in the request body.
3. Assert HTTP 200 and response contains a new access_token and updated expires_at.
4. Execute GET /v1/partner/portal/dashboard with the new access token — assert 200 (token is valid).
5. Attempt refresh with an expired/invalid token — assert HTTP 401 Unauthorized.</t>
  </si>
  <si>
    <t>PARTNER_API_AUTH_ACCESS_CONTROL_008</t>
  </si>
  <si>
    <t>Logout - Active partner session - Refresh token is invalidated</t>
  </si>
  <si>
    <t>[NEW 2026-05-27] POST /v1/partner/auth/logout — session invalidation not previously covered</t>
  </si>
  <si>
    <t>Validate the backend/API contract for partner logout so that the refresh token is invalidated and subsequent refresh attempts are rejected.</t>
  </si>
  <si>
    <t>1. Prepare a partner user with a valid active session.
2. Execute POST /v1/partner/auth/logout with a valid JWT and refresh token.
3. Assert HTTP 200 and confirmation message.
4. Attempt POST /v1/partner/auth/refresh with the now-invalidated refresh token — assert HTTP 401.
5. Confirm no active session remains for the partner user in the system.</t>
  </si>
  <si>
    <t>PARTNER_API_AUTH_ACCESS_CONTROL_009</t>
  </si>
  <si>
    <t>Change password - Valid current credentials - Password updated and sessions revoked</t>
  </si>
  <si>
    <t>[NEW 2026-05-27] POST /v1/partner/auth/change-password — password management not previously covered</t>
  </si>
  <si>
    <t>Validate the backend/API contract for partner change-password so that the password is updated and all existing sessions are revoked for security.</t>
  </si>
  <si>
    <t>1. Prepare a partner user with a valid active session.
2. Execute POST /v1/partner/auth/change-password with current_password and new_password.
3. Assert HTTP 200 and success response.
4. Attempt login with the old password — assert HTTP 401 Unauthorized.
5. Login with the new password — assert HTTP 200 and new tokens issued.</t>
  </si>
  <si>
    <t>Deals</t>
  </si>
  <si>
    <t>PARTNER_API_DEAL_REGISTRATION_001</t>
  </si>
  <si>
    <t>Validate - Missing required registration fields - 400 response includes field errors</t>
  </si>
  <si>
    <t>Validate the backend/API contract for missing required registration fields so that 400 response includes field errors. Scope covers request authorization, input/fixture setup, response or job outcome, persistence side effects, emitted events/audit where applicable, and PRD coverage §4.4, §8.5. Out of scope: visual rendering and manual browser navigation.</t>
  </si>
  <si>
    <t>1. Prepare API fixtures, auth token/role, and partner/deal/client records required for: Missing required registration fields.
2. Execute Validate against the relevant partner API endpoint, scheduled job, or event consumer with the payload or clock/event state for this case.
3. Assert transport result, status code, and response schema match the contract.
4. Verify that 400 response includes field errors in persistence, cache, emitted event, ledger, audit log, or downstream CRM state as applicable.
5. Confirm isolation/security expectations from §4.4, §8.5: no cross-partner data leakage and no unintended side effects.</t>
  </si>
  <si>
    <t>Deal Registration &amp; Pipeline</t>
  </si>
  <si>
    <t>PARTNER_API_DEAL_REGISTRATION_PIPELINE_001</t>
  </si>
  <si>
    <t>POST - Register a partner deal - Deal is created in 'registered' status</t>
  </si>
  <si>
    <t>YES</t>
  </si>
  <si>
    <t>§3 Scenario A, §4.4, §8.5</t>
  </si>
  <si>
    <t>POST /sa-partners-api/v1/sa/deals. Required: partnerId, dealType (enum: referral|reseller|co_sell), prospectName, prospectCountry, estimatedAcvCents, expectedCloseDate, + planId (1 published billing plan từ sa-plans-api /v1/billing-plans; hoặc inline billingPlan). HTTP 201 / body statusCode 200. Deal tạo ở status 'registered' + có protectionExpiresAt (cửa sổ bảo vệ) + conflictStatus='none'. LƯU Ý: API không có DELETE deal → cleanup xóa partner cha; prospect tag QA-AUTO để nhận diện.</t>
  </si>
  <si>
    <t>Happy-path deal registration on POST /v1/sa/deals: a valid payload (partnerId + planId + dealType + prospect + ACV + expectedCloseDate) returns HTTP 201, persists the deal with a server-assigned id, starts it in status "registered" with a protection window (protectionExpiresAt), and echoes the submitted fields (dealType/partner/ACV). Registration is confirmed to persist via a follow-up GET.</t>
  </si>
  <si>
    <t>1. Auth as SA; create a partner; pick a published billing plan.
2. POST /v1/sa/deals with all fields (partnerId, planId, dealType:"referral", prospectName, prospectEmail, prospectPhone, prospectCountry, estimatedAcvCents, expectedCloseDate, notes) → assert HTTP 201 + server-assigned id.
3. Assert EVERY submitted field is stored unchanged (no silent mutation) — all 10 fields echoed; expectedCloseDate preserves the requested date.
4. Assert lifecycle: status = "registered", protectionExpiresAt is set, conflictStatus = "none".
5. GET /v1/sa/deals/{id} → assert the same deal is returned, status "registered".
6. Teardown: delete the parent partner.
Expected: deal registered with all fields persisted exactly, protection window opened, retrievable.</t>
  </si>
  <si>
    <t>PARTNER_API_DEAL_REGISTRATION_PIPELINE_002</t>
  </si>
  <si>
    <t>POST - Register reseller deal - Billing model reseller is stored</t>
  </si>
  <si>
    <t>§3 Scenario B, §7.2, §8.5</t>
  </si>
  <si>
    <t>POST /v1/sa/deals với dealType="reseller". Billing model 'reseller' = dealType lưu = "reseller". Cùng required như _001 (partnerId, planId, prospectName, prospectCountry, estimatedAcvCents, expectedCloseDate). 
[PENDING VERIFY] Probe thấy reseller deal với payload như referral → 400 (reseller có thể cần field bắt buộc riêng), nhưng sa-partners-api sập (502) trước khi lấy được message. Khi service sống: nếu test 400 → message sẽ chỉ ra field thiếu → bổ sung vào payload. Hiện test mã hoá theo shape đã biết.</t>
  </si>
  <si>
    <t>Register a deal with dealType="reseller" via POST /v1/sa/deals and verify the reseller billing model is persisted (stored dealType == "reseller"), all submitted fields are echoed, the deal starts "registered" with a protection window, and it is retrievable by id.</t>
  </si>
  <si>
    <t>1. Auth as SA; create a partner; pick a published billing plan.
2. POST /v1/sa/deals with dealType="reseller" (+ partnerId, planId, prospect*, ACV, closeDate) → assert 201 + server-assigned id.
3. Assert dealType stored = "reseller" (billing model) and all submitted fields echoed.
4. Assert status "registered" + protectionExpiresAt set; GET /v1/sa/deals/{id} keeps dealType "reseller".
5. Teardown: delete the parent partner.
Expected: reseller deal registered with billing model "reseller" persisted. (Reseller-specific required field, if any, to be confirmed on first live run.)</t>
  </si>
  <si>
    <t>PARTNER_API_DEAL_REGISTRATION_PIPELINE_003</t>
  </si>
  <si>
    <t>POST - Register co-sell deal - Co-sell metadata is stored</t>
  </si>
  <si>
    <t>§3 Scenario C, §8.5</t>
  </si>
  <si>
    <t>POST /v1/sa/deals với dealType="co_sell". "Co-sell metadata is stored" = dealType lưu = "co_sell". Verified: tại thời điểm register, co_sell deal KHÔNG có field metadata riêng — record shape y hệt referral/reseller. Phần split 70/30 là tính toán downstream (TC _011 Calculate — hiện BLOCKED job), không thuộc bước register này.</t>
  </si>
  <si>
    <t>Register a deal with dealType="co_sell" via POST /v1/sa/deals and verify the co-sell model is persisted (stored dealType == "co_sell"), all submitted fields echoed, status "registered" with a protection window, and retrievable by id. The co-sell split calculation is downstream (_011) and out of scope.</t>
  </si>
  <si>
    <t>1. Auth as SA; create a partner; pick a published billing plan.
2. POST /v1/sa/deals with dealType="co_sell" (+ partnerId, planId, prospect*, ACV, closeDate) → assert 201 + server-assigned id.
3. Assert dealType stored = "co_sell" (co-sell metadata) and all submitted fields echoed.
4. Assert status "registered" + protectionExpiresAt set; GET /v1/sa/deals/{id} keeps dealType "co_sell".
5. Teardown: delete the parent partner.
Expected: co-sell deal registered with dealType "co_sell" persisted. (Co-sell split = downstream _011, not asserted here.)</t>
  </si>
  <si>
    <t>PARTNER_API_DEAL_REGISTRATION_PIPELINE_004</t>
  </si>
  <si>
    <t>POST - Register deal with existing domain - Conflict status is raised</t>
  </si>
  <si>
    <t>Deal protection: khi partner THỨ HAI đăng ký deal cho prospect mà partner ĐẦU đã đăng ký (cùng prospect identity = prospectName + prospectEmail), deal thứ 2 vẫn được tạo (201) nhưng bị gắn conflict: conflictStatus="flagged" + conflictingDealId trỏ về deal đầu. (Lưu ý: cùng partner đăng ký lại prospect đó → 400 "active deal already exists" — dedup cứng, là behavior khác, không thuộc TC này.) Trigger conflict theo prospect (name+email), KHÔNG theo email-domain đơn thuần (khác local-part cùng domain → không conflict).</t>
  </si>
  <si>
    <t>Verify deal-protection conflict handling: when a second partner registers a deal for a prospect already registered by a first partner (same prospectName + prospectEmail), the second deal is accepted (201) but flagged — conflictStatus="flagged" and conflictingDealId points at the first deal — and the flag persists (GET).</t>
  </si>
  <si>
    <t>1. Auth as SA; create two partners; pick a published plan; define one shared prospect (name + email).
2. Partner 1 registers a deal for the prospect → assert 201, conflictStatus="none".
3. Partner 2 registers a deal for the SAME prospect → assert 201, conflictStatus="flagged", conflictingDealId == deal-1 id.
4. GET /v1/sa/deals/{id} on deal 2 → assert conflictStatus still "flagged".
5. Teardown: delete both partners.
Expected: the second partner's deal is created but flagged as a conflict against the first deal.</t>
  </si>
  <si>
    <t>PARTNER_API_DEAL_REGISTRATION_PIPELINE_005</t>
  </si>
  <si>
    <t>CRON - Protection expiry with recent activity - Auto-extend once</t>
  </si>
  <si>
    <t>§5.2, §8.2, §8.3</t>
  </si>
  <si>
    <t>[PATH 2026-05-27] SA: /internal/deals → /v1/sa/deals</t>
  </si>
  <si>
    <t>Validate the backend/API contract for protection expiry with recent activity so that auto-extend once. Scope covers request authorization, input/fixture setup, response or job outcome, persistence side effects, emitted events/audit where applicable, and PRD coverage §5.2, §8.2, §8.3. Out of scope: visual rendering and manual browser navigation.</t>
  </si>
  <si>
    <t>1. Prepare API fixtures, auth token/role, and partner/deal/client records required for: Protection expiry with recent activity.
2. Execute scheduled job against the relevant partner API endpoint, scheduled job, or event consumer with the payload or clock/event state for this case.
3. Assert transport result, status code, and response schema match the contract.
4. Verify that auto-extend once in persistence, cache, emitted event, ledger, audit log, or downstream CRM state as applicable.
5. Confirm isolation/security expectations from §5.2, §8.2, §8.3: no cross-partner data leakage and no unintended side effects.</t>
  </si>
  <si>
    <t>PARTNER_API_DEAL_REGISTRATION_PIPELINE_006</t>
  </si>
  <si>
    <t>CRON - Protection expiry without activity - Deal expires</t>
  </si>
  <si>
    <t>§5.2, §8.3</t>
  </si>
  <si>
    <t>Validate the backend/API contract for protection expiry without activity so that deal expires. Scope covers request authorization, input/fixture setup, response or job outcome, persistence side effects, emitted events/audit where applicable, and PRD coverage §5.2, §8.3. Out of scope: visual rendering and manual browser navigation.</t>
  </si>
  <si>
    <t>1. Prepare API fixtures, auth token/role, and partner/deal/client records required for: Protection expiry without activity.
2. Execute scheduled job against the relevant partner API endpoint, scheduled job, or event consumer with the payload or clock/event state for this case.
3. Assert transport result, status code, and response schema match the contract.
4. Verify that deal expires in persistence, cache, emitted event, ledger, audit log, or downstream CRM state as applicable.
5. Confirm isolation/security expectations from §5.2, §8.3: no cross-partner data leakage and no unintended side effects.</t>
  </si>
  <si>
    <t>PARTNER_API_DEAL_REGISTRATION_PIPELINE_007</t>
  </si>
  <si>
    <t>CRON - Protection already auto-extended - Second auto-extension is blocked</t>
  </si>
  <si>
    <t>§5.2, §8.2</t>
  </si>
  <si>
    <t>Validate the backend/API contract for protection already auto-extended so that second auto-extension is blocked. Scope covers request authorization, input/fixture setup, response or job outcome, persistence side effects, emitted events/audit where applicable, and PRD coverage §5.2, §8.2. Out of scope: visual rendering and manual browser navigation.</t>
  </si>
  <si>
    <t>1. Prepare API fixtures, auth token/role, and partner/deal/client records required for: Protection already auto-extended.
2. Execute scheduled job against the relevant partner API endpoint, scheduled job, or event consumer with the payload or clock/event state for this case.
3. Assert transport result, status code, and response schema match the contract.
4. Verify that second auto-extension is blocked in persistence, cache, emitted event, ledger, audit log, or downstream CRM state as applicable.
5. Confirm isolation/security expectations from §5.2, §8.2: no cross-partner data leakage and no unintended side effects.</t>
  </si>
  <si>
    <t>PARTNER_API_DEAL_REGISTRATION_PIPELINE_008</t>
  </si>
  <si>
    <t>PATCH - Internal deal approve - Rate and rate table version are stamped</t>
  </si>
  <si>
    <t>§5.2, §6.3, §8.5</t>
  </si>
  <si>
    <t>POST /v1/sa/deals/{id}/approve (TC ghi PATCH nhưng BE là POST). Body ReviewDealDto{reviewNotes} optional. Approve: status registered→approved, stamp reviewedAt + reviewedBy. 
[GAP] "Rate and rate table version are stamped" KHÔNG xuất hiện trong deal response (không có field rate/rateTableVersion; approve cũng không tạo commission). Bước [3/3] cố tình FAIL để phơi bày. Confirm BE: rate stamp nội bộ (không serialize) / ở stage khác (deal win) / hay chưa implement.</t>
  </si>
  <si>
    <t>Resolving a flagged deal conflict stamps the SA decision + reasoning (conflictResolution) and locks them: a second resolve is rejected (deal no longer FLAGGED), so the decision/reasoning cannot be changed, and a re-read confirms they are unchanged.</t>
  </si>
  <si>
    <t>1. Auth as SA; create a flagged conflict (two partners register the same prospect → deal B "flagged").
2. POST /v1/sa/deals/{id}/resolve-conflict {decision:"resolved_for_partner", reasoning} → assert 201, conflictStatus="resolved_for_partner", conflictResolution{decision, reasoning, resolvedBy, resolvedAt} matches sent.
3. Resolve again with different decision/reasoning → assert 4xx ("not in FLAGGED conflict state") — immutable.
4. GET /v1/sa/deals/{id} → assert decision + reasoning unchanged (original).
5. Teardown: delete both partners.
Expected: conflict resolved once; decision + reasoning are immutable.</t>
  </si>
  <si>
    <t>PARTNER_API_DEAL_REGISTRATION_PIPELINE_009</t>
  </si>
  <si>
    <t>PATCH - Resolve conflict - Decision and reasoning are immutable</t>
  </si>
  <si>
    <t>POST /v1/sa/deals/{id}/resolve-conflict. Body ResolveConflictDto{decision (enum: resolved_for_partner|resolved_against_partner), reasoning} — cả 2 bắt buộc. Resolve 1 deal đang FLAGGED → conflictStatus = decision, stamp conflictResolution{decision, reasoning, resolvedBy, resolvedAt}. IMMUTABLE: resolve lại → 400 "not in FLAGGED conflict state" (không đổi được decision/reasoning). Precondition: tạo conflict (2 partner cùng prospect → deal B flagged, như _004).</t>
  </si>
  <si>
    <t>1. Prepare API fixtures, auth token/role, and partner/deal/client records required for: Resolve conflict.
2. Execute POST against the relevant partner API endpoint, scheduled job, or event consumer with the payload or clock/event state for this case.
3. Assert transport result, status code, and response schema match the contract.
4. Verify that decision and reasoning are immutable in persistence, cache, emitted event, ledger, audit log, or downstream CRM state as applicable.
5. Confirm isolation/security expectations from §3 Scenario D, §5.2, §9.4: no cross-partner data leakage and no unintended side effects.</t>
  </si>
  <si>
    <t>PARTNER_API_DEAL_REGISTRATION_PIPELINE_010</t>
  </si>
  <si>
    <t>Sync - Deal approved event - CRM owner and stage are updated</t>
  </si>
  <si>
    <t>§6.2</t>
  </si>
  <si>
    <t>Approve deal phát event 'partner.deal.approved' (ghi audit log, before:{status:registered}→after:{status:approved}). Event này là trigger để CRM integration cập nhật CRM owner+stage. Test verify event ĐƯỢC PUBLISH (observable qua audit log). Việc cập nhật CRM owner/stage thực tế nằm ở service DOWNSTREAM (connectors/CRM Integration) — out of scope ở đây, thuộc TC CRM Integration. (Giống _005: event verify được, downstream consumer ngoài scope.)</t>
  </si>
  <si>
    <t>Approving a deal emits a "partner.deal.approved" event (recorded in the SA audit log with the before/after status) — the trigger the CRM integration consumes to update CRM owner + stage. This test asserts the API-observable signal (the event is published). The actual CRM owner/stage update is a downstream service (connectors/CRM Integration) and is out of scope (covered by CRM Integration TCs).</t>
  </si>
  <si>
    <t>1. Auth as SA; create partner; register a deal (registered).
2. Approve the deal → assert status "approved".
3. GET /v1/sa/audit-logs → assert a "partner.deal.approved" event for this deal records the registered→approved transition.
4. Teardown: delete the partner.
Expected: the deal-approved event is published. (CRM owner/stage update = downstream, not asserted here.)</t>
  </si>
  <si>
    <t>6.2</t>
  </si>
  <si>
    <t>PARTNER_API_DEAL_REGISTRATION_PIPELINE_011</t>
  </si>
  <si>
    <t>Calculate - Co-sell split default - 70/30 split is stored for standard co-sell deal</t>
  </si>
  <si>
    <t>§2.3, §3 Scenario C</t>
  </si>
  <si>
    <t>[PATH 2026-05-27] SA: /internal/deals → /v1/sa/deals | Default partner/BlazeUp quota credit split.</t>
  </si>
  <si>
    <t>Validate the backend/API contract for co-sell split default so that 70/30 split is stored for standard co-sell deal. Scope covers request authorization, input/fixture setup, response or job outcome, persistence side effects, emitted events/audit where applicable, and PRD coverage §2.3, §3 Scenario C. Out of scope: visual rendering and manual browser navigation.</t>
  </si>
  <si>
    <t>1. Prepare API fixtures, auth token/role, and partner/deal/client records required for: Co-sell split default.
2. Execute Calculate against the relevant partner API endpoint, scheduled job, or event consumer with the payload or clock/event state for this case.
3. Assert transport result, status code, and response schema match the contract.
4. Verify that 70/30 split is stored for standard co-sell deal in persistence, cache, emitted event, ledger, audit log, or downstream CRM state as applicable.
5. Confirm isolation/security expectations from §2.3, §3 Scenario C: no cross-partner data leakage and no unintended side effects.</t>
  </si>
  <si>
    <t>PARTNER_API_DEAL_REGISTRATION_PIPELINE_012</t>
  </si>
  <si>
    <t>Reject - Co-sell split override at or below $100K ACV - Override is not accepted</t>
  </si>
  <si>
    <t>[PATH 2026-05-27] SA: /internal/deals → /v1/sa/deals | Threshold is above $100K ACV.</t>
  </si>
  <si>
    <t>Validate the backend/API contract for co-sell split override at or below $100k acv so that override is not accepted. Scope covers request authorization, input/fixture setup, response or job outcome, persistence side effects, emitted events/audit where applicable, and PRD coverage §3 Scenario C, §5.2. Out of scope: visual rendering and manual browser navigation.</t>
  </si>
  <si>
    <t>1. Prepare API fixtures, auth token/role, and partner/deal/client records required for: Co-sell split override at or below $100K ACV.
2. Execute Reject against the relevant partner API endpoint, scheduled job, or event consumer with the payload or clock/event state for this case.
3. Assert transport result, status code, and response schema match the contract.
4. Verify that override is not accepted in persistence, cache, emitted event, ledger, audit log, or downstream CRM state as applicable.
5. Confirm isolation/security expectations from §3 Scenario C, §5.2: no cross-partner data leakage and no unintended side effects.</t>
  </si>
  <si>
    <t>PARTNER_API_DEAL_REGISTRATION_PIPELINE_013</t>
  </si>
  <si>
    <t>Resolve - Conflict with prospect confirmation - Confirmed partner wins conflict</t>
  </si>
  <si>
    <t>[PATH 2026-05-27] SA: /internal/deals → /v1/sa/deals | First conflict resolution rule.</t>
  </si>
  <si>
    <t>Validate the backend/API contract for conflict with prospect confirmation so that confirmed partner wins conflict. Scope covers request authorization, input/fixture setup, response or job outcome, persistence side effects, emitted events/audit where applicable, and PRD coverage §3 Scenario D, §5.2. Out of scope: visual rendering and manual browser navigation.</t>
  </si>
  <si>
    <t>1. Prepare API fixtures, auth token/role, and partner/deal/client records required for: Conflict with prospect confirmation.
2. Execute Resolve against the relevant partner API endpoint, scheduled job, or event consumer with the payload or clock/event state for this case.
3. Assert transport result, status code, and response schema match the contract.
4. Verify that confirmed partner wins conflict in persistence, cache, emitted event, ledger, audit log, or downstream CRM state as applicable.
5. Confirm isolation/security expectations from §3 Scenario D, §5.2: no cross-partner data leakage and no unintended side effects.</t>
  </si>
  <si>
    <t>PARTNER_API_DEAL_REGISTRATION_PIPELINE_014</t>
  </si>
  <si>
    <t>Resolve - Conflict with unreachable prospect - First registered deal wins tiebreaker</t>
  </si>
  <si>
    <t>[PATH 2026-05-27] SA: /internal/deals → /v1/sa/deals | Second conflict resolution rule.</t>
  </si>
  <si>
    <t>Validate the backend/API contract for conflict with unreachable prospect so that first registered deal wins tiebreaker. Scope covers request authorization, input/fixture setup, response or job outcome, persistence side effects, emitted events/audit where applicable, and PRD coverage §3 Scenario D, §5.2. Out of scope: visual rendering and manual browser navigation.</t>
  </si>
  <si>
    <t>1. Prepare API fixtures, auth token/role, and partner/deal/client records required for: Conflict with unreachable prospect.
2. Execute Resolve against the relevant partner API endpoint, scheduled job, or event consumer with the payload or clock/event state for this case.
3. Assert transport result, status code, and response schema match the contract.
4. Verify that first registered deal wins tiebreaker in persistence, cache, emitted event, ledger, audit log, or downstream CRM state as applicable.
5. Confirm isolation/security expectations from §3 Scenario D, §5.2: no cross-partner data leakage and no unintended side effects.</t>
  </si>
  <si>
    <t>PARTNER_API_DEAL_REGISTRATION_PIPELINE_015</t>
  </si>
  <si>
    <t>Enforce - Multi-partner influenced deal with no registration - No attribution or commission is created on tenant provisioning</t>
  </si>
  <si>
    <t>§3 Scenario I, §8.5</t>
  </si>
  <si>
    <t>[PATH 2026-05-27] SA: /internal/deals → /v1/sa/deals | Negative companion to PARTNER_API_006. Absolute rule — no registration = no commission, no exceptions.</t>
  </si>
  <si>
    <t>Validate the backend/API contract for multi-partner influenced deal with no registration so that no attribution or commission is created. Scope covers tenant provisioning attribution logic — when a tenant is provisioned through direct/inbound path and no partner_deal record exists for the domain, the tenant.attribution.partnerId must be null and no partner_commissions row is created. PRD coverage §3 Scenario I, §8.5.</t>
  </si>
  <si>
    <t>1. Prepare a fixture where two partners have internal notes on a prospect domain but no partner_deals record exists for that domain.\n2. Trigger tenant provisioning via the inbound/direct path (POST /internal/tenants/provision without partnerId).\n3. Assert the response returns 201 with billing.model = 'direct' and attribution.partnerId = null.\n4. Verify no partner_commissions row is created for either partner for this tenantId.\n5. Confirm no blazeup.partner.commission.earned event is emitted and the tenant.attribution.source is 'direct' or 'inbound'.</t>
  </si>
  <si>
    <t>PARTNER_API_DEAL_REGISTRATION_PIPELINE_016</t>
  </si>
  <si>
    <t>POST - Request manual protection extension - Request is queued for SA</t>
  </si>
  <si>
    <t>[API pending 2026-05-27] POST /v1/partner/deals/:id/protection-extend-request (partner side) — not yet in dev build. Note: SA side extend-protection exists at POST /v1/sa/deals/{id}/extend-protection</t>
  </si>
  <si>
    <t>Validate the backend/API contract for request manual protection extension so that request is queued for sa. Scope covers request authorization, input/fixture setup, response or job outcome, persistence side effects, emitted events/audit where applicable, and PRD coverage §5.2, §8.5. Out of scope: visual rendering and manual browser navigation.</t>
  </si>
  <si>
    <t>1. Prepare API fixtures, auth token/role, and partner/deal/client records required for: Request manual protection extension.
2. Execute POST against the relevant partner API endpoint, scheduled job, or event consumer with the payload or clock/event state for this case.
3. Assert transport result, status code, and response schema match the contract.
4. Verify that request is queued for sa in persistence, cache, emitted event, ledger, audit log, or downstream CRM state as applicable.
5. Confirm isolation/security expectations from §5.2, §8.5: no cross-partner data leakage and no unintended side effects.</t>
  </si>
  <si>
    <t>PARTNER_API_DEAL_REGISTRATION_PIPELINE_017</t>
  </si>
  <si>
    <t>Allow - Re-register conflict-lost prospect after 90 days - Registration is accepted when no close exists</t>
  </si>
  <si>
    <t>§3 Scenario D, §8.5</t>
  </si>
  <si>
    <t>[PATH 2026-05-27] Partner: /v1/partner/deals → /v1/partner/portal/deals | Negative companion should reject before 90 days.</t>
  </si>
  <si>
    <t>Validate the backend/API contract for re-register conflict-lost prospect after 90 days so that registration is accepted when no close exists. Scope covers request authorization, input/fixture setup, response or job outcome, persistence side effects, emitted events/audit where applicable, and PRD coverage §3 Scenario D, §8.5. Out of scope: visual rendering and manual browser navigation.</t>
  </si>
  <si>
    <t>1. Prepare API fixtures, auth token/role, and partner/deal/client records required for: Re-register conflict-lost prospect after 90 days.
2. Execute Allow against the relevant partner API endpoint, scheduled job, or event consumer with the payload or clock/event state for this case.
3. Assert transport result, status code, and response schema match the contract.
4. Verify that registration is accepted when no close exists in persistence, cache, emitted event, ledger, audit log, or downstream CRM state as applicable.
5. Confirm isolation/security expectations from §3 Scenario D, §8.5: no cross-partner data leakage and no unintended side effects.</t>
  </si>
  <si>
    <t>PARTNER_API_DEAL_REGISTRATION_PIPELINE_018</t>
  </si>
  <si>
    <t>Win - SA marks deal as won - Tenant provisioning and commission events are emitted</t>
  </si>
  <si>
    <t>§7.1</t>
  </si>
  <si>
    <t>[NEW 2026-05-27] POST /v1/sa/deals/{id}/win — SA-side deal-won API call not previously covered</t>
  </si>
  <si>
    <t>Validate the backend/API contract for SA marking a deal as won so that tenant provisioning and commission calculation events are emitted correctly.</t>
  </si>
  <si>
    <t>1. Prepare an approved deal in In-Progress stage with a valid partner and rep assigned.
2. Execute POST /v1/sa/deals/{id}/win with required deal-close payload.
3. Assert HTTP 200 and deal status updated to Won.
4. Assert blazeup.partner.deal.won Kafka event is emitted with correct partnerId and dealId.
5. Confirm tenant provisioning is triggered and commission is queued for calculation.</t>
  </si>
  <si>
    <t>7.1</t>
  </si>
  <si>
    <t>PARTNER_API_DEAL_REGISTRATION_PIPELINE_019</t>
  </si>
  <si>
    <t>Lose - SA marks deal as lost - Deal status updated and partner notified</t>
  </si>
  <si>
    <t>§5.2,§6.2</t>
  </si>
  <si>
    <t>[NEW 2026-05-27] POST /v1/sa/deals/{id}/lose — SA-side deal-lost API call not previously covered</t>
  </si>
  <si>
    <t>Validate the backend/API contract for SA marking a deal as lost so that deal status is updated, protection clock stops, and the partner receives notification.</t>
  </si>
  <si>
    <t>1. Prepare an approved deal in Closing stage with a valid partner and rep assigned.
2. Execute POST /v1/sa/deals/{id}/lose with a mandatory loss reason.
3. Assert HTTP 200 and deal status updated to Lost.
4. Confirm deal protection clock is stopped and no commission is created.
5. Assert partner notification event is emitted with the loss reason.</t>
  </si>
  <si>
    <t>PARTNER_API_DEAL_REGISTRATION_PIPELINE_020</t>
  </si>
  <si>
    <t>Get - SA retrieves single deal by ID - Full deal record with timeline is returned</t>
  </si>
  <si>
    <t>[NEW 2026-05-27] GET /v1/sa/deals/{id} — get single deal endpoint not previously covered</t>
  </si>
  <si>
    <t>Validate the backend/API contract for SA retrieving a single deal by ID so that the full deal record including timeline, commission details, and conflict history is returned.</t>
  </si>
  <si>
    <t>1. Prepare an existing deal with approval history and at least one stage update.
2. Execute GET /v1/sa/deals/{id} with a valid SA-JWT.
3. Assert HTTP 200 and response contains: dealId, partnerId, status, commissionRate, rateTableVersion, protectionExpiresAt.
4. Execute GET /v1/sa/deals/{invalidId} — assert HTTP 404 Not Found.
5. Execute GET with a Partner-JWT (not SA) — assert HTTP 403 Forbidden.</t>
  </si>
  <si>
    <t>PARTNER_API_DEAL_REGISTRATION_PIPELINE_021</t>
  </si>
  <si>
    <t>POST - Register deal invalid/missing fields - Rejected with 400</t>
  </si>
  <si>
    <t>Negative của _001. Register deal phải từ chối input sai 4xx + message rõ. BE validate tốt (400): thiếu partnerId/dealType/prospectCountry/estimatedAcvCents/expectedCloseDate, dealType ngoài enum, ACV âm (must not be less than 1), date sai (must be ISO 8601), ghost partnerId (not found). 
[GAP cần confirm BE] planId KHÔNG được validate với catalog — register với planId không tồn tại ('no-such-plan-qa') vẫn trả 201 + tạo deal. Bước này cố tình FAIL tới khi BE thêm check.
[GAP] planId không validate cross-service: sa-plans-api GET /billing-plans/no-such-plan-qa → 400 (id không tồn tại), nhưng POST /sa-partners-api/v1/sa/deals với cùng planId đó → 201 + lưu planId rác vào deal. Deals nên kiểm planId tồn tại + published với sa-plans trước khi gắn.</t>
  </si>
  <si>
    <t>Verify POST /v1/sa/deals rejects invalid/incomplete registration payloads with 4xx + a field-level message and creates no deal: missing partnerId/dealType/prospectCountry/estimatedAcvCents/expectedCloseDate, out-of-enum dealType, negative ACV, malformed date, and a non-existent partnerId. Also asserts a non-existent planId is rejected — currently NOT enforced by the BE (returns 201), a deliberate failing signal until fixed. Negative-counterpart of _001.</t>
  </si>
  <si>
    <t>1. Auth as SA; create a partner; pick a published billing plan (valid baseline payload).
2. For each invalid case, POST /v1/sa/deals → assert HTTP 400 + a field-level message:
   a. missing partnerId / dealType / prospectName / prospectCountry / estimatedAcvCents / expectedCloseDate
   b. dealType out of enum ("wholesale")
   c. prospectEmail invalid format ("not-an-email")
   d. estimatedAcvCents negative
   e. expectedCloseDate not ISO-8601
   f. non-existent partnerId → "not found"
   g. non-existent planId → expect 400  [Currently 201 → gap, confirm with BE]
3. Teardown: delete the parent partner (cleans up any deal accidentally created).
Expected: every invalid payload rejected with 400; no deal created. (planId-validation gap noted.)</t>
  </si>
  <si>
    <t>PARTNER_API_DEAL_REGISTRATION_PIPELINE_028</t>
  </si>
  <si>
    <t>POST - Approve invalid/illegal-state deal - Rejected with a clear error</t>
  </si>
  <si>
    <t>Negative của _008. Approve target không hợp lệ phải bị từ chối 4xx + message rõ. BE chặn tốt (400): id không tồn tại→"Deal ... not found", id sai định dạng→"Invalid id", deal đã approved→"Cannot transition deal from approved to approved".</t>
  </si>
  <si>
    <t>Verify POST /v1/sa/deals/{id}/approve rejects illegal targets: a non-existent id, a malformed id, and a deal not in an approvable state (already approved). Each returns 4xx with a descriptive message. Negative-counterpart of _008.</t>
  </si>
  <si>
    <t>1. Auth as SA; create partner; register + approve a deal (now "approved").
2. approve non-existent id → 4xx "not found".
3. approve malformed id → 4xx "Invalid id".
4. approve the already-approved deal → 4xx "cannot transition...".
5. Teardown: delete the parent partner.
Expected: every illegal approve is rejected with 4xx + a clear message.</t>
  </si>
  <si>
    <t>PARTNER_API_DEAL_REGISTRATION_PIPELINE_029</t>
  </si>
  <si>
    <t>POST - Resolve-conflict invalid input - Rejected with a clear error</t>
  </si>
  <si>
    <t>Negative của _009. Resolve-conflict input sai → 4xx + message rõ (BE tốt, tất cả 400): decision ngoài enum/thiếu → "decision must be one of"; thiếu reasoning → "reasoning should not be empty"; id không tồn tại → "Deal ... not found"; id sai → "Invalid id"; resolve deal không-flagged → "not in FLAGGED conflict state".</t>
  </si>
  <si>
    <t>Verify POST /v1/sa/deals/{id}/resolve-conflict rejects invalid input with 4xx + a descriptive message: out-of-enum decision, missing decision, missing reasoning, a non-existent id, a malformed id, and resolving a deal not in a FLAGGED conflict state. Negative-counterpart of _009.</t>
  </si>
  <si>
    <t>1. Auth as SA; create partner; register a deal (non-flagged) as target.
2. resolve-conflict with: invalid decision / no decision / no reasoning → 4xx (enum/required errors).
3. resolve-conflict on non-existent id → 4xx "not found"; malformed id → 4xx "Invalid id".
4. resolve-conflict on the non-flagged deal → 4xx "not in FLAGGED conflict state".
5. Teardown: delete the partner.
Expected: every invalid resolve attempt rejected with 4xx + a clear message.</t>
  </si>
  <si>
    <t>Deal Approval Queue</t>
  </si>
  <si>
    <t>PARTNER_API_DEAL_APPROVAL_QUEUE_001</t>
  </si>
  <si>
    <t>PATCH - Internal deal reject - Rejection reason is persisted</t>
  </si>
  <si>
    <t>[METHOD+PATH 2026-05-27] PATCH /internal/deals/:id/reject → POST /v1/sa/deals/{id}/reject</t>
  </si>
  <si>
    <t>Validate the backend/API contract for internal deal reject so that rejection reason is persisted. Scope covers request authorization, input/fixture setup, response or job outcome, persistence side effects, emitted events/audit where applicable, and PRD coverage §5.2, §8.5. Out of scope: visual rendering and manual browser navigation.</t>
  </si>
  <si>
    <t>1. Prepare API fixtures, auth token/role, and partner/deal/client records required for: Internal deal reject.
2. Execute POST against the relevant partner API endpoint, scheduled job, or event consumer with the payload or clock/event state for this case.
3. Assert transport result, status code, and response schema match the contract.
4. Verify that rejection reason is persisted in persistence, cache, emitted event, ledger, audit log, or downstream CRM state as applicable.
5. Confirm isolation/security expectations from §5.2, §8.5: no cross-partner data leakage and no unintended side effects.</t>
  </si>
  <si>
    <t>Deal Collaboration</t>
  </si>
  <si>
    <t>PARTNER_API_DEAL_COLLABORATION_001</t>
  </si>
  <si>
    <t>PATCH - Deal notes - Note is added with actor and timestamp</t>
  </si>
  <si>
    <t>§4.5, §8.5</t>
  </si>
  <si>
    <t>[API pending 2026-05-27] PATCH /v1/partner/deals/:id — update deal notes/docs endpoint not yet in dev build</t>
  </si>
  <si>
    <t>Validate the backend/API contract for deal notes so that note is added with actor and timestamp. Scope covers request authorization, input/fixture setup, response or job outcome, persistence side effects, emitted events/audit where applicable, and PRD coverage §4.5, §8.5. Out of scope: visual rendering and manual browser navigation.</t>
  </si>
  <si>
    <t>1. Prepare API fixtures, auth token/role, and partner/deal/client records required for: Deal notes.
2. Execute PATCH against the relevant partner API endpoint, scheduled job, or event consumer with the payload or clock/event state for this case.
3. Assert transport result, status code, and response schema match the contract.
4. Verify that note is added with actor and timestamp in persistence, cache, emitted event, ledger, audit log, or downstream CRM state as applicable.
5. Confirm isolation/security expectations from §4.5, §8.5: no cross-partner data leakage and no unintended side effects.</t>
  </si>
  <si>
    <t>PARTNER_API_DEAL_COLLABORATION_002</t>
  </si>
  <si>
    <t>PATCH - Deal documents - Document metadata is attached</t>
  </si>
  <si>
    <t>[PATH 2026-05-27] SA deal endpoint: /internal/deals → /v1/sa/deals</t>
  </si>
  <si>
    <t>Validate the backend/API contract for deal documents so that document metadata is attached. Scope covers request authorization, input/fixture setup, response or job outcome, persistence side effects, emitted events/audit where applicable, and PRD coverage §4.5, §8.5. Out of scope: visual rendering and manual browser navigation.</t>
  </si>
  <si>
    <t>1. Prepare API fixtures, auth token/role, and partner/deal/client records required for: Deal documents.
2. Execute PATCH against the relevant partner API endpoint, scheduled job, or event consumer with the payload or clock/event state for this case.
3. Assert transport result, status code, and response schema match the contract.
4. Verify that document metadata is attached in persistence, cache, emitted event, ledger, audit log, or downstream CRM state as applicable.
5. Confirm isolation/security expectations from §4.5, §8.5: no cross-partner data leakage and no unintended side effects.</t>
  </si>
  <si>
    <t>PARTNER_API_PIPELINE_MANAGEMENT_001</t>
  </si>
  <si>
    <t>GET - Partner deals list - Only own deals are returned</t>
  </si>
  <si>
    <t>§4.5, §8.5, §9.1</t>
  </si>
  <si>
    <t>[PATH 2026-05-27] /v1/partner/deals → /v1/partner/portal/deals</t>
  </si>
  <si>
    <t>Validate the backend/API contract for partner deals list so that only own deals are returned. Scope covers request authorization, input/fixture setup, response or job outcome, persistence side effects, emitted events/audit where applicable, and PRD coverage §4.5, §8.5, §9.1. Out of scope: visual rendering and manual browser navigation.</t>
  </si>
  <si>
    <t>1. Prepare API fixtures, auth token/role, and partner/deal/client records required for: Partner deals list.
2. Execute GET against the relevant partner API endpoint, scheduled job, or event consumer with the payload or clock/event state for this case.
3. Assert transport result, status code, and response schema match the contract.
4. Verify that only own deals are returned in persistence, cache, emitted event, ledger, audit log, or downstream CRM state as applicable.
5. Confirm isolation/security expectations from §4.5, §8.5, §9.1: no cross-partner data leakage and no unintended side effects.</t>
  </si>
  <si>
    <t>PARTNER_API_PIPELINE_MANAGEMENT_002</t>
  </si>
  <si>
    <t>GET - Deals with filters - Stage type and module filters are applied</t>
  </si>
  <si>
    <t>Validate the backend/API contract for deals with filters so that stage type and module filters are applied. Scope covers request authorization, input/fixture setup, response or job outcome, persistence side effects, emitted events/audit where applicable, and PRD coverage §4.5, §8.5. Out of scope: visual rendering and manual browser navigation.</t>
  </si>
  <si>
    <t>1. Prepare API fixtures, auth token/role, and partner/deal/client records required for: Deals with filters.
2. Execute GET against the relevant partner API endpoint, scheduled job, or event consumer with the payload or clock/event state for this case.
3. Assert transport result, status code, and response schema match the contract.
4. Verify that stage type and module filters are applied in persistence, cache, emitted event, ledger, audit log, or downstream CRM state as applicable.
5. Confirm isolation/security expectations from §4.5, §8.5: no cross-partner data leakage and no unintended side effects.</t>
  </si>
  <si>
    <t>Tenancy &amp; Attribution</t>
  </si>
  <si>
    <t>Tenant Provisioning &amp; Attribution</t>
  </si>
  <si>
    <t>PARTNER_API_TENANT_PROVISIONING_ATTRIBUTION_001</t>
  </si>
  <si>
    <t>POST - Accept co-sell override - Override is locked at approval</t>
  </si>
  <si>
    <t>[API pending 2026-05-27] POST /v1/partner/deals/:id/cosell-split-accept — not yet in dev build</t>
  </si>
  <si>
    <t>Validate the backend/API contract for accept co-sell override so that override is locked at approval. Scope covers request authorization, input/fixture setup, response or job outcome, persistence side effects, emitted events/audit where applicable, and PRD coverage §3 Scenario C, §5.2, §8.5. Out of scope: visual rendering and manual browser navigation.</t>
  </si>
  <si>
    <t>1. Prepare API fixtures, auth token/role, and partner/deal/client records required for: Accept co-sell override.
2. Execute POST against the relevant partner API endpoint, scheduled job, or event consumer with the payload or clock/event state for this case.
3. Assert transport result, status code, and response schema match the contract.
4. Verify that override is locked at approval in persistence, cache, emitted event, ledger, audit log, or downstream CRM state as applicable.
5. Confirm isolation/security expectations from §3 Scenario C, §5.2, §8.5: no cross-partner data leakage and no unintended side effects.</t>
  </si>
  <si>
    <t>PARTNER_API_TENANT_PROVISIONING_ATTRIBUTION_002</t>
  </si>
  <si>
    <t>POST - Referral close - Tenant provision and commission events are emitted</t>
  </si>
  <si>
    <t>§7.1, §8.3</t>
  </si>
  <si>
    <t>Validate the backend/API contract for referral close so that tenant provision and commission events are emitted. Scope covers request authorization, input/fixture setup, response or job outcome, persistence side effects, emitted events/audit where applicable, and PRD coverage §7.1, §8.3. Out of scope: visual rendering and manual browser navigation.</t>
  </si>
  <si>
    <t>1. Prepare API fixtures, auth token/role, and partner/deal/client records required for: Referral close.
2. Execute POST against the relevant partner API endpoint, scheduled job, or event consumer with the payload or clock/event state for this case.
3. Assert transport result, status code, and response schema match the contract.
4. Verify that tenant provision and commission events are emitted in persistence, cache, emitted event, ledger, audit log, or downstream CRM state as applicable.
5. Confirm isolation/security expectations from §7.1, §8.3: no cross-partner data leakage and no unintended side effects.</t>
  </si>
  <si>
    <t>PARTNER_API_TENANT_PROVISIONING_ATTRIBUTION_003</t>
  </si>
  <si>
    <t>POST - Reseller close - Invoice targets reseller partner</t>
  </si>
  <si>
    <t>§7.2</t>
  </si>
  <si>
    <t>Validate the backend/API contract for reseller close so that invoice targets reseller partner. Scope covers request authorization, input/fixture setup, response or job outcome, persistence side effects, emitted events/audit where applicable, and PRD coverage §7.2. Out of scope: visual rendering and manual browser navigation.</t>
  </si>
  <si>
    <t>1. Prepare API fixtures, auth token/role, and partner/deal/client records required for: Reseller close.
2. Execute POST against the relevant partner API endpoint, scheduled job, or event consumer with the payload or clock/event state for this case.
3. Assert transport result, status code, and response schema match the contract.
4. Verify that invoice targets reseller partner in persistence, cache, emitted event, ledger, audit log, or downstream CRM state as applicable.
5. Confirm isolation/security expectations from §7.2: no cross-partner data leakage and no unintended side effects.</t>
  </si>
  <si>
    <t>7.2</t>
  </si>
  <si>
    <t>PARTNER_API_TENANT_PROVISIONING_ATTRIBUTION_004</t>
  </si>
  <si>
    <t>POST - Expansion close - Existing tenant line items are updated</t>
  </si>
  <si>
    <t>Validate the backend/API contract for expansion close so that existing tenant line items are updated. Scope covers request authorization, input/fixture setup, response or job outcome, persistence side effects, emitted events/audit where applicable, and PRD coverage §3 Scenario F, §7.4. Out of scope: visual rendering and manual browser navigation.</t>
  </si>
  <si>
    <t>1. Prepare API fixtures, auth token/role, and partner/deal/client records required for: Expansion close.
2. Execute POST against the relevant partner API endpoint, scheduled job, or event consumer with the payload or clock/event state for this case.
3. Assert transport result, status code, and response schema match the contract.
4. Verify that existing tenant line items are updated in persistence, cache, emitted event, ledger, audit log, or downstream CRM state as applicable.
5. Confirm isolation/security expectations from §3 Scenario F, §7.4: no cross-partner data leakage and no unintended side effects.</t>
  </si>
  <si>
    <t>7.4</t>
  </si>
  <si>
    <t>PARTNER_API_TENANT_PROVISIONING_ATTRIBUTION_005</t>
  </si>
  <si>
    <t>Calculate - Expansion commission NN stage - Full configured rate applies</t>
  </si>
  <si>
    <t>§7.4, §8.2, §12.1 B6</t>
  </si>
  <si>
    <t>Validate the backend/API contract for expansion commission nn stage so that full configured rate applies. Scope covers request authorization, input/fixture setup, response or job outcome, persistence side effects, emitted events/audit where applicable, and PRD coverage §7.4, §8.2, §12.1 B6. Out of scope: visual rendering and manual browser navigation.</t>
  </si>
  <si>
    <t>1. Prepare API fixtures, auth token/role, and partner/deal/client records required for: Expansion commission NN stage.
2. Execute Calculate against the relevant partner API endpoint, scheduled job, or event consumer with the payload or clock/event state for this case.
3. Assert transport result, status code, and response schema match the contract.
4. Verify that full configured rate applies in persistence, cache, emitted event, ledger, audit log, or downstream CRM state as applicable.
5. Confirm isolation/security expectations from §7.4, §8.2, §12.1 B6: no cross-partner data leakage and no unintended side effects.</t>
  </si>
  <si>
    <t>PARTNER_API_TENANT_PROVISIONING_ATTRIBUTION_006</t>
  </si>
  <si>
    <t>Calculate - Expansion commission EN stage - Lower configured rate applies</t>
  </si>
  <si>
    <t>Validate the backend/API contract for expansion commission en stage so that lower configured rate applies. Scope covers request authorization, input/fixture setup, response or job outcome, persistence side effects, emitted events/audit where applicable, and PRD coverage §7.4, §8.2, §12.1 B6. Out of scope: visual rendering and manual browser navigation.</t>
  </si>
  <si>
    <t>1. Prepare API fixtures, auth token/role, and partner/deal/client records required for: Expansion commission EN stage.
2. Execute Calculate against the relevant partner API endpoint, scheduled job, or event consumer with the payload or clock/event state for this case.
3. Assert transport result, status code, and response schema match the contract.
4. Verify that lower configured rate applies in persistence, cache, emitted event, ledger, audit log, or downstream CRM state as applicable.
5. Confirm isolation/security expectations from §7.4, §8.2, §12.1 B6: no cross-partner data leakage and no unintended side effects.</t>
  </si>
  <si>
    <t>PARTNER_API_TENANT_PROVISIONING_ATTRIBUTION_007</t>
  </si>
  <si>
    <t>Sync - Deal won event - CRM opportunity closes won with tenant ID</t>
  </si>
  <si>
    <t>§6.2, §7.1</t>
  </si>
  <si>
    <t>Validate the backend/API contract for deal won event so that crm opportunity closes won with tenant id. Scope covers request authorization, input/fixture setup, response or job outcome, persistence side effects, emitted events/audit where applicable, and PRD coverage §6.2, §7.1. Out of scope: visual rendering and manual browser navigation.</t>
  </si>
  <si>
    <t>1. Prepare API fixtures, auth token/role, and partner/deal/client records required for: Deal won event.
2. Execute event flow against the relevant partner API endpoint, scheduled job, or event consumer with the payload or clock/event state for this case.
3. Assert transport result, status code, and response schema match the contract.
4. Verify that crm opportunity closes won with tenant id in persistence, cache, emitted event, ledger, audit log, or downstream CRM state as applicable.
5. Confirm isolation/security expectations from §6.2, §7.1: no cross-partner data leakage and no unintended side effects.</t>
  </si>
  <si>
    <t>PARTNER_API_TENANT_PROVISIONING_ATTRIBUTION_008</t>
  </si>
  <si>
    <t>Store - Tenant attribution block - Permanent partner fields are written</t>
  </si>
  <si>
    <t>§7.5</t>
  </si>
  <si>
    <t>Validate the backend/API contract for tenant attribution block so that permanent partner fields are written. Scope covers request authorization, input/fixture setup, response or job outcome, persistence side effects, emitted events/audit where applicable, and PRD coverage §7.5. Out of scope: visual rendering and manual browser navigation.</t>
  </si>
  <si>
    <t>1. Prepare API fixtures, auth token/role, and partner/deal/client records required for: Tenant attribution block.
2. Execute Store against the relevant partner API endpoint, scheduled job, or event consumer with the payload or clock/event state for this case.
3. Assert transport result, status code, and response schema match the contract.
4. Verify that permanent partner fields are written in persistence, cache, emitted event, ledger, audit log, or downstream CRM state as applicable.
5. Confirm isolation/security expectations from §7.5: no cross-partner data leakage and no unintended side effects.</t>
  </si>
  <si>
    <t>7.5</t>
  </si>
  <si>
    <t>PARTNER_API_TENANT_PROVISIONING_ATTRIBUTION_009</t>
  </si>
  <si>
    <t>Override - Tenant attribution by SA - Two-eye approval and history are required</t>
  </si>
  <si>
    <t>§7.5, §12.1 B4</t>
  </si>
  <si>
    <t>Validate the backend/API contract for tenant attribution by sa so that two-eye approval and history are required. Scope covers request authorization, input/fixture setup, response or job outcome, persistence side effects, emitted events/audit where applicable, and PRD coverage §7.5, §12.1 B4. Out of scope: visual rendering and manual browser navigation.</t>
  </si>
  <si>
    <t>1. Prepare API fixtures, auth token/role, and partner/deal/client records required for: Tenant attribution by SA.
2. Execute Override against the relevant partner API endpoint, scheduled job, or event consumer with the payload or clock/event state for this case.
3. Assert transport result, status code, and response schema match the contract.
4. Verify that two-eye approval and history are required in persistence, cache, emitted event, ledger, audit log, or downstream CRM state as applicable.
5. Confirm isolation/security expectations from §7.5, §12.1 B4: no cross-partner data leakage and no unintended side effects.</t>
  </si>
  <si>
    <t>PARTNER_API_TENANT_PROVISIONING_ATTRIBUTION_010</t>
  </si>
  <si>
    <t>Lock - Co-sell override after partner acceptance - Approved split cannot be renegotiated</t>
  </si>
  <si>
    <t>[API pending 2026-05-27] POST /v1/partner/deals/:id/cosell-split-accept (lock after accept) — not yet in dev build | Agreement must be recorded on the deal record.</t>
  </si>
  <si>
    <t>Validate the backend/API contract for co-sell override after partner acceptance so that approved split cannot be renegotiated. Scope covers request authorization, input/fixture setup, response or job outcome, persistence side effects, emitted events/audit where applicable, and PRD coverage §3 Scenario C, §5.2, §8.5. Out of scope: visual rendering and manual browser navigation.</t>
  </si>
  <si>
    <t>1. Prepare API fixtures, auth token/role, and partner/deal/client records required for: Co-sell override after partner acceptance.
2. Execute Lock against the relevant partner API endpoint, scheduled job, or event consumer with the payload or clock/event state for this case.
3. Assert transport result, status code, and response schema match the contract.
4. Verify that approved split cannot be renegotiated in persistence, cache, emitted event, ledger, audit log, or downstream CRM state as applicable.
5. Confirm isolation/security expectations from §3 Scenario C, §5.2, §8.5: no cross-partner data leakage and no unintended side effects.</t>
  </si>
  <si>
    <t>PARTNER_API_TENANT_PROVISIONING_ATTRIBUTION_011</t>
  </si>
  <si>
    <t>Validate - Invalid expected close date - 400 response is returned</t>
  </si>
  <si>
    <t>Validate the backend/API contract for invalid expected close date so that 400 response is returned. Scope covers request authorization, input/fixture setup, response or job outcome, persistence side effects, emitted events/audit where applicable, and PRD coverage §4.4, §8.5. Out of scope: visual rendering and manual browser navigation.</t>
  </si>
  <si>
    <t>1. Prepare API fixtures, auth token/role, and partner/deal/client records required for: Invalid expected close date.
2. Execute Validate against the relevant partner API endpoint, scheduled job, or event consumer with the payload or clock/event state for this case.
3. Assert transport result, status code, and response schema match the contract.
4. Verify that 400 response is returned in persistence, cache, emitted event, ledger, audit log, or downstream CRM state as applicable.
5. Confirm isolation/security expectations from §4.4, §8.5: no cross-partner data leakage and no unintended side effects.</t>
  </si>
  <si>
    <t>Referral Attribution</t>
  </si>
  <si>
    <t>PARTNER_API_REFERRAL_ATTRIBUTION_001</t>
  </si>
  <si>
    <t>GET - Referral click - Redis attribution is stored for 30 days</t>
  </si>
  <si>
    <t>§3 Scenario E, §8.4, §8.6</t>
  </si>
  <si>
    <t>[API pending 2026-05-27] GET/POST /v1/partner/referral-links — referral attribution endpoints not yet in dev build</t>
  </si>
  <si>
    <t>Validate the backend/API contract for referral click so that redis attribution is stored for 30 days. Scope covers request authorization, input/fixture setup, response or job outcome, persistence side effects, emitted events/audit where applicable, and PRD coverage §3 Scenario E, §8.4, §8.6. Out of scope: visual rendering and manual browser navigation.</t>
  </si>
  <si>
    <t>1. Prepare API fixtures, auth token/role, and partner/deal/client records required for: Referral click.
2. Execute GET against the relevant partner API endpoint, scheduled job, or event consumer with the payload or clock/event state for this case.
3. Assert transport result, status code, and response schema match the contract.
4. Verify that redis attribution is stored for 30 days in persistence, cache, emitted event, ledger, audit log, or downstream CRM state as applicable.
5. Confirm isolation/security expectations from §3 Scenario E, §8.4, §8.6: no cross-partner data leakage and no unintended side effects.</t>
  </si>
  <si>
    <t>3-E</t>
  </si>
  <si>
    <t>PARTNER_API_REFERRAL_ATTRIBUTION_002</t>
  </si>
  <si>
    <t>Attribute - Multiple referral clicks - First-touch attribution wins</t>
  </si>
  <si>
    <t>§8.4, Risk R4</t>
  </si>
  <si>
    <t>Validate the backend/API contract for multiple referral clicks so that first-touch attribution wins. Scope covers request authorization, input/fixture setup, response or job outcome, persistence side effects, emitted events/audit where applicable, and PRD coverage §8.4, Risk R4. Out of scope: visual rendering and manual browser navigation.</t>
  </si>
  <si>
    <t>1. Prepare API fixtures, auth token/role, and partner/deal/client records required for: Multiple referral clicks.
2. Execute Attribute against the relevant partner API endpoint, scheduled job, or event consumer with the payload or clock/event state for this case.
3. Assert transport result, status code, and response schema match the contract.
4. Verify that first-touch attribution wins in persistence, cache, emitted event, ledger, audit log, or downstream CRM state as applicable.
5. Confirm isolation/security expectations from §8.4, Risk R4: no cross-partner data leakage and no unintended side effects.</t>
  </si>
  <si>
    <t>8.4</t>
  </si>
  <si>
    <t>PARTNER_API_REFERRAL_ATTRIBUTION_003</t>
  </si>
  <si>
    <t>Attribute - Signup after 40 days - No partner attribution is applied</t>
  </si>
  <si>
    <t>§8.4</t>
  </si>
  <si>
    <t>Validate the backend/API contract for signup after 40 days so that no partner attribution is applied. Scope covers request authorization, input/fixture setup, response or job outcome, persistence side effects, emitted events/audit where applicable, and PRD coverage §8.4. Out of scope: visual rendering and manual browser navigation.</t>
  </si>
  <si>
    <t>1. Prepare API fixtures, auth token/role, and partner/deal/client records required for: Signup after 30 days.
2. Execute Attribute against the relevant partner API endpoint, scheduled job, or event consumer with the payload or clock/event state for this case.
3. Assert transport result, status code, and response schema match the contract.
4. Verify that no partner attribution is applied in persistence, cache, emitted event, ledger, audit log, or downstream CRM state as applicable.
5. Confirm isolation/security expectations from §8.4: no cross-partner data leakage and no unintended side effects.</t>
  </si>
  <si>
    <t>PARTNER_API_REFERRAL_ATTRIBUTION_004</t>
  </si>
  <si>
    <t>Attribute - Direct signup with no cookie - Tenant remains direct</t>
  </si>
  <si>
    <t>Validate the backend/API contract for direct signup with no cookie so that tenant remains direct. Scope covers request authorization, input/fixture setup, response or job outcome, persistence side effects, emitted events/audit where applicable, and PRD coverage §8.4. Out of scope: visual rendering and manual browser navigation.</t>
  </si>
  <si>
    <t>1. Prepare API fixtures, auth token/role, and partner/deal/client records required for: Direct signup with no cookie.
2. Execute Attribute against the relevant partner API endpoint, scheduled job, or event consumer with the payload or clock/event state for this case.
3. Assert transport result, status code, and response schema match the contract.
4. Verify that tenant remains direct in persistence, cache, emitted event, ledger, audit log, or downstream CRM state as applicable.
5. Confirm isolation/security expectations from §8.4: no cross-partner data leakage and no unintended side effects.</t>
  </si>
  <si>
    <t>Clients</t>
  </si>
  <si>
    <t>PARTNER_API_CLIENT_HEALTH_MSP_001</t>
  </si>
  <si>
    <t>GET - Partner clients - Post-close tenants are returned</t>
  </si>
  <si>
    <t>§4.6, §8.5</t>
  </si>
  <si>
    <t>[API pending 2026-05-27] GET /v1/partner/clients — My Clients endpoint not yet in dev build</t>
  </si>
  <si>
    <t>Validate the backend/API contract for partner clients so that post-close tenants are returned. Scope covers request authorization, input/fixture setup, response or job outcome, persistence side effects, emitted events/audit where applicable, and PRD coverage §4.6, §8.5. Out of scope: visual rendering and manual browser navigation.</t>
  </si>
  <si>
    <t>1. Prepare API fixtures, auth token/role, and partner/deal/client records required for: Partner clients.
2. Execute GET against the relevant partner API endpoint, scheduled job, or event consumer with the payload or clock/event state for this case.
3. Assert transport result, status code, and response schema match the contract.
4. Verify that post-close tenants are returned in persistence, cache, emitted event, ledger, audit log, or downstream CRM state as applicable.
5. Confirm isolation/security expectations from §4.6, §8.5: no cross-partner data leakage and no unintended side effects.</t>
  </si>
  <si>
    <t>PARTNER_API_CLIENT_HEALTH_MSP_002</t>
  </si>
  <si>
    <t>GET - Client health metrics - Usage renewal and ticket metrics are returned</t>
  </si>
  <si>
    <t>§1.3, §4.6, §8.5</t>
  </si>
  <si>
    <t>[API pending 2026-05-27] GET /v1/partner/clients/:tenantId/health — client health endpoint not yet in dev build</t>
  </si>
  <si>
    <t>Validate the backend/API contract for client health metrics so that usage renewal and ticket metrics are returned. Scope covers request authorization, input/fixture setup, response or job outcome, persistence side effects, emitted events/audit where applicable, and PRD coverage §1.3, §4.6, §8.5. Out of scope: visual rendering and manual browser navigation.</t>
  </si>
  <si>
    <t>1. Prepare API fixtures, auth token/role, and partner/deal/client records required for: Client health metrics.
2. Execute GET against the relevant partner API endpoint, scheduled job, or event consumer with the payload or clock/event state for this case.
3. Assert transport result, status code, and response schema match the contract.
4. Verify that usage renewal and ticket metrics are returned in persistence, cache, emitted event, ledger, audit log, or downstream CRM state as applicable.
5. Confirm isolation/security expectations from §1.3, §4.6, §8.5: no cross-partner data leakage and no unintended side effects.</t>
  </si>
  <si>
    <t>PARTNER_API_CLIENT_HEALTH_MSP_003</t>
  </si>
  <si>
    <t>GET - Client tickets without MSP consent - Only count and severity are returned</t>
  </si>
  <si>
    <t>[API pending 2026-05-27] GET /v1/partner/clients/:tenantId/tickets — ticket endpoint not yet in dev build</t>
  </si>
  <si>
    <t>Validate the backend/API contract for client tickets without msp consent so that only count and severity are returned. Scope covers request authorization, input/fixture setup, response or job outcome, persistence side effects, emitted events/audit where applicable, and PRD coverage §3 Scenario G, §9.2. Out of scope: visual rendering and manual browser navigation.</t>
  </si>
  <si>
    <t>1. Prepare API fixtures, auth token/role, and partner/deal/client records required for: Client tickets without MSP consent.
2. Execute GET against the relevant partner API endpoint, scheduled job, or event consumer with the payload or clock/event state for this case.
3. Assert transport result, status code, and response schema match the contract.
4. Verify that only count and severity are returned in persistence, cache, emitted event, ledger, audit log, or downstream CRM state as applicable.
5. Confirm isolation/security expectations from §3 Scenario G, §9.2: no cross-partner data leakage and no unintended side effects.</t>
  </si>
  <si>
    <t>PARTNER_API_CLIENT_HEALTH_MSP_004</t>
  </si>
  <si>
    <t>GET - Client tickets with MSP consent - Ticket content is returned</t>
  </si>
  <si>
    <t>[API pending 2026-05-27] GET /v1/partner/clients/:tenantId/tickets — ticket content endpoint not yet in dev build</t>
  </si>
  <si>
    <t>Validate the backend/API contract for client tickets with msp consent so that ticket content is returned. Scope covers request authorization, input/fixture setup, response or job outcome, persistence side effects, emitted events/audit where applicable, and PRD coverage §3 Scenario G, §9.2. Out of scope: visual rendering and manual browser navigation.</t>
  </si>
  <si>
    <t>1. Prepare API fixtures, auth token/role, and partner/deal/client records required for: Client tickets with MSP consent.
2. Execute GET against the relevant partner API endpoint, scheduled job, or event consumer with the payload or clock/event state for this case.
3. Assert transport result, status code, and response schema match the contract.
4. Verify that ticket content is returned in persistence, cache, emitted event, ledger, audit log, or downstream CRM state as applicable.
5. Confirm isolation/security expectations from §3 Scenario G, §9.2: no cross-partner data leakage and no unintended side effects.</t>
  </si>
  <si>
    <t>PARTNER_API_CLIENT_HEALTH_MSP_005</t>
  </si>
  <si>
    <t>PATCH - Revoke MSP consent - Content access stops immediately</t>
  </si>
  <si>
    <t>§9.2, §8.3</t>
  </si>
  <si>
    <t>[API pending 2026-05-27] PATCH MSP consent — /v1/partner/clients/* endpoint not yet in dev build</t>
  </si>
  <si>
    <t>Validate the backend/API contract for revoke msp consent so that content access stops immediately. Scope covers request authorization, input/fixture setup, response or job outcome, persistence side effects, emitted events/audit where applicable, and PRD coverage §9.2, §8.3. Out of scope: visual rendering and manual browser navigation.</t>
  </si>
  <si>
    <t>1. Prepare API fixtures, auth token/role, and partner/deal/client records required for: Revoke MSP consent.
2. Execute PATCH against the relevant partner API endpoint, scheduled job, or event consumer with the payload or clock/event state for this case.
3. Assert transport result, status code, and response schema match the contract.
4. Verify that content access stops immediately in persistence, cache, emitted event, ledger, audit log, or downstream CRM state as applicable.
5. Confirm isolation/security expectations from §9.2, §8.3: no cross-partner data leakage and no unintended side effects.</t>
  </si>
  <si>
    <t>PARTNER_API_CLIENT_HEALTH_MSP_006</t>
  </si>
  <si>
    <t>POST - MSP tenant provision - partner_managed tenant is created</t>
  </si>
  <si>
    <t>[API pending 2026-05-27] POST MSP tenant provision — /v1/partner/clients/* endpoint not yet in dev build</t>
  </si>
  <si>
    <t>Validate the backend/API contract for msp tenant provision so that partner_managed tenant is created. Scope covers request authorization, input/fixture setup, response or job outcome, persistence side effects, emitted events/audit where applicable, and PRD coverage §3 Scenario G, §7.3. Out of scope: visual rendering and manual browser navigation.</t>
  </si>
  <si>
    <t>1. Prepare API fixtures, auth token/role, and partner/deal/client records required for: MSP tenant provision.
2. Execute POST against the relevant partner API endpoint, scheduled job, or event consumer with the payload or clock/event state for this case.
3. Assert transport result, status code, and response schema match the contract.
4. Verify that partner_managed tenant is created in persistence, cache, emitted event, ledger, audit log, or downstream CRM state as applicable.
5. Confirm isolation/security expectations from §3 Scenario G, §7.3: no cross-partner data leakage and no unintended side effects.</t>
  </si>
  <si>
    <t>PARTNER_API_CLIENT_HEALTH_MSP_007</t>
  </si>
  <si>
    <t>Transfer - MSP handoff - Old history preserved and event emitted</t>
  </si>
  <si>
    <t>§7.5, §8.3, §12.1 B4</t>
  </si>
  <si>
    <t>[API pending 2026-05-27] MSP handoff — /v1/partner/clients/* endpoint not yet in dev build</t>
  </si>
  <si>
    <t>Validate the backend/API contract for msp handoff so that old history preserved and event emitted. Scope covers request authorization, input/fixture setup, response or job outcome, persistence side effects, emitted events/audit where applicable, and PRD coverage §7.5, §8.3, §12.1 B4. Out of scope: visual rendering and manual browser navigation.</t>
  </si>
  <si>
    <t>1. Prepare API fixtures, auth token/role, and partner/deal/client records required for: MSP handoff.
2. Execute event flow against the relevant partner API endpoint, scheduled job, or event consumer with the payload or clock/event state for this case.
3. Assert transport result, status code, and response schema match the contract.
4. Verify that old history preserved and event emitted in persistence, cache, emitted event, ledger, audit log, or downstream CRM state as applicable.
5. Confirm isolation/security expectations from §7.5, §8.3, §12.1 B4: no cross-partner data leakage and no unintended side effects.</t>
  </si>
  <si>
    <t>PARTNER_API_CLIENT_HEALTH_MSP_008</t>
  </si>
  <si>
    <t>Calculate - MSP tier qualification - Total managed ARR is used</t>
  </si>
  <si>
    <t>§2.2, §11</t>
  </si>
  <si>
    <t>[API pending 2026-05-27] MSP tier qualification — /v1/partner/clients/* endpoint not yet in dev build</t>
  </si>
  <si>
    <t>Validate the backend/API contract for msp tier qualification so that total managed arr is used. Scope covers request authorization, input/fixture setup, response or job outcome, persistence side effects, emitted events/audit where applicable, and PRD coverage §2.2, §11. Out of scope: visual rendering and manual browser navigation.</t>
  </si>
  <si>
    <t>1. Prepare API fixtures, auth token/role, and partner/deal/client records required for: MSP tier qualification.
2. Execute Calculate against the relevant partner API endpoint, scheduled job, or event consumer with the payload or clock/event state for this case.
3. Assert transport result, status code, and response schema match the contract.
4. Verify that total managed arr is used in persistence, cache, emitted event, ledger, audit log, or downstream CRM state as applicable.
5. Confirm isolation/security expectations from §2.2, §11: no cross-partner data leakage and no unintended side effects.</t>
  </si>
  <si>
    <t>2.2</t>
  </si>
  <si>
    <t>PARTNER_API_CLIENT_HEALTH_MSP_009</t>
  </si>
  <si>
    <t>Audit - MSP consent grant and revoke - Event includes actor timestamps and access changes immediately</t>
  </si>
  <si>
    <t>§3 Scenario G, §8.3, §9.2, §9.4</t>
  </si>
  <si>
    <t>[API pending 2026-05-27] MSP consent audit — /v1/partner/clients/* endpoint not yet in dev build | Consent revocation must apply immediately.</t>
  </si>
  <si>
    <t>Validate the backend/API contract for msp consent grant and revoke so that event includes actor timestamps and access changes immediately. Scope covers request authorization, input/fixture setup, response or job outcome, persistence side effects, emitted events/audit where applicable, and PRD coverage §3 Scenario G, §8.3, §9.2, §9.4. Out of scope: visual rendering and manual browser navigation.</t>
  </si>
  <si>
    <t>1. Prepare API fixtures, auth token/role, and partner/deal/client records required for: MSP consent grant and revoke.
2. Execute Audit against the relevant partner API endpoint, scheduled job, or event consumer with the payload or clock/event state for this case.
3. Assert transport result, status code, and response schema match the contract.
4. Verify that event includes actor timestamps and access changes immediately in persistence, cache, emitted event, ledger, audit log, or downstream CRM state as applicable.
5. Confirm isolation/security expectations from §3 Scenario G, §8.3, §9.2, §9.4: no cross-partner data leakage and no unintended side effects.</t>
  </si>
  <si>
    <t>PARTNER_API_COMMISSIONS_PAYOUTS_001</t>
  </si>
  <si>
    <t>Calculate - Renewal EE stage - Lowest configured rate applies</t>
  </si>
  <si>
    <t>[PATH 2026-05-27] SA commission endpoint: /internal/partners/:id/commissions → /v1/sa/commissions</t>
  </si>
  <si>
    <t>Validate the backend/API contract for renewal ee stage so that lowest configured rate applies. Scope covers request authorization, input/fixture setup, response or job outcome, persistence side effects, emitted events/audit where applicable, and PRD coverage §7.4, §8.2, §12.1 B6. Out of scope: visual rendering and manual browser navigation.</t>
  </si>
  <si>
    <t>1. Prepare API fixtures, auth token/role, and partner/deal/client records required for: Renewal EE stage.
2. Execute Calculate against the relevant partner API endpoint, scheduled job, or event consumer with the payload or clock/event state for this case.
3. Assert transport result, status code, and response schema match the contract.
4. Verify that lowest configured rate applies in persistence, cache, emitted event, ledger, audit log, or downstream CRM state as applicable.
5. Confirm isolation/security expectations from §7.4, §8.2, §12.1 B6: no cross-partner data leakage and no unintended side effects.</t>
  </si>
  <si>
    <t>PARTNER_API_COMMISSIONS_PAYOUTS_002</t>
  </si>
  <si>
    <t>GET - Commission history - Partner commission ledger is returned</t>
  </si>
  <si>
    <t>§4.7, §8.5</t>
  </si>
  <si>
    <t>[PATH 2026-05-27] /v1/partner/commissions → /v1/partner/portal/commissions</t>
  </si>
  <si>
    <t>Validate the backend/API contract for commission history so that partner commission ledger is returned. Scope covers request authorization, input/fixture setup, response or job outcome, persistence side effects, emitted events/audit where applicable, and PRD coverage §4.7, §8.5. Out of scope: visual rendering and manual browser navigation.</t>
  </si>
  <si>
    <t>1. Prepare API fixtures, auth token/role, and partner/deal/client records required for: Commission history.
2. Execute GET against the relevant partner API endpoint, scheduled job, or event consumer with the payload or clock/event state for this case.
3. Assert transport result, status code, and response schema match the contract.
4. Verify that partner commission ledger is returned in persistence, cache, emitted event, ledger, audit log, or downstream CRM state as applicable.
5. Confirm isolation/security expectations from §4.7, §8.5: no cross-partner data leakage and no unintended side effects.</t>
  </si>
  <si>
    <t>POST - Commission dispute - Dispute log entry is created</t>
  </si>
  <si>
    <t>[PATH 2026-05-27] /v1/partner/commissions/:id/dispute → /v1/partner/portal/commissions/{id}/dispute</t>
  </si>
  <si>
    <t>Validate the backend/API contract for commission dispute so that dispute log entry is created. Scope covers request authorization, input/fixture setup, response or job outcome, persistence side effects, emitted events/audit where applicable, and PRD coverage §4.7, §8.5. Out of scope: visual rendering and manual browser navigation.</t>
  </si>
  <si>
    <t>1. Prepare API fixtures, auth token/role, and partner/deal/client records required for: Commission dispute.
2. Execute POST against the relevant partner API endpoint, scheduled job, or event consumer with the payload or clock/event state for this case.
3. Assert transport result, status code, and response schema match the contract.
4. Verify that dispute log entry is created in persistence, cache, emitted event, ledger, audit log, or downstream CRM state as applicable.
5. Confirm isolation/security expectations from §4.7, §8.5: no cross-partner data leakage and no unintended side effects.</t>
  </si>
  <si>
    <t>PARTNER_API_COMMISSIONS_PAYOUTS_004</t>
  </si>
  <si>
    <t>POST - Product failure waiver - Waiver request stores evidence</t>
  </si>
  <si>
    <t>§4.7, §5.3, §8.5</t>
  </si>
  <si>
    <t>[API pending 2026-05-27] POST /v1/partner/commissions/:id/waiver — product-failure waiver endpoint not yet in dev build</t>
  </si>
  <si>
    <t>Validate the backend/API contract for product failure waiver so that waiver request stores evidence. Scope covers request authorization, input/fixture setup, response or job outcome, persistence side effects, emitted events/audit where applicable, and PRD coverage §4.7, §5.3, §8.5. Out of scope: visual rendering and manual browser navigation.</t>
  </si>
  <si>
    <t>1. Prepare API fixtures, auth token/role, and partner/deal/client records required for: Product failure waiver.
2. Execute POST against the relevant partner API endpoint, scheduled job, or event consumer with the payload or clock/event state for this case.
3. Assert transport result, status code, and response schema match the contract.
4. Verify that waiver request stores evidence in persistence, cache, emitted event, ledger, audit log, or downstream CRM state as applicable.
5. Confirm isolation/security expectations from §4.7, §5.3, §8.5: no cross-partner data leakage and no unintended side effects.</t>
  </si>
  <si>
    <t>PARTNER_API_COMMISSIONS_PAYOUTS_005</t>
  </si>
  <si>
    <t>POST - Waiver decision - Final outcome event is emitted</t>
  </si>
  <si>
    <t>§5.3, §8.3, §8.5</t>
  </si>
  <si>
    <t>[API pending 2026-05-27] POST waiver decision — /v1/partner/commissions/:id/waiver not yet in dev build</t>
  </si>
  <si>
    <t>Validate the backend/API contract for waiver decision so that final outcome event is emitted. Scope covers request authorization, input/fixture setup, response or job outcome, persistence side effects, emitted events/audit where applicable, and PRD coverage §5.3, §8.3, §8.5. Out of scope: visual rendering and manual browser navigation.</t>
  </si>
  <si>
    <t>1. Prepare API fixtures, auth token/role, and partner/deal/client records required for: Waiver decision.
2. Execute POST against the relevant partner API endpoint, scheduled job, or event consumer with the payload or clock/event state for this case.
3. Assert transport result, status code, and response schema match the contract.
4. Verify that final outcome event is emitted in persistence, cache, emitted event, ledger, audit log, or downstream CRM state as applicable.
5. Confirm isolation/security expectations from §5.3, §8.3, §8.5: no cross-partner data leakage and no unintended side effects.</t>
  </si>
  <si>
    <t>PARTNER_API_COMMISSIONS_PAYOUTS_006</t>
  </si>
  <si>
    <t>PUT - Commission rates - New version is created and cached</t>
  </si>
  <si>
    <t>§5.3, §8.2, §8.6</t>
  </si>
  <si>
    <t>[METHOD+PATH 2026-05-27] PUT /internal/commission/rates → POST /v1/sa/rate-table (method: PUT→POST, path renamed)</t>
  </si>
  <si>
    <t>Validate the backend/API contract for commission rates so that new version is created and cached. Scope covers request authorization, input/fixture setup, response or job outcome, persistence side effects, emitted events/audit where applicable, and PRD coverage §5.3, §8.2, §8.6. Out of scope: visual rendering and manual browser navigation.</t>
  </si>
  <si>
    <t>1. Prepare API fixtures, auth token/role, and partner/deal/client records required for: Commission rates.
2. Execute POST against the relevant partner API endpoint, scheduled job, or event consumer with the payload or clock/event state for this case.
3. Assert transport result, status code, and response schema match the contract.
4. Verify that new version is created and cached in persistence, cache, emitted event, ledger, audit log, or downstream CRM state as applicable.
5. Confirm isolation/security expectations from §5.3, §8.2, §8.6: no cross-partner data leakage and no unintended side effects.</t>
  </si>
  <si>
    <t>PARTNER_API_COMMISSIONS_PAYOUTS_007</t>
  </si>
  <si>
    <t>POST - Commission approve over threshold - Second approver is required</t>
  </si>
  <si>
    <t>[PATH 2026-05-27] SA: /internal/partners/:id/commissions/:cid/approve → /v1/sa/commissions/{id}/approve-payout</t>
  </si>
  <si>
    <t>Validate the backend/API contract for commission approve over threshold so that second approver is required. Scope covers request authorization, input/fixture setup, response or job outcome, persistence side effects, emitted events/audit where applicable, and PRD coverage §5.6, §7.5. Out of scope: visual rendering and manual browser navigation.</t>
  </si>
  <si>
    <t>1. Prepare API fixtures, auth token/role, and partner/deal/client records required for: Commission approve over threshold.
2. Execute POST against the relevant partner API endpoint, scheduled job, or event consumer with the payload or clock/event state for this case.
3. Assert transport result, status code, and response schema match the contract.
4. Verify that second approver is required in persistence, cache, emitted event, ledger, audit log, or downstream CRM state as applicable.
5. Confirm isolation/security expectations from §5.6, §7.5: no cross-partner data leakage and no unintended side effects.</t>
  </si>
  <si>
    <t>PARTNER_API_COMMISSIONS_PAYOUTS_008</t>
  </si>
  <si>
    <t>Expire - Referral attribution after 40 days - No partner attribution or commission is created</t>
  </si>
  <si>
    <t>30-day server-side TTL edge case.</t>
  </si>
  <si>
    <t>Validate the backend/API contract for referral attribution after 40 days so that no partner attribution or commission is created. Scope covers request authorization, input/fixture setup, response or job outcome, persistence side effects, emitted events/audit where applicable, and PRD coverage §3 Scenario E, §8.4, §8.6. Out of scope: visual rendering and manual browser navigation.</t>
  </si>
  <si>
    <t>1. Prepare API fixtures, auth token/role, and partner/deal/client records required for: Referral attribution after 30 days.
2. Execute Expire against the relevant partner API endpoint, scheduled job, or event consumer with the payload or clock/event state for this case.
3. Assert transport result, status code, and response schema match the contract.
4. Verify that no partner attribution or commission is created in persistence, cache, emitted event, ledger, audit log, or downstream CRM state as applicable.
5. Confirm isolation/security expectations from §3 Scenario E, §8.4, §8.6: no cross-partner data leakage and no unintended side effects.</t>
  </si>
  <si>
    <t>PARTNER_API_COMMISSIONS_PAYOUTS_009</t>
  </si>
  <si>
    <t>Notify - Referral link signup - Partner notification and commission trigger are created</t>
  </si>
  <si>
    <t>§3 Scenario E, §8.3, §8.4</t>
  </si>
  <si>
    <t>Covers no-registration referral link path.</t>
  </si>
  <si>
    <t>Validate the backend/API contract for referral link signup so that partner notification and commission trigger are created. Scope covers request authorization, input/fixture setup, response or job outcome, persistence side effects, emitted events/audit where applicable, and PRD coverage §3 Scenario E, §8.3, §8.4. Out of scope: visual rendering and manual browser navigation.</t>
  </si>
  <si>
    <t>1. Prepare API fixtures, auth token/role, and partner/deal/client records required for: Referral link signup.
2. Execute Notify against the relevant partner API endpoint, scheduled job, or event consumer with the payload or clock/event state for this case.
3. Assert transport result, status code, and response schema match the contract.
4. Verify that partner notification and commission trigger are created in persistence, cache, emitted event, ledger, audit log, or downstream CRM state as applicable.
5. Confirm isolation/security expectations from §3 Scenario E, §8.3, §8.4: no cross-partner data leakage and no unintended side effects.</t>
  </si>
  <si>
    <t>PARTNER_API_COMMISSIONS_PAYOUTS_010</t>
  </si>
  <si>
    <t>Apply - Clawback inside 12 months - 50 percent debit is created for referral and co-sell</t>
  </si>
  <si>
    <t>[PATH 2026-05-27] SA commission endpoint updated: /internal/ → /v1/sa/ | Applies to referral and co-sell only.</t>
  </si>
  <si>
    <t>Validate the backend/API contract for clawback inside 12 months so that 50 percent debit is created for referral and co-sell. Scope covers request authorization, input/fixture setup, response or job outcome, persistence side effects, emitted events/audit where applicable, and PRD coverage §5.3, §8.2. Out of scope: visual rendering and manual browser navigation.</t>
  </si>
  <si>
    <t>1. Prepare API fixtures, auth token/role, and partner/deal/client records required for: Clawback inside 12 months.
2. Execute Apply against the relevant partner API endpoint, scheduled job, or event consumer with the payload or clock/event state for this case.
3. Assert transport result, status code, and response schema match the contract.
4. Verify that 50 percent debit is created for referral and co-sell in persistence, cache, emitted event, ledger, audit log, or downstream CRM state as applicable.
5. Confirm isolation/security expectations from §5.3, §8.2: no cross-partner data leakage and no unintended side effects.</t>
  </si>
  <si>
    <t>PARTNER_API_COMMISSIONS_PAYOUTS_011</t>
  </si>
  <si>
    <t>Skip - Reseller churn clawback - No clawback is created for reseller margin deal</t>
  </si>
  <si>
    <t>§5.3, §7.2</t>
  </si>
  <si>
    <t>[PATH 2026-05-27] SA commission endpoint updated: /internal/ → /v1/sa/ | Reseller collected margin at invoice.</t>
  </si>
  <si>
    <t>Validate the backend/API contract for reseller churn clawback so that no clawback is created for reseller margin deal. Scope covers request authorization, input/fixture setup, response or job outcome, persistence side effects, emitted events/audit where applicable, and PRD coverage §5.3, §7.2. Out of scope: visual rendering and manual browser navigation.</t>
  </si>
  <si>
    <t>1. Prepare API fixtures, auth token/role, and partner/deal/client records required for: Reseller churn clawback.
2. Execute Skip against the relevant partner API endpoint, scheduled job, or event consumer with the payload or clock/event state for this case.
3. Assert transport result, status code, and response schema match the contract.
4. Verify that no clawback is created for reseller margin deal in persistence, cache, emitted event, ledger, audit log, or downstream CRM state as applicable.
5. Confirm isolation/security expectations from §5.3, §7.2: no cross-partner data leakage and no unintended side effects.</t>
  </si>
  <si>
    <t>PARTNER_API_COMMISSIONS_PAYOUTS_012</t>
  </si>
  <si>
    <t>Decide - Product-failure waiver - SLA due date and ledger credit are recorded without deleting rows</t>
  </si>
  <si>
    <t>§4.7, §5.3, §9.4</t>
  </si>
  <si>
    <t>[API pending 2026-05-27] Waiver SLA/decision — /v1/partner/commissions/:id/waiver not yet in dev build | 30-day SA review; ledger reconciles cleanly.</t>
  </si>
  <si>
    <t>Validate the backend/API contract for product-failure waiver so that sla due date and ledger credit are recorded without deleting rows. Scope covers request authorization, input/fixture setup, response or job outcome, persistence side effects, emitted events/audit where applicable, and PRD coverage §4.7, §5.3, §9.4. Out of scope: visual rendering and manual browser navigation.</t>
  </si>
  <si>
    <t>1. Prepare API fixtures, auth token/role, and partner/deal/client records required for: Product-failure waiver.
2. Execute Decide against the relevant partner API endpoint, scheduled job, or event consumer with the payload or clock/event state for this case.
3. Assert transport result, status code, and response schema match the contract.
4. Verify that sla due date and ledger credit are recorded without deleting rows in persistence, cache, emitted event, ledger, audit log, or downstream CRM state as applicable.
5. Confirm isolation/security expectations from §4.7, §5.3, §9.4: no cross-partner data leakage and no unintended side effects.</t>
  </si>
  <si>
    <t>PARTNER_API_COMMISSIONS_PAYOUTS_013</t>
  </si>
  <si>
    <t>POST - SPIFF programme - Valid date range and tiers are stored</t>
  </si>
  <si>
    <t>§5.3, §8.5</t>
  </si>
  <si>
    <t>[API pending 2026-05-27] POST /internal/commission/spiff — SPIFF programme endpoint not yet in dev build</t>
  </si>
  <si>
    <t>Validate the backend/API contract for spiff programme so that valid date range and tiers are stored. Scope covers request authorization, input/fixture setup, response or job outcome, persistence side effects, emitted events/audit where applicable, and PRD coverage §5.3, §8.5. Out of scope: visual rendering and manual browser navigation.</t>
  </si>
  <si>
    <t>1. Prepare API fixtures, auth token/role, and partner/deal/client records required for: SPIFF programme.
2. Execute POST against the relevant partner API endpoint, scheduled job, or event consumer with the payload or clock/event state for this case.
3. Assert transport result, status code, and response schema match the contract.
4. Verify that valid date range and tiers are stored in persistence, cache, emitted event, ledger, audit log, or downstream CRM state as applicable.
5. Confirm isolation/security expectations from §5.3, §8.5: no cross-partner data leakage and no unintended side effects.</t>
  </si>
  <si>
    <t>PARTNER_API_COMMISSIONS_PAYOUTS_014</t>
  </si>
  <si>
    <t>Cache - Rate table update - Redis cached rates are invalidated</t>
  </si>
  <si>
    <t>§8.6</t>
  </si>
  <si>
    <t>[PATH 2026-05-27] /internal/commission/rates → /v1/sa/rate-table</t>
  </si>
  <si>
    <t>Validate the backend/API contract for rate table update so that redis cached rates are invalidated. Scope covers request authorization, input/fixture setup, response or job outcome, persistence side effects, emitted events/audit where applicable, and PRD coverage §8.6. Out of scope: visual rendering and manual browser navigation.</t>
  </si>
  <si>
    <t>1. Prepare API fixtures, auth token/role, and partner/deal/client records required for: Rate table update.
2. Execute Cache against the relevant partner API endpoint, scheduled job, or event consumer with the payload or clock/event state for this case.
3. Assert transport result, status code, and response schema match the contract.
4. Verify that redis cached rates are invalidated in persistence, cache, emitted event, ledger, audit log, or downstream CRM state as applicable.
5. Confirm isolation/security expectations from §8.6: no cross-partner data leakage and no unintended side effects.</t>
  </si>
  <si>
    <t>8.6</t>
  </si>
  <si>
    <t>PARTNER_API_COMMISSIONS_PAYOUTS_015</t>
  </si>
  <si>
    <t>Protect - Pack partner and channel partner ledgers - Revenue streams remain separate</t>
  </si>
  <si>
    <t>§1.2, §3 Scenario H</t>
  </si>
  <si>
    <t>[PATH 2026-05-27] SA commission endpoint updated: /internal/ → /v1/sa/</t>
  </si>
  <si>
    <t>Validate the backend/API contract for pack partner and channel partner ledgers so that revenue streams remain separate. Scope covers request authorization, input/fixture setup, response or job outcome, persistence side effects, emitted events/audit where applicable, and PRD coverage §1.2, §3 Scenario H. Out of scope: visual rendering and manual browser navigation.</t>
  </si>
  <si>
    <t>1. Prepare API fixtures, auth token/role, and partner/deal/client records required for: Pack partner and channel partner ledgers.
2. Execute Protect against the relevant partner API endpoint, scheduled job, or event consumer with the payload or clock/event state for this case.
3. Assert transport result, status code, and response schema match the contract.
4. Verify that revenue streams remain separate in persistence, cache, emitted event, ledger, audit log, or downstream CRM state as applicable.
5. Confirm isolation/security expectations from §1.2, §3 Scenario H: no cross-partner data leakage and no unintended side effects.</t>
  </si>
  <si>
    <t>PARTNER_API_COMMISSIONS_PAYOUTS_016</t>
  </si>
  <si>
    <t>Protect - Payout banking details - Sensitive payment fields are stored encrypted at rest</t>
  </si>
  <si>
    <t>§4.7, §9.3</t>
  </si>
  <si>
    <t>[PATH 2026-05-27] SA commission endpoint updated: /internal/ → /v1/sa/ | CSFLE/encryption verification placeholder.</t>
  </si>
  <si>
    <t>Validate the backend/API contract for payout banking details so that sensitive payment fields are stored encrypted at rest. Scope covers request authorization, input/fixture setup, response or job outcome, persistence side effects, emitted events/audit where applicable, and PRD coverage §4.7, §9.3. Out of scope: visual rendering and manual browser navigation.</t>
  </si>
  <si>
    <t>1. Prepare API fixtures, auth token/role, and partner/deal/client records required for: Payout banking details.
2. Execute Protect against the relevant partner API endpoint, scheduled job, or event consumer with the payload or clock/event state for this case.
3. Assert transport result, status code, and response schema match the contract.
4. Verify that sensitive payment fields are stored encrypted at rest in persistence, cache, emitted event, ledger, audit log, or downstream CRM state as applicable.
5. Confirm isolation/security expectations from §4.7, §9.3: no cross-partner data leakage and no unintended side effects.</t>
  </si>
  <si>
    <t>Partner Lifecycle</t>
  </si>
  <si>
    <t>Partner Account Management</t>
  </si>
  <si>
    <t>PARTNER_API_PARTNER_ACCOUNT_MANAGEMENT_001</t>
  </si>
  <si>
    <t>GET - Internal partners list - SA filters are applied</t>
  </si>
  <si>
    <t>§5.1, §8.5</t>
  </si>
  <si>
    <t>[PATH 2026-05-27] /internal/partners → /v1/sa/partners</t>
  </si>
  <si>
    <t>Validate the SA partner-list API contract: GET /sa-partners-api/v1/sa/partners (JWT, SA role) returns HTTP 200 with the envelope {statusCode, data[], total, message} and honours pagination (page/limit). Filter params (e.g. status, tier, search) must restrict results when partner data exists. Scope: HTTP status, response schema, pagination bounds, SA-only access (no cross-partner leakage). Out of scope: UI rendering; filter assertions require seeded partners (data-dependent — empty directory returns data:[] / total:0). PRD §5.1, §8.5.</t>
  </si>
  <si>
    <t>1. Prepare API fixtures, auth token/role, and partner/deal/client records required for: Internal partners list.
2. Execute GET against the relevant partner API endpoint, scheduled job, or event consumer with the payload or clock/event state for this case.
3. Assert transport result, status code, and response schema match the contract.
4. Verify that sa filters are applied in persistence, cache, emitted event, ledger, audit log, or downstream CRM state as applicable.
5. Confirm isolation/security expectations from §5.1, §8.5: no cross-partner data leakage and no unintended side effects.</t>
  </si>
  <si>
    <t>PARTNER_API_PARTNER_ACCOUNT_MANAGEMENT_002</t>
  </si>
  <si>
    <t>POST - Internal partner create - Pending partner account is created</t>
  </si>
  <si>
    <t>[PATH 2026-05-27] Endpoint changed /internal/partners → /v1/sa/partners. Required body: name, email, type (channel|referral|msp|system_integrator). On success HTTP=201 while body statusCode=200; server assigns _id + code (PAR-xxxxxx) and the new account starts in status="pending". Automation cleans up via DELETE /v1/sa/partners/{id} (pass OR fail) so the test is repeatable. Auth = SA bearer token.</t>
  </si>
  <si>
    <t>Verify that an SA user can create an internal partner via POST /v1/sa/partners. With the required fields (name, email, type) the API returns HTTP 201, persists the record with a server-assigned id and code, echoes back the submitted fields unchanged, and creates the account in "pending" status (awaiting SA activation). The created partner must be retrievable by id immediately after creation.</t>
  </si>
  <si>
    <t>1. Authenticate as an SA user (bearer token).
2. POST /v1/sa/partners with body { name, email, type: "channel" }.
3. Assert HTTP 201 and a success message; assert the response carries a server-assigned _id and a generated code (PAR-xxxxxx).
4. Assert the stored name / email / type match exactly what was sent (no silent mutation).
5. Assert the new partner's status = "pending".
6. GET /v1/sa/partners/{id} and assert the same partner is returned with status "pending".
7. (Teardown) DELETE /v1/sa/partners/{id} to remove the test partner.
Expected: Partner is created in pending state, fully persisted and retrievable, with no residual data left on the environment.</t>
  </si>
  <si>
    <t>PARTNER_API_PARTNER_ACCOUNT_MANAGEMENT_003</t>
  </si>
  <si>
    <t>POST - Partner approve - Activation user and approval event are created</t>
  </si>
  <si>
    <t>§5.1, §8.3, §12.1 B2</t>
  </si>
  <si>
    <t>[PATH 2026-05-27] /internal/partners/:id/approve → /v1/sa/partners/{id}/approve. POST, no request body. On success HTTP=201 while body statusCode=200; partner status flips pending → active and the record gains approvedAt + approvedBy. Precondition: a pending partner (test creates one, then DELETEs it on teardown). Scope = approval contract on sa-partners-api; downstream activation-USER provisioning is emitted as an event to another service and is NOT returned by this endpoint (out of scope here).</t>
  </si>
  <si>
    <t>Validate the partner-approval state transition on POST /v1/sa/partners/{id}/approve. Approving a pending partner must return HTTP 201, transition status from "pending" to "active", and record the approval event metadata (approvedAt + approvedBy). The transition must persist (confirmed by a follow-up GET). A pending partner is created as the precondition and removed on teardown so the test is self-contained and repeatable.</t>
  </si>
  <si>
    <t>1. Authenticate as an SA user (bearer token).
2. (Precondition) POST /v1/sa/partners to create a partner; assert it starts in status "pending".
3. POST /v1/sa/partners/{id}/approve (no body).
4. Assert HTTP 201 and a success message; assert the response targets the same partner id.
5. Assert status changed from "pending" to "active".
6. Assert the approval event is recorded: approvedAt is set and approvedBy is present.
7. GET /v1/sa/partners/{id} and assert status is "active" (transition persisted).
8. (Teardown) DELETE /v1/sa/partners/{id} to remove the test partner.
Expected: pending partner is approved to active with approval metadata recorded and persisted; no residual data left.
Note: creation of the downstream activation USER account is event-driven on another service and is not asserted by this TC.</t>
  </si>
  <si>
    <t>PARTNER_API_PARTNER_ACCOUNT_MANAGEMENT_004</t>
  </si>
  <si>
    <t>POST - Partner deactivate/suspend - Mandatory reason is audit logged</t>
  </si>
  <si>
    <t>[DECLINE via DEACTIVATE] BE chưa có endpoint decline riêng. Decline đơn partner được thực hiện qua POST /v1/sa/partners/{id}/deactivate (action partner duy nhất mang 'reason'). Kết quả: status pending → suspended; reason lưu vào internalNotes VÀ audit log (action=partner.account.deactivated, có before/after + hash-chain). 
[GAP cần confirm BE] reason KHÔNG bắt buộc — gọi deactivate body rỗng vẫn trả 201. Với TC Security P1 này, reason nên là mandatory → bước [3/3] của automation cố tình FAIL để phơi bày gap; sẽ tự xanh khi BE enforce reason. (TC plan ghi 'PATCH' nhưng thực tế là POST /deactivate.)</t>
  </si>
  <si>
    <t>Security check on declining a partner application. Verifies the decline intent on POST /v1/sa/partners/{id}/deactivate (BE has no dedicated decline endpoint): the decline succeeds and transitions the partner out of pending, the decline reason is recorded in the SA audit log, and the reason is MANDATORY. The mandatory-reason rule is currently not enforced by the backend (decline with no reason returns 201), so that assertion is expected to fail until the BE adds the rule — a deliberate signal, not a flaky test. A pending partner is created as the precondition and removed on teardown.</t>
  </si>
  <si>
    <t>1. Authenticate as an SA user (bearer token).
2. (Precondition) POST /v1/sa/partners to create a partner in status "pending".
3. POST /v1/sa/partners/{id}/deactivate with a reason; assert HTTP 201 and status is no longer pending/active (becomes "suspended").
4. GET /v1/sa/audit-logs and assert an entry records the decline action with the reason captured (after.reason).
5. Create a second pending partner; POST /v1/sa/partners/{id}/deactivate WITHOUT a reason; assert it is rejected (HTTP 400/422) because reason is mandatory.
   → Current BE returns 201 here (reason not enforced) → step fails → confirm with BE.
6. (Teardown) DELETE both test partners.
Expected: decline succeeds + reason is audit-logged; declining without a reason is rejected once the backend enforces mandatory reason.</t>
  </si>
  <si>
    <t>PARTNER_API_PARTNER_ACCOUNT_MANAGEMENT_005</t>
  </si>
  <si>
    <t>Publish - Tier changed event - Portal and SA analytics can refresh</t>
  </si>
  <si>
    <t>§2.1, §8.3</t>
  </si>
  <si>
    <t>Tier change qua POST /v1/sa/partners/{id}/upgrade-tier. Body { tier (enum: registered|select|advanced|premier), reason (optional) }. HTTP 201/body 200. Mỗi lần đổi tier ghi event 'partner.tier.changed' (before/after + reason) vào audit log — tín hiệu để portal+SA analytics refresh (consumer Kafka downstream = ngoài scope). Test phủ: upgrade qua đủ tier (select/advanced/premier) + downgrade (premier→select), assert reason vào event, và persist.</t>
  </si>
  <si>
    <t>Verify POST /v1/sa/partners/{id}/upgrade-tier updates the stored tier AND emits a "partner.tier.changed" event (before/after tiers + reason) for both upgrade and downgrade. Coverage walks all valid tiers (registered→select→advanced→premier), asserts the upgrade event records before/after + reason, performs a downgrade (premier→select) and asserts it also emits an event, and confirms the final tier persists. Portal/analytics refresh = downstream consumer, out of scope.</t>
  </si>
  <si>
    <t>1. Auth as SA; create a partner (tier defaults to "registered").
2. Upgrade through all tiers: registered→select→advanced→premier; assert each returns 201 with the new tier.
3. GET /v1/sa/audit-logs: assert the advanced→premier event records before="advanced", after="premier", and a non-empty reason.
4. Downgrade premier→select; assert 201 + tier "select", and assert a tier-changed event records premier→select.
5. GET /v1/sa/partners/{id}: assert tier "select" persisted.
6. Teardown: delete the test partner.
Expected: every upgrade and the downgrade change the tier and emit an audit-logged event with before/after + reason.</t>
  </si>
  <si>
    <t>2.1</t>
  </si>
  <si>
    <t>PARTNER_API_PARTNER_ACCOUNT_MANAGEMENT_006</t>
  </si>
  <si>
    <t>Enforce - Reseller sell price - End-client price is not stored</t>
  </si>
  <si>
    <t>§2.2, §7.2, §11</t>
  </si>
  <si>
    <t>[BLOCKED — NO API 2026-06-17] Searched OpenAPI specs of all 11 platform services (admin-api, compliance-api, connectors, helpplatform-api, sa-auth-api, sa-governance-api, sa-partners-api, sa-plans-api, sa-tenants-api, setting-api, workflow-api): 0 fields for reseller/end-client price (only basePrice/totalPrice in plan/billing, unrelated). No endpoint or field to send/store an end-client price → the data-model this TC describes is not implemented in any current API. Confirm with product/BE: which service owns this, or is it a future PRD feature (§2.2/§7.2/§11)? Not automatable until the model exists.</t>
  </si>
  <si>
    <t>Validate the backend/API contract for reseller sell price so that end-client price is not stored. Scope covers request authorization, input/fixture setup, response or job outcome, persistence side effects, emitted events/audit where applicable, and PRD coverage §2.2, §7.2, §11. Out of scope: visual rendering and manual browser navigation.</t>
  </si>
  <si>
    <t>1. Prepare API fixtures, auth token/role, and partner/deal/client records required for: Reseller sell price.
2. Execute Enforce against the relevant partner API endpoint, scheduled job, or event consumer with the payload or clock/event state for this case.
3. Assert transport result, status code, and response schema match the contract.
4. Verify that end-client price is not stored in persistence, cache, emitted event, ledger, audit log, or downstream CRM state as applicable.
5. Confirm isolation/security expectations from §2.2, §7.2, §11: no cross-partner data leakage and no unintended side effects.</t>
  </si>
  <si>
    <t>PARTNER_API_PARTNER_ACCOUNT_MANAGEMENT_007</t>
  </si>
  <si>
    <t>JOB - Quarterly tier calculation - Upgrade immediate and downgrade grace are applied</t>
  </si>
  <si>
    <t>[BLOCKED — NO API TRIGGER 2026-06-17] This is a scheduled background JOB (quarterly tier recalculation), not an API endpoint. No manual-trigger endpoint exists in any service to invoke it on demand, so it cannot be exercised via API automation. Belongs to BE unit/integration tests (or needs a QA-only trigger endpoint). Note: manual tier change IS covered by _005 (POST /upgrade-tier); this TC is specifically the automated quarterly job. Confirm with BE whether a trigger endpoint can be exposed.</t>
  </si>
  <si>
    <t>Validate the backend/API contract for quarterly tier calculation so that upgrade immediate and downgrade grace are applied. Scope covers request authorization, input/fixture setup, response or job outcome, persistence side effects, emitted events/audit where applicable, and PRD coverage §2.1, §8.3. Out of scope: visual rendering and manual browser navigation.</t>
  </si>
  <si>
    <t>1. Prepare API fixtures, auth token/role, and partner/deal/client records required for: Quarterly tier calculation.
2. Execute scheduled job against the relevant partner API endpoint, scheduled job, or event consumer with the payload or clock/event state for this case.
3. Assert transport result, status code, and response schema match the contract.
4. Verify that upgrade immediate and downgrade grace are applied in persistence, cache, emitted event, ledger, audit log, or downstream CRM state as applicable.
5. Confirm isolation/security expectations from §2.1, §8.3: no cross-partner data leakage and no unintended side effects.</t>
  </si>
  <si>
    <t>PARTNER_API_PARTNER_ACCOUNT_MANAGEMENT_008</t>
  </si>
  <si>
    <t>Enforce - Downgrade grace quarter - Partner retains current-tier benefits during grace</t>
  </si>
  <si>
    <t>§2.1</t>
  </si>
  <si>
    <t>[BLOCKED — NO API TRIGGER 2026-06-17] Depends on the quarterly tier-calculation job (_007): the "downgrade grace quarter" rule (partner keeps current-tier benefits during the grace period) is applied by that scheduled job, not a callable endpoint. No API to set the clock/quarter or trigger the grace evaluation → not API-automatable. BE unit/integration test territory. Confirm with BE.</t>
  </si>
  <si>
    <t>Validate the backend/API contract for downgrade grace quarter so that partner retains current-tier benefits during grace. Scope covers request authorization, input/fixture setup, response or job outcome, persistence side effects, emitted events/audit where applicable, and PRD coverage §2.1. Out of scope: visual rendering and manual browser navigation.</t>
  </si>
  <si>
    <t>1. Prepare API fixtures, auth token/role, and partner/deal/client records required for: Downgrade grace quarter.
2. Execute Enforce against the relevant partner API endpoint, scheduled job, or event consumer with the payload or clock/event state for this case.
3. Assert transport result, status code, and response schema match the contract.
4. Verify that partner retains current-tier benefits during grace in persistence, cache, emitted event, ledger, audit log, or downstream CRM state as applicable.
5. Confirm isolation/security expectations from §2.1: no cross-partner data leakage and no unintended side effects.</t>
  </si>
  <si>
    <t>PARTNER_API_PARTNER_ACCOUNT_MANAGEMENT_009</t>
  </si>
  <si>
    <t>Calculate - Premier PSM allocation - Dedicated PSM starts at $1.5M ARR</t>
  </si>
  <si>
    <t>§2.1, §11</t>
  </si>
  <si>
    <t>[BLOCKED — NO API 2026-06-17] No endpoint or field for PSM (Partner Success Manager) allocation or ARR thresholds in any of the 11 service specs (only unrelated carryForwardPolicy in setting-api). The "$1.5M ARR → dedicated PSM" rule is a calculation not exposed via API → not automatable now. Confirm with product/BE where this logic lives (likely a job/internal calc).</t>
  </si>
  <si>
    <t>Validate the backend/API contract for premier psm allocation so that dedicated psm starts at $1.5m arr. Scope covers request authorization, input/fixture setup, response or job outcome, persistence side effects, emitted events/audit where applicable, and PRD coverage §2.1, §11. Out of scope: visual rendering and manual browser navigation.</t>
  </si>
  <si>
    <t>1. Prepare API fixtures, auth token/role, and partner/deal/client records required for: Premier PSM allocation.
2. Execute Calculate against the relevant partner API endpoint, scheduled job, or event consumer with the payload or clock/event state for this case.
3. Assert transport result, status code, and response schema match the contract.
4. Verify that dedicated psm starts at $1.5m arr in persistence, cache, emitted event, ledger, audit log, or downstream CRM state as applicable.
5. Confirm isolation/security expectations from §2.1, §11: no cross-partner data leakage and no unintended side effects.</t>
  </si>
  <si>
    <t>PARTNER_API_PARTNER_ACCOUNT_MANAGEMENT_010</t>
  </si>
  <si>
    <t>Publish - Certification earned - Tier qualification re-evaluation is triggered</t>
  </si>
  <si>
    <t>"Certification earned" = POST /v1/sa/partner-users/{userId}/certifications. Body { certificationType (enum: sales_certified|hr_specialist|crm_specialist|implementation_certified), score?, externalCertId? }. Cần partner + invite partner-user (POST /v1/sa/partner-users) để có userId. Grant → cert status 'active' + earnedAt/expiresAt + ghi event 'partner.certification.granted'. "Tier qualification re-evaluation" là consumer/job downstream = ngoài scope (chỉ verify event được publish).</t>
  </si>
  <si>
    <t>Verify granting a certification to a partner user creates an active certification (earnedAt/expiresAt), surfaces it in the partner's certification list, and emits a "partner.certification.granted" event — the "certification earned" signal that triggers downstream tier-qualification re-evaluation. The re-evaluation itself is a downstream consumer/job and is out of scope.</t>
  </si>
  <si>
    <t>1. Auth as SA; create a partner; invite a partner-portal user (POST /v1/sa/partner-users) → capture userId.
2. POST /v1/sa/partner-users/{userId}/certifications { certificationType:"sales_certified", score:95 } → assert 201, status "active", earnedAt + expiresAt set, type echoed.
3. GET /v1/sa/partners/{partnerId}/certifications → assert the granted cert appears and belongs to the user.
4. GET /v1/sa/audit-logs → assert a "partner.certification.granted" event records the cert type.
5. Teardown: delete the test partner.
Expected: cert is earned (active), listed, and the event is published. (Tier re-eval = downstream, not asserted.)</t>
  </si>
  <si>
    <t>2.4</t>
  </si>
  <si>
    <t>PARTNER_API_PARTNER_ACCOUNT_MANAGEMENT_011</t>
  </si>
  <si>
    <t>GET - Internal partners list with invalid pagination - Graceful 4xx, never 5xx</t>
  </si>
  <si>
    <t>[APP BUG tìm thấy] page=0 và page=-1 trả HTTP 500 (server crash) — phải là 4xx. limit âm/quá lớn/non-numeric bị bỏ qua âm thầm (default), không validate. Cần BE: validate pagination + không 5xx trên input xấu.</t>
  </si>
  <si>
    <t>Verify GET /v1/sa/partners handles invalid pagination gracefully: the server must never return 5xx on bad input (page=0, page=-1), and ideally rejects with 400. Negative-counterpart of _001.</t>
  </si>
  <si>
    <t>1. Auth as SA.
2. GET /v1/sa/partners with page=0 then page=-1 → assert status &lt; 500 (no server crash). [Currently 500 → BE bug]
3. GET with limit=-5, limit=999999, page=abc → observe handling (currently 200 + defaulted; no 400).
Expected: invalid pagination never 5xx; ideally 400.</t>
  </si>
  <si>
    <t>PARTNER_API_PARTNER_ACCOUNT_MANAGEMENT_012</t>
  </si>
  <si>
    <t>Validate - Create partner with invalid/missing fields - 400 response includes field errors</t>
  </si>
  <si>
    <t>`[VALIDATION] POST /v1/sa/partners requires name, email, type (enum: channel</t>
  </si>
  <si>
    <t>Validate the input-validation contract for internal partner create (POST /v1/sa/partners). For each invalid or incomplete payload — missing name, missing email, missing type, malformed email, empty name, and an out-of-enum type — the API must reject the request with HTTP 400, return field-level error messages identifying the offending field, and must NOT persist any partner record. Confirms the backend enforces the CreatePartnerDto contract before writing to the database.</t>
  </si>
  <si>
    <t>1. Authenticate as an SA user (bearer token).
2. For each invalid case, POST /v1/sa/partners with the corresponding payload:
   a. missing "name" (only email + type)
   b. missing "email"
   c. missing "type"
   d. malformed email (e.g. "not-an-email")
   e. empty "name" (name = "")
   f. invalid "type" enum (e.g. "foobar")
3. Assert each request returns HTTP 400 (Bad Request).
4. Assert the 400 body contains a field-level error message naming the invalid field (e.g. "email must be an email", "name should not be empty", "type must be one of...").
5. Assert no partner is created (response carries no persisted _id / code).
Expected: every invalid payload is rejected with 400 + descriptive field errors; no record is left on the environment.</t>
  </si>
  <si>
    <t>PARTNER_API_PARTNER_ACCOUNT_MANAGEMENT_013</t>
  </si>
  <si>
    <t>POST - Partner approve illegal target - Rejected with a clear error</t>
  </si>
  <si>
    <t>Approve trên target không hợp lệ phải bị từ chối 4xx + message rõ. BE hiện xử lý tốt (400): id không tồn tại→'not found', id sai định dạng→'Invalid id', partner đã active→'cannot be approved from status active'.</t>
  </si>
  <si>
    <t>Verify POST /v1/sa/partners/{id}/approve rejects illegal targets: a non-existent id, a malformed id, and a partner not in 'pending' state (already active). Each must return 4xx with a descriptive message — never silently succeed. Negative-counterpart of _003.</t>
  </si>
  <si>
    <t>1. Auth as SA; create+approve a partner so it is 'active'.
2. approve non-existent id → 4xx, msg 'not found'.
3. approve malformed id → 4xx, msg 'Invalid id'.
4. approve the already-active partner → 4xx, msg 'cannot be approved from status active'.
5. Teardown: delete test partner.</t>
  </si>
  <si>
    <t>PARTNER_API_PARTNER_ACCOUNT_MANAGEMENT_014</t>
  </si>
  <si>
    <t>POST - Partner deactivate invalid id - Rejected; repeat is idempotent</t>
  </si>
  <si>
    <t xml:space="preserve">	Deactivate id không tồn tại/sai định dạng → 400 + message rõ (BE tốt). Deactivate partner đã suspended → 201 no-op (idempotent), không crash — ghi nhận, không fail.</t>
  </si>
  <si>
    <t>Verify POST /v1/sa/partners/{id}/deactivate rejects a non-existent or malformed id (4xx + clear message), and that deactivating an already-suspended partner is handled safely (idempotent no-op, no 5xx). Negative-counterpart of _004.</t>
  </si>
  <si>
    <t>1. Auth as SA.
2. deactivate non-existent id → 4xx, msg 'not found'.
3. deactivate malformed id → 4xx, msg 'Invalid id'.
4. create partner, deactivate (suspended), deactivate again → no 5xx, status stays 'suspended' (idempotent).
5. Teardown: delete test partners.</t>
  </si>
  <si>
    <t>PARTNER_API_PARTNER_ACCOUNT_MANAGEMENT_015</t>
  </si>
  <si>
    <t>POST - Partner change-tier invalid input - Rejected with a clear error</t>
  </si>
  <si>
    <t>Negative của _005. upgrade-tier (POST /v1/sa/partners/{id}/upgrade-tier) phải từ chối input sai bằng 4xx + message rõ, không phát event. BE validate tốt (tất cả 400): tier ngoài enum → 'tier must be one of...'; thiếu tier → cũng 'tier must be one of...' (tier là required); id không tồn tại → 'not found'; id sai định dạng → 'Invalid id'. Phủ: enum sai, rỗng, thiếu, same-tier (already at), id không tồn tại, id sai định dạng — tất cả 400</t>
  </si>
  <si>
    <t>Verify POST /v1/sa/partners/{id}/upgrade-tier rejects invalid input with 4xx and a descriptive message (and emits no tier-changed event): an out-of-enum tier, a missing tier (required field), a non-existent id, and a malformed id. Negative-counterpart of _005.</t>
  </si>
  <si>
    <t>1. Auth as SA; create a partner (valid id, tier "registered").
2. upgrade-tier tier="silver" (out of enum) → 4xx, "tier must be one of...".
3. upgrade-tier tier="" (empty) → 4xx, "tier must be one of...".
4. upgrade-tier with no tier field → 4xx, "tier must be one of..." (required).
5. upgrade-tier tier="registered" (same as current) → 4xx, "already at tier".
6. upgrade-tier on non-existent id → 4xx, "not found".
7. upgrade-tier on malformed id → 4xx, "Invalid id".
8. Teardown: delete test partner.
Expected: every invalid tier-change is rejected with 4xx + a clear message; no tier change or event occurs.</t>
  </si>
  <si>
    <t>PARTNER_API_PARTNER_ACCOUNT_MANAGEMENT_016</t>
  </si>
  <si>
    <t>PARTNER_API_PARTNER_ACCOUNT_MANAGEMENT_017</t>
  </si>
  <si>
    <t>PARTNER_API_PARTNER_ACCOUNT_MANAGEMENT_018</t>
  </si>
  <si>
    <t>PARTNER_API_PARTNER_ACCOUNT_MANAGEMENT_019</t>
  </si>
  <si>
    <t>PARTNER_API_PARTNER_ACCOUNT_MANAGEMENT_020</t>
  </si>
  <si>
    <t>Negative của _010. Grant cert phải từ chối input sai 4xx + message rõ (BE tốt, tất cả 400): certificationType ngoài enum → 'certificationType must be one of...'; thiếu certificationType → tương tự (required); userId không tồn tại → 'User ... not found'; userId sai định dạng → 'Invalid id'.</t>
  </si>
  <si>
    <t>Verify POST /v1/sa/partner-users/{userId}/certifications rejects invalid input with 4xx + a descriptive message: an out-of-enum certificationType, a missing certificationType, a non-existent userId, and a malformed userId. Negative-counterpart of _010.</t>
  </si>
  <si>
    <t>1. Auth as SA; create a partner; invite a partner-portal user → valid userId.
2. grant-cert certificationType="ninja" (out of enum) → 4xx, "certificationType must be one of...".
3. grant-cert with no certificationType → 4xx, "certificationType must be one of..." (required).
4. grant-cert on a non-existent userId → 4xx, "User ... not found".
5. grant-cert on a malformed userId → 4xx, "Invalid id".
6. Teardown: delete the test partner.
Expected: every invalid grant is rejected with 4xx + a clear message; no certification is created.</t>
  </si>
  <si>
    <t>Partner Users</t>
  </si>
  <si>
    <t>PARTNER_API_PARTNER_USERS_001</t>
  </si>
  <si>
    <t>List - SA lists portal users for a partner - User list with roles is returned</t>
  </si>
  <si>
    <t>[NEW 2026-05-27] GET /v1/sa/partner-users — list portal users not previously covered</t>
  </si>
  <si>
    <t>Validate the backend/API contract for listing partner portal users so that all users for a given partner are returned with their roles and certification status.</t>
  </si>
  <si>
    <t>1. Prepare a partner account with at least two portal users (Admin and Member roles).
2. Execute GET /v1/sa/partner-users?partnerId={id} with valid SA-JWT.
3. Assert HTTP 200 and response contains list of users with userId, email, role, certifications.
4. Execute GET /v1/sa/partner-users without partnerId filter — assert results are scoped or 400 required param.
5. Execute with Partner-JWT — assert HTTP 403 Forbidden.</t>
  </si>
  <si>
    <t>PARTNER_API_PARTNER_USERS_002</t>
  </si>
  <si>
    <t>Invite - SA invites a partner portal user - Invitation email sent and pending user created</t>
  </si>
  <si>
    <t>[NEW 2026-05-27] POST /v1/sa/partner-users — invite portal user not previously covered</t>
  </si>
  <si>
    <t>Validate the backend/API contract for inviting a partner portal user so that a pending activation user record is created and an invitation email is dispatched.</t>
  </si>
  <si>
    <t>1. Prepare a partner account and a valid invite payload (email, role: Admin/Member).
2. Execute POST /v1/sa/partner-users with valid SA-JWT.
3. Assert HTTP 201 and response contains userId with status PENDING_ACTIVATION.
4. Attempt to invite the same email again — assert HTTP 409 Conflict.
5. Attempt to invite with an invalid email format — assert HTTP 400 with field error.</t>
  </si>
  <si>
    <t>PARTNER_API_PARTNER_USERS_003</t>
  </si>
  <si>
    <t>Reset password - SA resets partner portal user password - Reset link is sent to user</t>
  </si>
  <si>
    <t>[NEW 2026-05-27] POST /v1/sa/partner-users/{userId}/reset-password — password reset by SA not previously covered</t>
  </si>
  <si>
    <t>Validate the backend/API contract for SA resetting a partner portal user password so that a secure reset link is sent and the existing password is invalidated.</t>
  </si>
  <si>
    <t>1. Prepare an active partner portal user.
2. Execute POST /v1/sa/partner-users/{userId}/reset-password with valid SA-JWT.
3. Assert HTTP 200 and confirmation that reset link is dispatched.
4. Confirm the existing user session is invalidated after reset is triggered.
5. Execute with a non-existent userId — assert HTTP 404 Not Found.</t>
  </si>
  <si>
    <t>Territories</t>
  </si>
  <si>
    <t>PARTNER_API_TERRITORIES_001</t>
  </si>
  <si>
    <t>Assign - SA assigns territory to partner - Assignment saved with effective dates</t>
  </si>
  <si>
    <t>[NEW 2026-05-27] POST /v1/sa/territories — territory assignment not previously covered</t>
  </si>
  <si>
    <t>Validate the backend/API contract for territory assignment so that a partner is correctly assigned to a region and vertical with the configured exclusivity type.</t>
  </si>
  <si>
    <t>1. Prepare an active partner account and a valid territory payload (region, vertical, exclusivity: Exclusive/Preferred/None).
2. Execute POST /v1/sa/territories with valid SA-JWT.
3. Assert HTTP 201 and response contains territoryId, partnerId, region, exclusivity, effectiveFrom.
4. Attempt to assign the same Exclusive territory to a second partner — assert HTTP 409 Conflict.
5. Confirm assignment is persisted and visible via GET /v1/sa/territories.</t>
  </si>
  <si>
    <t>PARTNER_API_TERRITORIES_002</t>
  </si>
  <si>
    <t>List - SA lists territories with filters - Paginated territory list is returned</t>
  </si>
  <si>
    <t>[NEW 2026-05-27] GET /v1/sa/territories — territory list not previously covered</t>
  </si>
  <si>
    <t>Validate the backend/API contract for listing territories so that paginated and filterable territory assignments are returned correctly.</t>
  </si>
  <si>
    <t>1. Prepare multiple territory assignments across different regions and partners.
2. Execute GET /v1/sa/territories with valid SA-JWT and no filters.
3. Assert HTTP 200 and response contains paginated list with total count.
4. Execute GET /v1/sa/territories?region=APAC — assert only APAC territories returned.
5. Execute GET /v1/sa/territories?partnerId={id} — assert only that partner territories returned.</t>
  </si>
  <si>
    <t>PARTNER_API_TERRITORIES_003</t>
  </si>
  <si>
    <t>Get - SA retrieves single territory by ID - Territory detail is returned</t>
  </si>
  <si>
    <t>[NEW 2026-05-27] GET /v1/sa/territories/{id} — get single territory not previously covered</t>
  </si>
  <si>
    <t>Validate the backend/API contract for retrieving a single territory by ID so that full territory detail including partner, region, vertical and exclusivity is returned.</t>
  </si>
  <si>
    <t>1. Prepare an existing territory assignment.
2. Execute GET /v1/sa/territories/{id} with valid SA-JWT.
3. Assert HTTP 200 and response includes all territory fields.
4. Execute GET /v1/sa/territories/{nonExistentId} — assert HTTP 404.
5. Execute with Partner-JWT — assert HTTP 403 Forbidden.</t>
  </si>
  <si>
    <t>PARTNER_API_TERRITORIES_004</t>
  </si>
  <si>
    <t>Delete - SA removes territory assignment - Assignment is removed and audit logged</t>
  </si>
  <si>
    <t>§5.4, §9.4</t>
  </si>
  <si>
    <t>[NEW 2026-05-27] DELETE /v1/sa/territories/{id} — territory removal not previously covered</t>
  </si>
  <si>
    <t>Validate the backend/API contract for removing a territory assignment so that the assignment is soft-deleted, audit logged, and no longer appears in active territory list.</t>
  </si>
  <si>
    <t>1. Prepare an existing territory assignment to delete.
2. Execute DELETE /v1/sa/territories/{id} with valid SA-JWT.
3. Assert HTTP 200 and deletion confirmation.
4. Execute GET /v1/sa/territories/{id} — assert HTTP 404 (removed from active list).
5. Confirm SA audit log contains the deletion action with actor and timestamp.</t>
  </si>
  <si>
    <t>Certifications (SA)</t>
  </si>
  <si>
    <t>PARTNER_API_CERTIFICATIONS_SA_001</t>
  </si>
  <si>
    <t>Grant - SA grants certification to partner user - Certification stored and tier re-evaluation triggered</t>
  </si>
  <si>
    <t>§2.4</t>
  </si>
  <si>
    <t>[NEW 2026-05-27] POST /v1/sa/partner-users/{userId}/certifications — grant cert not previously covered</t>
  </si>
  <si>
    <t>Validate the backend/API contract for granting a certification so that the certification is stored with expiry date and a tier re-evaluation event is triggered.</t>
  </si>
  <si>
    <t>1. Prepare an active partner portal user and a valid certification payload (certificationType, earnedAt, expiresAt).
2. Execute POST /v1/sa/partner-users/{userId}/certifications with valid SA-JWT.
3. Assert HTTP 201 and response contains certificationId, type, earnedAt, expiresAt.
4. Assert blazeup.partner.certification.earned Kafka event is emitted.
5. Confirm tier re-evaluation is triggered for the partner account.</t>
  </si>
  <si>
    <t>PARTNER_API_CERTIFICATIONS_SA_002</t>
  </si>
  <si>
    <t>Revoke - SA revokes partner certification - Certification removed and partner notified</t>
  </si>
  <si>
    <t>[NEW 2026-05-27] DELETE /v1/sa/partner-users/{userId}/certifications/{certificationType} — revoke cert not previously covered</t>
  </si>
  <si>
    <t>Validate the backend/API contract for revoking a certification so that the certification is removed from the partner user record and the partner is notified.</t>
  </si>
  <si>
    <t>1. Prepare a partner user with an active certification.
2. Execute DELETE /v1/sa/partner-users/{userId}/certifications/{certificationType} with SA-JWT.
3. Assert HTTP 200 and revocation confirmation.
4. Execute GET /v1/sa/partners/{partnerId}/certifications — assert the revoked certification no longer appears.
5. Execute DELETE on a non-existent certification — assert HTTP 404 Not Found.</t>
  </si>
  <si>
    <t>PARTNER_API_CERTIFICATIONS_SA_003</t>
  </si>
  <si>
    <t>List by partner - SA lists certifications for partner team - All team certifications returned</t>
  </si>
  <si>
    <t>[NEW 2026-05-27] GET /v1/sa/partners/{partnerId}/certifications — list partner certifications not previously covered</t>
  </si>
  <si>
    <t>Validate the backend/API contract for listing all certifications across a partner team so that SA can review certification status for tier qualification purposes.</t>
  </si>
  <si>
    <t>1. Prepare a partner with multiple team members each holding different certifications.
2. Execute GET /v1/sa/partners/{partnerId}/certifications with valid SA-JWT.
3. Assert HTTP 200 and response contains list per user: certificationTypes, earnedAt, expiresAt.
4. Execute GET for a partner with no certifications — assert HTTP 200 with empty list.
5. Execute with Partner-JWT — assert HTTP 403 Forbidden.</t>
  </si>
  <si>
    <t>PARTNER_API_CERTIFICATIONS_SA_004</t>
  </si>
  <si>
    <t>List expiring - SA lists certifications expiring soon - Expiring certifications returned</t>
  </si>
  <si>
    <t>[NEW 2026-05-27] GET /v1/sa/certifications — expiring certifications list not previously covered</t>
  </si>
  <si>
    <t>Validate the backend/API contract for listing certifications expiring soon so that SA can proactively notify partners before certification lapses affect tier qualification.</t>
  </si>
  <si>
    <t>1. Prepare certifications expiring within 30 days across multiple partners and users.
2. Execute GET /v1/sa/certifications?expiringWithinDays=30 with valid SA-JWT.
3. Assert HTTP 200 and response only includes certifications expiring within 30 days.
4. Assert response includes partnerId, userId, certificationType, expiresAt for each entry.
5. Execute with no expiring certifications in range — assert HTTP 200 with empty list.</t>
  </si>
  <si>
    <t>Partner Engagement</t>
  </si>
  <si>
    <t>PARTNER_API_TEAM_REFERRAL_LINKS_001</t>
  </si>
  <si>
    <t>GET - Referral links - Default user and campaign links are returned</t>
  </si>
  <si>
    <t>§4.10, §8.5</t>
  </si>
  <si>
    <t>[API pending 2026-05-27] GET /v1/partner/referral-links — referral links endpoint not yet in dev build</t>
  </si>
  <si>
    <t>Validate the backend/API contract for referral links so that default user and campaign links are returned. Scope covers request authorization, input/fixture setup, response or job outcome, persistence side effects, emitted events/audit where applicable, and PRD coverage §4.10, §8.5. Out of scope: visual rendering and manual browser navigation.</t>
  </si>
  <si>
    <t>1. Prepare API fixtures, auth token/role, and partner/deal/client records required for: Referral links.
2. Execute GET against the relevant partner API endpoint, scheduled job, or event consumer with the payload or clock/event state for this case.
3. Assert transport result, status code, and response schema match the contract.
4. Verify that default user and campaign links are returned in persistence, cache, emitted event, ledger, audit log, or downstream CRM state as applicable.
5. Confirm isolation/security expectations from §4.10, §8.5: no cross-partner data leakage and no unintended side effects.</t>
  </si>
  <si>
    <t>PARTNER_API_TEAM_REFERRAL_LINKS_002</t>
  </si>
  <si>
    <t>POST - Campaign referral link - Unique tracking link is created</t>
  </si>
  <si>
    <t>§4.10, §8.4, §8.5</t>
  </si>
  <si>
    <t>[API pending 2026-05-27] POST /v1/partner/referral-links — campaign link creation not yet in dev build</t>
  </si>
  <si>
    <t>Validate the backend/API contract for campaign referral link so that unique tracking link is created. Scope covers request authorization, input/fixture setup, response or job outcome, persistence side effects, emitted events/audit where applicable, and PRD coverage §4.10, §8.4, §8.5. Out of scope: visual rendering and manual browser navigation.</t>
  </si>
  <si>
    <t>1. Prepare API fixtures, auth token/role, and partner/deal/client records required for: Campaign referral link.
2. Execute POST against the relevant partner API endpoint, scheduled job, or event consumer with the payload or clock/event state for this case.
3. Assert transport result, status code, and response schema match the contract.
4. Verify that unique tracking link is created in persistence, cache, emitted event, ledger, audit log, or downstream CRM state as applicable.
5. Confirm isolation/security expectations from §4.10, §8.4, §8.5: no cross-partner data leakage and no unintended side effects.</t>
  </si>
  <si>
    <t>PARTNER_API_RESOURCES_SANDBOX_001</t>
  </si>
  <si>
    <t>Seed - Sandbox reset request - Reset event is emitted and profile is applied</t>
  </si>
  <si>
    <t>Validate the backend/API contract for sandbox reset request so that reset event is emitted and profile is applied. Scope covers request authorization, input/fixture setup, response or job outcome, persistence side effects, emitted events/audit where applicable, and PRD coverage §4.9, §8.3, §12.1 B5. Out of scope: visual rendering and manual browser navigation.</t>
  </si>
  <si>
    <t>1. Prepare API fixtures, auth token/role, and partner/deal/client records required for: Sandbox reset request.
2. Execute Seed against the relevant partner API endpoint, scheduled job, or event consumer with the payload or clock/event state for this case.
3. Assert transport result, status code, and response schema match the contract.
4. Verify that reset event is emitted and profile is applied in persistence, cache, emitted event, ledger, audit log, or downstream CRM state as applicable.
5. Confirm isolation/security expectations from §4.9, §8.3, §12.1 B5: no cross-partner data leakage and no unintended side effects.</t>
  </si>
  <si>
    <t>PARTNER_API_RESOURCES_SANDBOX_002</t>
  </si>
  <si>
    <t>Skip - Weekly sandbox auto-reset default off - Scheduled reset does not run unless enabled</t>
  </si>
  <si>
    <t>§4.9, §12.1 B5</t>
  </si>
  <si>
    <t>Prevents surprise wipe mid-demo cycle.</t>
  </si>
  <si>
    <t>Validate the backend/API contract for weekly sandbox auto-reset default off so that scheduled reset does not run unless enabled. Scope covers request authorization, input/fixture setup, response or job outcome, persistence side effects, emitted events/audit where applicable, and PRD coverage §4.9, §12.1 B5. Out of scope: visual rendering and manual browser navigation.</t>
  </si>
  <si>
    <t>1. Prepare API fixtures, auth token/role, and partner/deal/client records required for: Weekly sandbox auto-reset default off.
2. Execute Skip against the relevant partner API endpoint, scheduled job, or event consumer with the payload or clock/event state for this case.
3. Assert transport result, status code, and response schema match the contract.
4. Verify that scheduled reset does not run unless enabled in persistence, cache, emitted event, ledger, audit log, or downstream CRM state as applicable.
5. Confirm isolation/security expectations from §4.9, §12.1 B5: no cross-partner data leakage and no unintended side effects.</t>
  </si>
  <si>
    <t>PARTNER_API_RESOURCES_SANDBOX_003</t>
  </si>
  <si>
    <t>Complete - Sandbox reset within 5 minutes - Selected profile collections are reseeded</t>
  </si>
  <si>
    <t>Profiles: SMB, Mid-market, Enterprise.</t>
  </si>
  <si>
    <t>Validate the backend/API contract for sandbox reset within 5 minutes so that selected profile collections are reseeded. Scope covers request authorization, input/fixture setup, response or job outcome, persistence side effects, emitted events/audit where applicable, and PRD coverage §4.9, §8.3, §12.1 B5. Out of scope: visual rendering and manual browser navigation.</t>
  </si>
  <si>
    <t>1. Prepare API fixtures, auth token/role, and partner/deal/client records required for: Sandbox reset within 5 minutes.
2. Execute Complete against the relevant partner API endpoint, scheduled job, or event consumer with the payload or clock/event state for this case.
3. Assert transport result, status code, and response schema match the contract.
4. Verify that selected profile collections are reseeded in persistence, cache, emitted event, ledger, audit log, or downstream CRM state as applicable.
5. Confirm isolation/security expectations from §4.9, §8.3, §12.1 B5: no cross-partner data leakage and no unintended side effects.</t>
  </si>
  <si>
    <t>Platform &amp; Integrations</t>
  </si>
  <si>
    <t>Dashboard Data</t>
  </si>
  <si>
    <t>PARTNER_API_DASHBOARD_DATA_001</t>
  </si>
  <si>
    <t>GET - Partner dashboard stats - KPI schema is returned</t>
  </si>
  <si>
    <t>§4.3, §8.5</t>
  </si>
  <si>
    <t>[PATH 2026-05-27] /v1/partner/dashboard → /v1/partner/portal/dashboard</t>
  </si>
  <si>
    <t>Validate the backend/API contract for partner dashboard stats so that kpi schema is returned. Scope covers request authorization, input/fixture setup, response or job outcome, persistence side effects, emitted events/audit where applicable, and PRD coverage §4.3, §8.5. Out of scope: visual rendering and manual browser navigation.</t>
  </si>
  <si>
    <t>1. Prepare API fixtures, auth token/role, and partner/deal/client records required for: Partner dashboard stats.
2. Execute GET against the relevant partner API endpoint, scheduled job, or event consumer with the payload or clock/event state for this case.
3. Assert transport result, status code, and response schema match the contract.
4. Verify that kpi schema is returned in persistence, cache, emitted event, ledger, audit log, or downstream CRM state as applicable.
5. Confirm isolation/security expectations from §4.3, §8.5: no cross-partner data leakage and no unintended side effects.</t>
  </si>
  <si>
    <t>CRM Integration</t>
  </si>
  <si>
    <t>PARTNER_API_CRM_INTEGRATION_001</t>
  </si>
  <si>
    <t>Sync - Deal registered event - Dogfood CRM opportunity is created</t>
  </si>
  <si>
    <t>§6.1, §6.2, §6.3</t>
  </si>
  <si>
    <t>Validate the backend/API contract for deal registered event so that dogfood crm opportunity is created. Scope covers request authorization, input/fixture setup, response or job outcome, persistence side effects, emitted events/audit where applicable, and PRD coverage §6.1, §6.2, §6.3. Out of scope: visual rendering and manual browser navigation.</t>
  </si>
  <si>
    <t>1. Prepare API fixtures, auth token/role, and partner/deal/client records required for: Deal registered event.
2. Execute event flow against the relevant partner API endpoint, scheduled job, or event consumer with the payload or clock/event state for this case.
3. Assert transport result, status code, and response schema match the contract.
4. Verify that dogfood crm opportunity is created in persistence, cache, emitted event, ledger, audit log, or downstream CRM state as applicable.
5. Confirm isolation/security expectations from §6.1, §6.2, §6.3: no cross-partner data leakage and no unintended side effects.</t>
  </si>
  <si>
    <t>6.1</t>
  </si>
  <si>
    <t>PARTNER_API_CRM_INTEGRATION_002</t>
  </si>
  <si>
    <t>Sync - Deal protection extended event - CRM opportunity meta is updated</t>
  </si>
  <si>
    <t>§6.2, §5.2</t>
  </si>
  <si>
    <t>Validate the backend/API contract for deal protection extended event so that dogfood CRM opportunity meta is updated. Scope covers request authorization, input/fixture setup, response or job outcome, persistence side effects, emitted events/audit where applicable, and PRD coverage §6.2, §5.2. Out of scope: visual rendering and manual browser navigation.</t>
  </si>
  <si>
    <t>1. Prepare API fixtures, auth token/role, and partner/deal records with active deal protection for: Deal protection extended event.
2. Trigger the protection extension event via the relevant partner API endpoint or event consumer.
3. Assert transport result, status code, and response schema match the contract.
4. Verify that the dogfood CRM opportunity meta (protection expiry date, protection status) is updated in persistence and downstream CRM state.
5. Confirm isolation/security expectations from §6.2, §5.2: no cross-partner data leakage and no unintended side effects.</t>
  </si>
  <si>
    <t>PARTNER_API_CRM_INTEGRATION_003</t>
  </si>
  <si>
    <t>Sync - Deal lost event - CRM opportunity closed lost with close reason</t>
  </si>
  <si>
    <t>CRM must reflect Close Lost + close reason — critical for SA sales ops data integrity</t>
  </si>
  <si>
    <t>Validate the backend/API contract for deal lost event so that dogfood CRM opportunity is closed lost with close reason persisted. Scope covers request authorization, input/fixture setup, response or job outcome, persistence side effects, emitted events/audit where applicable, and PRD coverage §6.2, §5.2. Out of scope: visual rendering and manual browser navigation.</t>
  </si>
  <si>
    <t>1. Prepare API fixtures, auth token/role, and partner/deal records in an active state for: Deal lost event.
2. Trigger the deal lost event via the relevant partner API endpoint or event consumer with a close reason payload.
3. Assert transport result, status code, and response schema match the contract.
4. Verify the dogfood CRM opportunity stage is updated to Closed Lost and close reason is persisted in CRM state.
5. Confirm isolation/security expectations from §6.2, §5.2: no cross-partner data leakage and no unintended side effects.</t>
  </si>
  <si>
    <t>PARTNER_API_CRM_INTEGRATION_004</t>
  </si>
  <si>
    <t>Sync - Deal expired event - CRM opportunity marked stale and SA task created</t>
  </si>
  <si>
    <t xml:space="preserve">	§6.2, §5.2, §8.4</t>
  </si>
  <si>
    <t>Expiry CRON fires → deal.expired event → CRM Mark Stale + SA follow-up task</t>
  </si>
  <si>
    <t>Validate the backend/API contract for deal expired event so that dogfood CRM opportunity is marked stale and an SA task is created. Scope covers request authorization, input/fixture setup, response or job outcome, persistence side effects, emitted events/audit where applicable, and PRD coverage §6.2, §5.2, §8.4. Out of scope: visual rendering and manual browser navigation.</t>
  </si>
  <si>
    <t>1. Prepare API fixtures, auth token/role, and partner/deal records with an expired deal protection clock state for: Deal expired event.
2. Trigger the deal expired event via the scheduled job or event consumer with the expired clock/event state.
3. Assert transport result, status code, and response schema match the contract.
4. Verify the dogfood CRM opportunity stage is updated to Stale and an SA follow-up task is created on the CRM account.
5. Confirm isolation/security expectations from §6.2, §5.2, §8.4: no cross-partner data leakage and no unintended side effects.</t>
  </si>
  <si>
    <t>PARTNER_API_CRM_INTEGRATION_005</t>
  </si>
  <si>
    <t>Sync - Client health alert event - CRM task created on account</t>
  </si>
  <si>
    <t xml:space="preserve">	§6.2, §4.6</t>
  </si>
  <si>
    <t>client.health_alert Kafka event → CRM task on dogfood CRM account for SA follow-up</t>
  </si>
  <si>
    <t>Validate the backend/API contract for client health alert event so that a CRM task is created on the dogfood CRM account. Scope covers request authorization, input/fixture setup, response or job outcome, persistence side effects, emitted events/audit where applicable, and PRD coverage §6.2, §4.6. Out of scope: visual rendering and manual browser navigation.</t>
  </si>
  <si>
    <t>1. Prepare API fixtures, auth token/role, and partner/client records with a degraded health metric that triggers an alert for: Client health alert event.
2. Trigger the client.health_alert event via the relevant event consumer with the appropriate health threshold payload.
3. Assert transport result, status code, and response schema match the contract.
4. Verify a CRM task is created on the corresponding dogfood CRM account referencing the client and alert type.
5. Confirm isolation/security expectations from §6.2, §4.6: no cross-partner data leakage and no unintended side effects.</t>
  </si>
  <si>
    <t>Event Architecture</t>
  </si>
  <si>
    <t>PARTNER_API_EVENT_ARCHITECTURE_001</t>
  </si>
  <si>
    <t>Validate - Kafka envelope - Standard event metadata is present</t>
  </si>
  <si>
    <t>§8.3</t>
  </si>
  <si>
    <t>Validate the backend/API contract for kafka envelope so that standard event metadata is present. Scope covers request authorization, input/fixture setup, response or job outcome, persistence side effects, emitted events/audit where applicable, and PRD coverage §8.3. Out of scope: visual rendering and manual browser navigation.</t>
  </si>
  <si>
    <t>1. Prepare API fixtures, auth token/role, and partner/deal/client records required for: Kafka envelope.
2. Execute event flow against the relevant partner API endpoint, scheduled job, or event consumer with the payload or clock/event state for this case.
3. Assert transport result, status code, and response schema match the contract.
4. Verify that standard event metadata is present in persistence, cache, emitted event, ledger, audit log, or downstream CRM state as applicable.
5. Confirm isolation/security expectations from §8.3: no cross-partner data leakage and no unintended side effects.</t>
  </si>
  <si>
    <t>8.3</t>
  </si>
  <si>
    <t>Partner Portal</t>
  </si>
  <si>
    <t>PARTNER_API_PARTNER_PORTAL_001</t>
  </si>
  <si>
    <t>Profile - Get own partner account profile - Partner account details returned</t>
  </si>
  <si>
    <t>§4.1</t>
  </si>
  <si>
    <t>[NEW 2026-05-27] GET /v1/partner/portal/profile — own partner profile not previously covered</t>
  </si>
  <si>
    <t>Validate the backend/API contract for retrieving the partner portal profile so that the authenticated partner account details, tier, and type are returned correctly.</t>
  </si>
  <si>
    <t>1. Prepare an active partner user session with a valid JWT.
2. Execute GET /v1/partner/portal/profile with valid Partner-JWT.
3. Assert HTTP 200 and response contains: partnerId, companyName, tier, partnerType, status, managerAllocation.
4. Confirm profile only contains the authenticated partner data (no cross-partner leakage).
5. Execute with an expired token — assert HTTP 401 Unauthorized.</t>
  </si>
  <si>
    <t>PARTNER_API_PARTNER_PORTAL_002</t>
  </si>
  <si>
    <t>Deal detail - Partner retrieves own deal by ID - Full deal record with timeline returned</t>
  </si>
  <si>
    <t>[NEW 2026-05-27] GET /v1/partner/portal/deals/{id} — partner deal detail not previously covered</t>
  </si>
  <si>
    <t>Validate the backend/API contract for retrieving a partner deal by ID so that the full deal detail including timeline, BlazeUp rep, commission projection, and protection status are returned.</t>
  </si>
  <si>
    <t>1. Prepare an approved deal belonging to the authenticated partner.
2. Execute GET /v1/partner/portal/deals/{id} with valid Partner-JWT.
3. Assert HTTP 200 and response contains: status, stage timeline, commissionProjection, protectionExpiresAt, assignedRep.
4. Execute GET with a deal belonging to another partner — assert HTTP 403 Forbidden.
5. Execute GET with a non-existent dealId — assert HTTP 404 Not Found.</t>
  </si>
  <si>
    <t>PARTNER_API_PARTNER_PORTAL_003</t>
  </si>
  <si>
    <t>Certifications - Partner retrieves own certifications - Active certifications listed</t>
  </si>
  <si>
    <t>[NEW 2026-05-27] GET /v1/partner/portal/certifications — own certifications not previously covered</t>
  </si>
  <si>
    <t>Validate the backend/API contract for listing a partner user's own certifications so that active certifications with expiry dates are returned for the training module display.</t>
  </si>
  <si>
    <t>1. Prepare a partner user with at least two active certifications.
2. Execute GET /v1/partner/portal/certifications with valid Partner-JWT.
3. Assert HTTP 200 and response contains list with: certificationType, earnedAt, expiresAt, status.
4. Execute for a user with no certifications — assert HTTP 200 with empty list.
5. Confirm certifications are scoped to the authenticated user only.</t>
  </si>
  <si>
    <t>PARTNER_API_PARTNER_PORTAL_004</t>
  </si>
  <si>
    <t>Commissions summary - Partner retrieves own commission summary - Earned, pending and paid totals returned</t>
  </si>
  <si>
    <t>[NEW 2026-05-27] GET /v1/partner/portal/commissions/summary — commission summary not previously covered</t>
  </si>
  <si>
    <t>Validate the backend/API contract for partner commission summary so that earned YTD, pending, and paid totals are returned for the commissions page header.</t>
  </si>
  <si>
    <t>1. Prepare a partner with commissions in multiple states: earned, pending, paid.
2. Execute GET /v1/partner/portal/commissions/summary with valid Partner-JWT.
3. Assert HTTP 200 and response contains: earnedYTD, pending, paid, currency.
4. Confirm values match the sum of individual commission records from GET /v1/partner/portal/commissions.
5. Confirm summary is scoped to the authenticated partner only.</t>
  </si>
  <si>
    <t>PARTNER_API_PARTNER_PORTAL_005</t>
  </si>
  <si>
    <t>Territories - Partner retrieves own assigned territories - Territory list returned</t>
  </si>
  <si>
    <t>[NEW 2026-05-27] GET /v1/partner/portal/territories — partner own territories not previously covered</t>
  </si>
  <si>
    <t>Validate the backend/API contract for retrieving a partner's own territory assignments so that region, vertical, and exclusivity details are visible in the partner portal.</t>
  </si>
  <si>
    <t>1. Prepare a partner with one or more territory assignments.
2. Execute GET /v1/partner/portal/territories with valid Partner-JWT.
3. Assert HTTP 200 and response contains: region, vertical, exclusivityType, effectiveFrom.
4. Execute for a partner with no territory assignments — assert HTTP 200 with empty list.
5. Confirm only the authenticated partner territories are returned.</t>
  </si>
  <si>
    <t>PARTNER_API_PARTNER_PORTAL_006</t>
  </si>
  <si>
    <t>Commission rates - Partner retrieves own tier commission rates - Tier-specific rates returned</t>
  </si>
  <si>
    <t>§5.3, §2.1</t>
  </si>
  <si>
    <t>[NEW 2026-05-27] GET /v1/partner/portal/rates — partner tier rates not previously covered</t>
  </si>
  <si>
    <t>Validate the backend/API contract for retrieving commission rates for the partner's current tier so that the correct NN/EN/EE rates and reseller margin are displayed for live commission projection.</t>
  </si>
  <si>
    <t>1. Prepare a partner at a specific tier (e.g. Select) with a published rate table.
2. Execute GET /v1/partner/portal/rates with valid Partner-JWT.
3. Assert HTTP 200 and response contains: tier, referralRate (NN/EN/EE), resellerMargin, rateTableVersion.
4. Verify rates match the current rate table for the partner tier (cross-check with GET /v1/sa/rate-table).
5. Confirm rates reflect the partner's actual current tier, not a cached stale value.</t>
  </si>
  <si>
    <t>Security &amp; Audit</t>
  </si>
  <si>
    <t>PARTNER_API_SECURITY_COMPLIANCE_001</t>
  </si>
  <si>
    <t>Audit - SA action - Audit log contains actor action reasoning and correlation ID</t>
  </si>
  <si>
    <t>Validate the backend/API contract for sa action so that audit log contains actor action reasoning and correlation id. Scope covers request authorization, input/fixture setup, response or job outcome, persistence side effects, emitted events/audit where applicable, and PRD coverage §9.4. Out of scope: visual rendering and manual browser navigation.</t>
  </si>
  <si>
    <t>1. Prepare API fixtures, auth token/role, and partner/deal/client records required for: SA action.
2. Execute Audit against the relevant partner API endpoint, scheduled job, or event consumer with the payload or clock/event state for this case.
3. Assert transport result, status code, and response schema match the contract.
4. Verify that audit log contains actor action reasoning and correlation id in persistence, cache, emitted event, ledger, audit log, or downstream CRM state as applicable.
5. Confirm isolation/security expectations from §9.4: no cross-partner data leakage and no unintended side effects.</t>
  </si>
  <si>
    <t>PARTNER_API_SECURITY_COMPLIANCE_002</t>
  </si>
  <si>
    <t>Validate - Prospect data minimization - Unnecessary PII is rejected or not persisted</t>
  </si>
  <si>
    <t>PDPA/PDPL risk control.</t>
  </si>
  <si>
    <t>Validate the backend/API contract for prospect data minimization so that unnecessary pii is rejected or not persisted. Scope covers request authorization, input/fixture setup, response or job outcome, persistence side effects, emitted events/audit where applicable, and PRD coverage Risk R7, §4.4, §9.3. Out of scope: visual rendering and manual browser navigation.</t>
  </si>
  <si>
    <t>1. Prepare API fixtures, auth token/role, and partner/deal/client records required for: Prospect data minimization.
2. Execute Validate against the relevant partner API endpoint, scheduled job, or event consumer with the payload or clock/event state for this case.
3. Assert transport result, status code, and response schema match the contract.
4. Verify that unnecessary pii is rejected or not persisted in persistence, cache, emitted event, ledger, audit log, or downstream CRM state as applicable.
5. Confirm isolation/security expectations from Risk R7, §4.4, §9.3: no cross-partner data leakage and no unintended side effects.</t>
  </si>
  <si>
    <t>PARTNER_API_SECURITY_COMPLIANCE_003</t>
  </si>
  <si>
    <t>Residency - Partner prospect in UAE region - Data is stored in regional boundary</t>
  </si>
  <si>
    <t>§9.3</t>
  </si>
  <si>
    <t>Validate the backend/API contract for partner prospect in uae region so that data is stored in regional boundary. Scope covers request authorization, input/fixture setup, response or job outcome, persistence side effects, emitted events/audit where applicable, and PRD coverage §9.3. Out of scope: visual rendering and manual browser navigation.</t>
  </si>
  <si>
    <t>1. Prepare API fixtures, auth token/role, and partner/deal/client records required for: Partner prospect in UAE region.
2. Execute Residency against the relevant partner API endpoint, scheduled job, or event consumer with the payload or clock/event state for this case.
3. Assert transport result, status code, and response schema match the contract.
4. Verify that data is stored in regional boundary in persistence, cache, emitted event, ledger, audit log, or downstream CRM state as applicable.
5. Confirm isolation/security expectations from §9.3: no cross-partner data leakage and no unintended side effects.</t>
  </si>
  <si>
    <t>Audit Log</t>
  </si>
  <si>
    <t>PARTNER_API_AUDIT_LOG_001</t>
  </si>
  <si>
    <t>List - SA lists audit log entries - Paginated log with filter is returned</t>
  </si>
  <si>
    <t>[NEW 2026-05-27] GET /v1/sa/audit-logs — list audit logs not previously covered as direct API call</t>
  </si>
  <si>
    <t>Validate the backend/API contract for listing SA audit log entries so that a paginated and filterable audit trail is returned with actor, action, and correlation ID.</t>
  </si>
  <si>
    <t>1. Perform multiple SA actions that generate audit log entries (approve deal, resolve conflict).
2. Execute GET /v1/sa/audit-logs with valid SA-JWT.
3. Assert HTTP 200 and response contains entries with: actor, action, targetId, reason, correlationId, timestamp.
4. Execute GET /v1/sa/audit-logs?action=deal.approved — assert only deal approval entries returned.
5. Execute with Partner-JWT — assert HTTP 403 Forbidden.</t>
  </si>
  <si>
    <t>PARTNER_API_AUDIT_LOG_002</t>
  </si>
  <si>
    <t>Stats - SA retrieves audit log KPI stats - 24h action counts are returned</t>
  </si>
  <si>
    <t>§9.4, §5.5</t>
  </si>
  <si>
    <t>[NEW 2026-05-27] GET /v1/sa/audit-logs/stats — audit KPI stats not previously covered</t>
  </si>
  <si>
    <t>Validate the backend/API contract for audit log stats so that a 24-hour window summary of SA action counts is returned for the SA analytics dashboard.</t>
  </si>
  <si>
    <t>1. Perform several SA actions within the last 24 hours.
2. Execute GET /v1/sa/audit-logs/stats with valid SA-JWT.
3. Assert HTTP 200 and response contains action counts grouped by action type within 24h window.
4. Assert counts match the number of actions performed in step 1.
5. Execute with Partner-JWT — assert HTTP 403 Forbidden.</t>
  </si>
  <si>
    <t>PARTNER_API_AUDIT_LOG_003</t>
  </si>
  <si>
    <t>Export - SA exports audit log - CSV or JSON file returned within max 10000 rows</t>
  </si>
  <si>
    <t>[NEW 2026-05-27] GET /v1/sa/audit-logs/export — audit log export not previously covered</t>
  </si>
  <si>
    <t>Validate the backend/API contract for exporting the audit log so that a downloadable CSV or JSON file is returned with correct content and within the 10,000-row limit.</t>
  </si>
  <si>
    <t>1. Prepare audit log entries and execute GET /v1/sa/audit-logs/export?format=csv with SA-JWT.
2. Assert HTTP 200 and Content-Type is text/csv.
3. Assert downloaded content contains headers: actor, action, targetId, reason, timestamp.
4. Execute GET /v1/sa/audit-logs/export?format=json — assert HTTP 200 and valid JSON array.
5. Execute with a date range that would exceed 10,000 rows — assert response is capped at 10,000 rows with warning header.</t>
  </si>
  <si>
    <t>PARTNER_API_AUDIT_LOG_004</t>
  </si>
  <si>
    <t>Get by ID - SA retrieves single audit log entry - Full entry detail is returned</t>
  </si>
  <si>
    <t>[NEW 2026-05-27] GET /v1/sa/audit-logs/{id} — get single audit entry not previously covered</t>
  </si>
  <si>
    <t>Validate the backend/API contract for retrieving a single audit log entry by ID so that the full immutable entry detail is returned for investigation purposes.</t>
  </si>
  <si>
    <t>1. Perform an SA action to generate an audit log entry and capture the returned auditLogId.
2. Execute GET /v1/sa/audit-logs/{id} with valid SA-JWT.
3. Assert HTTP 200 and response contains all fields: actor, action, targetId, reason, payload, correlationId, timestamp.
4. Confirm the entry is immutable — no edit or delete endpoint exists for audit log entries.
5. Execute GET /v1/sa/audit-logs/{nonExistentId} — assert HTTP 404 Not Found.</t>
  </si>
  <si>
    <t>REGRESSION SUITE — MODULE STATUS SUMMARY</t>
  </si>
  <si>
    <t>Number of tests not started</t>
  </si>
  <si>
    <t>Number currently being tested</t>
  </si>
  <si>
    <t>REGRESSION SUITE — P1 Test Cases (All Modules)</t>
  </si>
  <si>
    <t>Auto-compiled from all P1 TCs across active modules  |  Run before every release</t>
  </si>
  <si>
    <t>TC ID</t>
  </si>
  <si>
    <t>Module</t>
  </si>
  <si>
    <t>Test Case Name</t>
  </si>
  <si>
    <t>Type (UI/API)</t>
  </si>
  <si>
    <t>Automation TC Mapping</t>
  </si>
  <si>
    <t xml:space="preserve">  Partner Platform</t>
  </si>
  <si>
    <t>tests/ui/partner_002</t>
  </si>
  <si>
    <t>tests/ui/partner_001</t>
  </si>
  <si>
    <t>tests/ui/partner_003</t>
  </si>
  <si>
    <t>tests/ui/partner_004</t>
  </si>
  <si>
    <t>tests/ui/partner_005</t>
  </si>
  <si>
    <t>tests/ui/partner_010</t>
  </si>
  <si>
    <t>tests/ui/partner_011</t>
  </si>
  <si>
    <t>tests/ui/partner_012</t>
  </si>
  <si>
    <t>tests/ui/partner_014</t>
  </si>
  <si>
    <t>tests/ui/partner_015</t>
  </si>
  <si>
    <t>tests/ui/partner_016</t>
  </si>
  <si>
    <t>tests/ui/partner_017</t>
  </si>
  <si>
    <t>tests/ui/partner_020</t>
  </si>
  <si>
    <t>tests/ui/partner_021</t>
  </si>
  <si>
    <t>tests/ui/partner_022</t>
  </si>
  <si>
    <t>tests/ui/partner_023</t>
  </si>
  <si>
    <t>tests/ui/partner_024</t>
  </si>
  <si>
    <t>tests/ui/partner_025</t>
  </si>
  <si>
    <t>tests/ui/partner_026</t>
  </si>
  <si>
    <t>tests/ui/partner_030</t>
  </si>
  <si>
    <t>tests/ui/partner_034</t>
  </si>
  <si>
    <t>tests/ui/partner_006</t>
  </si>
  <si>
    <t>tests/ui/partner_036</t>
  </si>
  <si>
    <t>tests/ui/partner_040</t>
  </si>
  <si>
    <t>tests/ui/partner_041</t>
  </si>
  <si>
    <t>tests/ui/partner_043</t>
  </si>
  <si>
    <t>tests/ui/partner_044</t>
  </si>
  <si>
    <t>tests/ui/partner_018</t>
  </si>
  <si>
    <t>tests/ui/partner_045</t>
  </si>
  <si>
    <t>tests/ui/partner_046</t>
  </si>
  <si>
    <t>tests/ui/partner_047</t>
  </si>
  <si>
    <t>tests/ui/partner_048</t>
  </si>
  <si>
    <t>tests/ui/partner_069</t>
  </si>
  <si>
    <t>tests/ui/partner_066</t>
  </si>
  <si>
    <t>tests/ui/partner_060</t>
  </si>
  <si>
    <t>tests/ui/partner_061</t>
  </si>
  <si>
    <t>tests/ui/partner_062</t>
  </si>
  <si>
    <t>Approve - Partner final approval - Portal account creation is triggered</t>
  </si>
  <si>
    <t>tests/ui/partner_063</t>
  </si>
  <si>
    <t>tests/ui/partner_064</t>
  </si>
  <si>
    <t>tests/ui/partner_065</t>
  </si>
  <si>
    <t>tests/ui/partner_067</t>
  </si>
  <si>
    <t>tests/ui/partner_073</t>
  </si>
  <si>
    <t>tests/ui/partner_074</t>
  </si>
  <si>
    <t>tests/api/partner_001</t>
  </si>
  <si>
    <t>tests/api/partner_002</t>
  </si>
  <si>
    <t>tests/api/partner_003</t>
  </si>
  <si>
    <t>tests/api/partner_004</t>
  </si>
  <si>
    <t>tests/api/partner_027</t>
  </si>
  <si>
    <t>tests/api/partner_028</t>
  </si>
  <si>
    <t>tests/api/partner_005</t>
  </si>
  <si>
    <t>tests/api/partner_010</t>
  </si>
  <si>
    <t>POST - Register referral deal - Deal is created pending approval</t>
  </si>
  <si>
    <t>tests/api/partner_006</t>
  </si>
  <si>
    <t>tests/api/partner_007</t>
  </si>
  <si>
    <t>tests/api/partner_008</t>
  </si>
  <si>
    <t>tests/api/partner_009</t>
  </si>
  <si>
    <t>tests/api/partner_018</t>
  </si>
  <si>
    <t>tests/api/partner_019</t>
  </si>
  <si>
    <t>tests/api/partner_020</t>
  </si>
  <si>
    <t>tests/api/partner_049</t>
  </si>
  <si>
    <t>tests/api/partner_051</t>
  </si>
  <si>
    <t>tests/api/partner_056</t>
  </si>
  <si>
    <t>tests/api/partner_012</t>
  </si>
  <si>
    <t>tests/api/partner_016</t>
  </si>
  <si>
    <t>tests/api/partner_029</t>
  </si>
  <si>
    <t>tests/api/partner_030</t>
  </si>
  <si>
    <t>tests/api/partner_031</t>
  </si>
  <si>
    <t>tests/api/partner_032</t>
  </si>
  <si>
    <t>tests/api/partner_033</t>
  </si>
  <si>
    <t>tests/api/partner_057</t>
  </si>
  <si>
    <t>tests/api/partner_058</t>
  </si>
  <si>
    <t>tests/api/partner_059</t>
  </si>
  <si>
    <t>tests/api/partner_021</t>
  </si>
  <si>
    <t>tests/api/partner_022</t>
  </si>
  <si>
    <t>tests/api/partner_023</t>
  </si>
  <si>
    <t>tests/api/partner_024</t>
  </si>
  <si>
    <t>tests/api/partner_025</t>
  </si>
  <si>
    <t>tests/api/partner_026</t>
  </si>
  <si>
    <t>tests/api/partner_060</t>
  </si>
  <si>
    <t>tests/api/partner_062</t>
  </si>
  <si>
    <t>tests/api/partner_034</t>
  </si>
  <si>
    <t>tests/api/partner_035</t>
  </si>
  <si>
    <t>PARTNER_API_COMMISSIONS_PAYOUTS_003</t>
  </si>
  <si>
    <t>tests/api/partner_036</t>
  </si>
  <si>
    <t>tests/api/partner_037</t>
  </si>
  <si>
    <t>tests/api/partner_038</t>
  </si>
  <si>
    <t>tests/api/partner_052</t>
  </si>
  <si>
    <t>tests/api/partner_054</t>
  </si>
  <si>
    <t>tests/api/partner_041</t>
  </si>
  <si>
    <t>tests/api/partner_042</t>
  </si>
  <si>
    <t>tests/api/partner_045</t>
  </si>
  <si>
    <t>tests/api/partner_046</t>
  </si>
  <si>
    <t>tests/api/partner_047</t>
  </si>
  <si>
    <t>PATCH - Partner application decline - Mandatory reason is audit logged</t>
  </si>
  <si>
    <t>tests/api/partner_048</t>
  </si>
  <si>
    <t>tests/api/partner_061</t>
  </si>
  <si>
    <t>tests/api/partner_064</t>
  </si>
  <si>
    <t>tests/api/partner_055</t>
  </si>
  <si>
    <t>tests/api/partner_068</t>
  </si>
  <si>
    <t>tests/api/partner_066</t>
  </si>
  <si>
    <t>Execution Log</t>
  </si>
  <si>
    <t>Sprint / Release</t>
  </si>
  <si>
    <t>Date</t>
  </si>
  <si>
    <t>Build Version</t>
  </si>
  <si>
    <t>Executor</t>
  </si>
  <si>
    <t>Result</t>
  </si>
  <si>
    <t>Sprint 1</t>
  </si>
  <si>
    <t>2026-05-20</t>
  </si>
  <si>
    <t>v0.1.0-alpha</t>
  </si>
  <si>
    <t>PARTNER_UI_001</t>
  </si>
  <si>
    <t>Initial smoke run — placeholder</t>
  </si>
  <si>
    <t>TEST SCOPE</t>
  </si>
  <si>
    <t>Document: partner-platform-prd-v1.8  |  Last updated: 2026-05-20  |  Status: Living Document</t>
  </si>
  <si>
    <t>✅  IN SCOPE</t>
  </si>
  <si>
    <t>Category</t>
  </si>
  <si>
    <t>In Scope</t>
  </si>
  <si>
    <t>Partner portal shell: navigation, dashboard, KPI cards, tier progress, action-required list.</t>
  </si>
  <si>
    <t>QA Team</t>
  </si>
  <si>
    <t>Active</t>
  </si>
  <si>
    <t>Deal registration wizard: referral, reseller, co-sell deal types; validation, conflict detection, commission projection.</t>
  </si>
  <si>
    <t>Pipeline management: deal list, filters, deal detail, timeline, notes, documents, BlazeUp rep view.</t>
  </si>
  <si>
    <t>Client health: client list, health detail (ARR, renewal, usage, tickets), MSP managed client provisioning, consent toggle.</t>
  </si>
  <si>
    <t>Commissions: earned/pending/paid totals, commission trace, dispute submission, product failure waiver, payout details.</t>
  </si>
  <si>
    <t>Training &amp; Resources: certifications, learning paths, marketing assets, co-branded deck, ROI calculator, sandbox reset.</t>
  </si>
  <si>
    <t>Team &amp; Referral: team member invite, campaign referral link creation and analytics.</t>
  </si>
  <si>
    <t>SA Partner Module: partner directory, application FSM (staged approval), deal approval/conflict queues, commission config, territory, analytics, ledger approval.</t>
  </si>
  <si>
    <t>Backend APIs: ms-sa-partners endpoints, Kafka events, MongoDB/Redis persistence, commission engine, tenant provisioning, MSP scope guard, audit trail.</t>
  </si>
  <si>
    <t>Security: partner JWT separation, cross-partner isolation, MFA gates, MSP consent enforcement, SA two-eye approvals, data residency.</t>
  </si>
  <si>
    <t>🚫  OUT OF SCOPE</t>
  </si>
  <si>
    <t xml:space="preserve">  Pack Partner</t>
  </si>
  <si>
    <t>Out of Scope</t>
  </si>
  <si>
    <t>Pack Partner</t>
  </si>
  <si>
    <t>Pack Partner marketplace features — only separation from Channel Partner accounts is validated.</t>
  </si>
  <si>
    <t>N/A</t>
  </si>
  <si>
    <t>Excluded</t>
  </si>
  <si>
    <t>Final Legal/Compliance decisions pending sign-off — related test cases are placeholders only.</t>
  </si>
  <si>
    <t>Exact commission rates/window durations for NN/EN/EE stages — SA will configure values before launch; exact figures not testable yet.</t>
  </si>
  <si>
    <t>Pending</t>
  </si>
  <si>
    <t>Third-party training platform vendor behavior — deferred until build-vs-buy decision is finalized.</t>
  </si>
  <si>
    <t xml:space="preserve">  Other Modules</t>
  </si>
  <si>
    <t>Other Modules</t>
  </si>
  <si>
    <t>9 remaining modules (CRM, etc.) — not yet assigned; will be added as requirements are provided.</t>
  </si>
  <si>
    <t>📌  ASSUMPTIONS</t>
  </si>
  <si>
    <t xml:space="preserve">  All Modules</t>
  </si>
  <si>
    <t>Assumption</t>
  </si>
  <si>
    <t>All Modules</t>
  </si>
  <si>
    <t>This is a living document. New modules will be added as requirements are provided by the team.</t>
  </si>
  <si>
    <t>Requirement-phase automation mappings are placeholders; executable automation will be updated after requirements stabilize.</t>
  </si>
  <si>
    <t>All test statuses default to Not Started. Status logic: Fail if any = Fail; Pass if Manual = Pass and Automation = Pass/Not Started; else Not Started.</t>
  </si>
  <si>
    <t>Automation mapping IDs (e.g. tests/ui/partner_001) are placeholders — replace with real script paths when automation is implemented.</t>
  </si>
  <si>
    <t>partner.blazeup.ai (dogfood tenant) is the test target. Auth Phase 0 hooks/mocks are used for non-auth slices; live partner auth tested only after auth gate lands.</t>
  </si>
  <si>
    <t>Dev Team</t>
  </si>
  <si>
    <t>🔑  ENTRY &amp; EXIT CRITERIA</t>
  </si>
  <si>
    <t>Entry Criteria</t>
  </si>
  <si>
    <t>PRD v1.8 is baselined and available to QA team.</t>
  </si>
  <si>
    <t>PM</t>
  </si>
  <si>
    <t>Test environment is deployed: Partner Portal, SA Partner Module, ms-sa-partners, dogfood CRM bridge, tenant provisioning, billing, Kafka test topics.</t>
  </si>
  <si>
    <t>Seed data is ready: partners, deals, clients, commissions, sandbox profiles, conflict fixtures.</t>
  </si>
  <si>
    <t>Auth Phase 0 test hooks or mocks are available for non-auth test slices.</t>
  </si>
  <si>
    <t>Exit Criteria</t>
  </si>
  <si>
    <t>All P1 test cases executed with zero unresolved Critical or Major release-blocking defects.</t>
  </si>
  <si>
    <t>Requirement coverage = 100% for all active testable PRD sections.</t>
  </si>
  <si>
    <t>Regression Suite P1 cases pass on the release candidate build.</t>
  </si>
  <si>
    <t>Execution Log is updated with build version, executor, result, and defect references for all executed TCs.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</si>
</sst>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2">
    <font>
      <sz val="11.0"/>
      <color theme="1"/>
      <name val="Calibri"/>
      <scheme val="minor"/>
    </font>
    <font>
      <b/>
      <sz val="14.0"/>
      <color theme="1"/>
      <name val="Arial"/>
    </font>
    <font/>
    <font>
      <sz val="11.0"/>
      <color theme="1"/>
      <name val="Calibri"/>
    </font>
    <font>
      <sz val="9.0"/>
      <color theme="1"/>
      <name val="Arial"/>
    </font>
    <font>
      <b/>
      <sz val="9.0"/>
      <color theme="1"/>
      <name val="Arial"/>
    </font>
    <font>
      <sz val="10.0"/>
      <color theme="1"/>
      <name val="Arial"/>
    </font>
    <font>
      <b/>
      <sz val="10.0"/>
      <color theme="1"/>
      <name val="Arial"/>
    </font>
    <font>
      <b/>
      <sz val="11.0"/>
      <color theme="1"/>
      <name val="Arial"/>
    </font>
    <font>
      <b/>
      <sz val="12.0"/>
      <color rgb="FF000000"/>
      <name val="Arial"/>
    </font>
    <font>
      <sz val="11.0"/>
      <color rgb="FF000000"/>
      <name val="Calibri"/>
    </font>
    <font>
      <sz val="10.0"/>
      <color rgb="FF000000"/>
      <name val="Calibri"/>
    </font>
    <font>
      <b/>
      <sz val="10.0"/>
      <color rgb="FF000000"/>
      <name val="Arial"/>
    </font>
    <font>
      <b/>
      <sz val="10.0"/>
      <color rgb="FF000000"/>
      <name val="Calibri"/>
    </font>
    <font>
      <sz val="10.0"/>
      <color rgb="FF000000"/>
      <name val="Arial"/>
    </font>
    <font>
      <color theme="1"/>
      <name val="Arial"/>
    </font>
    <font>
      <sz val="10.0"/>
      <color theme="1"/>
      <name val="Calibri"/>
    </font>
    <font>
      <color theme="1"/>
      <name val="Calibri"/>
      <scheme val="minor"/>
    </font>
    <font>
      <sz val="11.0"/>
      <color theme="1"/>
      <name val="Arial"/>
    </font>
    <font>
      <b/>
      <sz val="10.0"/>
      <color rgb="FF0A0A0A"/>
      <name val="Arial"/>
    </font>
    <font>
      <b/>
      <sz val="12.0"/>
      <color rgb="FFFFFFFF"/>
      <name val="Arial"/>
    </font>
    <font>
      <b/>
      <sz val="11.0"/>
      <color rgb="FF000000"/>
      <name val="Calibri"/>
    </font>
    <font>
      <sz val="9.0"/>
      <color rgb="FF888888"/>
      <name val="Arial"/>
    </font>
    <font>
      <b/>
      <sz val="10.0"/>
      <color rgb="FFFFFFFF"/>
      <name val="Arial"/>
    </font>
    <font>
      <b/>
      <sz val="10.0"/>
      <color rgb="FF1E3A5F"/>
      <name val="Arial"/>
    </font>
    <font>
      <sz val="10.0"/>
      <color rgb="FF444444"/>
      <name val="Arial"/>
    </font>
    <font>
      <sz val="10.0"/>
      <color rgb="FF222222"/>
      <name val="Arial"/>
    </font>
    <font>
      <i/>
      <sz val="9.0"/>
      <color rgb="FF008F80"/>
      <name val="Arial"/>
    </font>
    <font>
      <b/>
      <sz val="14.0"/>
      <color rgb="FFFFFFFF"/>
      <name val="Arial"/>
    </font>
    <font>
      <b/>
      <sz val="13.0"/>
      <color rgb="FFFFFFFF"/>
      <name val="Arial"/>
    </font>
    <font>
      <b/>
      <sz val="11.0"/>
      <color rgb="FFFFFFFF"/>
      <name val="Arial"/>
    </font>
    <font>
      <b/>
      <sz val="10.0"/>
      <color rgb="FF2E6DA4"/>
      <name val="Arial"/>
    </font>
  </fonts>
  <fills count="23">
    <fill>
      <patternFill patternType="none"/>
    </fill>
    <fill>
      <patternFill patternType="lightGray"/>
    </fill>
    <fill>
      <patternFill patternType="solid">
        <fgColor rgb="FF008F80"/>
        <bgColor rgb="FF008F80"/>
      </patternFill>
    </fill>
    <fill>
      <patternFill patternType="solid">
        <fgColor rgb="FFFFFFFF"/>
        <bgColor rgb="FFFFFFFF"/>
      </patternFill>
    </fill>
    <fill>
      <patternFill patternType="solid">
        <fgColor rgb="FF00B050"/>
        <bgColor rgb="FF00B050"/>
      </patternFill>
    </fill>
    <fill>
      <patternFill patternType="solid">
        <fgColor rgb="FFFF0000"/>
        <bgColor rgb="FFFF0000"/>
      </patternFill>
    </fill>
    <fill>
      <patternFill patternType="solid">
        <fgColor rgb="FFD6E4F0"/>
        <bgColor rgb="FFD6E4F0"/>
      </patternFill>
    </fill>
    <fill>
      <patternFill patternType="solid">
        <fgColor rgb="FFF9A825"/>
        <bgColor rgb="FFF9A825"/>
      </patternFill>
    </fill>
    <fill>
      <patternFill patternType="solid">
        <fgColor rgb="FF808080"/>
        <bgColor rgb="FF808080"/>
      </patternFill>
    </fill>
    <fill>
      <patternFill patternType="solid">
        <fgColor rgb="FFE0F5F3"/>
        <bgColor rgb="FFE0F5F3"/>
      </patternFill>
    </fill>
    <fill>
      <patternFill patternType="solid">
        <fgColor rgb="FF1E3A5F"/>
        <bgColor rgb="FF1E3A5F"/>
      </patternFill>
    </fill>
    <fill>
      <patternFill patternType="solid">
        <fgColor rgb="FF3498DB"/>
        <bgColor rgb="FF3498DB"/>
      </patternFill>
    </fill>
    <fill>
      <patternFill patternType="solid">
        <fgColor rgb="FFFFFF99"/>
        <bgColor rgb="FFFFFF99"/>
      </patternFill>
    </fill>
    <fill>
      <patternFill patternType="solid">
        <fgColor rgb="FFF4B942"/>
        <bgColor rgb="FFF4B942"/>
      </patternFill>
    </fill>
    <fill>
      <patternFill patternType="solid">
        <fgColor rgb="FF888888"/>
        <bgColor rgb="FF888888"/>
      </patternFill>
    </fill>
    <fill>
      <patternFill patternType="solid">
        <fgColor rgb="FF2E6DA4"/>
        <bgColor rgb="FF2E6DA4"/>
      </patternFill>
    </fill>
    <fill>
      <patternFill patternType="solid">
        <fgColor rgb="FF00FFFF"/>
        <bgColor rgb="FF00FFFF"/>
      </patternFill>
    </fill>
    <fill>
      <patternFill patternType="solid">
        <fgColor rgb="FFFFF9C4"/>
        <bgColor rgb="FFFFF9C4"/>
      </patternFill>
    </fill>
    <fill>
      <patternFill patternType="solid">
        <fgColor rgb="FFF5F5F5"/>
        <bgColor rgb="FFF5F5F5"/>
      </patternFill>
    </fill>
    <fill>
      <patternFill patternType="solid">
        <fgColor rgb="FF1F3864"/>
        <bgColor rgb="FF1F3864"/>
      </patternFill>
    </fill>
    <fill>
      <patternFill patternType="solid">
        <fgColor rgb="FFDCFCE7"/>
        <bgColor rgb="FFDCFCE7"/>
      </patternFill>
    </fill>
    <fill>
      <patternFill patternType="solid">
        <fgColor rgb="FFC0392B"/>
        <bgColor rgb="FFC0392B"/>
      </patternFill>
    </fill>
    <fill>
      <patternFill patternType="solid">
        <fgColor rgb="FFFFC000"/>
        <bgColor rgb="FFFFC000"/>
      </patternFill>
    </fill>
  </fills>
  <borders count="2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right style="thin">
        <color rgb="FFD9D9D9"/>
      </right>
      <bottom style="thin">
        <color rgb="FFD9D9D9"/>
      </bottom>
    </border>
    <border>
      <left style="thin">
        <color rgb="FFD9D9D9"/>
      </left>
      <right style="thin">
        <color rgb="FFD9D9D9"/>
      </right>
      <bottom style="thin">
        <color rgb="FFD9D9D9"/>
      </bottom>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top/>
      <bottom/>
    </border>
    <border>
      <top/>
      <bottom/>
    </border>
    <border>
      <left style="thin">
        <color rgb="FFCCCCCC"/>
      </left>
      <right style="thin">
        <color rgb="FFCCCCCC"/>
      </right>
      <top style="thin">
        <color rgb="FFCCCCCC"/>
      </top>
      <bottom style="thin">
        <color rgb="FFCCCCCC"/>
      </bottom>
    </border>
    <border>
      <left/>
      <right/>
      <top/>
      <bottom/>
    </border>
    <border>
      <left style="thin">
        <color rgb="FFAAAAAA"/>
      </left>
      <right style="thin">
        <color rgb="FFAAAAAA"/>
      </right>
      <top style="thin">
        <color rgb="FFAAAAAA"/>
      </top>
      <bottom style="thin">
        <color rgb="FFAAAAAA"/>
      </bottom>
    </border>
    <border>
      <left style="thin">
        <color rgb="FFAAAAAA"/>
      </left>
      <top style="thin">
        <color rgb="FFAAAAAA"/>
      </top>
      <bottom style="thin">
        <color rgb="FFAAAAAA"/>
      </bottom>
    </border>
    <border>
      <top style="thin">
        <color rgb="FFAAAAAA"/>
      </top>
      <bottom style="thin">
        <color rgb="FFAAAAAA"/>
      </bottom>
    </border>
  </borders>
  <cellStyleXfs count="1">
    <xf borderId="0" fillId="0" fontId="0" numFmtId="0" applyAlignment="1" applyFont="1"/>
  </cellStyleXfs>
  <cellXfs count="173">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Alignment="1" applyFont="1">
      <alignment vertical="bottom"/>
    </xf>
    <xf borderId="1" fillId="3" fontId="4" numFmtId="0" xfId="0" applyAlignment="1" applyBorder="1" applyFill="1" applyFont="1">
      <alignment horizontal="center" vertical="center"/>
    </xf>
    <xf borderId="4" fillId="2" fontId="5" numFmtId="0" xfId="0" applyAlignment="1" applyBorder="1" applyFont="1">
      <alignment horizontal="center" vertical="center"/>
    </xf>
    <xf borderId="5" fillId="2" fontId="5" numFmtId="0" xfId="0" applyAlignment="1" applyBorder="1" applyFont="1">
      <alignment horizontal="center" vertical="center"/>
    </xf>
    <xf borderId="1" fillId="4" fontId="5" numFmtId="0" xfId="0" applyAlignment="1" applyBorder="1" applyFill="1" applyFont="1">
      <alignment horizontal="center" vertical="center"/>
    </xf>
    <xf borderId="1" fillId="5" fontId="5" numFmtId="0" xfId="0" applyAlignment="1" applyBorder="1" applyFill="1" applyFont="1">
      <alignment horizontal="center" vertical="center"/>
    </xf>
    <xf borderId="1" fillId="6" fontId="5" numFmtId="0" xfId="0" applyAlignment="1" applyBorder="1" applyFill="1" applyFont="1">
      <alignment horizontal="center" vertical="center"/>
    </xf>
    <xf borderId="1" fillId="7" fontId="5" numFmtId="0" xfId="0" applyAlignment="1" applyBorder="1" applyFill="1" applyFont="1">
      <alignment horizontal="center" vertical="center"/>
    </xf>
    <xf borderId="1" fillId="8" fontId="5" numFmtId="0" xfId="0" applyAlignment="1" applyBorder="1" applyFill="1" applyFont="1">
      <alignment horizontal="center" vertical="center"/>
    </xf>
    <xf borderId="6" fillId="2" fontId="6" numFmtId="0" xfId="0" applyAlignment="1" applyBorder="1" applyFont="1">
      <alignment horizontal="center" vertical="center"/>
    </xf>
    <xf borderId="7" fillId="0" fontId="2" numFmtId="0" xfId="0" applyBorder="1" applyFont="1"/>
    <xf borderId="8" fillId="0" fontId="2" numFmtId="0" xfId="0" applyBorder="1" applyFont="1"/>
    <xf borderId="6" fillId="4" fontId="5" numFmtId="0" xfId="0" applyAlignment="1" applyBorder="1" applyFont="1">
      <alignment horizontal="center" vertical="center"/>
    </xf>
    <xf borderId="6" fillId="5" fontId="5" numFmtId="0" xfId="0" applyAlignment="1" applyBorder="1" applyFont="1">
      <alignment horizontal="center" vertical="center"/>
    </xf>
    <xf borderId="6" fillId="6" fontId="5" numFmtId="0" xfId="0" applyAlignment="1" applyBorder="1" applyFont="1">
      <alignment horizontal="center" vertical="center"/>
    </xf>
    <xf borderId="6" fillId="7" fontId="5" numFmtId="0" xfId="0" applyAlignment="1" applyBorder="1" applyFont="1">
      <alignment horizontal="center" vertical="center"/>
    </xf>
    <xf borderId="6" fillId="8" fontId="5" numFmtId="0" xfId="0" applyAlignment="1" applyBorder="1" applyFont="1">
      <alignment horizontal="center" vertical="center"/>
    </xf>
    <xf borderId="6" fillId="2" fontId="5" numFmtId="0" xfId="0" applyAlignment="1" applyBorder="1" applyFont="1">
      <alignment horizontal="center" vertical="center"/>
    </xf>
    <xf borderId="6" fillId="3" fontId="6" numFmtId="0" xfId="0" applyAlignment="1" applyBorder="1" applyFont="1">
      <alignment horizontal="center" vertical="center"/>
    </xf>
    <xf borderId="6" fillId="3" fontId="7" numFmtId="0" xfId="0" applyAlignment="1" applyBorder="1" applyFont="1">
      <alignment horizontal="center" vertical="center"/>
    </xf>
    <xf borderId="6" fillId="3" fontId="6" numFmtId="10" xfId="0" applyAlignment="1" applyBorder="1" applyFont="1" applyNumberFormat="1">
      <alignment horizontal="center" vertical="center"/>
    </xf>
    <xf borderId="6" fillId="3" fontId="6" numFmtId="0" xfId="0" applyAlignment="1" applyBorder="1" applyFont="1">
      <alignment horizontal="left" vertical="center"/>
    </xf>
    <xf borderId="6" fillId="9" fontId="7" numFmtId="0" xfId="0" applyAlignment="1" applyBorder="1" applyFill="1" applyFont="1">
      <alignment horizontal="center" vertical="center"/>
    </xf>
    <xf borderId="6" fillId="9" fontId="8" numFmtId="0" xfId="0" applyAlignment="1" applyBorder="1" applyFont="1">
      <alignment horizontal="center" vertical="center"/>
    </xf>
    <xf borderId="6" fillId="9" fontId="7" numFmtId="10" xfId="0" applyAlignment="1" applyBorder="1" applyFont="1" applyNumberFormat="1">
      <alignment horizontal="center" vertical="center"/>
    </xf>
    <xf borderId="6" fillId="9" fontId="6" numFmtId="0" xfId="0" applyAlignment="1" applyBorder="1" applyFont="1">
      <alignment horizontal="center" vertical="center"/>
    </xf>
    <xf borderId="0" fillId="0" fontId="3" numFmtId="0" xfId="0" applyFont="1"/>
    <xf borderId="1" fillId="10" fontId="9" numFmtId="0" xfId="0" applyAlignment="1" applyBorder="1" applyFill="1" applyFont="1">
      <alignment horizontal="left" vertical="center"/>
    </xf>
    <xf borderId="0" fillId="0" fontId="10" numFmtId="0" xfId="0" applyAlignment="1" applyFont="1">
      <alignment vertical="bottom"/>
    </xf>
    <xf borderId="6" fillId="11" fontId="7" numFmtId="0" xfId="0" applyAlignment="1" applyBorder="1" applyFill="1" applyFont="1">
      <alignment horizontal="left" vertical="center"/>
    </xf>
    <xf borderId="6" fillId="0" fontId="10" numFmtId="0" xfId="0" applyAlignment="1" applyBorder="1" applyFont="1">
      <alignment vertical="bottom"/>
    </xf>
    <xf borderId="6" fillId="0" fontId="10" numFmtId="0" xfId="0" applyAlignment="1" applyBorder="1" applyFont="1">
      <alignment horizontal="left" vertical="bottom"/>
    </xf>
    <xf borderId="6" fillId="12" fontId="7" numFmtId="0" xfId="0" applyAlignment="1" applyBorder="1" applyFill="1" applyFont="1">
      <alignment horizontal="left" vertical="center"/>
    </xf>
    <xf borderId="6" fillId="12" fontId="7" numFmtId="0" xfId="0" applyAlignment="1" applyBorder="1" applyFont="1">
      <alignment horizontal="left" shrinkToFit="0" vertical="center" wrapText="1"/>
    </xf>
    <xf borderId="6" fillId="12" fontId="8" numFmtId="0" xfId="0" applyAlignment="1" applyBorder="1" applyFont="1">
      <alignment horizontal="left" vertical="center"/>
    </xf>
    <xf borderId="6" fillId="4" fontId="7" numFmtId="0" xfId="0" applyAlignment="1" applyBorder="1" applyFont="1">
      <alignment horizontal="left" vertical="center"/>
    </xf>
    <xf borderId="6" fillId="4" fontId="7" numFmtId="0" xfId="0" applyAlignment="1" applyBorder="1" applyFont="1">
      <alignment horizontal="left" shrinkToFit="0" vertical="center" wrapText="1"/>
    </xf>
    <xf borderId="6" fillId="4" fontId="8" numFmtId="0" xfId="0" applyAlignment="1" applyBorder="1" applyFont="1">
      <alignment horizontal="left" vertical="center"/>
    </xf>
    <xf borderId="6" fillId="5" fontId="7" numFmtId="0" xfId="0" applyAlignment="1" applyBorder="1" applyFont="1">
      <alignment horizontal="left" vertical="center"/>
    </xf>
    <xf borderId="6" fillId="5" fontId="7" numFmtId="0" xfId="0" applyAlignment="1" applyBorder="1" applyFont="1">
      <alignment horizontal="left" shrinkToFit="0" vertical="center" wrapText="1"/>
    </xf>
    <xf borderId="6" fillId="5" fontId="8" numFmtId="0" xfId="0" applyAlignment="1" applyBorder="1" applyFont="1">
      <alignment horizontal="left" vertical="center"/>
    </xf>
    <xf borderId="6" fillId="6" fontId="7" numFmtId="0" xfId="0" applyAlignment="1" applyBorder="1" applyFont="1">
      <alignment horizontal="left" vertical="center"/>
    </xf>
    <xf borderId="6" fillId="6" fontId="7" numFmtId="0" xfId="0" applyAlignment="1" applyBorder="1" applyFont="1">
      <alignment horizontal="left" shrinkToFit="0" vertical="center" wrapText="1"/>
    </xf>
    <xf borderId="6" fillId="6" fontId="8" numFmtId="0" xfId="0" applyAlignment="1" applyBorder="1" applyFont="1">
      <alignment horizontal="left" vertical="center"/>
    </xf>
    <xf borderId="6" fillId="13" fontId="7" numFmtId="0" xfId="0" applyAlignment="1" applyBorder="1" applyFill="1" applyFont="1">
      <alignment horizontal="left" vertical="center"/>
    </xf>
    <xf borderId="6" fillId="13" fontId="7" numFmtId="0" xfId="0" applyAlignment="1" applyBorder="1" applyFont="1">
      <alignment horizontal="left" shrinkToFit="0" vertical="center" wrapText="1"/>
    </xf>
    <xf borderId="6" fillId="13" fontId="8" numFmtId="0" xfId="0" applyAlignment="1" applyBorder="1" applyFont="1">
      <alignment horizontal="left" vertical="center"/>
    </xf>
    <xf borderId="6" fillId="8" fontId="7" numFmtId="0" xfId="0" applyAlignment="1" applyBorder="1" applyFont="1">
      <alignment horizontal="left" vertical="center"/>
    </xf>
    <xf borderId="6" fillId="8" fontId="7" numFmtId="0" xfId="0" applyAlignment="1" applyBorder="1" applyFont="1">
      <alignment horizontal="left" shrinkToFit="0" vertical="center" wrapText="1"/>
    </xf>
    <xf borderId="6" fillId="8" fontId="8" numFmtId="0" xfId="0" applyAlignment="1" applyBorder="1" applyFont="1">
      <alignment horizontal="left" vertical="center"/>
    </xf>
    <xf borderId="6" fillId="14" fontId="7" numFmtId="0" xfId="0" applyAlignment="1" applyBorder="1" applyFill="1" applyFont="1">
      <alignment horizontal="left" vertical="center"/>
    </xf>
    <xf borderId="6" fillId="0" fontId="11" numFmtId="0" xfId="0" applyAlignment="1" applyBorder="1" applyFont="1">
      <alignment horizontal="left" vertical="bottom"/>
    </xf>
    <xf borderId="6" fillId="0" fontId="11" numFmtId="0" xfId="0" applyAlignment="1" applyBorder="1" applyFont="1">
      <alignment horizontal="center" vertical="bottom"/>
    </xf>
    <xf borderId="6" fillId="15" fontId="12" numFmtId="0" xfId="0" applyAlignment="1" applyBorder="1" applyFill="1" applyFont="1">
      <alignment horizontal="left" shrinkToFit="0" vertical="center" wrapText="1"/>
    </xf>
    <xf borderId="6" fillId="15" fontId="12" numFmtId="0" xfId="0" applyAlignment="1" applyBorder="1" applyFont="1">
      <alignment horizontal="left" readingOrder="0" shrinkToFit="0" vertical="center" wrapText="1"/>
    </xf>
    <xf borderId="6" fillId="15" fontId="12" numFmtId="0" xfId="0" applyAlignment="1" applyBorder="1" applyFont="1">
      <alignment horizontal="center" shrinkToFit="0" vertical="center" wrapText="1"/>
    </xf>
    <xf borderId="6" fillId="15" fontId="13" numFmtId="0" xfId="0" applyAlignment="1" applyBorder="1" applyFont="1">
      <alignment horizontal="left" vertical="bottom"/>
    </xf>
    <xf borderId="6" fillId="15" fontId="13" numFmtId="0" xfId="0" applyAlignment="1" applyBorder="1" applyFont="1">
      <alignment horizontal="center" readingOrder="0" vertical="bottom"/>
    </xf>
    <xf borderId="5" fillId="16" fontId="12" numFmtId="0" xfId="0" applyAlignment="1" applyBorder="1" applyFill="1" applyFont="1">
      <alignment horizontal="left" shrinkToFit="0" vertical="center" wrapText="1"/>
    </xf>
    <xf borderId="5" fillId="17" fontId="14" numFmtId="0" xfId="0" applyAlignment="1" applyBorder="1" applyFill="1" applyFont="1">
      <alignment horizontal="left" shrinkToFit="0" vertical="center" wrapText="1"/>
    </xf>
    <xf borderId="6" fillId="3" fontId="14" numFmtId="0" xfId="0" applyAlignment="1" applyBorder="1" applyFont="1">
      <alignment horizontal="left" shrinkToFit="0" vertical="center" wrapText="1"/>
    </xf>
    <xf borderId="6" fillId="18" fontId="14" numFmtId="0" xfId="0" applyAlignment="1" applyBorder="1" applyFill="1" applyFont="1">
      <alignment horizontal="center" vertical="center"/>
    </xf>
    <xf borderId="6" fillId="3" fontId="14" numFmtId="0" xfId="0" applyAlignment="1" applyBorder="1" applyFont="1">
      <alignment horizontal="center" shrinkToFit="0" vertical="center" wrapText="1"/>
    </xf>
    <xf borderId="6" fillId="3" fontId="14" numFmtId="0" xfId="0" applyAlignment="1" applyBorder="1" applyFont="1">
      <alignment horizontal="left" shrinkToFit="0" vertical="top" wrapText="1"/>
    </xf>
    <xf borderId="6" fillId="3" fontId="6" numFmtId="0" xfId="0" applyAlignment="1" applyBorder="1" applyFont="1">
      <alignment horizontal="left" shrinkToFit="0" vertical="top" wrapText="1"/>
    </xf>
    <xf borderId="6" fillId="0" fontId="3" numFmtId="0" xfId="0" applyAlignment="1" applyBorder="1" applyFont="1">
      <alignment vertical="bottom"/>
    </xf>
    <xf borderId="9" fillId="0" fontId="2" numFmtId="0" xfId="0" applyBorder="1" applyFont="1"/>
    <xf borderId="6" fillId="0" fontId="3" numFmtId="164" xfId="0" applyAlignment="1" applyBorder="1" applyFont="1" applyNumberFormat="1">
      <alignment readingOrder="0" vertical="bottom"/>
    </xf>
    <xf borderId="6" fillId="17" fontId="14" numFmtId="0" xfId="0" applyAlignment="1" applyBorder="1" applyFont="1">
      <alignment horizontal="left" readingOrder="0" shrinkToFit="0" vertical="center" wrapText="1"/>
    </xf>
    <xf borderId="6" fillId="3" fontId="14" numFmtId="0" xfId="0" applyAlignment="1" applyBorder="1" applyFont="1">
      <alignment horizontal="left" readingOrder="0" shrinkToFit="0" vertical="center" wrapText="1"/>
    </xf>
    <xf borderId="6" fillId="18" fontId="14" numFmtId="0" xfId="0" applyAlignment="1" applyBorder="1" applyFont="1">
      <alignment horizontal="center" readingOrder="0" vertical="center"/>
    </xf>
    <xf borderId="6" fillId="6" fontId="15" numFmtId="0" xfId="0" applyAlignment="1" applyBorder="1" applyFont="1">
      <alignment horizontal="center"/>
    </xf>
    <xf borderId="6" fillId="3" fontId="14" numFmtId="0" xfId="0" applyAlignment="1" applyBorder="1" applyFont="1">
      <alignment horizontal="center" readingOrder="0" shrinkToFit="0" vertical="center" wrapText="1"/>
    </xf>
    <xf borderId="6" fillId="3" fontId="14" numFmtId="0" xfId="0" applyAlignment="1" applyBorder="1" applyFont="1">
      <alignment horizontal="left" readingOrder="0" shrinkToFit="0" vertical="top" wrapText="1"/>
    </xf>
    <xf borderId="6" fillId="3" fontId="6" numFmtId="0" xfId="0" applyAlignment="1" applyBorder="1" applyFont="1">
      <alignment horizontal="left" readingOrder="0" shrinkToFit="0" vertical="top" wrapText="1"/>
    </xf>
    <xf borderId="6" fillId="0" fontId="3" numFmtId="164" xfId="0" applyAlignment="1" applyBorder="1" applyFont="1" applyNumberFormat="1">
      <alignment horizontal="left" readingOrder="0" vertical="bottom"/>
    </xf>
    <xf borderId="6" fillId="0" fontId="3" numFmtId="0" xfId="0" applyAlignment="1" applyBorder="1" applyFont="1">
      <alignment horizontal="left" readingOrder="0" vertical="bottom"/>
    </xf>
    <xf borderId="6" fillId="3" fontId="6" numFmtId="0" xfId="0" applyAlignment="1" applyBorder="1" applyFont="1">
      <alignment shrinkToFit="0" vertical="bottom" wrapText="1"/>
    </xf>
    <xf borderId="6" fillId="17" fontId="14" numFmtId="0" xfId="0" applyAlignment="1" applyBorder="1" applyFont="1">
      <alignment horizontal="left" shrinkToFit="0" vertical="center" wrapText="1"/>
    </xf>
    <xf borderId="5" fillId="17" fontId="6" numFmtId="0" xfId="0" applyAlignment="1" applyBorder="1" applyFont="1">
      <alignment shrinkToFit="0" vertical="bottom" wrapText="1"/>
    </xf>
    <xf borderId="6" fillId="3" fontId="6" numFmtId="0" xfId="0" applyAlignment="1" applyBorder="1" applyFont="1">
      <alignment horizontal="center" shrinkToFit="0" vertical="bottom" wrapText="1"/>
    </xf>
    <xf borderId="6" fillId="3" fontId="16" numFmtId="0" xfId="0" applyAlignment="1" applyBorder="1" applyFont="1">
      <alignment vertical="bottom"/>
    </xf>
    <xf borderId="6" fillId="3" fontId="16" numFmtId="0" xfId="0" applyAlignment="1" applyBorder="1" applyFont="1">
      <alignment shrinkToFit="0" vertical="bottom" wrapText="1"/>
    </xf>
    <xf borderId="6" fillId="18" fontId="6" numFmtId="0" xfId="0" applyAlignment="1" applyBorder="1" applyFont="1">
      <alignment horizontal="center" vertical="bottom"/>
    </xf>
    <xf borderId="5" fillId="17" fontId="14" numFmtId="0" xfId="0" applyAlignment="1" applyBorder="1" applyFont="1">
      <alignment horizontal="left" readingOrder="0" shrinkToFit="0" vertical="center" wrapText="1"/>
    </xf>
    <xf borderId="0" fillId="0" fontId="17" numFmtId="0" xfId="0" applyAlignment="1" applyFont="1">
      <alignment readingOrder="0"/>
    </xf>
    <xf borderId="6" fillId="0" fontId="3" numFmtId="0" xfId="0" applyAlignment="1" applyBorder="1" applyFont="1">
      <alignment readingOrder="0" vertical="bottom"/>
    </xf>
    <xf borderId="6" fillId="17" fontId="6" numFmtId="0" xfId="0" applyAlignment="1" applyBorder="1" applyFont="1">
      <alignment shrinkToFit="0" vertical="bottom" wrapText="1"/>
    </xf>
    <xf borderId="6" fillId="0" fontId="16" numFmtId="0" xfId="0" applyBorder="1" applyFont="1"/>
    <xf borderId="5" fillId="16" fontId="7" numFmtId="0" xfId="0" applyAlignment="1" applyBorder="1" applyFont="1">
      <alignment readingOrder="0" vertical="center"/>
    </xf>
    <xf borderId="6" fillId="3" fontId="6" numFmtId="0" xfId="0" applyAlignment="1" applyBorder="1" applyFont="1">
      <alignment vertical="bottom"/>
    </xf>
    <xf borderId="6" fillId="0" fontId="18" numFmtId="0" xfId="0" applyAlignment="1" applyBorder="1" applyFont="1">
      <alignment vertical="bottom"/>
    </xf>
    <xf borderId="5" fillId="16" fontId="19" numFmtId="0" xfId="0" applyAlignment="1" applyBorder="1" applyFont="1">
      <alignment readingOrder="0" vertical="center"/>
    </xf>
    <xf borderId="6" fillId="3" fontId="6" numFmtId="0" xfId="0" applyAlignment="1" applyBorder="1" applyFont="1">
      <alignment readingOrder="0" shrinkToFit="0" vertical="bottom" wrapText="1"/>
    </xf>
    <xf borderId="6" fillId="0" fontId="15" numFmtId="0" xfId="0" applyAlignment="1" applyBorder="1" applyFont="1">
      <alignment vertical="bottom"/>
    </xf>
    <xf borderId="0" fillId="0" fontId="16" numFmtId="0" xfId="0" applyAlignment="1" applyFont="1">
      <alignment vertical="bottom"/>
    </xf>
    <xf borderId="6" fillId="3" fontId="6" numFmtId="0" xfId="0" applyAlignment="1" applyBorder="1" applyFont="1">
      <alignment horizontal="center" readingOrder="0" shrinkToFit="0" vertical="bottom" wrapText="1"/>
    </xf>
    <xf borderId="6" fillId="18" fontId="6" numFmtId="0" xfId="0" applyAlignment="1" applyBorder="1" applyFont="1">
      <alignment horizontal="center" readingOrder="0" vertical="bottom"/>
    </xf>
    <xf borderId="6" fillId="3" fontId="6" numFmtId="0" xfId="0" applyAlignment="1" applyBorder="1" applyFont="1">
      <alignment readingOrder="0" vertical="bottom"/>
    </xf>
    <xf borderId="5" fillId="17" fontId="6" numFmtId="0" xfId="0" applyAlignment="1" applyBorder="1" applyFont="1">
      <alignment shrinkToFit="0" vertical="center" wrapText="1"/>
    </xf>
    <xf borderId="6" fillId="0" fontId="15" numFmtId="0" xfId="0" applyAlignment="1" applyBorder="1" applyFont="1">
      <alignment vertical="bottom"/>
    </xf>
    <xf borderId="0" fillId="0" fontId="16" numFmtId="0" xfId="0" applyAlignment="1" applyFont="1">
      <alignment vertical="bottom"/>
    </xf>
    <xf borderId="6" fillId="0" fontId="18" numFmtId="164" xfId="0" applyAlignment="1" applyBorder="1" applyFont="1" applyNumberFormat="1">
      <alignment horizontal="left" readingOrder="0" vertical="bottom"/>
    </xf>
    <xf borderId="0" fillId="0" fontId="10" numFmtId="0" xfId="0" applyAlignment="1" applyFont="1">
      <alignment horizontal="left" vertical="bottom"/>
    </xf>
    <xf borderId="0" fillId="0" fontId="3" numFmtId="0" xfId="0" applyAlignment="1" applyFont="1">
      <alignment horizontal="left"/>
    </xf>
    <xf borderId="6" fillId="19" fontId="20" numFmtId="0" xfId="0" applyAlignment="1" applyBorder="1" applyFill="1" applyFont="1">
      <alignment horizontal="left" vertical="center"/>
    </xf>
    <xf borderId="6" fillId="19" fontId="20" numFmtId="0" xfId="0" applyAlignment="1" applyBorder="1" applyFont="1">
      <alignment horizontal="center" vertical="center"/>
    </xf>
    <xf borderId="6" fillId="11" fontId="12" numFmtId="0" xfId="0" applyAlignment="1" applyBorder="1" applyFont="1">
      <alignment horizontal="left" vertical="center"/>
    </xf>
    <xf borderId="6" fillId="11" fontId="12" numFmtId="0" xfId="0" applyAlignment="1" applyBorder="1" applyFont="1">
      <alignment horizontal="center" vertical="center"/>
    </xf>
    <xf borderId="8" fillId="0" fontId="3" numFmtId="0" xfId="0" applyAlignment="1" applyBorder="1" applyFont="1">
      <alignment vertical="bottom"/>
    </xf>
    <xf borderId="6" fillId="20" fontId="12" numFmtId="0" xfId="0" applyAlignment="1" applyBorder="1" applyFill="1" applyFont="1">
      <alignment horizontal="left" vertical="center"/>
    </xf>
    <xf borderId="6" fillId="20" fontId="12" numFmtId="0" xfId="0" applyAlignment="1" applyBorder="1" applyFont="1">
      <alignment horizontal="center" vertical="center"/>
    </xf>
    <xf borderId="6" fillId="4" fontId="12" numFmtId="0" xfId="0" applyAlignment="1" applyBorder="1" applyFont="1">
      <alignment horizontal="left" vertical="center"/>
    </xf>
    <xf borderId="6" fillId="4" fontId="12" numFmtId="0" xfId="0" applyAlignment="1" applyBorder="1" applyFont="1">
      <alignment horizontal="center" vertical="center"/>
    </xf>
    <xf borderId="6" fillId="5" fontId="12" numFmtId="0" xfId="0" applyAlignment="1" applyBorder="1" applyFont="1">
      <alignment horizontal="left" vertical="center"/>
    </xf>
    <xf borderId="6" fillId="5" fontId="12" numFmtId="0" xfId="0" applyAlignment="1" applyBorder="1" applyFont="1">
      <alignment horizontal="center" vertical="center"/>
    </xf>
    <xf borderId="6" fillId="6" fontId="12" numFmtId="0" xfId="0" applyAlignment="1" applyBorder="1" applyFont="1">
      <alignment horizontal="left" vertical="center"/>
    </xf>
    <xf borderId="6" fillId="6" fontId="12" numFmtId="0" xfId="0" applyAlignment="1" applyBorder="1" applyFont="1">
      <alignment horizontal="center" vertical="center"/>
    </xf>
    <xf borderId="6" fillId="13" fontId="12" numFmtId="0" xfId="0" applyAlignment="1" applyBorder="1" applyFont="1">
      <alignment horizontal="left" vertical="center"/>
    </xf>
    <xf borderId="6" fillId="13" fontId="12" numFmtId="0" xfId="0" applyAlignment="1" applyBorder="1" applyFont="1">
      <alignment horizontal="center" vertical="center"/>
    </xf>
    <xf borderId="6" fillId="8" fontId="12" numFmtId="0" xfId="0" applyAlignment="1" applyBorder="1" applyFont="1">
      <alignment horizontal="left" vertical="center"/>
    </xf>
    <xf borderId="6" fillId="8" fontId="12" numFmtId="0" xfId="0" applyAlignment="1" applyBorder="1" applyFont="1">
      <alignment horizontal="center" vertical="center"/>
    </xf>
    <xf borderId="8" fillId="0" fontId="21" numFmtId="0" xfId="0" applyAlignment="1" applyBorder="1" applyFont="1">
      <alignment horizontal="left" vertical="bottom"/>
    </xf>
    <xf borderId="8" fillId="0" fontId="21" numFmtId="0" xfId="0" applyAlignment="1" applyBorder="1" applyFont="1">
      <alignment vertical="bottom"/>
    </xf>
    <xf borderId="10" fillId="0" fontId="3" numFmtId="0" xfId="0" applyAlignment="1" applyBorder="1" applyFont="1">
      <alignment vertical="bottom"/>
    </xf>
    <xf borderId="11" fillId="0" fontId="3" numFmtId="0" xfId="0" applyAlignment="1" applyBorder="1" applyFont="1">
      <alignment vertical="bottom"/>
    </xf>
    <xf borderId="6" fillId="0" fontId="3" numFmtId="0" xfId="0" applyAlignment="1" applyBorder="1" applyFont="1">
      <alignment horizontal="left" vertical="bottom"/>
    </xf>
    <xf borderId="12" fillId="0" fontId="3" numFmtId="0" xfId="0" applyAlignment="1" applyBorder="1" applyFont="1">
      <alignment vertical="bottom"/>
    </xf>
    <xf borderId="13" fillId="0" fontId="3" numFmtId="0" xfId="0" applyAlignment="1" applyBorder="1" applyFont="1">
      <alignment vertical="bottom"/>
    </xf>
    <xf borderId="6" fillId="10" fontId="20" numFmtId="0" xfId="0" applyAlignment="1" applyBorder="1" applyFont="1">
      <alignment horizontal="left" vertical="center"/>
    </xf>
    <xf borderId="6" fillId="3" fontId="22" numFmtId="0" xfId="0" applyAlignment="1" applyBorder="1" applyFont="1">
      <alignment horizontal="left" vertical="center"/>
    </xf>
    <xf borderId="6" fillId="10" fontId="23" numFmtId="0" xfId="0" applyAlignment="1" applyBorder="1" applyFont="1">
      <alignment horizontal="left" vertical="center"/>
    </xf>
    <xf borderId="6" fillId="15" fontId="23" numFmtId="0" xfId="0" applyAlignment="1" applyBorder="1" applyFont="1">
      <alignment horizontal="center" vertical="center"/>
    </xf>
    <xf borderId="6" fillId="10" fontId="23" numFmtId="0" xfId="0" applyAlignment="1" applyBorder="1" applyFont="1">
      <alignment horizontal="center" vertical="center"/>
    </xf>
    <xf borderId="6" fillId="21" fontId="23" numFmtId="0" xfId="0" applyAlignment="1" applyBorder="1" applyFill="1" applyFont="1">
      <alignment horizontal="center" vertical="center"/>
    </xf>
    <xf borderId="6" fillId="2" fontId="23" numFmtId="0" xfId="0" applyAlignment="1" applyBorder="1" applyFont="1">
      <alignment horizontal="center" vertical="center"/>
    </xf>
    <xf borderId="6" fillId="13" fontId="24" numFmtId="0" xfId="0" applyAlignment="1" applyBorder="1" applyFont="1">
      <alignment horizontal="left" vertical="center"/>
    </xf>
    <xf borderId="6" fillId="6" fontId="24" numFmtId="0" xfId="0" applyAlignment="1" applyBorder="1" applyFont="1">
      <alignment horizontal="left" vertical="center"/>
    </xf>
    <xf borderId="6" fillId="6" fontId="25" numFmtId="0" xfId="0" applyAlignment="1" applyBorder="1" applyFont="1">
      <alignment horizontal="center" vertical="center"/>
    </xf>
    <xf borderId="6" fillId="6" fontId="26" numFmtId="0" xfId="0" applyAlignment="1" applyBorder="1" applyFont="1">
      <alignment horizontal="left" shrinkToFit="0" vertical="center" wrapText="1"/>
    </xf>
    <xf borderId="6" fillId="6" fontId="26" numFmtId="0" xfId="0" applyAlignment="1" applyBorder="1" applyFont="1">
      <alignment horizontal="center" vertical="center"/>
    </xf>
    <xf borderId="6" fillId="9" fontId="27" numFmtId="0" xfId="0" applyAlignment="1" applyBorder="1" applyFont="1">
      <alignment horizontal="left" vertical="center"/>
    </xf>
    <xf borderId="6" fillId="3" fontId="24" numFmtId="0" xfId="0" applyAlignment="1" applyBorder="1" applyFont="1">
      <alignment horizontal="left" vertical="center"/>
    </xf>
    <xf borderId="6" fillId="3" fontId="25" numFmtId="0" xfId="0" applyAlignment="1" applyBorder="1" applyFont="1">
      <alignment horizontal="center" vertical="center"/>
    </xf>
    <xf borderId="6" fillId="3" fontId="26" numFmtId="0" xfId="0" applyAlignment="1" applyBorder="1" applyFont="1">
      <alignment horizontal="left" shrinkToFit="0" vertical="center" wrapText="1"/>
    </xf>
    <xf borderId="6" fillId="3" fontId="26" numFmtId="0" xfId="0" applyAlignment="1" applyBorder="1" applyFont="1">
      <alignment horizontal="center" vertical="center"/>
    </xf>
    <xf borderId="13" fillId="0" fontId="3" numFmtId="0" xfId="0" applyAlignment="1" applyBorder="1" applyFont="1">
      <alignment horizontal="left" vertical="bottom"/>
    </xf>
    <xf borderId="14" fillId="10" fontId="28" numFmtId="0" xfId="0" applyAlignment="1" applyBorder="1" applyFont="1">
      <alignment horizontal="left" vertical="center"/>
    </xf>
    <xf borderId="15" fillId="0" fontId="2" numFmtId="0" xfId="0" applyBorder="1" applyFont="1"/>
    <xf borderId="16" fillId="15" fontId="23" numFmtId="0" xfId="0" applyAlignment="1" applyBorder="1" applyFont="1">
      <alignment horizontal="center" shrinkToFit="0" vertical="center" wrapText="1"/>
    </xf>
    <xf borderId="16" fillId="17" fontId="26" numFmtId="0" xfId="0" applyAlignment="1" applyBorder="1" applyFont="1">
      <alignment horizontal="center" shrinkToFit="0" vertical="center" wrapText="1"/>
    </xf>
    <xf borderId="16" fillId="17" fontId="26" numFmtId="0" xfId="0" applyAlignment="1" applyBorder="1" applyFont="1">
      <alignment horizontal="left" shrinkToFit="0" vertical="center" wrapText="1"/>
    </xf>
    <xf borderId="17" fillId="10" fontId="29" numFmtId="0" xfId="0" applyAlignment="1" applyBorder="1" applyFont="1">
      <alignment horizontal="left" vertical="center"/>
    </xf>
    <xf borderId="17" fillId="3" fontId="22" numFmtId="0" xfId="0" applyAlignment="1" applyBorder="1" applyFont="1">
      <alignment horizontal="left" vertical="center"/>
    </xf>
    <xf borderId="14" fillId="15" fontId="30" numFmtId="0" xfId="0" applyAlignment="1" applyBorder="1" applyFont="1">
      <alignment horizontal="left" vertical="center"/>
    </xf>
    <xf borderId="18" fillId="10" fontId="23" numFmtId="0" xfId="0" applyAlignment="1" applyBorder="1" applyFont="1">
      <alignment horizontal="center" vertical="center"/>
    </xf>
    <xf borderId="18" fillId="15" fontId="23" numFmtId="0" xfId="0" applyAlignment="1" applyBorder="1" applyFont="1">
      <alignment horizontal="center" vertical="center"/>
    </xf>
    <xf borderId="19" fillId="13" fontId="24" numFmtId="0" xfId="0" applyAlignment="1" applyBorder="1" applyFont="1">
      <alignment horizontal="left" vertical="center"/>
    </xf>
    <xf borderId="20" fillId="0" fontId="2" numFmtId="0" xfId="0" applyBorder="1" applyFont="1"/>
    <xf borderId="18" fillId="18" fontId="31" numFmtId="0" xfId="0" applyAlignment="1" applyBorder="1" applyFont="1">
      <alignment horizontal="center" vertical="center"/>
    </xf>
    <xf borderId="18" fillId="18" fontId="25" numFmtId="0" xfId="0" applyAlignment="1" applyBorder="1" applyFont="1">
      <alignment horizontal="center" vertical="center"/>
    </xf>
    <xf borderId="18" fillId="18" fontId="26" numFmtId="0" xfId="0" applyAlignment="1" applyBorder="1" applyFont="1">
      <alignment horizontal="left" shrinkToFit="0" vertical="center" wrapText="1"/>
    </xf>
    <xf borderId="18" fillId="4" fontId="23" numFmtId="0" xfId="0" applyAlignment="1" applyBorder="1" applyFont="1">
      <alignment horizontal="center" vertical="center"/>
    </xf>
    <xf borderId="18" fillId="3" fontId="31" numFmtId="0" xfId="0" applyAlignment="1" applyBorder="1" applyFont="1">
      <alignment horizontal="center" vertical="center"/>
    </xf>
    <xf borderId="18" fillId="3" fontId="25" numFmtId="0" xfId="0" applyAlignment="1" applyBorder="1" applyFont="1">
      <alignment horizontal="center" vertical="center"/>
    </xf>
    <xf borderId="18" fillId="3" fontId="26" numFmtId="0" xfId="0" applyAlignment="1" applyBorder="1" applyFont="1">
      <alignment horizontal="left" shrinkToFit="0" vertical="center" wrapText="1"/>
    </xf>
    <xf borderId="18" fillId="5" fontId="23" numFmtId="0" xfId="0" applyAlignment="1" applyBorder="1" applyFont="1">
      <alignment horizontal="center" vertical="center"/>
    </xf>
    <xf borderId="18" fillId="22" fontId="24" numFmtId="0" xfId="0" applyAlignment="1" applyBorder="1" applyFill="1" applyFont="1">
      <alignment horizontal="center" vertical="center"/>
    </xf>
    <xf borderId="18" fillId="4" fontId="23" numFmtId="0" xfId="0" applyAlignment="1" applyBorder="1" applyFont="1">
      <alignment horizontal="center" readingOrder="0" vertical="center"/>
    </xf>
  </cellXfs>
  <cellStyles count="1">
    <cellStyle xfId="0" name="Normal" builtinId="0"/>
  </cellStyles>
  <dxfs count="10">
    <dxf>
      <font/>
      <fill>
        <patternFill patternType="solid">
          <fgColor rgb="FF00B050"/>
          <bgColor rgb="FF00B050"/>
        </patternFill>
      </fill>
      <border/>
    </dxf>
    <dxf>
      <font/>
      <fill>
        <patternFill patternType="solid">
          <fgColor rgb="FFFF0000"/>
          <bgColor rgb="FFFF0000"/>
        </patternFill>
      </fill>
      <border/>
    </dxf>
    <dxf>
      <font/>
      <fill>
        <patternFill patternType="solid">
          <fgColor rgb="FFF4B942"/>
          <bgColor rgb="FFF4B942"/>
        </patternFill>
      </fill>
      <border/>
    </dxf>
    <dxf>
      <font/>
      <fill>
        <patternFill patternType="solid">
          <fgColor rgb="FF808080"/>
          <bgColor rgb="FF808080"/>
        </patternFill>
      </fill>
      <border/>
    </dxf>
    <dxf>
      <font/>
      <fill>
        <patternFill patternType="solid">
          <fgColor rgb="FFD6E4F0"/>
          <bgColor rgb="FFD6E4F0"/>
        </patternFill>
      </fill>
      <border/>
    </dxf>
    <dxf>
      <font>
        <b/>
      </font>
      <fill>
        <patternFill patternType="solid">
          <fgColor rgb="FFF4B942"/>
          <bgColor rgb="FFF4B942"/>
        </patternFill>
      </fill>
      <border/>
    </dxf>
    <dxf>
      <font>
        <b/>
      </font>
      <fill>
        <patternFill patternType="solid">
          <fgColor rgb="FF808080"/>
          <bgColor rgb="FF808080"/>
        </patternFill>
      </fill>
      <border/>
    </dxf>
    <dxf>
      <font>
        <b/>
        <sz val="10.0"/>
        <color rgb="FF276221"/>
        <name val="Arial"/>
      </font>
      <fill>
        <patternFill patternType="solid">
          <fgColor rgb="FFC6EFCE"/>
          <bgColor rgb="FFC6EFCE"/>
        </patternFill>
      </fill>
      <border/>
    </dxf>
    <dxf>
      <font>
        <b/>
        <sz val="10.0"/>
        <color rgb="FF7D5C00"/>
        <name val="Arial"/>
      </font>
      <fill>
        <patternFill patternType="solid">
          <fgColor rgb="FFFFEB9C"/>
          <bgColor rgb="FFFFEB9C"/>
        </patternFill>
      </fill>
      <border/>
    </dxf>
    <dxf>
      <font>
        <b/>
        <sz val="10.0"/>
        <color rgb="FF9C0006"/>
        <name val="Arial"/>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5.0"/>
    <col customWidth="1" min="2" max="4" width="26.0"/>
    <col customWidth="1" min="5" max="8" width="9.0"/>
    <col customWidth="1" min="9" max="9" width="12.0"/>
    <col customWidth="1" min="10" max="10" width="9.0"/>
    <col customWidth="1" min="11" max="11" width="12.0"/>
    <col customWidth="1" min="12" max="12" width="9.0"/>
    <col customWidth="1" min="13" max="13" width="16.0"/>
    <col customWidth="1" min="14" max="14" width="9.0"/>
    <col customWidth="1" min="15" max="15" width="22.0"/>
    <col customWidth="1" min="16" max="16" width="14.0"/>
    <col customWidth="1" min="17" max="17" width="8.71"/>
    <col customWidth="1" min="18" max="18" width="12.0"/>
    <col customWidth="1" min="19" max="19" width="8.71"/>
  </cols>
  <sheetData>
    <row r="1" ht="31.5" customHeight="1">
      <c r="A1" s="1" t="s">
        <v>0</v>
      </c>
      <c r="B1" s="2"/>
      <c r="C1" s="2"/>
      <c r="D1" s="2"/>
      <c r="E1" s="2"/>
      <c r="F1" s="2"/>
      <c r="G1" s="2"/>
      <c r="H1" s="2"/>
      <c r="I1" s="2"/>
      <c r="J1" s="2"/>
      <c r="K1" s="2"/>
      <c r="L1" s="2"/>
      <c r="M1" s="2"/>
      <c r="N1" s="2"/>
      <c r="O1" s="2"/>
      <c r="P1" s="3"/>
      <c r="Q1" s="4"/>
      <c r="R1" s="4"/>
      <c r="S1" s="4"/>
      <c r="T1" s="4"/>
      <c r="U1" s="4"/>
      <c r="V1" s="4"/>
      <c r="W1" s="4"/>
      <c r="X1" s="4"/>
    </row>
    <row r="2" ht="15.75" customHeight="1">
      <c r="A2" s="5" t="s">
        <v>1</v>
      </c>
      <c r="B2" s="2"/>
      <c r="C2" s="2"/>
      <c r="D2" s="2"/>
      <c r="E2" s="2"/>
      <c r="F2" s="2"/>
      <c r="G2" s="2"/>
      <c r="H2" s="2"/>
      <c r="I2" s="2"/>
      <c r="J2" s="2"/>
      <c r="K2" s="2"/>
      <c r="L2" s="2"/>
      <c r="M2" s="2"/>
      <c r="N2" s="2"/>
      <c r="O2" s="2"/>
      <c r="P2" s="3"/>
      <c r="Q2" s="4"/>
      <c r="R2" s="4"/>
      <c r="S2" s="4"/>
      <c r="T2" s="4"/>
      <c r="U2" s="4"/>
      <c r="V2" s="4"/>
      <c r="W2" s="4"/>
      <c r="X2" s="4"/>
    </row>
    <row r="3" ht="19.5" customHeight="1">
      <c r="A3" s="6" t="s">
        <v>2</v>
      </c>
      <c r="B3" s="7" t="s">
        <v>3</v>
      </c>
      <c r="C3" s="7" t="s">
        <v>4</v>
      </c>
      <c r="D3" s="7" t="s">
        <v>5</v>
      </c>
      <c r="E3" s="8" t="s">
        <v>6</v>
      </c>
      <c r="F3" s="3"/>
      <c r="G3" s="9" t="s">
        <v>7</v>
      </c>
      <c r="H3" s="3"/>
      <c r="I3" s="10" t="s">
        <v>8</v>
      </c>
      <c r="J3" s="3"/>
      <c r="K3" s="11" t="s">
        <v>9</v>
      </c>
      <c r="L3" s="3"/>
      <c r="M3" s="12" t="s">
        <v>10</v>
      </c>
      <c r="N3" s="3"/>
      <c r="O3" s="13"/>
      <c r="P3" s="13"/>
      <c r="Q3" s="4"/>
      <c r="R3" s="4"/>
      <c r="S3" s="4"/>
      <c r="T3" s="4"/>
      <c r="U3" s="4"/>
      <c r="V3" s="4"/>
      <c r="W3" s="4"/>
      <c r="X3" s="4"/>
    </row>
    <row r="4" ht="21.75" customHeight="1">
      <c r="A4" s="14"/>
      <c r="B4" s="15"/>
      <c r="C4" s="15"/>
      <c r="D4" s="15"/>
      <c r="E4" s="16" t="s">
        <v>11</v>
      </c>
      <c r="F4" s="16" t="s">
        <v>12</v>
      </c>
      <c r="G4" s="17" t="s">
        <v>11</v>
      </c>
      <c r="H4" s="17" t="s">
        <v>12</v>
      </c>
      <c r="I4" s="18" t="s">
        <v>11</v>
      </c>
      <c r="J4" s="18" t="s">
        <v>12</v>
      </c>
      <c r="K4" s="19" t="s">
        <v>11</v>
      </c>
      <c r="L4" s="19" t="s">
        <v>12</v>
      </c>
      <c r="M4" s="20" t="s">
        <v>11</v>
      </c>
      <c r="N4" s="20" t="s">
        <v>12</v>
      </c>
      <c r="O4" s="21" t="s">
        <v>13</v>
      </c>
      <c r="P4" s="21" t="s">
        <v>14</v>
      </c>
      <c r="Q4" s="4"/>
      <c r="R4" s="4"/>
      <c r="S4" s="4"/>
      <c r="T4" s="4"/>
      <c r="U4" s="4"/>
      <c r="V4" s="4"/>
      <c r="W4" s="4"/>
      <c r="X4" s="4"/>
    </row>
    <row r="5" ht="18.0" customHeight="1">
      <c r="A5" s="22">
        <v>1.0</v>
      </c>
      <c r="B5" s="23" t="s">
        <v>15</v>
      </c>
      <c r="C5" s="23">
        <f>COUNTA('Partner Platform'!C79:C1130)</f>
        <v>163</v>
      </c>
      <c r="D5" s="24">
        <f t="shared" ref="D5:D6" si="1">(E5+G5)/C5</f>
        <v>0.1411042945</v>
      </c>
      <c r="E5" s="22">
        <f>COUNTIF('Partner Platform'!K79:K1130,"PASSED")</f>
        <v>19</v>
      </c>
      <c r="F5" s="24">
        <f t="shared" ref="F5:F6" si="2">E5/C5</f>
        <v>0.1165644172</v>
      </c>
      <c r="G5" s="22">
        <f>COUNTIF('Partner Platform'!K79:K1130,"FAILED")</f>
        <v>4</v>
      </c>
      <c r="H5" s="24">
        <f t="shared" ref="H5:H6" si="3">G5/C5</f>
        <v>0.0245398773</v>
      </c>
      <c r="I5" s="22">
        <f>COUNTIF('Partner Platform'!K79:K1130,"NOT_STARTED")</f>
        <v>141</v>
      </c>
      <c r="J5" s="24">
        <f t="shared" ref="J5:J6" si="4">I5/C5</f>
        <v>0.8650306748</v>
      </c>
      <c r="K5" s="22">
        <f>COUNTIF('Partner Platform'!K79:K1130,"IN_PROGRESS")</f>
        <v>0</v>
      </c>
      <c r="L5" s="24">
        <f t="shared" ref="L5:L6" si="5">K5/C5</f>
        <v>0</v>
      </c>
      <c r="M5" s="22">
        <f>COUNTIF('Partner Platform'!K79:K1130,"BLOCKED")</f>
        <v>0</v>
      </c>
      <c r="N5" s="24">
        <f t="shared" ref="N5:N6" si="6">M5/C5</f>
        <v>0</v>
      </c>
      <c r="O5" s="25"/>
      <c r="P5" s="22" t="s">
        <v>16</v>
      </c>
      <c r="Q5" s="4"/>
      <c r="R5" s="4"/>
      <c r="S5" s="4"/>
      <c r="T5" s="4"/>
      <c r="U5" s="4"/>
      <c r="V5" s="4"/>
      <c r="W5" s="4"/>
      <c r="X5" s="4"/>
    </row>
    <row r="6" ht="21.75" customHeight="1">
      <c r="A6" s="26"/>
      <c r="B6" s="27" t="s">
        <v>4</v>
      </c>
      <c r="C6" s="26">
        <f>SUM(C5)</f>
        <v>163</v>
      </c>
      <c r="D6" s="24">
        <f t="shared" si="1"/>
        <v>0.1411042945</v>
      </c>
      <c r="E6" s="26">
        <f>SUM(E5)</f>
        <v>19</v>
      </c>
      <c r="F6" s="24">
        <f t="shared" si="2"/>
        <v>0.1165644172</v>
      </c>
      <c r="G6" s="26">
        <f>SUM(G5)</f>
        <v>4</v>
      </c>
      <c r="H6" s="24">
        <f t="shared" si="3"/>
        <v>0.0245398773</v>
      </c>
      <c r="I6" s="28">
        <f>SUM(H5)</f>
        <v>0.0245398773</v>
      </c>
      <c r="J6" s="24">
        <f t="shared" si="4"/>
        <v>0.0001505513945</v>
      </c>
      <c r="K6" s="26">
        <f>SUM(K5)</f>
        <v>0</v>
      </c>
      <c r="L6" s="24">
        <f t="shared" si="5"/>
        <v>0</v>
      </c>
      <c r="M6" s="26">
        <f>SUM(M5)</f>
        <v>0</v>
      </c>
      <c r="N6" s="24">
        <f t="shared" si="6"/>
        <v>0</v>
      </c>
      <c r="O6" s="29"/>
      <c r="P6" s="29"/>
      <c r="Q6" s="4"/>
      <c r="R6" s="4"/>
      <c r="S6" s="4"/>
      <c r="T6" s="4"/>
      <c r="U6" s="4"/>
      <c r="V6" s="4"/>
      <c r="W6" s="4"/>
      <c r="X6" s="4"/>
    </row>
    <row r="7" ht="18.0" customHeight="1">
      <c r="A7" s="4"/>
      <c r="B7" s="4"/>
      <c r="C7" s="4"/>
      <c r="D7" s="4"/>
      <c r="E7" s="4"/>
      <c r="F7" s="4"/>
      <c r="G7" s="4"/>
      <c r="H7" s="4"/>
      <c r="I7" s="4"/>
      <c r="J7" s="4"/>
      <c r="K7" s="4"/>
      <c r="L7" s="4"/>
      <c r="M7" s="4"/>
      <c r="N7" s="4"/>
      <c r="O7" s="4"/>
      <c r="P7" s="4"/>
      <c r="Q7" s="4"/>
      <c r="R7" s="4"/>
      <c r="S7" s="4"/>
      <c r="T7" s="4"/>
      <c r="U7" s="4"/>
      <c r="V7" s="4"/>
      <c r="W7" s="4"/>
      <c r="X7" s="4"/>
    </row>
    <row r="8" ht="18.0" customHeight="1">
      <c r="A8" s="4"/>
      <c r="B8" s="4"/>
      <c r="C8" s="4"/>
      <c r="D8" s="4"/>
      <c r="E8" s="4"/>
      <c r="F8" s="4"/>
      <c r="G8" s="4"/>
      <c r="H8" s="4"/>
      <c r="I8" s="4"/>
      <c r="J8" s="4"/>
      <c r="K8" s="4"/>
      <c r="L8" s="4"/>
      <c r="M8" s="4"/>
      <c r="N8" s="4"/>
      <c r="O8" s="4"/>
      <c r="P8" s="4"/>
      <c r="Q8" s="4"/>
      <c r="R8" s="4"/>
      <c r="S8" s="4"/>
      <c r="T8" s="4"/>
      <c r="U8" s="4"/>
      <c r="V8" s="4"/>
      <c r="W8" s="4"/>
      <c r="X8" s="4"/>
    </row>
    <row r="9" ht="18.0" customHeight="1">
      <c r="A9" s="4"/>
      <c r="D9" s="4"/>
      <c r="E9" s="4"/>
      <c r="F9" s="4"/>
      <c r="G9" s="4"/>
      <c r="H9" s="4"/>
      <c r="I9" s="4"/>
      <c r="J9" s="4"/>
      <c r="K9" s="4"/>
      <c r="L9" s="4"/>
      <c r="M9" s="4"/>
      <c r="N9" s="4"/>
      <c r="O9" s="4"/>
      <c r="P9" s="4"/>
      <c r="Q9" s="4"/>
      <c r="R9" s="4"/>
      <c r="S9" s="4"/>
      <c r="T9" s="4"/>
      <c r="U9" s="4"/>
      <c r="V9" s="4"/>
      <c r="W9" s="4"/>
      <c r="X9" s="4"/>
    </row>
    <row r="10" ht="18.0" customHeight="1">
      <c r="A10" s="4"/>
      <c r="B10" s="4"/>
      <c r="C10" s="4"/>
      <c r="D10" s="4"/>
      <c r="E10" s="4"/>
      <c r="F10" s="4"/>
      <c r="G10" s="4"/>
      <c r="H10" s="4"/>
      <c r="I10" s="4"/>
      <c r="J10" s="4"/>
      <c r="K10" s="4"/>
      <c r="L10" s="4"/>
      <c r="M10" s="4"/>
      <c r="N10" s="4"/>
      <c r="O10" s="4"/>
      <c r="P10" s="4"/>
      <c r="Q10" s="4"/>
      <c r="R10" s="4"/>
      <c r="S10" s="4"/>
      <c r="T10" s="4"/>
      <c r="U10" s="4"/>
      <c r="V10" s="4"/>
      <c r="W10" s="4"/>
      <c r="X10" s="4"/>
    </row>
    <row r="11" ht="18.0" customHeight="1">
      <c r="A11" s="4"/>
      <c r="B11" s="4"/>
      <c r="C11" s="4"/>
      <c r="D11" s="4"/>
      <c r="E11" s="4"/>
      <c r="F11" s="4"/>
      <c r="G11" s="4"/>
      <c r="H11" s="4"/>
      <c r="I11" s="4"/>
      <c r="J11" s="4"/>
      <c r="K11" s="4"/>
      <c r="L11" s="4"/>
      <c r="M11" s="4"/>
      <c r="N11" s="4"/>
      <c r="O11" s="4"/>
      <c r="P11" s="4"/>
      <c r="Q11" s="4"/>
      <c r="R11" s="4"/>
      <c r="S11" s="4"/>
      <c r="T11" s="4"/>
      <c r="U11" s="4"/>
      <c r="V11" s="4"/>
      <c r="W11" s="4"/>
      <c r="X11" s="4"/>
    </row>
    <row r="12" ht="18.0" customHeight="1">
      <c r="A12" s="4"/>
      <c r="B12" s="4"/>
      <c r="C12" s="4"/>
      <c r="D12" s="4"/>
      <c r="E12" s="4"/>
      <c r="F12" s="4"/>
      <c r="G12" s="4"/>
      <c r="H12" s="4"/>
      <c r="I12" s="4"/>
      <c r="J12" s="4"/>
      <c r="K12" s="4"/>
      <c r="L12" s="4"/>
      <c r="M12" s="4"/>
      <c r="N12" s="4"/>
      <c r="O12" s="4"/>
      <c r="P12" s="4"/>
      <c r="Q12" s="4"/>
      <c r="R12" s="4"/>
      <c r="S12" s="4"/>
      <c r="T12" s="4"/>
      <c r="U12" s="4"/>
      <c r="V12" s="4"/>
      <c r="W12" s="4"/>
      <c r="X12" s="4"/>
    </row>
    <row r="13" ht="18.0" customHeight="1">
      <c r="A13" s="4"/>
      <c r="B13" s="4"/>
      <c r="C13" s="4"/>
      <c r="D13" s="4"/>
      <c r="E13" s="4"/>
      <c r="F13" s="4"/>
      <c r="G13" s="4"/>
      <c r="H13" s="4"/>
      <c r="I13" s="4"/>
      <c r="J13" s="4"/>
      <c r="K13" s="4"/>
      <c r="L13" s="4"/>
      <c r="M13" s="4"/>
      <c r="N13" s="4"/>
      <c r="O13" s="4"/>
      <c r="P13" s="4"/>
      <c r="Q13" s="4"/>
      <c r="R13" s="4"/>
      <c r="S13" s="4"/>
      <c r="T13" s="4"/>
      <c r="U13" s="4"/>
      <c r="V13" s="4"/>
      <c r="W13" s="4"/>
      <c r="X13" s="4"/>
    </row>
    <row r="14" ht="18.0" customHeight="1">
      <c r="A14" s="4"/>
      <c r="D14" s="4"/>
      <c r="E14" s="4"/>
      <c r="F14" s="4"/>
      <c r="G14" s="4"/>
      <c r="H14" s="4"/>
      <c r="I14" s="4"/>
      <c r="J14" s="4"/>
      <c r="K14" s="4"/>
      <c r="L14" s="4"/>
      <c r="M14" s="4"/>
      <c r="N14" s="4"/>
      <c r="O14" s="4"/>
      <c r="P14" s="4"/>
      <c r="Q14" s="4"/>
      <c r="R14" s="4"/>
      <c r="S14" s="4"/>
      <c r="T14" s="4"/>
      <c r="U14" s="4"/>
      <c r="V14" s="4"/>
      <c r="W14" s="4"/>
      <c r="X14" s="4"/>
    </row>
    <row r="15" ht="18.0" customHeight="1">
      <c r="A15" s="4"/>
      <c r="B15" s="4"/>
      <c r="C15" s="4"/>
      <c r="D15" s="4"/>
      <c r="E15" s="4"/>
      <c r="F15" s="4"/>
      <c r="G15" s="4"/>
      <c r="H15" s="4"/>
      <c r="I15" s="4"/>
      <c r="J15" s="4"/>
      <c r="K15" s="4"/>
      <c r="L15" s="4"/>
      <c r="M15" s="4"/>
      <c r="N15" s="4"/>
      <c r="O15" s="4"/>
      <c r="P15" s="4"/>
      <c r="Q15" s="4"/>
      <c r="R15" s="4"/>
      <c r="S15" s="4"/>
      <c r="T15" s="4"/>
      <c r="U15" s="4"/>
      <c r="V15" s="4"/>
      <c r="W15" s="4"/>
      <c r="X15" s="4"/>
    </row>
    <row r="16" ht="18.0" customHeight="1">
      <c r="A16" s="4"/>
      <c r="B16" s="4"/>
      <c r="C16" s="4"/>
      <c r="D16" s="4"/>
      <c r="E16" s="4"/>
      <c r="F16" s="4"/>
      <c r="G16" s="4"/>
      <c r="H16" s="4"/>
      <c r="I16" s="4"/>
      <c r="J16" s="4"/>
      <c r="K16" s="4"/>
      <c r="L16" s="4"/>
      <c r="M16" s="4"/>
      <c r="N16" s="4"/>
      <c r="O16" s="4"/>
      <c r="P16" s="4"/>
      <c r="Q16" s="4"/>
      <c r="R16" s="4"/>
      <c r="S16" s="4"/>
      <c r="T16" s="4"/>
      <c r="U16" s="4"/>
      <c r="V16" s="4"/>
      <c r="W16" s="4"/>
      <c r="X16" s="4"/>
    </row>
    <row r="17" ht="19.5" customHeight="1">
      <c r="A17" s="4"/>
      <c r="B17" s="4"/>
      <c r="C17" s="4"/>
      <c r="D17" s="4"/>
      <c r="E17" s="4"/>
      <c r="F17" s="4"/>
      <c r="G17" s="4"/>
      <c r="H17" s="4"/>
      <c r="I17" s="4"/>
      <c r="J17" s="4"/>
      <c r="K17" s="4"/>
      <c r="L17" s="4"/>
      <c r="M17" s="4"/>
      <c r="N17" s="4"/>
      <c r="O17" s="4"/>
      <c r="P17" s="4"/>
      <c r="Q17" s="4"/>
      <c r="R17" s="4"/>
      <c r="S17" s="4"/>
      <c r="T17" s="4"/>
      <c r="U17" s="4"/>
      <c r="V17" s="4"/>
      <c r="W17" s="4"/>
      <c r="X17" s="4"/>
    </row>
    <row r="18" ht="19.5" customHeight="1">
      <c r="A18" s="4"/>
      <c r="D18" s="4"/>
      <c r="E18" s="4"/>
      <c r="F18" s="4"/>
      <c r="G18" s="4"/>
      <c r="H18" s="4"/>
      <c r="I18" s="4"/>
      <c r="J18" s="4"/>
      <c r="K18" s="4"/>
      <c r="L18" s="4"/>
      <c r="M18" s="4"/>
      <c r="N18" s="4"/>
      <c r="O18" s="4"/>
      <c r="P18" s="4"/>
      <c r="Q18" s="4"/>
      <c r="R18" s="4"/>
      <c r="S18" s="4"/>
      <c r="T18" s="4"/>
      <c r="U18" s="4"/>
      <c r="V18" s="4"/>
      <c r="W18" s="4"/>
      <c r="X18" s="4"/>
    </row>
    <row r="19" ht="19.5" customHeight="1">
      <c r="A19" s="4"/>
      <c r="B19" s="4"/>
      <c r="C19" s="4"/>
      <c r="D19" s="4"/>
      <c r="E19" s="4"/>
      <c r="F19" s="4"/>
      <c r="G19" s="4"/>
      <c r="H19" s="4"/>
      <c r="I19" s="4"/>
      <c r="J19" s="4"/>
      <c r="K19" s="4"/>
      <c r="L19" s="4"/>
      <c r="M19" s="4"/>
      <c r="N19" s="4"/>
      <c r="O19" s="4"/>
      <c r="P19" s="4"/>
      <c r="Q19" s="4"/>
      <c r="R19" s="4"/>
      <c r="S19" s="4"/>
      <c r="T19" s="4"/>
      <c r="U19" s="4"/>
      <c r="V19" s="4"/>
      <c r="W19" s="4"/>
      <c r="X19" s="4"/>
    </row>
    <row r="20" ht="15.0" customHeight="1">
      <c r="A20" s="4"/>
      <c r="B20" s="4"/>
      <c r="C20" s="4"/>
      <c r="D20" s="4"/>
      <c r="E20" s="4"/>
      <c r="F20" s="4"/>
      <c r="G20" s="4"/>
      <c r="H20" s="4"/>
      <c r="I20" s="4"/>
      <c r="J20" s="4"/>
      <c r="K20" s="4"/>
      <c r="L20" s="4"/>
      <c r="M20" s="4"/>
      <c r="N20" s="4"/>
      <c r="O20" s="4"/>
      <c r="P20" s="4"/>
      <c r="Q20" s="4"/>
      <c r="R20" s="4"/>
      <c r="S20" s="4"/>
      <c r="T20" s="4"/>
      <c r="U20" s="4"/>
      <c r="V20" s="4"/>
      <c r="W20" s="4"/>
      <c r="X20" s="4"/>
    </row>
    <row r="21" ht="15.75" customHeight="1">
      <c r="A21" s="4"/>
      <c r="B21" s="4"/>
      <c r="C21" s="4"/>
      <c r="D21" s="4"/>
      <c r="E21" s="4"/>
      <c r="F21" s="4"/>
      <c r="G21" s="4"/>
      <c r="H21" s="4"/>
      <c r="I21" s="4"/>
      <c r="J21" s="4"/>
      <c r="K21" s="4"/>
      <c r="L21" s="4"/>
      <c r="M21" s="4"/>
      <c r="N21" s="4"/>
      <c r="O21" s="4"/>
      <c r="P21" s="4"/>
      <c r="Q21" s="4"/>
      <c r="R21" s="4"/>
      <c r="S21" s="4"/>
      <c r="T21" s="4"/>
      <c r="U21" s="4"/>
      <c r="V21" s="4"/>
      <c r="W21" s="4"/>
      <c r="X21" s="4"/>
    </row>
    <row r="22" ht="15.0" hidden="1" customHeight="1">
      <c r="A22" s="4" t="s">
        <v>17</v>
      </c>
      <c r="B22" s="4" t="s">
        <v>18</v>
      </c>
      <c r="C22" s="4"/>
      <c r="D22" s="4"/>
      <c r="E22" s="4"/>
      <c r="F22" s="4"/>
      <c r="G22" s="4"/>
      <c r="H22" s="4"/>
      <c r="I22" s="4"/>
      <c r="J22" s="4"/>
      <c r="K22" s="4"/>
      <c r="L22" s="4"/>
      <c r="M22" s="4"/>
      <c r="N22" s="4"/>
      <c r="O22" s="4"/>
      <c r="P22" s="4"/>
      <c r="Q22" s="4"/>
      <c r="R22" s="4"/>
      <c r="S22" s="4"/>
      <c r="T22" s="4"/>
      <c r="U22" s="4"/>
      <c r="V22" s="4"/>
      <c r="W22" s="4"/>
      <c r="X22" s="4"/>
    </row>
    <row r="23" ht="15.0" hidden="1" customHeight="1">
      <c r="A23" s="4" t="s">
        <v>19</v>
      </c>
      <c r="B23" s="4">
        <f>COUNTIF('Partner Platform'!G:G,"Pass")</f>
        <v>0</v>
      </c>
      <c r="C23" s="4"/>
      <c r="D23" s="4"/>
      <c r="E23" s="4"/>
      <c r="F23" s="4"/>
      <c r="G23" s="4"/>
      <c r="H23" s="4"/>
      <c r="I23" s="4"/>
      <c r="J23" s="4"/>
      <c r="K23" s="4"/>
      <c r="L23" s="4"/>
      <c r="M23" s="4"/>
      <c r="N23" s="4"/>
      <c r="O23" s="4"/>
      <c r="P23" s="4"/>
      <c r="Q23" s="4"/>
      <c r="R23" s="4"/>
      <c r="S23" s="4"/>
      <c r="T23" s="4"/>
      <c r="U23" s="4"/>
      <c r="V23" s="4"/>
      <c r="W23" s="4"/>
      <c r="X23" s="4"/>
    </row>
    <row r="24" ht="15.0" hidden="1" customHeight="1">
      <c r="A24" s="4" t="s">
        <v>20</v>
      </c>
      <c r="B24" s="4">
        <f>COUNTIF('Partner Platform'!G:G,"Fail")</f>
        <v>0</v>
      </c>
      <c r="C24" s="4"/>
      <c r="D24" s="4"/>
      <c r="E24" s="4"/>
      <c r="F24" s="4"/>
      <c r="G24" s="4"/>
      <c r="H24" s="4"/>
      <c r="I24" s="4"/>
      <c r="J24" s="4"/>
      <c r="K24" s="4"/>
      <c r="L24" s="4"/>
      <c r="M24" s="4"/>
      <c r="N24" s="4"/>
      <c r="O24" s="4"/>
      <c r="P24" s="4"/>
      <c r="Q24" s="4"/>
      <c r="R24" s="4"/>
      <c r="S24" s="4"/>
      <c r="T24" s="4"/>
      <c r="U24" s="4"/>
      <c r="V24" s="4"/>
      <c r="W24" s="4"/>
      <c r="X24" s="4"/>
    </row>
    <row r="25" ht="15.0" hidden="1" customHeight="1">
      <c r="A25" s="4" t="s">
        <v>21</v>
      </c>
      <c r="B25" s="4">
        <f>COUNTIF('Partner Platform'!G:G,"Not Started")</f>
        <v>0</v>
      </c>
      <c r="C25" s="4"/>
      <c r="D25" s="4"/>
      <c r="E25" s="4"/>
      <c r="F25" s="4"/>
      <c r="G25" s="4"/>
      <c r="H25" s="4"/>
      <c r="I25" s="4"/>
      <c r="J25" s="4"/>
      <c r="K25" s="4"/>
      <c r="L25" s="4"/>
      <c r="M25" s="4"/>
      <c r="N25" s="4"/>
      <c r="O25" s="4"/>
      <c r="P25" s="4"/>
      <c r="Q25" s="4"/>
      <c r="R25" s="4"/>
      <c r="S25" s="4"/>
      <c r="T25" s="4"/>
      <c r="U25" s="4"/>
      <c r="V25" s="4"/>
      <c r="W25" s="4"/>
      <c r="X25" s="4"/>
    </row>
    <row r="26" ht="15.0" hidden="1" customHeight="1">
      <c r="A26" s="4" t="s">
        <v>22</v>
      </c>
      <c r="B26" s="4">
        <f>COUNTIF('Partner Platform'!G:G,"In Progress")</f>
        <v>0</v>
      </c>
      <c r="C26" s="4"/>
      <c r="D26" s="4"/>
      <c r="E26" s="4"/>
      <c r="F26" s="4"/>
      <c r="G26" s="4"/>
      <c r="H26" s="4"/>
      <c r="I26" s="4"/>
      <c r="J26" s="4"/>
      <c r="K26" s="4"/>
      <c r="L26" s="4"/>
      <c r="M26" s="4"/>
      <c r="N26" s="4"/>
      <c r="O26" s="4"/>
      <c r="P26" s="4"/>
      <c r="Q26" s="4"/>
      <c r="R26" s="4"/>
      <c r="S26" s="4"/>
      <c r="T26" s="4"/>
      <c r="U26" s="4"/>
      <c r="V26" s="4"/>
      <c r="W26" s="4"/>
      <c r="X26" s="4"/>
    </row>
    <row r="27" ht="15.0" hidden="1" customHeight="1">
      <c r="A27" s="4" t="s">
        <v>23</v>
      </c>
      <c r="B27" s="4" t="s">
        <v>18</v>
      </c>
      <c r="C27" s="4"/>
      <c r="D27" s="4"/>
      <c r="E27" s="4"/>
      <c r="F27" s="4"/>
      <c r="G27" s="4"/>
      <c r="H27" s="4"/>
      <c r="I27" s="4"/>
      <c r="J27" s="4"/>
      <c r="K27" s="4"/>
      <c r="L27" s="4"/>
      <c r="M27" s="4"/>
      <c r="N27" s="4"/>
      <c r="O27" s="4"/>
      <c r="P27" s="4"/>
      <c r="Q27" s="4"/>
      <c r="R27" s="4"/>
      <c r="S27" s="4"/>
      <c r="T27" s="4"/>
      <c r="U27" s="4"/>
      <c r="V27" s="4"/>
      <c r="W27" s="4"/>
      <c r="X27" s="4"/>
    </row>
    <row r="28" ht="15.0" hidden="1" customHeight="1">
      <c r="A28" s="4" t="s">
        <v>23</v>
      </c>
      <c r="B28" s="4" t="s">
        <v>18</v>
      </c>
      <c r="C28" s="4"/>
      <c r="D28" s="4"/>
      <c r="E28" s="4"/>
      <c r="F28" s="4"/>
      <c r="G28" s="4"/>
      <c r="H28" s="4"/>
      <c r="I28" s="4"/>
      <c r="J28" s="4"/>
      <c r="K28" s="4"/>
      <c r="L28" s="4"/>
      <c r="M28" s="4"/>
      <c r="N28" s="4"/>
      <c r="O28" s="4"/>
      <c r="P28" s="4"/>
      <c r="Q28" s="4"/>
      <c r="R28" s="4"/>
      <c r="S28" s="4"/>
      <c r="T28" s="4"/>
      <c r="U28" s="4"/>
      <c r="V28" s="4"/>
      <c r="W28" s="4"/>
      <c r="X28" s="4"/>
    </row>
    <row r="29" ht="15.0" hidden="1" customHeight="1">
      <c r="A29" s="4" t="s">
        <v>24</v>
      </c>
      <c r="B29" s="4">
        <f>COUNTA('Partner Platform'!B79:B94)</f>
        <v>8</v>
      </c>
      <c r="C29" s="4"/>
      <c r="D29" s="4"/>
      <c r="E29" s="4"/>
      <c r="F29" s="4"/>
      <c r="G29" s="4"/>
      <c r="H29" s="4"/>
      <c r="I29" s="4"/>
      <c r="J29" s="4"/>
      <c r="K29" s="4"/>
      <c r="L29" s="4"/>
      <c r="M29" s="4"/>
      <c r="N29" s="4"/>
      <c r="O29" s="4"/>
      <c r="P29" s="4"/>
      <c r="Q29" s="4"/>
      <c r="R29" s="4"/>
      <c r="S29" s="4"/>
      <c r="T29" s="4"/>
      <c r="U29" s="4"/>
      <c r="V29" s="4"/>
      <c r="W29" s="4"/>
      <c r="X29" s="4"/>
    </row>
    <row r="30" ht="15.0" hidden="1" customHeight="1">
      <c r="A30" s="4" t="s">
        <v>25</v>
      </c>
      <c r="B30" s="4">
        <f>COUNTA('Partner Platform'!A222:A295)</f>
        <v>2</v>
      </c>
      <c r="C30" s="4"/>
      <c r="D30" s="4"/>
      <c r="E30" s="4"/>
      <c r="F30" s="4"/>
      <c r="G30" s="4"/>
      <c r="H30" s="4"/>
      <c r="I30" s="4"/>
      <c r="J30" s="4"/>
      <c r="K30" s="4"/>
      <c r="L30" s="4"/>
      <c r="M30" s="4"/>
      <c r="N30" s="4"/>
      <c r="O30" s="4"/>
      <c r="P30" s="4"/>
      <c r="Q30" s="4"/>
      <c r="R30" s="4"/>
      <c r="S30" s="4"/>
      <c r="T30" s="4"/>
      <c r="U30" s="4"/>
      <c r="V30" s="4"/>
      <c r="W30" s="4"/>
      <c r="X30" s="4"/>
    </row>
    <row r="31" ht="15.0" hidden="1" customHeight="1">
      <c r="A31" s="4" t="s">
        <v>26</v>
      </c>
      <c r="B31" s="4" t="s">
        <v>18</v>
      </c>
      <c r="C31" s="4"/>
      <c r="D31" s="4"/>
      <c r="E31" s="4"/>
      <c r="F31" s="4"/>
      <c r="G31" s="4"/>
      <c r="H31" s="4"/>
      <c r="I31" s="4"/>
      <c r="J31" s="4"/>
      <c r="K31" s="4"/>
      <c r="L31" s="4"/>
      <c r="M31" s="4"/>
      <c r="N31" s="4"/>
      <c r="O31" s="4"/>
      <c r="P31" s="4"/>
      <c r="Q31" s="4"/>
      <c r="R31" s="4"/>
      <c r="S31" s="4"/>
      <c r="T31" s="4"/>
      <c r="U31" s="4"/>
      <c r="V31" s="4"/>
      <c r="W31" s="4"/>
      <c r="X31" s="4"/>
    </row>
    <row r="32" ht="15.0" hidden="1" customHeight="1">
      <c r="A32" s="4" t="s">
        <v>27</v>
      </c>
      <c r="B32" s="4" t="s">
        <v>18</v>
      </c>
      <c r="C32" s="4"/>
      <c r="D32" s="4"/>
      <c r="E32" s="4"/>
      <c r="F32" s="4"/>
      <c r="G32" s="4"/>
      <c r="H32" s="4"/>
      <c r="I32" s="4"/>
      <c r="J32" s="4"/>
      <c r="K32" s="4"/>
      <c r="L32" s="4"/>
      <c r="M32" s="4"/>
      <c r="N32" s="4"/>
      <c r="O32" s="4"/>
      <c r="P32" s="4"/>
      <c r="Q32" s="4"/>
      <c r="R32" s="4"/>
      <c r="S32" s="4"/>
      <c r="T32" s="4"/>
      <c r="U32" s="4"/>
      <c r="V32" s="4"/>
      <c r="W32" s="4"/>
      <c r="X32" s="4"/>
    </row>
    <row r="33" ht="15.0" hidden="1" customHeight="1">
      <c r="A33" s="4" t="s">
        <v>28</v>
      </c>
      <c r="B33" s="4">
        <v>138.0</v>
      </c>
      <c r="C33" s="4"/>
      <c r="D33" s="4"/>
      <c r="E33" s="4"/>
      <c r="F33" s="4"/>
      <c r="G33" s="4"/>
      <c r="H33" s="4"/>
      <c r="I33" s="4"/>
      <c r="J33" s="4"/>
      <c r="K33" s="4"/>
      <c r="L33" s="4"/>
      <c r="M33" s="4"/>
      <c r="N33" s="4"/>
      <c r="O33" s="4"/>
      <c r="P33" s="4"/>
      <c r="Q33" s="4"/>
      <c r="R33" s="4"/>
      <c r="S33" s="4"/>
      <c r="T33" s="4"/>
      <c r="U33" s="4"/>
      <c r="V33" s="4"/>
      <c r="W33" s="4"/>
      <c r="X33" s="4"/>
    </row>
    <row r="34" ht="15.75" hidden="1" customHeight="1">
      <c r="A34" s="4" t="s">
        <v>29</v>
      </c>
      <c r="B34" s="4">
        <v>6.0</v>
      </c>
      <c r="C34" s="4"/>
      <c r="D34" s="4"/>
      <c r="E34" s="4"/>
      <c r="F34" s="4"/>
      <c r="G34" s="4"/>
      <c r="H34" s="4"/>
      <c r="I34" s="4"/>
      <c r="J34" s="4"/>
      <c r="K34" s="4"/>
      <c r="L34" s="4"/>
      <c r="M34" s="4"/>
      <c r="N34" s="4"/>
      <c r="O34" s="4"/>
      <c r="P34" s="4"/>
      <c r="Q34" s="4"/>
      <c r="R34" s="4"/>
      <c r="S34" s="4"/>
      <c r="T34" s="4"/>
      <c r="U34" s="4"/>
      <c r="V34" s="4"/>
      <c r="W34" s="4"/>
      <c r="X34" s="4"/>
    </row>
    <row r="35" ht="15.75" hidden="1" customHeight="1">
      <c r="A35" s="4"/>
      <c r="B35" s="4"/>
      <c r="C35" s="4"/>
      <c r="D35" s="4"/>
      <c r="E35" s="4"/>
      <c r="F35" s="4"/>
      <c r="G35" s="4"/>
      <c r="H35" s="4"/>
      <c r="I35" s="4"/>
      <c r="J35" s="4"/>
      <c r="K35" s="4"/>
      <c r="L35" s="4"/>
      <c r="M35" s="4"/>
      <c r="N35" s="4"/>
      <c r="O35" s="4"/>
      <c r="P35" s="4"/>
      <c r="Q35" s="4"/>
      <c r="R35" s="4"/>
      <c r="S35" s="4"/>
      <c r="T35" s="4"/>
      <c r="U35" s="4"/>
      <c r="V35" s="4"/>
      <c r="W35" s="4"/>
      <c r="X35" s="4"/>
    </row>
    <row r="36" ht="15.75" hidden="1" customHeight="1">
      <c r="A36" s="4" t="s">
        <v>30</v>
      </c>
      <c r="B36" s="4" t="s">
        <v>18</v>
      </c>
      <c r="C36" s="4"/>
      <c r="D36" s="4"/>
      <c r="E36" s="4"/>
      <c r="F36" s="4"/>
      <c r="G36" s="4"/>
      <c r="H36" s="4"/>
      <c r="I36" s="4"/>
      <c r="J36" s="4"/>
      <c r="K36" s="4"/>
      <c r="L36" s="4"/>
      <c r="M36" s="4"/>
      <c r="N36" s="4"/>
      <c r="O36" s="4"/>
      <c r="P36" s="4"/>
      <c r="Q36" s="4"/>
      <c r="R36" s="4"/>
      <c r="S36" s="4"/>
      <c r="T36" s="4"/>
      <c r="U36" s="4"/>
      <c r="V36" s="4"/>
      <c r="W36" s="4"/>
      <c r="X36" s="4"/>
    </row>
    <row r="37" ht="15.75" hidden="1" customHeight="1">
      <c r="A37" s="4" t="s">
        <v>31</v>
      </c>
      <c r="B37" s="4">
        <f>COUNTIF('Partner Platform'!E:E,"P1")</f>
        <v>0</v>
      </c>
      <c r="C37" s="4"/>
      <c r="D37" s="4"/>
      <c r="E37" s="4"/>
      <c r="F37" s="4"/>
      <c r="G37" s="4"/>
      <c r="H37" s="4"/>
      <c r="I37" s="4"/>
      <c r="J37" s="4"/>
      <c r="K37" s="4"/>
      <c r="L37" s="4"/>
      <c r="M37" s="4"/>
      <c r="N37" s="4"/>
      <c r="O37" s="4"/>
      <c r="P37" s="4"/>
      <c r="Q37" s="4"/>
      <c r="R37" s="4"/>
      <c r="S37" s="4"/>
      <c r="T37" s="4"/>
      <c r="U37" s="4"/>
      <c r="V37" s="4"/>
      <c r="W37" s="4"/>
      <c r="X37" s="4"/>
    </row>
    <row r="38" ht="15.75" hidden="1" customHeight="1">
      <c r="A38" s="4" t="s">
        <v>32</v>
      </c>
      <c r="B38" s="4">
        <f>COUNTIF('Partner Platform'!E:E,"P2")</f>
        <v>0</v>
      </c>
      <c r="C38" s="4"/>
      <c r="D38" s="4"/>
      <c r="E38" s="4"/>
      <c r="F38" s="4"/>
      <c r="G38" s="4"/>
      <c r="H38" s="4"/>
      <c r="I38" s="4"/>
      <c r="J38" s="4"/>
      <c r="K38" s="4"/>
      <c r="L38" s="4"/>
      <c r="M38" s="4"/>
      <c r="N38" s="4"/>
      <c r="O38" s="4"/>
      <c r="P38" s="4"/>
      <c r="Q38" s="4"/>
      <c r="R38" s="4"/>
      <c r="S38" s="4"/>
      <c r="T38" s="4"/>
      <c r="U38" s="4"/>
      <c r="V38" s="4"/>
      <c r="W38" s="4"/>
      <c r="X38" s="4"/>
    </row>
    <row r="39" ht="15.75" hidden="1" customHeight="1">
      <c r="A39" s="4" t="s">
        <v>33</v>
      </c>
      <c r="B39" s="4">
        <f>COUNTIF('Partner Platform'!E:E,"P3")</f>
        <v>0</v>
      </c>
      <c r="C39" s="4"/>
      <c r="D39" s="4"/>
      <c r="E39" s="4"/>
      <c r="F39" s="4"/>
      <c r="G39" s="4"/>
      <c r="H39" s="4"/>
      <c r="I39" s="4"/>
      <c r="J39" s="4"/>
      <c r="K39" s="4"/>
      <c r="L39" s="4"/>
      <c r="M39" s="4"/>
      <c r="N39" s="4"/>
      <c r="O39" s="4"/>
      <c r="P39" s="4"/>
      <c r="Q39" s="4"/>
      <c r="R39" s="4"/>
      <c r="S39" s="4"/>
      <c r="T39" s="4"/>
      <c r="U39" s="4"/>
      <c r="V39" s="4"/>
      <c r="W39" s="4"/>
      <c r="X39" s="4"/>
    </row>
    <row r="40" ht="15.75" hidden="1" customHeight="1">
      <c r="A40" s="4" t="s">
        <v>34</v>
      </c>
      <c r="B40" s="4">
        <f>COUNTIF('Partner Platform'!E:E,"P4")</f>
        <v>0</v>
      </c>
      <c r="C40" s="4"/>
      <c r="D40" s="4"/>
      <c r="E40" s="4"/>
      <c r="F40" s="4"/>
      <c r="G40" s="4"/>
      <c r="H40" s="4"/>
      <c r="I40" s="4"/>
      <c r="J40" s="4"/>
      <c r="K40" s="4"/>
      <c r="L40" s="4"/>
      <c r="M40" s="4"/>
      <c r="N40" s="4"/>
      <c r="O40" s="4"/>
      <c r="P40" s="4"/>
      <c r="Q40" s="4"/>
      <c r="R40" s="4"/>
      <c r="S40" s="4"/>
      <c r="T40" s="4"/>
      <c r="U40" s="4"/>
      <c r="V40" s="4"/>
      <c r="W40" s="4"/>
      <c r="X40" s="4"/>
    </row>
    <row r="41" ht="15.75" customHeight="1">
      <c r="A41" s="4"/>
      <c r="B41" s="4"/>
      <c r="C41" s="4"/>
      <c r="D41" s="4"/>
      <c r="E41" s="4"/>
      <c r="F41" s="4"/>
      <c r="G41" s="4"/>
      <c r="H41" s="4"/>
      <c r="I41" s="4"/>
      <c r="J41" s="4"/>
      <c r="K41" s="4"/>
      <c r="L41" s="4"/>
      <c r="M41" s="4"/>
      <c r="N41" s="4"/>
      <c r="O41" s="4"/>
      <c r="P41" s="4"/>
      <c r="Q41" s="4"/>
      <c r="R41" s="4"/>
      <c r="S41" s="4"/>
      <c r="T41" s="4"/>
      <c r="U41" s="4"/>
      <c r="V41" s="4"/>
      <c r="W41" s="4"/>
      <c r="X41" s="4"/>
    </row>
    <row r="42" ht="15.75" customHeight="1">
      <c r="A42" s="4"/>
      <c r="B42" s="4"/>
      <c r="C42" s="4"/>
      <c r="D42" s="4"/>
      <c r="E42" s="4"/>
      <c r="F42" s="4"/>
      <c r="G42" s="4"/>
      <c r="H42" s="4"/>
      <c r="I42" s="4"/>
      <c r="J42" s="4"/>
      <c r="K42" s="4"/>
      <c r="L42" s="4"/>
      <c r="M42" s="4"/>
      <c r="N42" s="4"/>
      <c r="O42" s="4"/>
      <c r="P42" s="4"/>
      <c r="Q42" s="4"/>
      <c r="R42" s="4"/>
      <c r="S42" s="4"/>
      <c r="T42" s="4"/>
      <c r="U42" s="4"/>
      <c r="V42" s="4"/>
      <c r="W42" s="4"/>
      <c r="X42" s="4"/>
    </row>
    <row r="43" ht="15.75" customHeight="1">
      <c r="A43" s="4"/>
      <c r="B43" s="4"/>
      <c r="C43" s="4"/>
      <c r="D43" s="4"/>
      <c r="E43" s="4"/>
      <c r="F43" s="4"/>
      <c r="G43" s="4"/>
      <c r="H43" s="4"/>
      <c r="I43" s="4"/>
      <c r="J43" s="4"/>
      <c r="K43" s="4"/>
      <c r="L43" s="4"/>
      <c r="M43" s="4"/>
      <c r="N43" s="4"/>
      <c r="O43" s="4"/>
      <c r="P43" s="4"/>
      <c r="Q43" s="4"/>
      <c r="R43" s="4"/>
      <c r="S43" s="4"/>
      <c r="T43" s="4"/>
      <c r="U43" s="4"/>
      <c r="V43" s="4"/>
      <c r="W43" s="4"/>
      <c r="X43" s="4"/>
    </row>
    <row r="44" ht="15.75" customHeight="1">
      <c r="A44" s="4"/>
      <c r="B44" s="4"/>
      <c r="C44" s="4"/>
      <c r="D44" s="4"/>
      <c r="E44" s="4"/>
      <c r="F44" s="4"/>
      <c r="G44" s="4"/>
      <c r="H44" s="4"/>
      <c r="I44" s="4"/>
      <c r="J44" s="4"/>
      <c r="K44" s="4"/>
      <c r="L44" s="4"/>
      <c r="M44" s="4"/>
      <c r="N44" s="4"/>
      <c r="O44" s="4"/>
      <c r="P44" s="4"/>
      <c r="Q44" s="4"/>
      <c r="R44" s="4"/>
      <c r="S44" s="4"/>
      <c r="T44" s="4"/>
      <c r="U44" s="4"/>
      <c r="V44" s="4"/>
      <c r="W44" s="4"/>
      <c r="X44" s="4"/>
    </row>
    <row r="45" ht="15.75" customHeight="1">
      <c r="A45" s="4"/>
      <c r="B45" s="4"/>
      <c r="C45" s="4"/>
      <c r="D45" s="4"/>
      <c r="E45" s="4"/>
      <c r="F45" s="4"/>
      <c r="G45" s="4"/>
      <c r="H45" s="4"/>
      <c r="I45" s="4"/>
      <c r="J45" s="4"/>
      <c r="K45" s="4"/>
      <c r="L45" s="4"/>
      <c r="M45" s="4"/>
      <c r="N45" s="4"/>
      <c r="O45" s="4"/>
      <c r="P45" s="4"/>
      <c r="Q45" s="4"/>
      <c r="R45" s="4"/>
      <c r="S45" s="4"/>
      <c r="T45" s="4"/>
      <c r="U45" s="4"/>
      <c r="V45" s="4"/>
      <c r="W45" s="4"/>
      <c r="X45" s="4"/>
    </row>
    <row r="46" ht="15.75" customHeight="1">
      <c r="A46" s="4"/>
      <c r="B46" s="4"/>
      <c r="C46" s="4"/>
      <c r="D46" s="4"/>
      <c r="E46" s="4"/>
      <c r="F46" s="4"/>
      <c r="G46" s="4"/>
      <c r="H46" s="4"/>
      <c r="I46" s="4"/>
      <c r="J46" s="4"/>
      <c r="K46" s="4"/>
      <c r="L46" s="4"/>
      <c r="M46" s="4"/>
      <c r="N46" s="4"/>
      <c r="O46" s="4"/>
      <c r="P46" s="4"/>
      <c r="Q46" s="4"/>
      <c r="R46" s="4"/>
      <c r="S46" s="4"/>
      <c r="T46" s="4"/>
      <c r="U46" s="4"/>
      <c r="V46" s="4"/>
      <c r="W46" s="4"/>
      <c r="X46" s="4"/>
    </row>
    <row r="47" ht="15.75" customHeight="1">
      <c r="A47" s="4"/>
      <c r="B47" s="4"/>
      <c r="C47" s="4"/>
      <c r="D47" s="4"/>
      <c r="E47" s="4"/>
      <c r="F47" s="4"/>
      <c r="G47" s="4"/>
      <c r="H47" s="4"/>
      <c r="I47" s="4"/>
      <c r="J47" s="4"/>
      <c r="K47" s="4"/>
      <c r="L47" s="4"/>
      <c r="M47" s="4"/>
      <c r="N47" s="4"/>
      <c r="O47" s="4"/>
      <c r="P47" s="4"/>
      <c r="Q47" s="4"/>
      <c r="R47" s="4"/>
      <c r="S47" s="4"/>
      <c r="T47" s="4"/>
      <c r="U47" s="4"/>
      <c r="V47" s="4"/>
      <c r="W47" s="4"/>
      <c r="X47" s="4"/>
    </row>
    <row r="48" ht="15.75" customHeight="1">
      <c r="A48" s="4"/>
      <c r="B48" s="4"/>
      <c r="C48" s="4"/>
      <c r="D48" s="4"/>
      <c r="E48" s="4"/>
      <c r="F48" s="4"/>
      <c r="G48" s="4"/>
      <c r="H48" s="4"/>
      <c r="I48" s="4"/>
      <c r="J48" s="4"/>
      <c r="K48" s="4"/>
      <c r="L48" s="4"/>
      <c r="M48" s="4"/>
      <c r="N48" s="4"/>
      <c r="O48" s="4"/>
      <c r="P48" s="4"/>
      <c r="Q48" s="4"/>
      <c r="R48" s="4"/>
      <c r="S48" s="4"/>
      <c r="T48" s="4"/>
      <c r="U48" s="4"/>
      <c r="V48" s="4"/>
      <c r="W48" s="4"/>
      <c r="X48" s="4"/>
    </row>
    <row r="49" ht="15.75" customHeight="1">
      <c r="A49" s="4"/>
      <c r="B49" s="4"/>
      <c r="C49" s="4"/>
      <c r="D49" s="4"/>
      <c r="E49" s="4"/>
      <c r="F49" s="4"/>
      <c r="G49" s="4"/>
      <c r="H49" s="4"/>
      <c r="I49" s="4"/>
      <c r="J49" s="4"/>
      <c r="K49" s="4"/>
      <c r="L49" s="4"/>
      <c r="M49" s="4"/>
      <c r="N49" s="4"/>
      <c r="O49" s="4"/>
      <c r="P49" s="4"/>
      <c r="Q49" s="4"/>
      <c r="R49" s="4"/>
      <c r="S49" s="4"/>
      <c r="T49" s="4"/>
      <c r="U49" s="4"/>
      <c r="V49" s="4"/>
      <c r="W49" s="4"/>
      <c r="X49" s="4"/>
    </row>
    <row r="50" ht="15.75" customHeight="1">
      <c r="A50" s="4"/>
      <c r="B50" s="4"/>
      <c r="C50" s="4"/>
      <c r="D50" s="4"/>
      <c r="E50" s="4"/>
      <c r="F50" s="4"/>
      <c r="G50" s="4"/>
      <c r="H50" s="4"/>
      <c r="I50" s="4"/>
      <c r="J50" s="4"/>
      <c r="K50" s="4"/>
      <c r="L50" s="4"/>
      <c r="M50" s="4"/>
      <c r="N50" s="4"/>
      <c r="O50" s="4"/>
      <c r="P50" s="4"/>
      <c r="Q50" s="4"/>
      <c r="R50" s="4"/>
      <c r="S50" s="4"/>
      <c r="T50" s="4"/>
      <c r="U50" s="4"/>
      <c r="V50" s="4"/>
      <c r="W50" s="4"/>
      <c r="X50" s="4"/>
    </row>
    <row r="51" ht="15.75" customHeight="1">
      <c r="A51" s="4"/>
      <c r="B51" s="4"/>
      <c r="C51" s="4"/>
      <c r="D51" s="4"/>
      <c r="E51" s="4"/>
      <c r="F51" s="4"/>
      <c r="G51" s="4"/>
      <c r="H51" s="4"/>
      <c r="I51" s="4"/>
      <c r="J51" s="4"/>
      <c r="K51" s="4"/>
      <c r="L51" s="4"/>
      <c r="M51" s="4"/>
      <c r="N51" s="4"/>
      <c r="O51" s="4"/>
      <c r="P51" s="4"/>
      <c r="Q51" s="4"/>
      <c r="R51" s="4"/>
      <c r="S51" s="4"/>
      <c r="T51" s="4"/>
      <c r="U51" s="4"/>
      <c r="V51" s="4"/>
      <c r="W51" s="4"/>
      <c r="X51" s="4"/>
    </row>
    <row r="52" ht="15.75" customHeight="1">
      <c r="A52" s="4"/>
      <c r="B52" s="4"/>
      <c r="C52" s="4"/>
      <c r="D52" s="4"/>
      <c r="E52" s="4"/>
      <c r="F52" s="4"/>
      <c r="G52" s="4"/>
      <c r="H52" s="4"/>
      <c r="I52" s="4"/>
      <c r="J52" s="4"/>
      <c r="K52" s="4"/>
      <c r="L52" s="4"/>
      <c r="M52" s="4"/>
      <c r="N52" s="4"/>
      <c r="O52" s="4"/>
      <c r="P52" s="4"/>
      <c r="Q52" s="4"/>
      <c r="R52" s="4"/>
      <c r="S52" s="4"/>
      <c r="T52" s="4"/>
      <c r="U52" s="4"/>
      <c r="V52" s="4"/>
      <c r="W52" s="4"/>
      <c r="X52" s="4"/>
    </row>
    <row r="53" ht="15.75" customHeight="1">
      <c r="A53" s="4"/>
      <c r="B53" s="4"/>
      <c r="C53" s="4"/>
      <c r="D53" s="4"/>
      <c r="E53" s="4"/>
      <c r="F53" s="4"/>
      <c r="G53" s="4"/>
      <c r="H53" s="4"/>
      <c r="I53" s="4"/>
      <c r="J53" s="4"/>
      <c r="K53" s="4"/>
      <c r="L53" s="4"/>
      <c r="M53" s="4"/>
      <c r="N53" s="4"/>
      <c r="O53" s="4"/>
      <c r="P53" s="4"/>
      <c r="Q53" s="4"/>
      <c r="R53" s="4"/>
      <c r="S53" s="4"/>
      <c r="T53" s="4"/>
      <c r="U53" s="4"/>
      <c r="V53" s="4"/>
      <c r="W53" s="4"/>
      <c r="X53" s="4"/>
    </row>
    <row r="54" ht="15.75" customHeight="1">
      <c r="A54" s="4"/>
      <c r="B54" s="4"/>
      <c r="C54" s="4"/>
      <c r="D54" s="4"/>
      <c r="E54" s="4"/>
      <c r="F54" s="4"/>
      <c r="G54" s="4"/>
      <c r="H54" s="4"/>
      <c r="I54" s="4"/>
      <c r="J54" s="4"/>
      <c r="K54" s="4"/>
      <c r="L54" s="4"/>
      <c r="M54" s="4"/>
      <c r="N54" s="4"/>
      <c r="O54" s="4"/>
      <c r="P54" s="4"/>
      <c r="Q54" s="4"/>
      <c r="R54" s="4"/>
      <c r="S54" s="4"/>
      <c r="T54" s="4"/>
      <c r="U54" s="4"/>
      <c r="V54" s="4"/>
      <c r="W54" s="4"/>
      <c r="X54" s="4"/>
    </row>
    <row r="55" ht="15.75" customHeight="1">
      <c r="A55" s="4"/>
      <c r="B55" s="4"/>
      <c r="C55" s="4"/>
      <c r="D55" s="4"/>
      <c r="E55" s="4"/>
      <c r="F55" s="4"/>
      <c r="G55" s="4"/>
      <c r="H55" s="4"/>
      <c r="I55" s="4"/>
      <c r="J55" s="4"/>
      <c r="K55" s="4"/>
      <c r="L55" s="4"/>
      <c r="M55" s="4"/>
      <c r="N55" s="4"/>
      <c r="O55" s="4"/>
      <c r="P55" s="4"/>
      <c r="Q55" s="4"/>
      <c r="R55" s="4"/>
      <c r="S55" s="4"/>
      <c r="T55" s="4"/>
      <c r="U55" s="4"/>
      <c r="V55" s="4"/>
      <c r="W55" s="4"/>
      <c r="X55" s="4"/>
    </row>
    <row r="56" ht="15.75" customHeight="1">
      <c r="A56" s="4"/>
      <c r="B56" s="4"/>
      <c r="C56" s="4"/>
      <c r="D56" s="4"/>
      <c r="E56" s="4"/>
      <c r="F56" s="4"/>
      <c r="G56" s="4"/>
      <c r="H56" s="4"/>
      <c r="I56" s="4"/>
      <c r="J56" s="4"/>
      <c r="K56" s="4"/>
      <c r="L56" s="4"/>
      <c r="M56" s="4"/>
      <c r="N56" s="4"/>
      <c r="O56" s="4"/>
      <c r="P56" s="4"/>
      <c r="Q56" s="4"/>
      <c r="R56" s="4"/>
      <c r="S56" s="4"/>
      <c r="T56" s="4"/>
      <c r="U56" s="4"/>
      <c r="V56" s="4"/>
      <c r="W56" s="4"/>
      <c r="X56" s="4"/>
    </row>
    <row r="57" ht="15.75" customHeight="1">
      <c r="A57" s="4"/>
      <c r="B57" s="4"/>
      <c r="C57" s="4"/>
      <c r="D57" s="4"/>
      <c r="E57" s="4"/>
      <c r="F57" s="4"/>
      <c r="G57" s="4"/>
      <c r="H57" s="4"/>
      <c r="I57" s="4"/>
      <c r="J57" s="4"/>
      <c r="K57" s="4"/>
      <c r="L57" s="4"/>
      <c r="M57" s="4"/>
      <c r="N57" s="4"/>
      <c r="O57" s="4"/>
      <c r="P57" s="4"/>
      <c r="Q57" s="4"/>
      <c r="R57" s="4"/>
      <c r="S57" s="4"/>
      <c r="T57" s="4"/>
      <c r="U57" s="4"/>
      <c r="V57" s="4"/>
      <c r="W57" s="4"/>
      <c r="X57" s="4"/>
    </row>
    <row r="58" ht="15.75" customHeight="1">
      <c r="A58" s="4"/>
      <c r="B58" s="4"/>
      <c r="C58" s="4"/>
      <c r="D58" s="4"/>
      <c r="E58" s="4"/>
      <c r="F58" s="4"/>
      <c r="G58" s="4"/>
      <c r="H58" s="4"/>
      <c r="I58" s="4"/>
      <c r="J58" s="4"/>
      <c r="K58" s="4"/>
      <c r="L58" s="4"/>
      <c r="M58" s="4"/>
      <c r="N58" s="4"/>
      <c r="O58" s="4"/>
      <c r="P58" s="4"/>
      <c r="Q58" s="4"/>
      <c r="R58" s="4"/>
      <c r="S58" s="4"/>
      <c r="T58" s="4"/>
      <c r="U58" s="4"/>
      <c r="V58" s="4"/>
      <c r="W58" s="4"/>
      <c r="X58" s="4"/>
    </row>
    <row r="59" ht="15.75" customHeight="1">
      <c r="A59" s="4"/>
      <c r="B59" s="4"/>
      <c r="C59" s="4"/>
      <c r="D59" s="4"/>
      <c r="E59" s="4"/>
      <c r="F59" s="4"/>
      <c r="G59" s="4"/>
      <c r="H59" s="4"/>
      <c r="I59" s="4"/>
      <c r="J59" s="4"/>
      <c r="K59" s="4"/>
      <c r="L59" s="4"/>
      <c r="M59" s="4"/>
      <c r="N59" s="4"/>
      <c r="O59" s="4"/>
      <c r="P59" s="4"/>
      <c r="Q59" s="4"/>
      <c r="R59" s="4"/>
      <c r="S59" s="4"/>
      <c r="T59" s="4"/>
      <c r="U59" s="4"/>
      <c r="V59" s="4"/>
      <c r="W59" s="4"/>
      <c r="X59" s="4"/>
    </row>
    <row r="60" ht="15.75" customHeight="1">
      <c r="A60" s="4"/>
      <c r="B60" s="4"/>
      <c r="C60" s="4"/>
      <c r="D60" s="4"/>
      <c r="E60" s="4"/>
      <c r="F60" s="4"/>
      <c r="G60" s="4"/>
      <c r="H60" s="4"/>
      <c r="I60" s="4"/>
      <c r="J60" s="4"/>
      <c r="K60" s="4"/>
      <c r="L60" s="4"/>
      <c r="M60" s="4"/>
      <c r="N60" s="4"/>
      <c r="O60" s="4"/>
      <c r="P60" s="4"/>
      <c r="Q60" s="4"/>
      <c r="R60" s="4"/>
      <c r="S60" s="4"/>
      <c r="T60" s="4"/>
      <c r="U60" s="4"/>
      <c r="V60" s="4"/>
      <c r="W60" s="4"/>
      <c r="X60" s="4"/>
    </row>
    <row r="61" ht="15.75" customHeight="1">
      <c r="A61" s="4"/>
      <c r="B61" s="4"/>
      <c r="C61" s="4"/>
      <c r="D61" s="4"/>
      <c r="E61" s="4"/>
      <c r="F61" s="4"/>
      <c r="G61" s="4"/>
      <c r="H61" s="4"/>
      <c r="I61" s="4"/>
      <c r="J61" s="4"/>
      <c r="K61" s="4"/>
      <c r="L61" s="4"/>
      <c r="M61" s="4"/>
      <c r="N61" s="4"/>
      <c r="O61" s="4"/>
      <c r="P61" s="4"/>
      <c r="Q61" s="4"/>
      <c r="R61" s="4"/>
      <c r="S61" s="4"/>
      <c r="T61" s="4"/>
      <c r="U61" s="4"/>
      <c r="V61" s="4"/>
      <c r="W61" s="4"/>
      <c r="X61" s="4"/>
    </row>
    <row r="62" ht="15.75" customHeight="1">
      <c r="A62" s="4"/>
      <c r="B62" s="4"/>
      <c r="C62" s="4"/>
      <c r="D62" s="4"/>
      <c r="E62" s="4"/>
      <c r="F62" s="4"/>
      <c r="G62" s="4"/>
      <c r="H62" s="4"/>
      <c r="I62" s="4"/>
      <c r="J62" s="4"/>
      <c r="K62" s="4"/>
      <c r="L62" s="4"/>
      <c r="M62" s="4"/>
      <c r="N62" s="4"/>
      <c r="O62" s="4"/>
      <c r="P62" s="4"/>
      <c r="Q62" s="4"/>
      <c r="R62" s="4"/>
      <c r="S62" s="4"/>
      <c r="T62" s="4"/>
      <c r="U62" s="4"/>
      <c r="V62" s="4"/>
      <c r="W62" s="4"/>
      <c r="X62" s="4"/>
    </row>
    <row r="63" ht="15.75" customHeight="1">
      <c r="A63" s="4"/>
      <c r="B63" s="4"/>
      <c r="C63" s="4"/>
      <c r="D63" s="4"/>
      <c r="E63" s="4"/>
      <c r="F63" s="4"/>
      <c r="G63" s="4"/>
      <c r="H63" s="4"/>
      <c r="I63" s="4"/>
      <c r="J63" s="4"/>
      <c r="K63" s="4"/>
      <c r="L63" s="4"/>
      <c r="M63" s="4"/>
      <c r="N63" s="4"/>
      <c r="O63" s="4"/>
      <c r="P63" s="4"/>
      <c r="Q63" s="4"/>
      <c r="R63" s="4"/>
      <c r="S63" s="4"/>
      <c r="T63" s="4"/>
      <c r="U63" s="4"/>
      <c r="V63" s="4"/>
      <c r="W63" s="4"/>
      <c r="X63" s="4"/>
    </row>
    <row r="64" ht="15.75" customHeight="1">
      <c r="A64" s="4"/>
      <c r="B64" s="4"/>
      <c r="C64" s="4"/>
      <c r="D64" s="4"/>
      <c r="E64" s="4"/>
      <c r="F64" s="4"/>
      <c r="G64" s="4"/>
      <c r="H64" s="4"/>
      <c r="I64" s="4"/>
      <c r="J64" s="4"/>
      <c r="K64" s="4"/>
      <c r="L64" s="4"/>
      <c r="M64" s="4"/>
      <c r="N64" s="4"/>
      <c r="O64" s="4"/>
      <c r="P64" s="4"/>
      <c r="Q64" s="4"/>
      <c r="R64" s="4"/>
      <c r="S64" s="4"/>
      <c r="T64" s="4"/>
      <c r="U64" s="4"/>
      <c r="V64" s="4"/>
      <c r="W64" s="4"/>
      <c r="X64" s="4"/>
    </row>
    <row r="65" ht="15.75" customHeight="1">
      <c r="A65" s="4"/>
      <c r="B65" s="4"/>
      <c r="C65" s="4"/>
      <c r="D65" s="4"/>
      <c r="E65" s="4"/>
      <c r="F65" s="4"/>
      <c r="G65" s="4"/>
      <c r="H65" s="4"/>
      <c r="I65" s="4"/>
      <c r="J65" s="4"/>
      <c r="K65" s="4"/>
      <c r="L65" s="4"/>
      <c r="M65" s="4"/>
      <c r="N65" s="4"/>
      <c r="O65" s="4"/>
      <c r="P65" s="4"/>
      <c r="Q65" s="4"/>
      <c r="R65" s="4"/>
      <c r="S65" s="4"/>
      <c r="T65" s="4"/>
      <c r="U65" s="4"/>
      <c r="V65" s="4"/>
      <c r="W65" s="4"/>
      <c r="X65" s="4"/>
    </row>
    <row r="66" ht="15.75" customHeight="1">
      <c r="A66" s="4"/>
      <c r="B66" s="4"/>
      <c r="C66" s="4"/>
      <c r="D66" s="4"/>
      <c r="E66" s="4"/>
      <c r="F66" s="4"/>
      <c r="G66" s="4"/>
      <c r="H66" s="4"/>
      <c r="I66" s="4"/>
      <c r="J66" s="4"/>
      <c r="K66" s="4"/>
      <c r="L66" s="4"/>
      <c r="M66" s="4"/>
      <c r="N66" s="4"/>
      <c r="O66" s="4"/>
      <c r="P66" s="4"/>
      <c r="Q66" s="4"/>
      <c r="R66" s="4"/>
      <c r="S66" s="4"/>
      <c r="T66" s="4"/>
      <c r="U66" s="4"/>
      <c r="V66" s="4"/>
      <c r="W66" s="4"/>
      <c r="X66" s="4"/>
    </row>
    <row r="67" ht="15.75" customHeight="1">
      <c r="A67" s="4"/>
      <c r="B67" s="4"/>
      <c r="C67" s="4"/>
      <c r="D67" s="4"/>
      <c r="E67" s="4"/>
      <c r="F67" s="4"/>
      <c r="G67" s="4"/>
      <c r="H67" s="4"/>
      <c r="I67" s="4"/>
      <c r="J67" s="4"/>
      <c r="K67" s="4"/>
      <c r="L67" s="4"/>
      <c r="M67" s="4"/>
      <c r="N67" s="4"/>
      <c r="O67" s="4"/>
      <c r="P67" s="4"/>
      <c r="Q67" s="4"/>
      <c r="R67" s="4"/>
      <c r="S67" s="4"/>
      <c r="T67" s="4"/>
      <c r="U67" s="4"/>
      <c r="V67" s="4"/>
      <c r="W67" s="4"/>
      <c r="X67" s="4"/>
    </row>
    <row r="68" ht="15.75" customHeight="1">
      <c r="A68" s="4"/>
      <c r="B68" s="4"/>
      <c r="C68" s="4"/>
      <c r="D68" s="4"/>
      <c r="E68" s="4"/>
      <c r="F68" s="4"/>
      <c r="G68" s="4"/>
      <c r="H68" s="4"/>
      <c r="I68" s="4"/>
      <c r="J68" s="4"/>
      <c r="K68" s="4"/>
      <c r="L68" s="4"/>
      <c r="M68" s="4"/>
      <c r="N68" s="4"/>
      <c r="O68" s="4"/>
      <c r="P68" s="4"/>
      <c r="Q68" s="4"/>
      <c r="R68" s="4"/>
      <c r="S68" s="4"/>
      <c r="T68" s="4"/>
      <c r="U68" s="4"/>
      <c r="V68" s="4"/>
      <c r="W68" s="4"/>
      <c r="X68" s="4"/>
    </row>
    <row r="69" ht="15.75" customHeight="1">
      <c r="A69" s="4"/>
      <c r="B69" s="4"/>
      <c r="C69" s="4"/>
      <c r="D69" s="4"/>
      <c r="E69" s="4"/>
      <c r="F69" s="4"/>
      <c r="G69" s="4"/>
      <c r="H69" s="4"/>
      <c r="I69" s="4"/>
      <c r="J69" s="4"/>
      <c r="K69" s="4"/>
      <c r="L69" s="4"/>
      <c r="M69" s="4"/>
      <c r="N69" s="4"/>
      <c r="O69" s="4"/>
      <c r="P69" s="4"/>
      <c r="Q69" s="4"/>
      <c r="R69" s="4"/>
      <c r="S69" s="4"/>
      <c r="T69" s="4"/>
      <c r="U69" s="4"/>
      <c r="V69" s="4"/>
      <c r="W69" s="4"/>
      <c r="X69" s="4"/>
    </row>
    <row r="70" ht="15.75" customHeight="1">
      <c r="A70" s="4"/>
      <c r="B70" s="4"/>
      <c r="C70" s="4"/>
      <c r="D70" s="4"/>
      <c r="E70" s="4"/>
      <c r="F70" s="4"/>
      <c r="G70" s="4"/>
      <c r="H70" s="4"/>
      <c r="I70" s="4"/>
      <c r="J70" s="4"/>
      <c r="K70" s="4"/>
      <c r="L70" s="4"/>
      <c r="M70" s="4"/>
      <c r="N70" s="4"/>
      <c r="O70" s="4"/>
      <c r="P70" s="4"/>
      <c r="Q70" s="4"/>
      <c r="R70" s="4"/>
      <c r="S70" s="4"/>
      <c r="T70" s="4"/>
      <c r="U70" s="4"/>
      <c r="V70" s="4"/>
      <c r="W70" s="4"/>
      <c r="X70" s="4"/>
    </row>
    <row r="71" ht="15.75" customHeight="1">
      <c r="A71" s="4"/>
      <c r="B71" s="4"/>
      <c r="C71" s="4"/>
      <c r="D71" s="4"/>
      <c r="E71" s="4"/>
      <c r="F71" s="4"/>
      <c r="G71" s="4"/>
      <c r="H71" s="4"/>
      <c r="I71" s="4"/>
      <c r="J71" s="4"/>
      <c r="K71" s="4"/>
      <c r="L71" s="4"/>
      <c r="M71" s="4"/>
      <c r="N71" s="4"/>
      <c r="O71" s="4"/>
      <c r="P71" s="4"/>
      <c r="Q71" s="4"/>
      <c r="R71" s="4"/>
      <c r="S71" s="4"/>
      <c r="T71" s="4"/>
      <c r="U71" s="4"/>
      <c r="V71" s="4"/>
      <c r="W71" s="4"/>
      <c r="X71" s="4"/>
    </row>
    <row r="72" ht="15.75" customHeight="1">
      <c r="A72" s="4"/>
      <c r="B72" s="4"/>
      <c r="C72" s="4"/>
      <c r="D72" s="4"/>
      <c r="E72" s="4"/>
      <c r="F72" s="4"/>
      <c r="G72" s="4"/>
      <c r="H72" s="4"/>
      <c r="I72" s="4"/>
      <c r="J72" s="4"/>
      <c r="K72" s="4"/>
      <c r="L72" s="4"/>
      <c r="M72" s="4"/>
      <c r="N72" s="4"/>
      <c r="O72" s="4"/>
      <c r="P72" s="4"/>
      <c r="Q72" s="4"/>
      <c r="R72" s="4"/>
      <c r="S72" s="4"/>
      <c r="T72" s="4"/>
      <c r="U72" s="4"/>
      <c r="V72" s="4"/>
      <c r="W72" s="4"/>
      <c r="X72" s="4"/>
    </row>
    <row r="73" ht="15.75" customHeight="1">
      <c r="A73" s="4"/>
      <c r="B73" s="4"/>
      <c r="C73" s="4"/>
      <c r="D73" s="4"/>
      <c r="E73" s="4"/>
      <c r="F73" s="4"/>
      <c r="G73" s="4"/>
      <c r="H73" s="4"/>
      <c r="I73" s="4"/>
      <c r="J73" s="4"/>
      <c r="K73" s="4"/>
      <c r="L73" s="4"/>
      <c r="M73" s="4"/>
      <c r="N73" s="4"/>
      <c r="O73" s="4"/>
      <c r="P73" s="4"/>
      <c r="Q73" s="4"/>
      <c r="R73" s="4"/>
      <c r="S73" s="4"/>
      <c r="T73" s="4"/>
      <c r="U73" s="4"/>
      <c r="V73" s="4"/>
      <c r="W73" s="4"/>
      <c r="X73" s="4"/>
    </row>
    <row r="74" ht="15.75" customHeight="1">
      <c r="A74" s="4"/>
      <c r="B74" s="4"/>
      <c r="C74" s="4"/>
      <c r="D74" s="4"/>
      <c r="E74" s="4"/>
      <c r="F74" s="4"/>
      <c r="G74" s="4"/>
      <c r="H74" s="4"/>
      <c r="I74" s="4"/>
      <c r="J74" s="4"/>
      <c r="K74" s="4"/>
      <c r="L74" s="4"/>
      <c r="M74" s="4"/>
      <c r="N74" s="4"/>
      <c r="O74" s="4"/>
      <c r="P74" s="4"/>
      <c r="Q74" s="4"/>
      <c r="R74" s="4"/>
      <c r="S74" s="4"/>
      <c r="T74" s="4"/>
      <c r="U74" s="4"/>
      <c r="V74" s="4"/>
      <c r="W74" s="4"/>
      <c r="X74" s="4"/>
    </row>
    <row r="75" ht="15.75" customHeight="1">
      <c r="A75" s="4"/>
      <c r="B75" s="4"/>
      <c r="C75" s="4"/>
      <c r="D75" s="4"/>
      <c r="E75" s="4"/>
      <c r="F75" s="4"/>
      <c r="G75" s="4"/>
      <c r="H75" s="4"/>
      <c r="I75" s="4"/>
      <c r="J75" s="4"/>
      <c r="K75" s="4"/>
      <c r="L75" s="4"/>
      <c r="M75" s="4"/>
      <c r="N75" s="4"/>
      <c r="O75" s="4"/>
      <c r="P75" s="4"/>
      <c r="Q75" s="4"/>
      <c r="R75" s="4"/>
      <c r="S75" s="4"/>
      <c r="T75" s="4"/>
      <c r="U75" s="4"/>
      <c r="V75" s="4"/>
      <c r="W75" s="4"/>
      <c r="X75" s="4"/>
    </row>
    <row r="76" ht="15.75" customHeight="1">
      <c r="A76" s="4"/>
      <c r="B76" s="4"/>
      <c r="C76" s="4"/>
      <c r="D76" s="4"/>
      <c r="E76" s="4"/>
      <c r="F76" s="4"/>
      <c r="G76" s="4"/>
      <c r="H76" s="4"/>
      <c r="I76" s="4"/>
      <c r="J76" s="4"/>
      <c r="K76" s="4"/>
      <c r="L76" s="4"/>
      <c r="M76" s="4"/>
      <c r="N76" s="4"/>
      <c r="O76" s="4"/>
      <c r="P76" s="4"/>
      <c r="Q76" s="4"/>
      <c r="R76" s="4"/>
      <c r="S76" s="4"/>
      <c r="T76" s="4"/>
      <c r="U76" s="4"/>
      <c r="V76" s="4"/>
      <c r="W76" s="4"/>
      <c r="X76" s="4"/>
    </row>
    <row r="77" ht="15.75" customHeight="1">
      <c r="A77" s="4"/>
      <c r="B77" s="4"/>
      <c r="C77" s="4"/>
      <c r="D77" s="4"/>
      <c r="E77" s="4"/>
      <c r="F77" s="4"/>
      <c r="G77" s="4"/>
      <c r="H77" s="4"/>
      <c r="I77" s="4"/>
      <c r="J77" s="4"/>
      <c r="K77" s="4"/>
      <c r="L77" s="4"/>
      <c r="M77" s="4"/>
      <c r="N77" s="4"/>
      <c r="O77" s="4"/>
      <c r="P77" s="4"/>
      <c r="Q77" s="4"/>
      <c r="R77" s="4"/>
      <c r="S77" s="4"/>
      <c r="T77" s="4"/>
      <c r="U77" s="4"/>
      <c r="V77" s="4"/>
      <c r="W77" s="4"/>
      <c r="X77" s="4"/>
    </row>
    <row r="78" ht="15.75" customHeight="1">
      <c r="A78" s="4"/>
      <c r="B78" s="4"/>
      <c r="C78" s="4"/>
      <c r="D78" s="4"/>
      <c r="E78" s="4"/>
      <c r="F78" s="4"/>
      <c r="G78" s="4"/>
      <c r="H78" s="4"/>
      <c r="I78" s="4"/>
      <c r="J78" s="4"/>
      <c r="K78" s="4"/>
      <c r="L78" s="4"/>
      <c r="M78" s="4"/>
      <c r="N78" s="4"/>
      <c r="O78" s="4"/>
      <c r="P78" s="4"/>
      <c r="Q78" s="4"/>
      <c r="R78" s="4"/>
      <c r="S78" s="4"/>
      <c r="T78" s="4"/>
      <c r="U78" s="4"/>
      <c r="V78" s="4"/>
      <c r="W78" s="4"/>
      <c r="X78" s="4"/>
    </row>
    <row r="79" ht="15.75" customHeight="1">
      <c r="A79" s="4"/>
      <c r="B79" s="4"/>
      <c r="C79" s="4"/>
      <c r="D79" s="4"/>
      <c r="E79" s="4"/>
      <c r="F79" s="4"/>
      <c r="G79" s="4"/>
      <c r="H79" s="4"/>
      <c r="I79" s="4"/>
      <c r="J79" s="4"/>
      <c r="K79" s="4"/>
      <c r="L79" s="4"/>
      <c r="M79" s="4"/>
      <c r="N79" s="4"/>
      <c r="O79" s="4"/>
      <c r="P79" s="4"/>
      <c r="Q79" s="4"/>
      <c r="R79" s="4"/>
      <c r="S79" s="4"/>
      <c r="T79" s="4"/>
      <c r="U79" s="4"/>
      <c r="V79" s="4"/>
      <c r="W79" s="4"/>
      <c r="X79" s="4"/>
    </row>
    <row r="80" ht="15.75" customHeight="1">
      <c r="A80" s="4"/>
      <c r="B80" s="4"/>
      <c r="C80" s="4"/>
      <c r="D80" s="4"/>
      <c r="E80" s="4"/>
      <c r="F80" s="4"/>
      <c r="G80" s="4"/>
      <c r="H80" s="4"/>
      <c r="I80" s="4"/>
      <c r="J80" s="4"/>
      <c r="K80" s="4"/>
      <c r="L80" s="4"/>
      <c r="M80" s="4"/>
      <c r="N80" s="4"/>
      <c r="O80" s="4"/>
      <c r="P80" s="4"/>
      <c r="Q80" s="4"/>
      <c r="R80" s="4"/>
      <c r="S80" s="4"/>
      <c r="T80" s="4"/>
      <c r="U80" s="4"/>
      <c r="V80" s="4"/>
      <c r="W80" s="4"/>
      <c r="X80" s="4"/>
    </row>
    <row r="81" ht="15.75" customHeight="1">
      <c r="A81" s="4"/>
      <c r="B81" s="4"/>
      <c r="C81" s="4"/>
      <c r="D81" s="4"/>
      <c r="E81" s="4"/>
      <c r="F81" s="4"/>
      <c r="G81" s="4"/>
      <c r="H81" s="4"/>
      <c r="I81" s="4"/>
      <c r="J81" s="4"/>
      <c r="K81" s="4"/>
      <c r="L81" s="4"/>
      <c r="M81" s="4"/>
      <c r="N81" s="4"/>
      <c r="O81" s="4"/>
      <c r="P81" s="4"/>
      <c r="Q81" s="4"/>
      <c r="R81" s="4"/>
      <c r="S81" s="4"/>
      <c r="T81" s="4"/>
      <c r="U81" s="4"/>
      <c r="V81" s="4"/>
      <c r="W81" s="4"/>
      <c r="X81" s="4"/>
    </row>
    <row r="82" ht="15.75" customHeight="1">
      <c r="A82" s="4"/>
      <c r="B82" s="4"/>
      <c r="C82" s="4"/>
      <c r="D82" s="4"/>
      <c r="E82" s="4"/>
      <c r="F82" s="4"/>
      <c r="G82" s="4"/>
      <c r="H82" s="4"/>
      <c r="I82" s="4"/>
      <c r="J82" s="4"/>
      <c r="K82" s="4"/>
      <c r="L82" s="4"/>
      <c r="M82" s="4"/>
      <c r="N82" s="4"/>
      <c r="O82" s="4"/>
      <c r="P82" s="4"/>
      <c r="Q82" s="4"/>
      <c r="R82" s="4"/>
      <c r="S82" s="4"/>
      <c r="T82" s="4"/>
      <c r="U82" s="4"/>
      <c r="V82" s="4"/>
      <c r="W82" s="4"/>
      <c r="X82" s="4"/>
    </row>
    <row r="83" ht="15.75" customHeight="1">
      <c r="A83" s="4"/>
      <c r="B83" s="4"/>
      <c r="C83" s="4"/>
      <c r="D83" s="4"/>
      <c r="E83" s="4"/>
      <c r="F83" s="4"/>
      <c r="G83" s="4"/>
      <c r="H83" s="4"/>
      <c r="I83" s="4"/>
      <c r="J83" s="4"/>
      <c r="K83" s="4"/>
      <c r="L83" s="4"/>
      <c r="M83" s="4"/>
      <c r="N83" s="4"/>
      <c r="O83" s="4"/>
      <c r="P83" s="4"/>
      <c r="Q83" s="4"/>
      <c r="R83" s="4"/>
      <c r="S83" s="4"/>
      <c r="T83" s="4"/>
      <c r="U83" s="4"/>
      <c r="V83" s="4"/>
      <c r="W83" s="4"/>
      <c r="X83" s="4"/>
    </row>
    <row r="84" ht="15.75" customHeight="1">
      <c r="A84" s="4"/>
      <c r="B84" s="4"/>
      <c r="C84" s="4"/>
      <c r="D84" s="4"/>
      <c r="E84" s="4"/>
      <c r="F84" s="4"/>
      <c r="G84" s="4"/>
      <c r="H84" s="4"/>
      <c r="I84" s="4"/>
      <c r="J84" s="4"/>
      <c r="K84" s="4"/>
      <c r="L84" s="4"/>
      <c r="M84" s="4"/>
      <c r="N84" s="4"/>
      <c r="O84" s="4"/>
      <c r="P84" s="4"/>
      <c r="Q84" s="4"/>
      <c r="R84" s="4"/>
      <c r="S84" s="4"/>
      <c r="T84" s="4"/>
      <c r="U84" s="4"/>
      <c r="V84" s="4"/>
      <c r="W84" s="4"/>
      <c r="X84" s="4"/>
    </row>
    <row r="85" ht="15.75" customHeight="1">
      <c r="A85" s="4"/>
      <c r="B85" s="4"/>
      <c r="C85" s="4"/>
      <c r="D85" s="4"/>
      <c r="E85" s="4"/>
      <c r="F85" s="4"/>
      <c r="G85" s="4"/>
      <c r="H85" s="4"/>
      <c r="I85" s="4"/>
      <c r="J85" s="4"/>
      <c r="K85" s="4"/>
      <c r="L85" s="4"/>
      <c r="M85" s="4"/>
      <c r="N85" s="4"/>
      <c r="O85" s="4"/>
      <c r="P85" s="4"/>
      <c r="Q85" s="4"/>
      <c r="R85" s="4"/>
      <c r="S85" s="4"/>
      <c r="T85" s="4"/>
      <c r="U85" s="4"/>
      <c r="V85" s="4"/>
      <c r="W85" s="4"/>
      <c r="X85" s="4"/>
    </row>
    <row r="86" ht="15.75" customHeight="1">
      <c r="A86" s="4"/>
      <c r="B86" s="4"/>
      <c r="C86" s="4"/>
      <c r="D86" s="4"/>
      <c r="E86" s="4"/>
      <c r="F86" s="4"/>
      <c r="G86" s="4"/>
      <c r="H86" s="4"/>
      <c r="I86" s="4"/>
      <c r="J86" s="4"/>
      <c r="K86" s="4"/>
      <c r="L86" s="4"/>
      <c r="M86" s="4"/>
      <c r="N86" s="4"/>
      <c r="O86" s="4"/>
      <c r="P86" s="4"/>
      <c r="Q86" s="4"/>
      <c r="R86" s="4"/>
      <c r="S86" s="4"/>
      <c r="T86" s="4"/>
      <c r="U86" s="4"/>
      <c r="V86" s="4"/>
      <c r="W86" s="4"/>
      <c r="X86" s="4"/>
    </row>
    <row r="87" ht="15.75" customHeight="1">
      <c r="A87" s="4"/>
      <c r="B87" s="4"/>
      <c r="C87" s="4"/>
      <c r="D87" s="4"/>
      <c r="E87" s="4"/>
      <c r="F87" s="4"/>
      <c r="G87" s="4"/>
      <c r="H87" s="4"/>
      <c r="I87" s="4"/>
      <c r="J87" s="4"/>
      <c r="K87" s="4"/>
      <c r="L87" s="4"/>
      <c r="M87" s="4"/>
      <c r="N87" s="4"/>
      <c r="O87" s="4"/>
      <c r="P87" s="4"/>
      <c r="Q87" s="4"/>
      <c r="R87" s="4"/>
      <c r="S87" s="4"/>
      <c r="T87" s="4"/>
      <c r="U87" s="4"/>
      <c r="V87" s="4"/>
      <c r="W87" s="4"/>
      <c r="X87" s="4"/>
    </row>
    <row r="88" ht="15.75" customHeight="1">
      <c r="A88" s="4"/>
      <c r="B88" s="4"/>
      <c r="C88" s="4"/>
      <c r="D88" s="4"/>
      <c r="E88" s="4"/>
      <c r="F88" s="4"/>
      <c r="G88" s="4"/>
      <c r="H88" s="4"/>
      <c r="I88" s="4"/>
      <c r="J88" s="4"/>
      <c r="K88" s="4"/>
      <c r="L88" s="4"/>
      <c r="M88" s="4"/>
      <c r="N88" s="4"/>
      <c r="O88" s="4"/>
      <c r="P88" s="4"/>
      <c r="Q88" s="4"/>
      <c r="R88" s="4"/>
      <c r="S88" s="4"/>
      <c r="T88" s="4"/>
      <c r="U88" s="4"/>
      <c r="V88" s="4"/>
      <c r="W88" s="4"/>
      <c r="X88" s="4"/>
    </row>
    <row r="89" ht="15.75" customHeight="1">
      <c r="A89" s="4"/>
      <c r="B89" s="4"/>
      <c r="C89" s="4"/>
      <c r="D89" s="4"/>
      <c r="E89" s="4"/>
      <c r="F89" s="4"/>
      <c r="G89" s="4"/>
      <c r="H89" s="4"/>
      <c r="I89" s="4"/>
      <c r="J89" s="4"/>
      <c r="K89" s="4"/>
      <c r="L89" s="4"/>
      <c r="M89" s="4"/>
      <c r="N89" s="4"/>
      <c r="O89" s="4"/>
      <c r="P89" s="4"/>
      <c r="Q89" s="4"/>
      <c r="R89" s="4"/>
      <c r="S89" s="4"/>
      <c r="T89" s="4"/>
      <c r="U89" s="4"/>
      <c r="V89" s="4"/>
      <c r="W89" s="4"/>
      <c r="X89" s="4"/>
    </row>
    <row r="90" ht="15.75" customHeight="1">
      <c r="A90" s="4"/>
      <c r="B90" s="4"/>
      <c r="C90" s="4"/>
      <c r="D90" s="4"/>
      <c r="E90" s="4"/>
      <c r="F90" s="4"/>
      <c r="G90" s="4"/>
      <c r="H90" s="4"/>
      <c r="I90" s="4"/>
      <c r="J90" s="4"/>
      <c r="K90" s="4"/>
      <c r="L90" s="4"/>
      <c r="M90" s="4"/>
      <c r="N90" s="4"/>
      <c r="O90" s="4"/>
      <c r="P90" s="4"/>
      <c r="Q90" s="4"/>
      <c r="R90" s="4"/>
      <c r="S90" s="4"/>
      <c r="T90" s="4"/>
      <c r="U90" s="4"/>
      <c r="V90" s="4"/>
      <c r="W90" s="4"/>
      <c r="X90" s="4"/>
    </row>
    <row r="91" ht="15.75" customHeight="1">
      <c r="A91" s="4"/>
      <c r="B91" s="4"/>
      <c r="C91" s="4"/>
      <c r="D91" s="4"/>
      <c r="E91" s="4"/>
      <c r="F91" s="4"/>
      <c r="G91" s="4"/>
      <c r="H91" s="4"/>
      <c r="I91" s="4"/>
      <c r="J91" s="4"/>
      <c r="K91" s="4"/>
      <c r="L91" s="4"/>
      <c r="M91" s="4"/>
      <c r="N91" s="4"/>
      <c r="O91" s="4"/>
      <c r="P91" s="4"/>
      <c r="Q91" s="4"/>
      <c r="R91" s="4"/>
      <c r="S91" s="4"/>
      <c r="T91" s="4"/>
      <c r="U91" s="4"/>
      <c r="V91" s="4"/>
      <c r="W91" s="4"/>
      <c r="X91" s="4"/>
    </row>
    <row r="92" ht="15.75" customHeight="1">
      <c r="A92" s="4"/>
      <c r="B92" s="4"/>
      <c r="C92" s="4"/>
      <c r="D92" s="4"/>
      <c r="E92" s="4"/>
      <c r="F92" s="4"/>
      <c r="G92" s="4"/>
      <c r="H92" s="4"/>
      <c r="I92" s="4"/>
      <c r="J92" s="4"/>
      <c r="K92" s="4"/>
      <c r="L92" s="4"/>
      <c r="M92" s="4"/>
      <c r="N92" s="4"/>
      <c r="O92" s="4"/>
      <c r="P92" s="4"/>
      <c r="Q92" s="4"/>
      <c r="R92" s="4"/>
      <c r="S92" s="4"/>
      <c r="T92" s="4"/>
      <c r="U92" s="4"/>
      <c r="V92" s="4"/>
      <c r="W92" s="4"/>
      <c r="X92" s="4"/>
    </row>
    <row r="93" ht="15.75" customHeight="1">
      <c r="A93" s="4"/>
      <c r="B93" s="4"/>
      <c r="C93" s="4"/>
      <c r="D93" s="4"/>
      <c r="E93" s="4"/>
      <c r="F93" s="4"/>
      <c r="G93" s="4"/>
      <c r="H93" s="4"/>
      <c r="I93" s="4"/>
      <c r="J93" s="4"/>
      <c r="K93" s="4"/>
      <c r="L93" s="4"/>
      <c r="M93" s="4"/>
      <c r="N93" s="4"/>
      <c r="O93" s="4"/>
      <c r="P93" s="4"/>
      <c r="Q93" s="4"/>
      <c r="R93" s="4"/>
      <c r="S93" s="4"/>
      <c r="T93" s="4"/>
      <c r="U93" s="4"/>
      <c r="V93" s="4"/>
      <c r="W93" s="4"/>
      <c r="X93" s="4"/>
    </row>
    <row r="94" ht="15.75" customHeight="1">
      <c r="A94" s="4"/>
      <c r="B94" s="4"/>
      <c r="C94" s="4"/>
      <c r="D94" s="4"/>
      <c r="E94" s="4"/>
      <c r="F94" s="4"/>
      <c r="G94" s="4"/>
      <c r="H94" s="4"/>
      <c r="I94" s="4"/>
      <c r="J94" s="4"/>
      <c r="K94" s="4"/>
      <c r="L94" s="4"/>
      <c r="M94" s="4"/>
      <c r="N94" s="4"/>
      <c r="O94" s="4"/>
      <c r="P94" s="4"/>
      <c r="Q94" s="4"/>
      <c r="R94" s="4"/>
      <c r="S94" s="4"/>
      <c r="T94" s="4"/>
      <c r="U94" s="4"/>
      <c r="V94" s="4"/>
      <c r="W94" s="4"/>
      <c r="X94" s="4"/>
    </row>
    <row r="95" ht="15.75" customHeight="1">
      <c r="A95" s="4"/>
      <c r="B95" s="4"/>
      <c r="C95" s="4"/>
      <c r="D95" s="4"/>
      <c r="E95" s="4"/>
      <c r="F95" s="4"/>
      <c r="G95" s="4"/>
      <c r="H95" s="4"/>
      <c r="I95" s="4"/>
      <c r="J95" s="4"/>
      <c r="K95" s="4"/>
      <c r="L95" s="4"/>
      <c r="M95" s="4"/>
      <c r="N95" s="4"/>
      <c r="O95" s="4"/>
      <c r="P95" s="4"/>
      <c r="Q95" s="4"/>
      <c r="R95" s="4"/>
      <c r="S95" s="4"/>
      <c r="T95" s="4"/>
      <c r="U95" s="4"/>
      <c r="V95" s="4"/>
      <c r="W95" s="4"/>
      <c r="X95" s="4"/>
    </row>
    <row r="96" ht="15.75" customHeight="1">
      <c r="A96" s="4"/>
      <c r="B96" s="4"/>
      <c r="C96" s="4"/>
      <c r="D96" s="4"/>
      <c r="E96" s="4"/>
      <c r="F96" s="4"/>
      <c r="G96" s="4"/>
      <c r="H96" s="4"/>
      <c r="I96" s="4"/>
      <c r="J96" s="4"/>
      <c r="K96" s="4"/>
      <c r="L96" s="4"/>
      <c r="M96" s="4"/>
      <c r="N96" s="4"/>
      <c r="O96" s="4"/>
      <c r="P96" s="4"/>
      <c r="Q96" s="4"/>
      <c r="R96" s="4"/>
      <c r="S96" s="4"/>
      <c r="T96" s="4"/>
      <c r="U96" s="4"/>
      <c r="V96" s="4"/>
      <c r="W96" s="4"/>
      <c r="X96" s="4"/>
    </row>
    <row r="97" ht="15.75" customHeight="1">
      <c r="A97" s="4"/>
      <c r="B97" s="4"/>
      <c r="C97" s="4"/>
      <c r="D97" s="4"/>
      <c r="E97" s="4"/>
      <c r="F97" s="4"/>
      <c r="G97" s="4"/>
      <c r="H97" s="4"/>
      <c r="I97" s="4"/>
      <c r="J97" s="4"/>
      <c r="K97" s="4"/>
      <c r="L97" s="4"/>
      <c r="M97" s="4"/>
      <c r="N97" s="4"/>
      <c r="O97" s="4"/>
      <c r="P97" s="4"/>
      <c r="Q97" s="4"/>
      <c r="R97" s="4"/>
      <c r="S97" s="4"/>
      <c r="T97" s="4"/>
      <c r="U97" s="4"/>
      <c r="V97" s="4"/>
      <c r="W97" s="4"/>
      <c r="X97" s="4"/>
    </row>
    <row r="98" ht="15.75" customHeight="1">
      <c r="A98" s="4"/>
      <c r="B98" s="4"/>
      <c r="C98" s="4"/>
      <c r="D98" s="4"/>
      <c r="E98" s="4"/>
      <c r="F98" s="4"/>
      <c r="G98" s="4"/>
      <c r="H98" s="4"/>
      <c r="I98" s="4"/>
      <c r="J98" s="4"/>
      <c r="K98" s="4"/>
      <c r="L98" s="4"/>
      <c r="M98" s="4"/>
      <c r="N98" s="4"/>
      <c r="O98" s="4"/>
      <c r="P98" s="4"/>
      <c r="Q98" s="4"/>
      <c r="R98" s="4"/>
      <c r="S98" s="4"/>
      <c r="T98" s="4"/>
      <c r="U98" s="4"/>
      <c r="V98" s="4"/>
      <c r="W98" s="4"/>
      <c r="X98" s="4"/>
    </row>
    <row r="99" ht="15.75" customHeight="1">
      <c r="A99" s="4"/>
      <c r="B99" s="4"/>
      <c r="C99" s="4"/>
      <c r="D99" s="4"/>
      <c r="E99" s="4"/>
      <c r="F99" s="4"/>
      <c r="G99" s="4"/>
      <c r="H99" s="4"/>
      <c r="I99" s="4"/>
      <c r="J99" s="4"/>
      <c r="K99" s="4"/>
      <c r="L99" s="4"/>
      <c r="M99" s="4"/>
      <c r="N99" s="4"/>
      <c r="O99" s="4"/>
      <c r="P99" s="4"/>
      <c r="Q99" s="4"/>
      <c r="R99" s="4"/>
      <c r="S99" s="4"/>
      <c r="T99" s="4"/>
      <c r="U99" s="4"/>
      <c r="V99" s="4"/>
      <c r="W99" s="4"/>
      <c r="X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row>
    <row r="241" ht="15.75" customHeight="1">
      <c r="A241" s="30"/>
      <c r="B241" s="30"/>
      <c r="C241" s="30"/>
      <c r="D241" s="30"/>
      <c r="E241" s="30"/>
      <c r="F241" s="30"/>
      <c r="G241" s="30"/>
      <c r="H241" s="30"/>
      <c r="I241" s="30"/>
      <c r="J241" s="30"/>
      <c r="K241" s="30"/>
      <c r="L241" s="30"/>
      <c r="M241" s="30"/>
      <c r="N241" s="30"/>
      <c r="O241" s="30"/>
      <c r="P241" s="30"/>
      <c r="Q241" s="30"/>
      <c r="R241" s="30"/>
      <c r="S241" s="30"/>
    </row>
    <row r="242" ht="15.75" customHeight="1">
      <c r="A242" s="30"/>
      <c r="B242" s="30"/>
      <c r="C242" s="30"/>
      <c r="D242" s="30"/>
      <c r="E242" s="30"/>
      <c r="F242" s="30"/>
      <c r="G242" s="30"/>
      <c r="H242" s="30"/>
      <c r="I242" s="30"/>
      <c r="J242" s="30"/>
      <c r="K242" s="30"/>
      <c r="L242" s="30"/>
      <c r="M242" s="30"/>
      <c r="N242" s="30"/>
      <c r="O242" s="30"/>
      <c r="P242" s="30"/>
      <c r="Q242" s="30"/>
      <c r="R242" s="30"/>
      <c r="S242" s="30"/>
    </row>
    <row r="243" ht="15.75" customHeight="1">
      <c r="A243" s="30"/>
      <c r="B243" s="30"/>
      <c r="C243" s="30"/>
      <c r="D243" s="30"/>
      <c r="E243" s="30"/>
      <c r="F243" s="30"/>
      <c r="G243" s="30"/>
      <c r="H243" s="30"/>
      <c r="I243" s="30"/>
      <c r="J243" s="30"/>
      <c r="K243" s="30"/>
      <c r="L243" s="30"/>
      <c r="M243" s="30"/>
      <c r="N243" s="30"/>
      <c r="O243" s="30"/>
      <c r="P243" s="30"/>
      <c r="Q243" s="30"/>
      <c r="R243" s="30"/>
      <c r="S243" s="30"/>
    </row>
    <row r="244" ht="15.75" customHeight="1">
      <c r="A244" s="30"/>
      <c r="B244" s="30"/>
      <c r="C244" s="30"/>
      <c r="D244" s="30"/>
      <c r="E244" s="30"/>
      <c r="F244" s="30"/>
      <c r="G244" s="30"/>
      <c r="H244" s="30"/>
      <c r="I244" s="30"/>
      <c r="J244" s="30"/>
      <c r="K244" s="30"/>
      <c r="L244" s="30"/>
      <c r="M244" s="30"/>
      <c r="N244" s="30"/>
      <c r="O244" s="30"/>
      <c r="P244" s="30"/>
      <c r="Q244" s="30"/>
      <c r="R244" s="30"/>
      <c r="S244" s="30"/>
    </row>
    <row r="245" ht="15.75" customHeight="1">
      <c r="A245" s="30"/>
      <c r="B245" s="30"/>
      <c r="C245" s="30"/>
      <c r="D245" s="30"/>
      <c r="E245" s="30"/>
      <c r="F245" s="30"/>
      <c r="G245" s="30"/>
      <c r="H245" s="30"/>
      <c r="I245" s="30"/>
      <c r="J245" s="30"/>
      <c r="K245" s="30"/>
      <c r="L245" s="30"/>
      <c r="M245" s="30"/>
      <c r="N245" s="30"/>
      <c r="O245" s="30"/>
      <c r="P245" s="30"/>
      <c r="Q245" s="30"/>
      <c r="R245" s="30"/>
      <c r="S245" s="30"/>
    </row>
    <row r="246" ht="15.75" customHeight="1">
      <c r="A246" s="30"/>
      <c r="B246" s="30"/>
      <c r="C246" s="30"/>
      <c r="D246" s="30"/>
      <c r="E246" s="30"/>
      <c r="F246" s="30"/>
      <c r="G246" s="30"/>
      <c r="H246" s="30"/>
      <c r="I246" s="30"/>
      <c r="J246" s="30"/>
      <c r="K246" s="30"/>
      <c r="L246" s="30"/>
      <c r="M246" s="30"/>
      <c r="N246" s="30"/>
      <c r="O246" s="30"/>
      <c r="P246" s="30"/>
      <c r="Q246" s="30"/>
      <c r="R246" s="30"/>
      <c r="S246" s="30"/>
    </row>
    <row r="247" ht="15.75" customHeight="1">
      <c r="A247" s="30"/>
      <c r="B247" s="30"/>
      <c r="C247" s="30"/>
      <c r="D247" s="30"/>
      <c r="E247" s="30"/>
      <c r="F247" s="30"/>
      <c r="G247" s="30"/>
      <c r="H247" s="30"/>
      <c r="I247" s="30"/>
      <c r="J247" s="30"/>
      <c r="K247" s="30"/>
      <c r="L247" s="30"/>
      <c r="M247" s="30"/>
      <c r="N247" s="30"/>
      <c r="O247" s="30"/>
      <c r="P247" s="30"/>
      <c r="Q247" s="30"/>
      <c r="R247" s="30"/>
      <c r="S247" s="30"/>
    </row>
    <row r="248" ht="15.75" customHeight="1">
      <c r="A248" s="30"/>
      <c r="B248" s="30"/>
      <c r="C248" s="30"/>
      <c r="D248" s="30"/>
      <c r="E248" s="30"/>
      <c r="F248" s="30"/>
      <c r="G248" s="30"/>
      <c r="H248" s="30"/>
      <c r="I248" s="30"/>
      <c r="J248" s="30"/>
      <c r="K248" s="30"/>
      <c r="L248" s="30"/>
      <c r="M248" s="30"/>
      <c r="N248" s="30"/>
      <c r="O248" s="30"/>
      <c r="P248" s="30"/>
      <c r="Q248" s="30"/>
      <c r="R248" s="30"/>
      <c r="S248" s="30"/>
    </row>
    <row r="249" ht="15.75" customHeight="1">
      <c r="A249" s="30"/>
      <c r="B249" s="30"/>
      <c r="C249" s="30"/>
      <c r="D249" s="30"/>
      <c r="E249" s="30"/>
      <c r="F249" s="30"/>
      <c r="G249" s="30"/>
      <c r="H249" s="30"/>
      <c r="I249" s="30"/>
      <c r="J249" s="30"/>
      <c r="K249" s="30"/>
      <c r="L249" s="30"/>
      <c r="M249" s="30"/>
      <c r="N249" s="30"/>
      <c r="O249" s="30"/>
      <c r="P249" s="30"/>
      <c r="Q249" s="30"/>
      <c r="R249" s="30"/>
      <c r="S249" s="30"/>
    </row>
    <row r="250" ht="15.75" customHeight="1">
      <c r="A250" s="30"/>
      <c r="B250" s="30"/>
      <c r="C250" s="30"/>
      <c r="D250" s="30"/>
      <c r="E250" s="30"/>
      <c r="F250" s="30"/>
      <c r="G250" s="30"/>
      <c r="H250" s="30"/>
      <c r="I250" s="30"/>
      <c r="J250" s="30"/>
      <c r="K250" s="30"/>
      <c r="L250" s="30"/>
      <c r="M250" s="30"/>
      <c r="N250" s="30"/>
      <c r="O250" s="30"/>
      <c r="P250" s="30"/>
      <c r="Q250" s="30"/>
      <c r="R250" s="30"/>
      <c r="S250" s="30"/>
    </row>
    <row r="251" ht="15.75" customHeight="1">
      <c r="A251" s="30"/>
      <c r="B251" s="30"/>
      <c r="C251" s="30"/>
      <c r="D251" s="30"/>
      <c r="E251" s="30"/>
      <c r="F251" s="30"/>
      <c r="G251" s="30"/>
      <c r="H251" s="30"/>
      <c r="I251" s="30"/>
      <c r="J251" s="30"/>
      <c r="K251" s="30"/>
      <c r="L251" s="30"/>
      <c r="M251" s="30"/>
      <c r="N251" s="30"/>
      <c r="O251" s="30"/>
      <c r="P251" s="30"/>
      <c r="Q251" s="30"/>
      <c r="R251" s="30"/>
      <c r="S251" s="30"/>
    </row>
    <row r="252" ht="15.75" customHeight="1">
      <c r="A252" s="30"/>
      <c r="B252" s="30"/>
      <c r="C252" s="30"/>
      <c r="D252" s="30"/>
      <c r="E252" s="30"/>
      <c r="F252" s="30"/>
      <c r="G252" s="30"/>
      <c r="H252" s="30"/>
      <c r="I252" s="30"/>
      <c r="J252" s="30"/>
      <c r="K252" s="30"/>
      <c r="L252" s="30"/>
      <c r="M252" s="30"/>
      <c r="N252" s="30"/>
      <c r="O252" s="30"/>
      <c r="P252" s="30"/>
      <c r="Q252" s="30"/>
      <c r="R252" s="30"/>
      <c r="S252" s="30"/>
    </row>
    <row r="253" ht="15.75" customHeight="1">
      <c r="A253" s="30"/>
      <c r="B253" s="30"/>
      <c r="C253" s="30"/>
      <c r="D253" s="30"/>
      <c r="E253" s="30"/>
      <c r="F253" s="30"/>
      <c r="G253" s="30"/>
      <c r="H253" s="30"/>
      <c r="I253" s="30"/>
      <c r="J253" s="30"/>
      <c r="K253" s="30"/>
      <c r="L253" s="30"/>
      <c r="M253" s="30"/>
      <c r="N253" s="30"/>
      <c r="O253" s="30"/>
      <c r="P253" s="30"/>
      <c r="Q253" s="30"/>
      <c r="R253" s="30"/>
      <c r="S253" s="30"/>
    </row>
    <row r="254" ht="15.75" customHeight="1">
      <c r="A254" s="30"/>
      <c r="B254" s="30"/>
      <c r="C254" s="30"/>
      <c r="D254" s="30"/>
      <c r="E254" s="30"/>
      <c r="F254" s="30"/>
      <c r="G254" s="30"/>
      <c r="H254" s="30"/>
      <c r="I254" s="30"/>
      <c r="J254" s="30"/>
      <c r="K254" s="30"/>
      <c r="L254" s="30"/>
      <c r="M254" s="30"/>
      <c r="N254" s="30"/>
      <c r="O254" s="30"/>
      <c r="P254" s="30"/>
      <c r="Q254" s="30"/>
      <c r="R254" s="30"/>
      <c r="S254" s="30"/>
    </row>
    <row r="255" ht="15.75" customHeight="1">
      <c r="A255" s="30"/>
      <c r="B255" s="30"/>
      <c r="C255" s="30"/>
      <c r="D255" s="30"/>
      <c r="E255" s="30"/>
      <c r="F255" s="30"/>
      <c r="G255" s="30"/>
      <c r="H255" s="30"/>
      <c r="I255" s="30"/>
      <c r="J255" s="30"/>
      <c r="K255" s="30"/>
      <c r="L255" s="30"/>
      <c r="M255" s="30"/>
      <c r="N255" s="30"/>
      <c r="O255" s="30"/>
      <c r="P255" s="30"/>
      <c r="Q255" s="30"/>
      <c r="R255" s="30"/>
      <c r="S255" s="30"/>
    </row>
    <row r="256" ht="15.75" customHeight="1">
      <c r="A256" s="30"/>
      <c r="B256" s="30"/>
      <c r="C256" s="30"/>
      <c r="D256" s="30"/>
      <c r="E256" s="30"/>
      <c r="F256" s="30"/>
      <c r="G256" s="30"/>
      <c r="H256" s="30"/>
      <c r="I256" s="30"/>
      <c r="J256" s="30"/>
      <c r="K256" s="30"/>
      <c r="L256" s="30"/>
      <c r="M256" s="30"/>
      <c r="N256" s="30"/>
      <c r="O256" s="30"/>
      <c r="P256" s="30"/>
      <c r="Q256" s="30"/>
      <c r="R256" s="30"/>
      <c r="S256" s="30"/>
    </row>
    <row r="257" ht="15.75" customHeight="1">
      <c r="A257" s="30"/>
      <c r="B257" s="30"/>
      <c r="C257" s="30"/>
      <c r="D257" s="30"/>
      <c r="E257" s="30"/>
      <c r="F257" s="30"/>
      <c r="G257" s="30"/>
      <c r="H257" s="30"/>
      <c r="I257" s="30"/>
      <c r="J257" s="30"/>
      <c r="K257" s="30"/>
      <c r="L257" s="30"/>
      <c r="M257" s="30"/>
      <c r="N257" s="30"/>
      <c r="O257" s="30"/>
      <c r="P257" s="30"/>
      <c r="Q257" s="30"/>
      <c r="R257" s="30"/>
      <c r="S257" s="30"/>
    </row>
    <row r="258" ht="15.75" customHeight="1">
      <c r="A258" s="30"/>
      <c r="B258" s="30"/>
      <c r="C258" s="30"/>
      <c r="D258" s="30"/>
      <c r="E258" s="30"/>
      <c r="F258" s="30"/>
      <c r="G258" s="30"/>
      <c r="H258" s="30"/>
      <c r="I258" s="30"/>
      <c r="J258" s="30"/>
      <c r="K258" s="30"/>
      <c r="L258" s="30"/>
      <c r="M258" s="30"/>
      <c r="N258" s="30"/>
      <c r="O258" s="30"/>
      <c r="P258" s="30"/>
      <c r="Q258" s="30"/>
      <c r="R258" s="30"/>
      <c r="S258" s="30"/>
    </row>
    <row r="259" ht="15.75" customHeight="1">
      <c r="A259" s="30"/>
      <c r="B259" s="30"/>
      <c r="C259" s="30"/>
      <c r="D259" s="30"/>
      <c r="E259" s="30"/>
      <c r="F259" s="30"/>
      <c r="G259" s="30"/>
      <c r="H259" s="30"/>
      <c r="I259" s="30"/>
      <c r="J259" s="30"/>
      <c r="K259" s="30"/>
      <c r="L259" s="30"/>
      <c r="M259" s="30"/>
      <c r="N259" s="30"/>
      <c r="O259" s="30"/>
      <c r="P259" s="30"/>
      <c r="Q259" s="30"/>
      <c r="R259" s="30"/>
      <c r="S259" s="30"/>
    </row>
    <row r="260" ht="15.75" customHeight="1">
      <c r="A260" s="30"/>
      <c r="B260" s="30"/>
      <c r="C260" s="30"/>
      <c r="D260" s="30"/>
      <c r="E260" s="30"/>
      <c r="F260" s="30"/>
      <c r="G260" s="30"/>
      <c r="H260" s="30"/>
      <c r="I260" s="30"/>
      <c r="J260" s="30"/>
      <c r="K260" s="30"/>
      <c r="L260" s="30"/>
      <c r="M260" s="30"/>
      <c r="N260" s="30"/>
      <c r="O260" s="30"/>
      <c r="P260" s="30"/>
      <c r="Q260" s="30"/>
      <c r="R260" s="30"/>
      <c r="S260" s="30"/>
    </row>
    <row r="261" ht="15.75" customHeight="1">
      <c r="A261" s="30"/>
      <c r="B261" s="30"/>
      <c r="C261" s="30"/>
      <c r="D261" s="30"/>
      <c r="E261" s="30"/>
      <c r="F261" s="30"/>
      <c r="G261" s="30"/>
      <c r="H261" s="30"/>
      <c r="I261" s="30"/>
      <c r="J261" s="30"/>
      <c r="K261" s="30"/>
      <c r="L261" s="30"/>
      <c r="M261" s="30"/>
      <c r="N261" s="30"/>
      <c r="O261" s="30"/>
      <c r="P261" s="30"/>
      <c r="Q261" s="30"/>
      <c r="R261" s="30"/>
      <c r="S261" s="30"/>
    </row>
    <row r="262" ht="15.75" customHeight="1">
      <c r="A262" s="30"/>
      <c r="B262" s="30"/>
      <c r="C262" s="30"/>
      <c r="D262" s="30"/>
      <c r="E262" s="30"/>
      <c r="F262" s="30"/>
      <c r="G262" s="30"/>
      <c r="H262" s="30"/>
      <c r="I262" s="30"/>
      <c r="J262" s="30"/>
      <c r="K262" s="30"/>
      <c r="L262" s="30"/>
      <c r="M262" s="30"/>
      <c r="N262" s="30"/>
      <c r="O262" s="30"/>
      <c r="P262" s="30"/>
      <c r="Q262" s="30"/>
      <c r="R262" s="30"/>
      <c r="S262" s="30"/>
    </row>
    <row r="263" ht="15.75" customHeight="1">
      <c r="A263" s="30"/>
      <c r="B263" s="30"/>
      <c r="C263" s="30"/>
      <c r="D263" s="30"/>
      <c r="E263" s="30"/>
      <c r="F263" s="30"/>
      <c r="G263" s="30"/>
      <c r="H263" s="30"/>
      <c r="I263" s="30"/>
      <c r="J263" s="30"/>
      <c r="K263" s="30"/>
      <c r="L263" s="30"/>
      <c r="M263" s="30"/>
      <c r="N263" s="30"/>
      <c r="O263" s="30"/>
      <c r="P263" s="30"/>
      <c r="Q263" s="30"/>
      <c r="R263" s="30"/>
      <c r="S263" s="30"/>
    </row>
    <row r="264" ht="15.75" customHeight="1">
      <c r="A264" s="30"/>
      <c r="B264" s="30"/>
      <c r="C264" s="30"/>
      <c r="D264" s="30"/>
      <c r="E264" s="30"/>
      <c r="F264" s="30"/>
      <c r="G264" s="30"/>
      <c r="H264" s="30"/>
      <c r="I264" s="30"/>
      <c r="J264" s="30"/>
      <c r="K264" s="30"/>
      <c r="L264" s="30"/>
      <c r="M264" s="30"/>
      <c r="N264" s="30"/>
      <c r="O264" s="30"/>
      <c r="P264" s="30"/>
      <c r="Q264" s="30"/>
      <c r="R264" s="30"/>
      <c r="S264" s="30"/>
    </row>
    <row r="265" ht="15.75" customHeight="1">
      <c r="A265" s="30"/>
      <c r="B265" s="30"/>
      <c r="C265" s="30"/>
      <c r="D265" s="30"/>
      <c r="E265" s="30"/>
      <c r="F265" s="30"/>
      <c r="G265" s="30"/>
      <c r="H265" s="30"/>
      <c r="I265" s="30"/>
      <c r="J265" s="30"/>
      <c r="K265" s="30"/>
      <c r="L265" s="30"/>
      <c r="M265" s="30"/>
      <c r="N265" s="30"/>
      <c r="O265" s="30"/>
      <c r="P265" s="30"/>
      <c r="Q265" s="30"/>
      <c r="R265" s="30"/>
      <c r="S265" s="30"/>
    </row>
    <row r="266" ht="15.75" customHeight="1">
      <c r="A266" s="30"/>
      <c r="B266" s="30"/>
      <c r="C266" s="30"/>
      <c r="D266" s="30"/>
      <c r="E266" s="30"/>
      <c r="F266" s="30"/>
      <c r="G266" s="30"/>
      <c r="H266" s="30"/>
      <c r="I266" s="30"/>
      <c r="J266" s="30"/>
      <c r="K266" s="30"/>
      <c r="L266" s="30"/>
      <c r="M266" s="30"/>
      <c r="N266" s="30"/>
      <c r="O266" s="30"/>
      <c r="P266" s="30"/>
      <c r="Q266" s="30"/>
      <c r="R266" s="30"/>
      <c r="S266" s="30"/>
    </row>
    <row r="267" ht="15.75" customHeight="1">
      <c r="A267" s="30"/>
      <c r="B267" s="30"/>
      <c r="C267" s="30"/>
      <c r="D267" s="30"/>
      <c r="E267" s="30"/>
      <c r="F267" s="30"/>
      <c r="G267" s="30"/>
      <c r="H267" s="30"/>
      <c r="I267" s="30"/>
      <c r="J267" s="30"/>
      <c r="K267" s="30"/>
      <c r="L267" s="30"/>
      <c r="M267" s="30"/>
      <c r="N267" s="30"/>
      <c r="O267" s="30"/>
      <c r="P267" s="30"/>
      <c r="Q267" s="30"/>
      <c r="R267" s="30"/>
      <c r="S267" s="30"/>
    </row>
    <row r="268" ht="15.75" customHeight="1">
      <c r="A268" s="30"/>
      <c r="B268" s="30"/>
      <c r="C268" s="30"/>
      <c r="D268" s="30"/>
      <c r="E268" s="30"/>
      <c r="F268" s="30"/>
      <c r="G268" s="30"/>
      <c r="H268" s="30"/>
      <c r="I268" s="30"/>
      <c r="J268" s="30"/>
      <c r="K268" s="30"/>
      <c r="L268" s="30"/>
      <c r="M268" s="30"/>
      <c r="N268" s="30"/>
      <c r="O268" s="30"/>
      <c r="P268" s="30"/>
      <c r="Q268" s="30"/>
      <c r="R268" s="30"/>
      <c r="S268" s="30"/>
    </row>
    <row r="269" ht="15.75" customHeight="1">
      <c r="A269" s="30"/>
      <c r="B269" s="30"/>
      <c r="C269" s="30"/>
      <c r="D269" s="30"/>
      <c r="E269" s="30"/>
      <c r="F269" s="30"/>
      <c r="G269" s="30"/>
      <c r="H269" s="30"/>
      <c r="I269" s="30"/>
      <c r="J269" s="30"/>
      <c r="K269" s="30"/>
      <c r="L269" s="30"/>
      <c r="M269" s="30"/>
      <c r="N269" s="30"/>
      <c r="O269" s="30"/>
      <c r="P269" s="30"/>
      <c r="Q269" s="30"/>
      <c r="R269" s="30"/>
      <c r="S269" s="30"/>
    </row>
    <row r="270" ht="15.75" customHeight="1">
      <c r="A270" s="30"/>
      <c r="B270" s="30"/>
      <c r="C270" s="30"/>
      <c r="D270" s="30"/>
      <c r="E270" s="30"/>
      <c r="F270" s="30"/>
      <c r="G270" s="30"/>
      <c r="H270" s="30"/>
      <c r="I270" s="30"/>
      <c r="J270" s="30"/>
      <c r="K270" s="30"/>
      <c r="L270" s="30"/>
      <c r="M270" s="30"/>
      <c r="N270" s="30"/>
      <c r="O270" s="30"/>
      <c r="P270" s="30"/>
      <c r="Q270" s="30"/>
      <c r="R270" s="30"/>
      <c r="S270" s="30"/>
    </row>
    <row r="271" ht="15.75" customHeight="1">
      <c r="A271" s="30"/>
      <c r="B271" s="30"/>
      <c r="C271" s="30"/>
      <c r="D271" s="30"/>
      <c r="E271" s="30"/>
      <c r="F271" s="30"/>
      <c r="G271" s="30"/>
      <c r="H271" s="30"/>
      <c r="I271" s="30"/>
      <c r="J271" s="30"/>
      <c r="K271" s="30"/>
      <c r="L271" s="30"/>
      <c r="M271" s="30"/>
      <c r="N271" s="30"/>
      <c r="O271" s="30"/>
      <c r="P271" s="30"/>
      <c r="Q271" s="30"/>
      <c r="R271" s="30"/>
      <c r="S271" s="30"/>
    </row>
    <row r="272" ht="15.75" customHeight="1">
      <c r="A272" s="30"/>
      <c r="B272" s="30"/>
      <c r="C272" s="30"/>
      <c r="D272" s="30"/>
      <c r="E272" s="30"/>
      <c r="F272" s="30"/>
      <c r="G272" s="30"/>
      <c r="H272" s="30"/>
      <c r="I272" s="30"/>
      <c r="J272" s="30"/>
      <c r="K272" s="30"/>
      <c r="L272" s="30"/>
      <c r="M272" s="30"/>
      <c r="N272" s="30"/>
      <c r="O272" s="30"/>
      <c r="P272" s="30"/>
      <c r="Q272" s="30"/>
      <c r="R272" s="30"/>
      <c r="S272" s="30"/>
    </row>
    <row r="273" ht="15.75" customHeight="1">
      <c r="A273" s="30"/>
      <c r="B273" s="30"/>
      <c r="C273" s="30"/>
      <c r="D273" s="30"/>
      <c r="E273" s="30"/>
      <c r="F273" s="30"/>
      <c r="G273" s="30"/>
      <c r="H273" s="30"/>
      <c r="I273" s="30"/>
      <c r="J273" s="30"/>
      <c r="K273" s="30"/>
      <c r="L273" s="30"/>
      <c r="M273" s="30"/>
      <c r="N273" s="30"/>
      <c r="O273" s="30"/>
      <c r="P273" s="30"/>
      <c r="Q273" s="30"/>
      <c r="R273" s="30"/>
      <c r="S273" s="30"/>
    </row>
    <row r="274" ht="15.75" customHeight="1">
      <c r="A274" s="30"/>
      <c r="B274" s="30"/>
      <c r="C274" s="30"/>
      <c r="D274" s="30"/>
      <c r="E274" s="30"/>
      <c r="F274" s="30"/>
      <c r="G274" s="30"/>
      <c r="H274" s="30"/>
      <c r="I274" s="30"/>
      <c r="J274" s="30"/>
      <c r="K274" s="30"/>
      <c r="L274" s="30"/>
      <c r="M274" s="30"/>
      <c r="N274" s="30"/>
      <c r="O274" s="30"/>
      <c r="P274" s="30"/>
      <c r="Q274" s="30"/>
      <c r="R274" s="30"/>
      <c r="S274" s="30"/>
    </row>
    <row r="275" ht="15.75" customHeight="1">
      <c r="A275" s="30"/>
      <c r="B275" s="30"/>
      <c r="C275" s="30"/>
      <c r="D275" s="30"/>
      <c r="E275" s="30"/>
      <c r="F275" s="30"/>
      <c r="G275" s="30"/>
      <c r="H275" s="30"/>
      <c r="I275" s="30"/>
      <c r="J275" s="30"/>
      <c r="K275" s="30"/>
      <c r="L275" s="30"/>
      <c r="M275" s="30"/>
      <c r="N275" s="30"/>
      <c r="O275" s="30"/>
      <c r="P275" s="30"/>
      <c r="Q275" s="30"/>
      <c r="R275" s="30"/>
      <c r="S275" s="30"/>
    </row>
    <row r="276" ht="15.75" customHeight="1">
      <c r="A276" s="30"/>
      <c r="B276" s="30"/>
      <c r="C276" s="30"/>
      <c r="D276" s="30"/>
      <c r="E276" s="30"/>
      <c r="F276" s="30"/>
      <c r="G276" s="30"/>
      <c r="H276" s="30"/>
      <c r="I276" s="30"/>
      <c r="J276" s="30"/>
      <c r="K276" s="30"/>
      <c r="L276" s="30"/>
      <c r="M276" s="30"/>
      <c r="N276" s="30"/>
      <c r="O276" s="30"/>
      <c r="P276" s="30"/>
      <c r="Q276" s="30"/>
      <c r="R276" s="30"/>
      <c r="S276" s="30"/>
    </row>
    <row r="277" ht="15.75" customHeight="1">
      <c r="A277" s="30"/>
      <c r="B277" s="30"/>
      <c r="C277" s="30"/>
      <c r="D277" s="30"/>
      <c r="E277" s="30"/>
      <c r="F277" s="30"/>
      <c r="G277" s="30"/>
      <c r="H277" s="30"/>
      <c r="I277" s="30"/>
      <c r="J277" s="30"/>
      <c r="K277" s="30"/>
      <c r="L277" s="30"/>
      <c r="M277" s="30"/>
      <c r="N277" s="30"/>
      <c r="O277" s="30"/>
      <c r="P277" s="30"/>
      <c r="Q277" s="30"/>
      <c r="R277" s="30"/>
      <c r="S277" s="30"/>
    </row>
    <row r="278" ht="15.75" customHeight="1">
      <c r="A278" s="30"/>
      <c r="B278" s="30"/>
      <c r="C278" s="30"/>
      <c r="D278" s="30"/>
      <c r="E278" s="30"/>
      <c r="F278" s="30"/>
      <c r="G278" s="30"/>
      <c r="H278" s="30"/>
      <c r="I278" s="30"/>
      <c r="J278" s="30"/>
      <c r="K278" s="30"/>
      <c r="L278" s="30"/>
      <c r="M278" s="30"/>
      <c r="N278" s="30"/>
      <c r="O278" s="30"/>
      <c r="P278" s="30"/>
      <c r="Q278" s="30"/>
      <c r="R278" s="30"/>
      <c r="S278" s="30"/>
    </row>
    <row r="279" ht="15.75" customHeight="1">
      <c r="A279" s="30"/>
      <c r="B279" s="30"/>
      <c r="C279" s="30"/>
      <c r="D279" s="30"/>
      <c r="E279" s="30"/>
      <c r="F279" s="30"/>
      <c r="G279" s="30"/>
      <c r="H279" s="30"/>
      <c r="I279" s="30"/>
      <c r="J279" s="30"/>
      <c r="K279" s="30"/>
      <c r="L279" s="30"/>
      <c r="M279" s="30"/>
      <c r="N279" s="30"/>
      <c r="O279" s="30"/>
      <c r="P279" s="30"/>
      <c r="Q279" s="30"/>
      <c r="R279" s="30"/>
      <c r="S279" s="30"/>
    </row>
    <row r="280" ht="15.75" customHeight="1">
      <c r="A280" s="30"/>
      <c r="B280" s="30"/>
      <c r="C280" s="30"/>
      <c r="D280" s="30"/>
      <c r="E280" s="30"/>
      <c r="F280" s="30"/>
      <c r="G280" s="30"/>
      <c r="H280" s="30"/>
      <c r="I280" s="30"/>
      <c r="J280" s="30"/>
      <c r="K280" s="30"/>
      <c r="L280" s="30"/>
      <c r="M280" s="30"/>
      <c r="N280" s="30"/>
      <c r="O280" s="30"/>
      <c r="P280" s="30"/>
      <c r="Q280" s="30"/>
      <c r="R280" s="30"/>
      <c r="S280" s="30"/>
    </row>
    <row r="281" ht="15.75" customHeight="1">
      <c r="A281" s="30"/>
      <c r="B281" s="30"/>
      <c r="C281" s="30"/>
      <c r="D281" s="30"/>
      <c r="E281" s="30"/>
      <c r="F281" s="30"/>
      <c r="G281" s="30"/>
      <c r="H281" s="30"/>
      <c r="I281" s="30"/>
      <c r="J281" s="30"/>
      <c r="K281" s="30"/>
      <c r="L281" s="30"/>
      <c r="M281" s="30"/>
      <c r="N281" s="30"/>
      <c r="O281" s="30"/>
      <c r="P281" s="30"/>
      <c r="Q281" s="30"/>
      <c r="R281" s="30"/>
      <c r="S281" s="30"/>
    </row>
    <row r="282" ht="15.75" customHeight="1">
      <c r="A282" s="30"/>
      <c r="B282" s="30"/>
      <c r="C282" s="30"/>
      <c r="D282" s="30"/>
      <c r="E282" s="30"/>
      <c r="F282" s="30"/>
      <c r="G282" s="30"/>
      <c r="H282" s="30"/>
      <c r="I282" s="30"/>
      <c r="J282" s="30"/>
      <c r="K282" s="30"/>
      <c r="L282" s="30"/>
      <c r="M282" s="30"/>
      <c r="N282" s="30"/>
      <c r="O282" s="30"/>
      <c r="P282" s="30"/>
      <c r="Q282" s="30"/>
      <c r="R282" s="30"/>
      <c r="S282" s="30"/>
    </row>
    <row r="283" ht="15.75" customHeight="1">
      <c r="A283" s="30"/>
      <c r="B283" s="30"/>
      <c r="C283" s="30"/>
      <c r="D283" s="30"/>
      <c r="E283" s="30"/>
      <c r="F283" s="30"/>
      <c r="G283" s="30"/>
      <c r="H283" s="30"/>
      <c r="I283" s="30"/>
      <c r="J283" s="30"/>
      <c r="K283" s="30"/>
      <c r="L283" s="30"/>
      <c r="M283" s="30"/>
      <c r="N283" s="30"/>
      <c r="O283" s="30"/>
      <c r="P283" s="30"/>
      <c r="Q283" s="30"/>
      <c r="R283" s="30"/>
      <c r="S283" s="30"/>
    </row>
    <row r="284" ht="15.75" customHeight="1">
      <c r="A284" s="30"/>
      <c r="B284" s="30"/>
      <c r="C284" s="30"/>
      <c r="D284" s="30"/>
      <c r="E284" s="30"/>
      <c r="F284" s="30"/>
      <c r="G284" s="30"/>
      <c r="H284" s="30"/>
      <c r="I284" s="30"/>
      <c r="J284" s="30"/>
      <c r="K284" s="30"/>
      <c r="L284" s="30"/>
      <c r="M284" s="30"/>
      <c r="N284" s="30"/>
      <c r="O284" s="30"/>
      <c r="P284" s="30"/>
      <c r="Q284" s="30"/>
      <c r="R284" s="30"/>
      <c r="S284" s="30"/>
    </row>
    <row r="285" ht="15.75" customHeight="1">
      <c r="A285" s="30"/>
      <c r="B285" s="30"/>
      <c r="C285" s="30"/>
      <c r="D285" s="30"/>
      <c r="E285" s="30"/>
      <c r="F285" s="30"/>
      <c r="G285" s="30"/>
      <c r="H285" s="30"/>
      <c r="I285" s="30"/>
      <c r="J285" s="30"/>
      <c r="K285" s="30"/>
      <c r="L285" s="30"/>
      <c r="M285" s="30"/>
      <c r="N285" s="30"/>
      <c r="O285" s="30"/>
      <c r="P285" s="30"/>
      <c r="Q285" s="30"/>
      <c r="R285" s="30"/>
      <c r="S285" s="30"/>
    </row>
    <row r="286" ht="15.75" customHeight="1">
      <c r="A286" s="30"/>
      <c r="B286" s="30"/>
      <c r="C286" s="30"/>
      <c r="D286" s="30"/>
      <c r="E286" s="30"/>
      <c r="F286" s="30"/>
      <c r="G286" s="30"/>
      <c r="H286" s="30"/>
      <c r="I286" s="30"/>
      <c r="J286" s="30"/>
      <c r="K286" s="30"/>
      <c r="L286" s="30"/>
      <c r="M286" s="30"/>
      <c r="N286" s="30"/>
      <c r="O286" s="30"/>
      <c r="P286" s="30"/>
      <c r="Q286" s="30"/>
      <c r="R286" s="30"/>
      <c r="S286" s="30"/>
    </row>
    <row r="287" ht="15.75" customHeight="1">
      <c r="A287" s="30"/>
      <c r="B287" s="30"/>
      <c r="C287" s="30"/>
      <c r="D287" s="30"/>
      <c r="E287" s="30"/>
      <c r="F287" s="30"/>
      <c r="G287" s="30"/>
      <c r="H287" s="30"/>
      <c r="I287" s="30"/>
      <c r="J287" s="30"/>
      <c r="K287" s="30"/>
      <c r="L287" s="30"/>
      <c r="M287" s="30"/>
      <c r="N287" s="30"/>
      <c r="O287" s="30"/>
      <c r="P287" s="30"/>
      <c r="Q287" s="30"/>
      <c r="R287" s="30"/>
      <c r="S287" s="30"/>
    </row>
    <row r="288" ht="15.75" customHeight="1">
      <c r="A288" s="30"/>
      <c r="B288" s="30"/>
      <c r="C288" s="30"/>
      <c r="D288" s="30"/>
      <c r="E288" s="30"/>
      <c r="F288" s="30"/>
      <c r="G288" s="30"/>
      <c r="H288" s="30"/>
      <c r="I288" s="30"/>
      <c r="J288" s="30"/>
      <c r="K288" s="30"/>
      <c r="L288" s="30"/>
      <c r="M288" s="30"/>
      <c r="N288" s="30"/>
      <c r="O288" s="30"/>
      <c r="P288" s="30"/>
      <c r="Q288" s="30"/>
      <c r="R288" s="30"/>
      <c r="S288" s="30"/>
    </row>
    <row r="289" ht="15.75" customHeight="1">
      <c r="A289" s="30"/>
      <c r="B289" s="30"/>
      <c r="C289" s="30"/>
      <c r="D289" s="30"/>
      <c r="E289" s="30"/>
      <c r="F289" s="30"/>
      <c r="G289" s="30"/>
      <c r="H289" s="30"/>
      <c r="I289" s="30"/>
      <c r="J289" s="30"/>
      <c r="K289" s="30"/>
      <c r="L289" s="30"/>
      <c r="M289" s="30"/>
      <c r="N289" s="30"/>
      <c r="O289" s="30"/>
      <c r="P289" s="30"/>
      <c r="Q289" s="30"/>
      <c r="R289" s="30"/>
      <c r="S289" s="30"/>
    </row>
    <row r="290" ht="15.75" customHeight="1">
      <c r="A290" s="30"/>
      <c r="B290" s="30"/>
      <c r="C290" s="30"/>
      <c r="D290" s="30"/>
      <c r="E290" s="30"/>
      <c r="F290" s="30"/>
      <c r="G290" s="30"/>
      <c r="H290" s="30"/>
      <c r="I290" s="30"/>
      <c r="J290" s="30"/>
      <c r="K290" s="30"/>
      <c r="L290" s="30"/>
      <c r="M290" s="30"/>
      <c r="N290" s="30"/>
      <c r="O290" s="30"/>
      <c r="P290" s="30"/>
      <c r="Q290" s="30"/>
      <c r="R290" s="30"/>
      <c r="S290" s="30"/>
    </row>
    <row r="291" ht="15.75" customHeight="1">
      <c r="A291" s="30"/>
      <c r="B291" s="30"/>
      <c r="C291" s="30"/>
      <c r="D291" s="30"/>
      <c r="E291" s="30"/>
      <c r="F291" s="30"/>
      <c r="G291" s="30"/>
      <c r="H291" s="30"/>
      <c r="I291" s="30"/>
      <c r="J291" s="30"/>
      <c r="K291" s="30"/>
      <c r="L291" s="30"/>
      <c r="M291" s="30"/>
      <c r="N291" s="30"/>
      <c r="O291" s="30"/>
      <c r="P291" s="30"/>
      <c r="Q291" s="30"/>
      <c r="R291" s="30"/>
      <c r="S291" s="30"/>
    </row>
    <row r="292" ht="15.75" customHeight="1">
      <c r="A292" s="30"/>
      <c r="B292" s="30"/>
      <c r="C292" s="30"/>
      <c r="D292" s="30"/>
      <c r="E292" s="30"/>
      <c r="F292" s="30"/>
      <c r="G292" s="30"/>
      <c r="H292" s="30"/>
      <c r="I292" s="30"/>
      <c r="J292" s="30"/>
      <c r="K292" s="30"/>
      <c r="L292" s="30"/>
      <c r="M292" s="30"/>
      <c r="N292" s="30"/>
      <c r="O292" s="30"/>
      <c r="P292" s="30"/>
      <c r="Q292" s="30"/>
      <c r="R292" s="30"/>
      <c r="S292" s="30"/>
    </row>
    <row r="293" ht="15.75" customHeight="1">
      <c r="A293" s="30"/>
      <c r="B293" s="30"/>
      <c r="C293" s="30"/>
      <c r="D293" s="30"/>
      <c r="E293" s="30"/>
      <c r="F293" s="30"/>
      <c r="G293" s="30"/>
      <c r="H293" s="30"/>
      <c r="I293" s="30"/>
      <c r="J293" s="30"/>
      <c r="K293" s="30"/>
      <c r="L293" s="30"/>
      <c r="M293" s="30"/>
      <c r="N293" s="30"/>
      <c r="O293" s="30"/>
      <c r="P293" s="30"/>
      <c r="Q293" s="30"/>
      <c r="R293" s="30"/>
      <c r="S293" s="30"/>
    </row>
    <row r="294" ht="15.75" customHeight="1">
      <c r="A294" s="30"/>
      <c r="B294" s="30"/>
      <c r="C294" s="30"/>
      <c r="D294" s="30"/>
      <c r="E294" s="30"/>
      <c r="F294" s="30"/>
      <c r="G294" s="30"/>
      <c r="H294" s="30"/>
      <c r="I294" s="30"/>
      <c r="J294" s="30"/>
      <c r="K294" s="30"/>
      <c r="L294" s="30"/>
      <c r="M294" s="30"/>
      <c r="N294" s="30"/>
      <c r="O294" s="30"/>
      <c r="P294" s="30"/>
      <c r="Q294" s="30"/>
      <c r="R294" s="30"/>
      <c r="S294" s="30"/>
    </row>
    <row r="295" ht="15.75" customHeight="1">
      <c r="A295" s="30"/>
      <c r="B295" s="30"/>
      <c r="C295" s="30"/>
      <c r="D295" s="30"/>
      <c r="E295" s="30"/>
      <c r="F295" s="30"/>
      <c r="G295" s="30"/>
      <c r="H295" s="30"/>
      <c r="I295" s="30"/>
      <c r="J295" s="30"/>
      <c r="K295" s="30"/>
      <c r="L295" s="30"/>
      <c r="M295" s="30"/>
      <c r="N295" s="30"/>
      <c r="O295" s="30"/>
      <c r="P295" s="30"/>
      <c r="Q295" s="30"/>
      <c r="R295" s="30"/>
      <c r="S295" s="30"/>
    </row>
    <row r="296" ht="15.75" customHeight="1">
      <c r="A296" s="30"/>
      <c r="B296" s="30"/>
      <c r="C296" s="30"/>
      <c r="D296" s="30"/>
      <c r="E296" s="30"/>
      <c r="F296" s="30"/>
      <c r="G296" s="30"/>
      <c r="H296" s="30"/>
      <c r="I296" s="30"/>
      <c r="J296" s="30"/>
      <c r="K296" s="30"/>
      <c r="L296" s="30"/>
      <c r="M296" s="30"/>
      <c r="N296" s="30"/>
      <c r="O296" s="30"/>
      <c r="P296" s="30"/>
      <c r="Q296" s="30"/>
      <c r="R296" s="30"/>
      <c r="S296" s="30"/>
    </row>
    <row r="297" ht="15.75" customHeight="1">
      <c r="A297" s="30"/>
      <c r="B297" s="30"/>
      <c r="C297" s="30"/>
      <c r="D297" s="30"/>
      <c r="E297" s="30"/>
      <c r="F297" s="30"/>
      <c r="G297" s="30"/>
      <c r="H297" s="30"/>
      <c r="I297" s="30"/>
      <c r="J297" s="30"/>
      <c r="K297" s="30"/>
      <c r="L297" s="30"/>
      <c r="M297" s="30"/>
      <c r="N297" s="30"/>
      <c r="O297" s="30"/>
      <c r="P297" s="30"/>
      <c r="Q297" s="30"/>
      <c r="R297" s="30"/>
      <c r="S297" s="30"/>
    </row>
    <row r="298" ht="15.75" customHeight="1">
      <c r="A298" s="30"/>
      <c r="B298" s="30"/>
      <c r="C298" s="30"/>
      <c r="D298" s="30"/>
      <c r="E298" s="30"/>
      <c r="F298" s="30"/>
      <c r="G298" s="30"/>
      <c r="H298" s="30"/>
      <c r="I298" s="30"/>
      <c r="J298" s="30"/>
      <c r="K298" s="30"/>
      <c r="L298" s="30"/>
      <c r="M298" s="30"/>
      <c r="N298" s="30"/>
      <c r="O298" s="30"/>
      <c r="P298" s="30"/>
      <c r="Q298" s="30"/>
      <c r="R298" s="30"/>
      <c r="S298" s="30"/>
    </row>
    <row r="299" ht="15.75" customHeight="1">
      <c r="A299" s="30"/>
      <c r="B299" s="30"/>
      <c r="C299" s="30"/>
      <c r="D299" s="30"/>
      <c r="E299" s="30"/>
      <c r="F299" s="30"/>
      <c r="G299" s="30"/>
      <c r="H299" s="30"/>
      <c r="I299" s="30"/>
      <c r="J299" s="30"/>
      <c r="K299" s="30"/>
      <c r="L299" s="30"/>
      <c r="M299" s="30"/>
      <c r="N299" s="30"/>
      <c r="O299" s="30"/>
      <c r="P299" s="30"/>
      <c r="Q299" s="30"/>
      <c r="R299" s="30"/>
      <c r="S299" s="30"/>
    </row>
    <row r="300" ht="15.75" customHeight="1">
      <c r="A300" s="30"/>
      <c r="B300" s="30"/>
      <c r="C300" s="30"/>
      <c r="D300" s="30"/>
      <c r="E300" s="30"/>
      <c r="F300" s="30"/>
      <c r="G300" s="30"/>
      <c r="H300" s="30"/>
      <c r="I300" s="30"/>
      <c r="J300" s="30"/>
      <c r="K300" s="30"/>
      <c r="L300" s="30"/>
      <c r="M300" s="30"/>
      <c r="N300" s="30"/>
      <c r="O300" s="30"/>
      <c r="P300" s="30"/>
      <c r="Q300" s="30"/>
      <c r="R300" s="30"/>
      <c r="S300" s="30"/>
    </row>
    <row r="301" ht="15.75" customHeight="1">
      <c r="A301" s="30"/>
      <c r="B301" s="30"/>
      <c r="C301" s="30"/>
      <c r="D301" s="30"/>
      <c r="E301" s="30"/>
      <c r="F301" s="30"/>
      <c r="G301" s="30"/>
      <c r="H301" s="30"/>
      <c r="I301" s="30"/>
      <c r="J301" s="30"/>
      <c r="K301" s="30"/>
      <c r="L301" s="30"/>
      <c r="M301" s="30"/>
      <c r="N301" s="30"/>
      <c r="O301" s="30"/>
      <c r="P301" s="30"/>
      <c r="Q301" s="30"/>
      <c r="R301" s="30"/>
      <c r="S301" s="30"/>
    </row>
    <row r="302" ht="15.75" customHeight="1">
      <c r="A302" s="30"/>
      <c r="B302" s="30"/>
      <c r="C302" s="30"/>
      <c r="D302" s="30"/>
      <c r="E302" s="30"/>
      <c r="F302" s="30"/>
      <c r="G302" s="30"/>
      <c r="H302" s="30"/>
      <c r="I302" s="30"/>
      <c r="J302" s="30"/>
      <c r="K302" s="30"/>
      <c r="L302" s="30"/>
      <c r="M302" s="30"/>
      <c r="N302" s="30"/>
      <c r="O302" s="30"/>
      <c r="P302" s="30"/>
      <c r="Q302" s="30"/>
      <c r="R302" s="30"/>
      <c r="S302" s="30"/>
    </row>
    <row r="303" ht="15.75" customHeight="1">
      <c r="A303" s="30"/>
      <c r="B303" s="30"/>
      <c r="C303" s="30"/>
      <c r="D303" s="30"/>
      <c r="E303" s="30"/>
      <c r="F303" s="30"/>
      <c r="G303" s="30"/>
      <c r="H303" s="30"/>
      <c r="I303" s="30"/>
      <c r="J303" s="30"/>
      <c r="K303" s="30"/>
      <c r="L303" s="30"/>
      <c r="M303" s="30"/>
      <c r="N303" s="30"/>
      <c r="O303" s="30"/>
      <c r="P303" s="30"/>
      <c r="Q303" s="30"/>
      <c r="R303" s="30"/>
      <c r="S303" s="30"/>
    </row>
    <row r="304" ht="15.75" customHeight="1">
      <c r="A304" s="30"/>
      <c r="B304" s="30"/>
      <c r="C304" s="30"/>
      <c r="D304" s="30"/>
      <c r="E304" s="30"/>
      <c r="F304" s="30"/>
      <c r="G304" s="30"/>
      <c r="H304" s="30"/>
      <c r="I304" s="30"/>
      <c r="J304" s="30"/>
      <c r="K304" s="30"/>
      <c r="L304" s="30"/>
      <c r="M304" s="30"/>
      <c r="N304" s="30"/>
      <c r="O304" s="30"/>
      <c r="P304" s="30"/>
      <c r="Q304" s="30"/>
      <c r="R304" s="30"/>
      <c r="S304" s="30"/>
    </row>
    <row r="305" ht="15.75" customHeight="1">
      <c r="A305" s="30"/>
      <c r="B305" s="30"/>
      <c r="C305" s="30"/>
      <c r="D305" s="30"/>
      <c r="E305" s="30"/>
      <c r="F305" s="30"/>
      <c r="G305" s="30"/>
      <c r="H305" s="30"/>
      <c r="I305" s="30"/>
      <c r="J305" s="30"/>
      <c r="K305" s="30"/>
      <c r="L305" s="30"/>
      <c r="M305" s="30"/>
      <c r="N305" s="30"/>
      <c r="O305" s="30"/>
      <c r="P305" s="30"/>
      <c r="Q305" s="30"/>
      <c r="R305" s="30"/>
      <c r="S305" s="30"/>
    </row>
    <row r="306" ht="15.75" customHeight="1">
      <c r="A306" s="30"/>
      <c r="B306" s="30"/>
      <c r="C306" s="30"/>
      <c r="D306" s="30"/>
      <c r="E306" s="30"/>
      <c r="F306" s="30"/>
      <c r="G306" s="30"/>
      <c r="H306" s="30"/>
      <c r="I306" s="30"/>
      <c r="J306" s="30"/>
      <c r="K306" s="30"/>
      <c r="L306" s="30"/>
      <c r="M306" s="30"/>
      <c r="N306" s="30"/>
      <c r="O306" s="30"/>
      <c r="P306" s="30"/>
      <c r="Q306" s="30"/>
      <c r="R306" s="30"/>
      <c r="S306" s="30"/>
    </row>
    <row r="307" ht="15.75" customHeight="1">
      <c r="A307" s="30"/>
      <c r="B307" s="30"/>
      <c r="C307" s="30"/>
      <c r="D307" s="30"/>
      <c r="E307" s="30"/>
      <c r="F307" s="30"/>
      <c r="G307" s="30"/>
      <c r="H307" s="30"/>
      <c r="I307" s="30"/>
      <c r="J307" s="30"/>
      <c r="K307" s="30"/>
      <c r="L307" s="30"/>
      <c r="M307" s="30"/>
      <c r="N307" s="30"/>
      <c r="O307" s="30"/>
      <c r="P307" s="30"/>
      <c r="Q307" s="30"/>
      <c r="R307" s="30"/>
      <c r="S307" s="30"/>
    </row>
    <row r="308" ht="15.75" customHeight="1">
      <c r="A308" s="30"/>
      <c r="B308" s="30"/>
      <c r="C308" s="30"/>
      <c r="D308" s="30"/>
      <c r="E308" s="30"/>
      <c r="F308" s="30"/>
      <c r="G308" s="30"/>
      <c r="H308" s="30"/>
      <c r="I308" s="30"/>
      <c r="J308" s="30"/>
      <c r="K308" s="30"/>
      <c r="L308" s="30"/>
      <c r="M308" s="30"/>
      <c r="N308" s="30"/>
      <c r="O308" s="30"/>
      <c r="P308" s="30"/>
      <c r="Q308" s="30"/>
      <c r="R308" s="30"/>
      <c r="S308" s="30"/>
    </row>
    <row r="309" ht="15.75" customHeight="1">
      <c r="A309" s="30"/>
      <c r="B309" s="30"/>
      <c r="C309" s="30"/>
      <c r="D309" s="30"/>
      <c r="E309" s="30"/>
      <c r="F309" s="30"/>
      <c r="G309" s="30"/>
      <c r="H309" s="30"/>
      <c r="I309" s="30"/>
      <c r="J309" s="30"/>
      <c r="K309" s="30"/>
      <c r="L309" s="30"/>
      <c r="M309" s="30"/>
      <c r="N309" s="30"/>
      <c r="O309" s="30"/>
      <c r="P309" s="30"/>
      <c r="Q309" s="30"/>
      <c r="R309" s="30"/>
      <c r="S309" s="30"/>
    </row>
    <row r="310" ht="15.75" customHeight="1">
      <c r="A310" s="30"/>
      <c r="B310" s="30"/>
      <c r="C310" s="30"/>
      <c r="D310" s="30"/>
      <c r="E310" s="30"/>
      <c r="F310" s="30"/>
      <c r="G310" s="30"/>
      <c r="H310" s="30"/>
      <c r="I310" s="30"/>
      <c r="J310" s="30"/>
      <c r="K310" s="30"/>
      <c r="L310" s="30"/>
      <c r="M310" s="30"/>
      <c r="N310" s="30"/>
      <c r="O310" s="30"/>
      <c r="P310" s="30"/>
      <c r="Q310" s="30"/>
      <c r="R310" s="30"/>
      <c r="S310" s="30"/>
    </row>
    <row r="311" ht="15.75" customHeight="1">
      <c r="A311" s="30"/>
      <c r="B311" s="30"/>
      <c r="C311" s="30"/>
      <c r="D311" s="30"/>
      <c r="E311" s="30"/>
      <c r="F311" s="30"/>
      <c r="G311" s="30"/>
      <c r="H311" s="30"/>
      <c r="I311" s="30"/>
      <c r="J311" s="30"/>
      <c r="K311" s="30"/>
      <c r="L311" s="30"/>
      <c r="M311" s="30"/>
      <c r="N311" s="30"/>
      <c r="O311" s="30"/>
      <c r="P311" s="30"/>
      <c r="Q311" s="30"/>
      <c r="R311" s="30"/>
      <c r="S311" s="30"/>
    </row>
    <row r="312" ht="15.75" customHeight="1">
      <c r="A312" s="30"/>
      <c r="B312" s="30"/>
      <c r="C312" s="30"/>
      <c r="D312" s="30"/>
      <c r="E312" s="30"/>
      <c r="F312" s="30"/>
      <c r="G312" s="30"/>
      <c r="H312" s="30"/>
      <c r="I312" s="30"/>
      <c r="J312" s="30"/>
      <c r="K312" s="30"/>
      <c r="L312" s="30"/>
      <c r="M312" s="30"/>
      <c r="N312" s="30"/>
      <c r="O312" s="30"/>
      <c r="P312" s="30"/>
      <c r="Q312" s="30"/>
      <c r="R312" s="30"/>
      <c r="S312" s="30"/>
    </row>
    <row r="313" ht="15.75" customHeight="1">
      <c r="A313" s="30"/>
      <c r="B313" s="30"/>
      <c r="C313" s="30"/>
      <c r="D313" s="30"/>
      <c r="E313" s="30"/>
      <c r="F313" s="30"/>
      <c r="G313" s="30"/>
      <c r="H313" s="30"/>
      <c r="I313" s="30"/>
      <c r="J313" s="30"/>
      <c r="K313" s="30"/>
      <c r="L313" s="30"/>
      <c r="M313" s="30"/>
      <c r="N313" s="30"/>
      <c r="O313" s="30"/>
      <c r="P313" s="30"/>
      <c r="Q313" s="30"/>
      <c r="R313" s="30"/>
      <c r="S313" s="30"/>
    </row>
    <row r="314" ht="15.75" customHeight="1">
      <c r="A314" s="30"/>
      <c r="B314" s="30"/>
      <c r="C314" s="30"/>
      <c r="D314" s="30"/>
      <c r="E314" s="30"/>
      <c r="F314" s="30"/>
      <c r="G314" s="30"/>
      <c r="H314" s="30"/>
      <c r="I314" s="30"/>
      <c r="J314" s="30"/>
      <c r="K314" s="30"/>
      <c r="L314" s="30"/>
      <c r="M314" s="30"/>
      <c r="N314" s="30"/>
      <c r="O314" s="30"/>
      <c r="P314" s="30"/>
      <c r="Q314" s="30"/>
      <c r="R314" s="30"/>
      <c r="S314" s="30"/>
    </row>
    <row r="315" ht="15.75" customHeight="1">
      <c r="A315" s="30"/>
      <c r="B315" s="30"/>
      <c r="C315" s="30"/>
      <c r="D315" s="30"/>
      <c r="E315" s="30"/>
      <c r="F315" s="30"/>
      <c r="G315" s="30"/>
      <c r="H315" s="30"/>
      <c r="I315" s="30"/>
      <c r="J315" s="30"/>
      <c r="K315" s="30"/>
      <c r="L315" s="30"/>
      <c r="M315" s="30"/>
      <c r="N315" s="30"/>
      <c r="O315" s="30"/>
      <c r="P315" s="30"/>
      <c r="Q315" s="30"/>
      <c r="R315" s="30"/>
      <c r="S315" s="30"/>
    </row>
    <row r="316" ht="15.75" customHeight="1">
      <c r="A316" s="30"/>
      <c r="B316" s="30"/>
      <c r="C316" s="30"/>
      <c r="D316" s="30"/>
      <c r="E316" s="30"/>
      <c r="F316" s="30"/>
      <c r="G316" s="30"/>
      <c r="H316" s="30"/>
      <c r="I316" s="30"/>
      <c r="J316" s="30"/>
      <c r="K316" s="30"/>
      <c r="L316" s="30"/>
      <c r="M316" s="30"/>
      <c r="N316" s="30"/>
      <c r="O316" s="30"/>
      <c r="P316" s="30"/>
      <c r="Q316" s="30"/>
      <c r="R316" s="30"/>
      <c r="S316" s="30"/>
    </row>
    <row r="317" ht="15.75" customHeight="1">
      <c r="A317" s="30"/>
      <c r="B317" s="30"/>
      <c r="C317" s="30"/>
      <c r="D317" s="30"/>
      <c r="E317" s="30"/>
      <c r="F317" s="30"/>
      <c r="G317" s="30"/>
      <c r="H317" s="30"/>
      <c r="I317" s="30"/>
      <c r="J317" s="30"/>
      <c r="K317" s="30"/>
      <c r="L317" s="30"/>
      <c r="M317" s="30"/>
      <c r="N317" s="30"/>
      <c r="O317" s="30"/>
      <c r="P317" s="30"/>
      <c r="Q317" s="30"/>
      <c r="R317" s="30"/>
      <c r="S317" s="30"/>
    </row>
    <row r="318" ht="15.75" customHeight="1">
      <c r="A318" s="30"/>
      <c r="B318" s="30"/>
      <c r="C318" s="30"/>
      <c r="D318" s="30"/>
      <c r="E318" s="30"/>
      <c r="F318" s="30"/>
      <c r="G318" s="30"/>
      <c r="H318" s="30"/>
      <c r="I318" s="30"/>
      <c r="J318" s="30"/>
      <c r="K318" s="30"/>
      <c r="L318" s="30"/>
      <c r="M318" s="30"/>
      <c r="N318" s="30"/>
      <c r="O318" s="30"/>
      <c r="P318" s="30"/>
      <c r="Q318" s="30"/>
      <c r="R318" s="30"/>
      <c r="S318" s="30"/>
    </row>
    <row r="319" ht="15.75" customHeight="1">
      <c r="A319" s="30"/>
      <c r="B319" s="30"/>
      <c r="C319" s="30"/>
      <c r="D319" s="30"/>
      <c r="E319" s="30"/>
      <c r="F319" s="30"/>
      <c r="G319" s="30"/>
      <c r="H319" s="30"/>
      <c r="I319" s="30"/>
      <c r="J319" s="30"/>
      <c r="K319" s="30"/>
      <c r="L319" s="30"/>
      <c r="M319" s="30"/>
      <c r="N319" s="30"/>
      <c r="O319" s="30"/>
      <c r="P319" s="30"/>
      <c r="Q319" s="30"/>
      <c r="R319" s="30"/>
      <c r="S319" s="30"/>
    </row>
    <row r="320" ht="15.75" customHeight="1">
      <c r="A320" s="30"/>
      <c r="B320" s="30"/>
      <c r="C320" s="30"/>
      <c r="D320" s="30"/>
      <c r="E320" s="30"/>
      <c r="F320" s="30"/>
      <c r="G320" s="30"/>
      <c r="H320" s="30"/>
      <c r="I320" s="30"/>
      <c r="J320" s="30"/>
      <c r="K320" s="30"/>
      <c r="L320" s="30"/>
      <c r="M320" s="30"/>
      <c r="N320" s="30"/>
      <c r="O320" s="30"/>
      <c r="P320" s="30"/>
      <c r="Q320" s="30"/>
      <c r="R320" s="30"/>
      <c r="S320" s="30"/>
    </row>
    <row r="321" ht="15.75" customHeight="1">
      <c r="A321" s="30"/>
      <c r="B321" s="30"/>
      <c r="C321" s="30"/>
      <c r="D321" s="30"/>
      <c r="E321" s="30"/>
      <c r="F321" s="30"/>
      <c r="G321" s="30"/>
      <c r="H321" s="30"/>
      <c r="I321" s="30"/>
      <c r="J321" s="30"/>
      <c r="K321" s="30"/>
      <c r="L321" s="30"/>
      <c r="M321" s="30"/>
      <c r="N321" s="30"/>
      <c r="O321" s="30"/>
      <c r="P321" s="30"/>
      <c r="Q321" s="30"/>
      <c r="R321" s="30"/>
      <c r="S321" s="30"/>
    </row>
    <row r="322" ht="15.75" customHeight="1">
      <c r="A322" s="30"/>
      <c r="B322" s="30"/>
      <c r="C322" s="30"/>
      <c r="D322" s="30"/>
      <c r="E322" s="30"/>
      <c r="F322" s="30"/>
      <c r="G322" s="30"/>
      <c r="H322" s="30"/>
      <c r="I322" s="30"/>
      <c r="J322" s="30"/>
      <c r="K322" s="30"/>
      <c r="L322" s="30"/>
      <c r="M322" s="30"/>
      <c r="N322" s="30"/>
      <c r="O322" s="30"/>
      <c r="P322" s="30"/>
      <c r="Q322" s="30"/>
      <c r="R322" s="30"/>
      <c r="S322" s="30"/>
    </row>
    <row r="323" ht="15.75" customHeight="1">
      <c r="A323" s="30"/>
      <c r="B323" s="30"/>
      <c r="C323" s="30"/>
      <c r="D323" s="30"/>
      <c r="E323" s="30"/>
      <c r="F323" s="30"/>
      <c r="G323" s="30"/>
      <c r="H323" s="30"/>
      <c r="I323" s="30"/>
      <c r="J323" s="30"/>
      <c r="K323" s="30"/>
      <c r="L323" s="30"/>
      <c r="M323" s="30"/>
      <c r="N323" s="30"/>
      <c r="O323" s="30"/>
      <c r="P323" s="30"/>
      <c r="Q323" s="30"/>
      <c r="R323" s="30"/>
      <c r="S323" s="30"/>
    </row>
    <row r="324" ht="15.75" customHeight="1">
      <c r="A324" s="30"/>
      <c r="B324" s="30"/>
      <c r="C324" s="30"/>
      <c r="D324" s="30"/>
      <c r="E324" s="30"/>
      <c r="F324" s="30"/>
      <c r="G324" s="30"/>
      <c r="H324" s="30"/>
      <c r="I324" s="30"/>
      <c r="J324" s="30"/>
      <c r="K324" s="30"/>
      <c r="L324" s="30"/>
      <c r="M324" s="30"/>
      <c r="N324" s="30"/>
      <c r="O324" s="30"/>
      <c r="P324" s="30"/>
      <c r="Q324" s="30"/>
      <c r="R324" s="30"/>
      <c r="S324" s="30"/>
    </row>
    <row r="325" ht="15.75" customHeight="1">
      <c r="A325" s="30"/>
      <c r="B325" s="30"/>
      <c r="C325" s="30"/>
      <c r="D325" s="30"/>
      <c r="E325" s="30"/>
      <c r="F325" s="30"/>
      <c r="G325" s="30"/>
      <c r="H325" s="30"/>
      <c r="I325" s="30"/>
      <c r="J325" s="30"/>
      <c r="K325" s="30"/>
      <c r="L325" s="30"/>
      <c r="M325" s="30"/>
      <c r="N325" s="30"/>
      <c r="O325" s="30"/>
      <c r="P325" s="30"/>
      <c r="Q325" s="30"/>
      <c r="R325" s="30"/>
      <c r="S325" s="30"/>
    </row>
    <row r="326" ht="15.75" customHeight="1">
      <c r="A326" s="30"/>
      <c r="B326" s="30"/>
      <c r="C326" s="30"/>
      <c r="D326" s="30"/>
      <c r="E326" s="30"/>
      <c r="F326" s="30"/>
      <c r="G326" s="30"/>
      <c r="H326" s="30"/>
      <c r="I326" s="30"/>
      <c r="J326" s="30"/>
      <c r="K326" s="30"/>
      <c r="L326" s="30"/>
      <c r="M326" s="30"/>
      <c r="N326" s="30"/>
      <c r="O326" s="30"/>
      <c r="P326" s="30"/>
      <c r="Q326" s="30"/>
      <c r="R326" s="30"/>
      <c r="S326" s="30"/>
    </row>
    <row r="327" ht="15.75" customHeight="1">
      <c r="A327" s="30"/>
      <c r="B327" s="30"/>
      <c r="C327" s="30"/>
      <c r="D327" s="30"/>
      <c r="E327" s="30"/>
      <c r="F327" s="30"/>
      <c r="G327" s="30"/>
      <c r="H327" s="30"/>
      <c r="I327" s="30"/>
      <c r="J327" s="30"/>
      <c r="K327" s="30"/>
      <c r="L327" s="30"/>
      <c r="M327" s="30"/>
      <c r="N327" s="30"/>
      <c r="O327" s="30"/>
      <c r="P327" s="30"/>
      <c r="Q327" s="30"/>
      <c r="R327" s="30"/>
      <c r="S327" s="30"/>
    </row>
    <row r="328" ht="15.75" customHeight="1">
      <c r="A328" s="30"/>
      <c r="B328" s="30"/>
      <c r="C328" s="30"/>
      <c r="D328" s="30"/>
      <c r="E328" s="30"/>
      <c r="F328" s="30"/>
      <c r="G328" s="30"/>
      <c r="H328" s="30"/>
      <c r="I328" s="30"/>
      <c r="J328" s="30"/>
      <c r="K328" s="30"/>
      <c r="L328" s="30"/>
      <c r="M328" s="30"/>
      <c r="N328" s="30"/>
      <c r="O328" s="30"/>
      <c r="P328" s="30"/>
      <c r="Q328" s="30"/>
      <c r="R328" s="30"/>
      <c r="S328" s="30"/>
    </row>
    <row r="329" ht="15.75" customHeight="1">
      <c r="A329" s="30"/>
      <c r="B329" s="30"/>
      <c r="C329" s="30"/>
      <c r="D329" s="30"/>
      <c r="E329" s="30"/>
      <c r="F329" s="30"/>
      <c r="G329" s="30"/>
      <c r="H329" s="30"/>
      <c r="I329" s="30"/>
      <c r="J329" s="30"/>
      <c r="K329" s="30"/>
      <c r="L329" s="30"/>
      <c r="M329" s="30"/>
      <c r="N329" s="30"/>
      <c r="O329" s="30"/>
      <c r="P329" s="30"/>
      <c r="Q329" s="30"/>
      <c r="R329" s="30"/>
      <c r="S329" s="30"/>
    </row>
    <row r="330" ht="15.75" customHeight="1">
      <c r="A330" s="30"/>
      <c r="B330" s="30"/>
      <c r="C330" s="30"/>
      <c r="D330" s="30"/>
      <c r="E330" s="30"/>
      <c r="F330" s="30"/>
      <c r="G330" s="30"/>
      <c r="H330" s="30"/>
      <c r="I330" s="30"/>
      <c r="J330" s="30"/>
      <c r="K330" s="30"/>
      <c r="L330" s="30"/>
      <c r="M330" s="30"/>
      <c r="N330" s="30"/>
      <c r="O330" s="30"/>
      <c r="P330" s="30"/>
      <c r="Q330" s="30"/>
      <c r="R330" s="30"/>
      <c r="S330" s="30"/>
    </row>
    <row r="331" ht="15.75" customHeight="1">
      <c r="A331" s="30"/>
      <c r="B331" s="30"/>
      <c r="C331" s="30"/>
      <c r="D331" s="30"/>
      <c r="E331" s="30"/>
      <c r="F331" s="30"/>
      <c r="G331" s="30"/>
      <c r="H331" s="30"/>
      <c r="I331" s="30"/>
      <c r="J331" s="30"/>
      <c r="K331" s="30"/>
      <c r="L331" s="30"/>
      <c r="M331" s="30"/>
      <c r="N331" s="30"/>
      <c r="O331" s="30"/>
      <c r="P331" s="30"/>
      <c r="Q331" s="30"/>
      <c r="R331" s="30"/>
      <c r="S331" s="30"/>
    </row>
    <row r="332" ht="15.75" customHeight="1">
      <c r="A332" s="30"/>
      <c r="B332" s="30"/>
      <c r="C332" s="30"/>
      <c r="D332" s="30"/>
      <c r="E332" s="30"/>
      <c r="F332" s="30"/>
      <c r="G332" s="30"/>
      <c r="H332" s="30"/>
      <c r="I332" s="30"/>
      <c r="J332" s="30"/>
      <c r="K332" s="30"/>
      <c r="L332" s="30"/>
      <c r="M332" s="30"/>
      <c r="N332" s="30"/>
      <c r="O332" s="30"/>
      <c r="P332" s="30"/>
      <c r="Q332" s="30"/>
      <c r="R332" s="30"/>
      <c r="S332" s="30"/>
    </row>
    <row r="333" ht="15.75" customHeight="1">
      <c r="A333" s="30"/>
      <c r="B333" s="30"/>
      <c r="C333" s="30"/>
      <c r="D333" s="30"/>
      <c r="E333" s="30"/>
      <c r="F333" s="30"/>
      <c r="G333" s="30"/>
      <c r="H333" s="30"/>
      <c r="I333" s="30"/>
      <c r="J333" s="30"/>
      <c r="K333" s="30"/>
      <c r="L333" s="30"/>
      <c r="M333" s="30"/>
      <c r="N333" s="30"/>
      <c r="O333" s="30"/>
      <c r="P333" s="30"/>
      <c r="Q333" s="30"/>
      <c r="R333" s="30"/>
      <c r="S333" s="30"/>
    </row>
    <row r="334" ht="15.75" customHeight="1">
      <c r="A334" s="30"/>
      <c r="B334" s="30"/>
      <c r="C334" s="30"/>
      <c r="D334" s="30"/>
      <c r="E334" s="30"/>
      <c r="F334" s="30"/>
      <c r="G334" s="30"/>
      <c r="H334" s="30"/>
      <c r="I334" s="30"/>
      <c r="J334" s="30"/>
      <c r="K334" s="30"/>
      <c r="L334" s="30"/>
      <c r="M334" s="30"/>
      <c r="N334" s="30"/>
      <c r="O334" s="30"/>
      <c r="P334" s="30"/>
      <c r="Q334" s="30"/>
      <c r="R334" s="30"/>
      <c r="S334" s="30"/>
    </row>
    <row r="335" ht="15.75" customHeight="1">
      <c r="A335" s="30"/>
      <c r="B335" s="30"/>
      <c r="C335" s="30"/>
      <c r="D335" s="30"/>
      <c r="E335" s="30"/>
      <c r="F335" s="30"/>
      <c r="G335" s="30"/>
      <c r="H335" s="30"/>
      <c r="I335" s="30"/>
      <c r="J335" s="30"/>
      <c r="K335" s="30"/>
      <c r="L335" s="30"/>
      <c r="M335" s="30"/>
      <c r="N335" s="30"/>
      <c r="O335" s="30"/>
      <c r="P335" s="30"/>
      <c r="Q335" s="30"/>
      <c r="R335" s="30"/>
      <c r="S335" s="30"/>
    </row>
    <row r="336" ht="15.75" customHeight="1">
      <c r="A336" s="30"/>
      <c r="B336" s="30"/>
      <c r="C336" s="30"/>
      <c r="D336" s="30"/>
      <c r="E336" s="30"/>
      <c r="F336" s="30"/>
      <c r="G336" s="30"/>
      <c r="H336" s="30"/>
      <c r="I336" s="30"/>
      <c r="J336" s="30"/>
      <c r="K336" s="30"/>
      <c r="L336" s="30"/>
      <c r="M336" s="30"/>
      <c r="N336" s="30"/>
      <c r="O336" s="30"/>
      <c r="P336" s="30"/>
      <c r="Q336" s="30"/>
      <c r="R336" s="30"/>
      <c r="S336" s="30"/>
    </row>
    <row r="337" ht="15.75" customHeight="1">
      <c r="A337" s="30"/>
      <c r="B337" s="30"/>
      <c r="C337" s="30"/>
      <c r="D337" s="30"/>
      <c r="E337" s="30"/>
      <c r="F337" s="30"/>
      <c r="G337" s="30"/>
      <c r="H337" s="30"/>
      <c r="I337" s="30"/>
      <c r="J337" s="30"/>
      <c r="K337" s="30"/>
      <c r="L337" s="30"/>
      <c r="M337" s="30"/>
      <c r="N337" s="30"/>
      <c r="O337" s="30"/>
      <c r="P337" s="30"/>
      <c r="Q337" s="30"/>
      <c r="R337" s="30"/>
      <c r="S337" s="30"/>
    </row>
    <row r="338" ht="15.75" customHeight="1">
      <c r="A338" s="30"/>
      <c r="B338" s="30"/>
      <c r="C338" s="30"/>
      <c r="D338" s="30"/>
      <c r="E338" s="30"/>
      <c r="F338" s="30"/>
      <c r="G338" s="30"/>
      <c r="H338" s="30"/>
      <c r="I338" s="30"/>
      <c r="J338" s="30"/>
      <c r="K338" s="30"/>
      <c r="L338" s="30"/>
      <c r="M338" s="30"/>
      <c r="N338" s="30"/>
      <c r="O338" s="30"/>
      <c r="P338" s="30"/>
      <c r="Q338" s="30"/>
      <c r="R338" s="30"/>
      <c r="S338" s="30"/>
    </row>
    <row r="339" ht="15.75" customHeight="1">
      <c r="A339" s="30"/>
      <c r="B339" s="30"/>
      <c r="C339" s="30"/>
      <c r="D339" s="30"/>
      <c r="E339" s="30"/>
      <c r="F339" s="30"/>
      <c r="G339" s="30"/>
      <c r="H339" s="30"/>
      <c r="I339" s="30"/>
      <c r="J339" s="30"/>
      <c r="K339" s="30"/>
      <c r="L339" s="30"/>
      <c r="M339" s="30"/>
      <c r="N339" s="30"/>
      <c r="O339" s="30"/>
      <c r="P339" s="30"/>
      <c r="Q339" s="30"/>
      <c r="R339" s="30"/>
      <c r="S339" s="30"/>
    </row>
    <row r="340" ht="15.75" customHeight="1">
      <c r="A340" s="30"/>
      <c r="B340" s="30"/>
      <c r="C340" s="30"/>
      <c r="D340" s="30"/>
      <c r="E340" s="30"/>
      <c r="F340" s="30"/>
      <c r="G340" s="30"/>
      <c r="H340" s="30"/>
      <c r="I340" s="30"/>
      <c r="J340" s="30"/>
      <c r="K340" s="30"/>
      <c r="L340" s="30"/>
      <c r="M340" s="30"/>
      <c r="N340" s="30"/>
      <c r="O340" s="30"/>
      <c r="P340" s="30"/>
      <c r="Q340" s="30"/>
      <c r="R340" s="30"/>
      <c r="S340" s="30"/>
    </row>
    <row r="341" ht="15.75" customHeight="1">
      <c r="A341" s="30"/>
      <c r="B341" s="30"/>
      <c r="C341" s="30"/>
      <c r="D341" s="30"/>
      <c r="E341" s="30"/>
      <c r="F341" s="30"/>
      <c r="G341" s="30"/>
      <c r="H341" s="30"/>
      <c r="I341" s="30"/>
      <c r="J341" s="30"/>
      <c r="K341" s="30"/>
      <c r="L341" s="30"/>
      <c r="M341" s="30"/>
      <c r="N341" s="30"/>
      <c r="O341" s="30"/>
      <c r="P341" s="30"/>
      <c r="Q341" s="30"/>
      <c r="R341" s="30"/>
      <c r="S341" s="30"/>
    </row>
    <row r="342" ht="15.75" customHeight="1">
      <c r="A342" s="30"/>
      <c r="B342" s="30"/>
      <c r="C342" s="30"/>
      <c r="D342" s="30"/>
      <c r="E342" s="30"/>
      <c r="F342" s="30"/>
      <c r="G342" s="30"/>
      <c r="H342" s="30"/>
      <c r="I342" s="30"/>
      <c r="J342" s="30"/>
      <c r="K342" s="30"/>
      <c r="L342" s="30"/>
      <c r="M342" s="30"/>
      <c r="N342" s="30"/>
      <c r="O342" s="30"/>
      <c r="P342" s="30"/>
      <c r="Q342" s="30"/>
      <c r="R342" s="30"/>
      <c r="S342" s="30"/>
    </row>
    <row r="343" ht="15.75" customHeight="1">
      <c r="A343" s="30"/>
      <c r="B343" s="30"/>
      <c r="C343" s="30"/>
      <c r="D343" s="30"/>
      <c r="E343" s="30"/>
      <c r="F343" s="30"/>
      <c r="G343" s="30"/>
      <c r="H343" s="30"/>
      <c r="I343" s="30"/>
      <c r="J343" s="30"/>
      <c r="K343" s="30"/>
      <c r="L343" s="30"/>
      <c r="M343" s="30"/>
      <c r="N343" s="30"/>
      <c r="O343" s="30"/>
      <c r="P343" s="30"/>
      <c r="Q343" s="30"/>
      <c r="R343" s="30"/>
      <c r="S343" s="30"/>
    </row>
    <row r="344" ht="15.75" customHeight="1">
      <c r="A344" s="30"/>
      <c r="B344" s="30"/>
      <c r="C344" s="30"/>
      <c r="D344" s="30"/>
      <c r="E344" s="30"/>
      <c r="F344" s="30"/>
      <c r="G344" s="30"/>
      <c r="H344" s="30"/>
      <c r="I344" s="30"/>
      <c r="J344" s="30"/>
      <c r="K344" s="30"/>
      <c r="L344" s="30"/>
      <c r="M344" s="30"/>
      <c r="N344" s="30"/>
      <c r="O344" s="30"/>
      <c r="P344" s="30"/>
      <c r="Q344" s="30"/>
      <c r="R344" s="30"/>
      <c r="S344" s="30"/>
    </row>
    <row r="345" ht="15.75" customHeight="1">
      <c r="A345" s="30"/>
      <c r="B345" s="30"/>
      <c r="C345" s="30"/>
      <c r="D345" s="30"/>
      <c r="E345" s="30"/>
      <c r="F345" s="30"/>
      <c r="G345" s="30"/>
      <c r="H345" s="30"/>
      <c r="I345" s="30"/>
      <c r="J345" s="30"/>
      <c r="K345" s="30"/>
      <c r="L345" s="30"/>
      <c r="M345" s="30"/>
      <c r="N345" s="30"/>
      <c r="O345" s="30"/>
      <c r="P345" s="30"/>
      <c r="Q345" s="30"/>
      <c r="R345" s="30"/>
      <c r="S345" s="30"/>
    </row>
    <row r="346" ht="15.75" customHeight="1">
      <c r="A346" s="30"/>
      <c r="B346" s="30"/>
      <c r="C346" s="30"/>
      <c r="D346" s="30"/>
      <c r="E346" s="30"/>
      <c r="F346" s="30"/>
      <c r="G346" s="30"/>
      <c r="H346" s="30"/>
      <c r="I346" s="30"/>
      <c r="J346" s="30"/>
      <c r="K346" s="30"/>
      <c r="L346" s="30"/>
      <c r="M346" s="30"/>
      <c r="N346" s="30"/>
      <c r="O346" s="30"/>
      <c r="P346" s="30"/>
      <c r="Q346" s="30"/>
      <c r="R346" s="30"/>
      <c r="S346" s="30"/>
    </row>
    <row r="347" ht="15.75" customHeight="1">
      <c r="A347" s="30"/>
      <c r="B347" s="30"/>
      <c r="C347" s="30"/>
      <c r="D347" s="30"/>
      <c r="E347" s="30"/>
      <c r="F347" s="30"/>
      <c r="G347" s="30"/>
      <c r="H347" s="30"/>
      <c r="I347" s="30"/>
      <c r="J347" s="30"/>
      <c r="K347" s="30"/>
      <c r="L347" s="30"/>
      <c r="M347" s="30"/>
      <c r="N347" s="30"/>
      <c r="O347" s="30"/>
      <c r="P347" s="30"/>
      <c r="Q347" s="30"/>
      <c r="R347" s="30"/>
      <c r="S347" s="30"/>
    </row>
    <row r="348" ht="15.75" customHeight="1">
      <c r="A348" s="30"/>
      <c r="B348" s="30"/>
      <c r="C348" s="30"/>
      <c r="D348" s="30"/>
      <c r="E348" s="30"/>
      <c r="F348" s="30"/>
      <c r="G348" s="30"/>
      <c r="H348" s="30"/>
      <c r="I348" s="30"/>
      <c r="J348" s="30"/>
      <c r="K348" s="30"/>
      <c r="L348" s="30"/>
      <c r="M348" s="30"/>
      <c r="N348" s="30"/>
      <c r="O348" s="30"/>
      <c r="P348" s="30"/>
      <c r="Q348" s="30"/>
      <c r="R348" s="30"/>
      <c r="S348" s="30"/>
    </row>
    <row r="349" ht="15.75" customHeight="1">
      <c r="A349" s="30"/>
      <c r="B349" s="30"/>
      <c r="C349" s="30"/>
      <c r="D349" s="30"/>
      <c r="E349" s="30"/>
      <c r="F349" s="30"/>
      <c r="G349" s="30"/>
      <c r="H349" s="30"/>
      <c r="I349" s="30"/>
      <c r="J349" s="30"/>
      <c r="K349" s="30"/>
      <c r="L349" s="30"/>
      <c r="M349" s="30"/>
      <c r="N349" s="30"/>
      <c r="O349" s="30"/>
      <c r="P349" s="30"/>
      <c r="Q349" s="30"/>
      <c r="R349" s="30"/>
      <c r="S349" s="30"/>
    </row>
    <row r="350" ht="15.75" customHeight="1">
      <c r="A350" s="30"/>
      <c r="B350" s="30"/>
      <c r="C350" s="30"/>
      <c r="D350" s="30"/>
      <c r="E350" s="30"/>
      <c r="F350" s="30"/>
      <c r="G350" s="30"/>
      <c r="H350" s="30"/>
      <c r="I350" s="30"/>
      <c r="J350" s="30"/>
      <c r="K350" s="30"/>
      <c r="L350" s="30"/>
      <c r="M350" s="30"/>
      <c r="N350" s="30"/>
      <c r="O350" s="30"/>
      <c r="P350" s="30"/>
      <c r="Q350" s="30"/>
      <c r="R350" s="30"/>
      <c r="S350" s="30"/>
    </row>
    <row r="351" ht="15.75" customHeight="1">
      <c r="A351" s="30"/>
      <c r="B351" s="30"/>
      <c r="C351" s="30"/>
      <c r="D351" s="30"/>
      <c r="E351" s="30"/>
      <c r="F351" s="30"/>
      <c r="G351" s="30"/>
      <c r="H351" s="30"/>
      <c r="I351" s="30"/>
      <c r="J351" s="30"/>
      <c r="K351" s="30"/>
      <c r="L351" s="30"/>
      <c r="M351" s="30"/>
      <c r="N351" s="30"/>
      <c r="O351" s="30"/>
      <c r="P351" s="30"/>
      <c r="Q351" s="30"/>
      <c r="R351" s="30"/>
      <c r="S351" s="30"/>
    </row>
    <row r="352" ht="15.75" customHeight="1">
      <c r="A352" s="30"/>
      <c r="B352" s="30"/>
      <c r="C352" s="30"/>
      <c r="D352" s="30"/>
      <c r="E352" s="30"/>
      <c r="F352" s="30"/>
      <c r="G352" s="30"/>
      <c r="H352" s="30"/>
      <c r="I352" s="30"/>
      <c r="J352" s="30"/>
      <c r="K352" s="30"/>
      <c r="L352" s="30"/>
      <c r="M352" s="30"/>
      <c r="N352" s="30"/>
      <c r="O352" s="30"/>
      <c r="P352" s="30"/>
      <c r="Q352" s="30"/>
      <c r="R352" s="30"/>
      <c r="S352" s="30"/>
    </row>
    <row r="353" ht="15.75" customHeight="1">
      <c r="A353" s="30"/>
      <c r="B353" s="30"/>
      <c r="C353" s="30"/>
      <c r="D353" s="30"/>
      <c r="E353" s="30"/>
      <c r="F353" s="30"/>
      <c r="G353" s="30"/>
      <c r="H353" s="30"/>
      <c r="I353" s="30"/>
      <c r="J353" s="30"/>
      <c r="K353" s="30"/>
      <c r="L353" s="30"/>
      <c r="M353" s="30"/>
      <c r="N353" s="30"/>
      <c r="O353" s="30"/>
      <c r="P353" s="30"/>
      <c r="Q353" s="30"/>
      <c r="R353" s="30"/>
      <c r="S353" s="30"/>
    </row>
    <row r="354" ht="15.75" customHeight="1">
      <c r="A354" s="30"/>
      <c r="B354" s="30"/>
      <c r="C354" s="30"/>
      <c r="D354" s="30"/>
      <c r="E354" s="30"/>
      <c r="F354" s="30"/>
      <c r="G354" s="30"/>
      <c r="H354" s="30"/>
      <c r="I354" s="30"/>
      <c r="J354" s="30"/>
      <c r="K354" s="30"/>
      <c r="L354" s="30"/>
      <c r="M354" s="30"/>
      <c r="N354" s="30"/>
      <c r="O354" s="30"/>
      <c r="P354" s="30"/>
      <c r="Q354" s="30"/>
      <c r="R354" s="30"/>
      <c r="S354" s="30"/>
    </row>
    <row r="355" ht="15.75" customHeight="1">
      <c r="A355" s="30"/>
      <c r="B355" s="30"/>
      <c r="C355" s="30"/>
      <c r="D355" s="30"/>
      <c r="E355" s="30"/>
      <c r="F355" s="30"/>
      <c r="G355" s="30"/>
      <c r="H355" s="30"/>
      <c r="I355" s="30"/>
      <c r="J355" s="30"/>
      <c r="K355" s="30"/>
      <c r="L355" s="30"/>
      <c r="M355" s="30"/>
      <c r="N355" s="30"/>
      <c r="O355" s="30"/>
      <c r="P355" s="30"/>
      <c r="Q355" s="30"/>
      <c r="R355" s="30"/>
      <c r="S355" s="30"/>
    </row>
    <row r="356" ht="15.75" customHeight="1">
      <c r="A356" s="30"/>
      <c r="B356" s="30"/>
      <c r="C356" s="30"/>
      <c r="D356" s="30"/>
      <c r="E356" s="30"/>
      <c r="F356" s="30"/>
      <c r="G356" s="30"/>
      <c r="H356" s="30"/>
      <c r="I356" s="30"/>
      <c r="J356" s="30"/>
      <c r="K356" s="30"/>
      <c r="L356" s="30"/>
      <c r="M356" s="30"/>
      <c r="N356" s="30"/>
      <c r="O356" s="30"/>
      <c r="P356" s="30"/>
      <c r="Q356" s="30"/>
      <c r="R356" s="30"/>
      <c r="S356" s="30"/>
    </row>
    <row r="357" ht="15.75" customHeight="1">
      <c r="A357" s="30"/>
      <c r="B357" s="30"/>
      <c r="C357" s="30"/>
      <c r="D357" s="30"/>
      <c r="E357" s="30"/>
      <c r="F357" s="30"/>
      <c r="G357" s="30"/>
      <c r="H357" s="30"/>
      <c r="I357" s="30"/>
      <c r="J357" s="30"/>
      <c r="K357" s="30"/>
      <c r="L357" s="30"/>
      <c r="M357" s="30"/>
      <c r="N357" s="30"/>
      <c r="O357" s="30"/>
      <c r="P357" s="30"/>
      <c r="Q357" s="30"/>
      <c r="R357" s="30"/>
      <c r="S357" s="30"/>
    </row>
    <row r="358" ht="15.75" customHeight="1">
      <c r="A358" s="30"/>
      <c r="B358" s="30"/>
      <c r="C358" s="30"/>
      <c r="D358" s="30"/>
      <c r="E358" s="30"/>
      <c r="F358" s="30"/>
      <c r="G358" s="30"/>
      <c r="H358" s="30"/>
      <c r="I358" s="30"/>
      <c r="J358" s="30"/>
      <c r="K358" s="30"/>
      <c r="L358" s="30"/>
      <c r="M358" s="30"/>
      <c r="N358" s="30"/>
      <c r="O358" s="30"/>
      <c r="P358" s="30"/>
      <c r="Q358" s="30"/>
      <c r="R358" s="30"/>
      <c r="S358" s="30"/>
    </row>
    <row r="359" ht="15.75" customHeight="1">
      <c r="A359" s="30"/>
      <c r="B359" s="30"/>
      <c r="C359" s="30"/>
      <c r="D359" s="30"/>
      <c r="E359" s="30"/>
      <c r="F359" s="30"/>
      <c r="G359" s="30"/>
      <c r="H359" s="30"/>
      <c r="I359" s="30"/>
      <c r="J359" s="30"/>
      <c r="K359" s="30"/>
      <c r="L359" s="30"/>
      <c r="M359" s="30"/>
      <c r="N359" s="30"/>
      <c r="O359" s="30"/>
      <c r="P359" s="30"/>
      <c r="Q359" s="30"/>
      <c r="R359" s="30"/>
      <c r="S359" s="30"/>
    </row>
    <row r="360" ht="15.75" customHeight="1">
      <c r="A360" s="30"/>
      <c r="B360" s="30"/>
      <c r="C360" s="30"/>
      <c r="D360" s="30"/>
      <c r="E360" s="30"/>
      <c r="F360" s="30"/>
      <c r="G360" s="30"/>
      <c r="H360" s="30"/>
      <c r="I360" s="30"/>
      <c r="J360" s="30"/>
      <c r="K360" s="30"/>
      <c r="L360" s="30"/>
      <c r="M360" s="30"/>
      <c r="N360" s="30"/>
      <c r="O360" s="30"/>
      <c r="P360" s="30"/>
      <c r="Q360" s="30"/>
      <c r="R360" s="30"/>
      <c r="S360" s="30"/>
    </row>
    <row r="361" ht="15.75" customHeight="1">
      <c r="A361" s="30"/>
      <c r="B361" s="30"/>
      <c r="C361" s="30"/>
      <c r="D361" s="30"/>
      <c r="E361" s="30"/>
      <c r="F361" s="30"/>
      <c r="G361" s="30"/>
      <c r="H361" s="30"/>
      <c r="I361" s="30"/>
      <c r="J361" s="30"/>
      <c r="K361" s="30"/>
      <c r="L361" s="30"/>
      <c r="M361" s="30"/>
      <c r="N361" s="30"/>
      <c r="O361" s="30"/>
      <c r="P361" s="30"/>
      <c r="Q361" s="30"/>
      <c r="R361" s="30"/>
      <c r="S361" s="30"/>
    </row>
    <row r="362" ht="15.75" customHeight="1">
      <c r="A362" s="30"/>
      <c r="B362" s="30"/>
      <c r="C362" s="30"/>
      <c r="D362" s="30"/>
      <c r="E362" s="30"/>
      <c r="F362" s="30"/>
      <c r="G362" s="30"/>
      <c r="H362" s="30"/>
      <c r="I362" s="30"/>
      <c r="J362" s="30"/>
      <c r="K362" s="30"/>
      <c r="L362" s="30"/>
      <c r="M362" s="30"/>
      <c r="N362" s="30"/>
      <c r="O362" s="30"/>
      <c r="P362" s="30"/>
      <c r="Q362" s="30"/>
      <c r="R362" s="30"/>
      <c r="S362" s="30"/>
    </row>
    <row r="363" ht="15.75" customHeight="1">
      <c r="A363" s="30"/>
      <c r="B363" s="30"/>
      <c r="C363" s="30"/>
      <c r="D363" s="30"/>
      <c r="E363" s="30"/>
      <c r="F363" s="30"/>
      <c r="G363" s="30"/>
      <c r="H363" s="30"/>
      <c r="I363" s="30"/>
      <c r="J363" s="30"/>
      <c r="K363" s="30"/>
      <c r="L363" s="30"/>
      <c r="M363" s="30"/>
      <c r="N363" s="30"/>
      <c r="O363" s="30"/>
      <c r="P363" s="30"/>
      <c r="Q363" s="30"/>
      <c r="R363" s="30"/>
      <c r="S363" s="30"/>
    </row>
    <row r="364" ht="15.75" customHeight="1">
      <c r="A364" s="30"/>
      <c r="B364" s="30"/>
      <c r="C364" s="30"/>
      <c r="D364" s="30"/>
      <c r="E364" s="30"/>
      <c r="F364" s="30"/>
      <c r="G364" s="30"/>
      <c r="H364" s="30"/>
      <c r="I364" s="30"/>
      <c r="J364" s="30"/>
      <c r="K364" s="30"/>
      <c r="L364" s="30"/>
      <c r="M364" s="30"/>
      <c r="N364" s="30"/>
      <c r="O364" s="30"/>
      <c r="P364" s="30"/>
      <c r="Q364" s="30"/>
      <c r="R364" s="30"/>
      <c r="S364" s="30"/>
    </row>
    <row r="365" ht="15.75" customHeight="1">
      <c r="A365" s="30"/>
      <c r="B365" s="30"/>
      <c r="C365" s="30"/>
      <c r="D365" s="30"/>
      <c r="E365" s="30"/>
      <c r="F365" s="30"/>
      <c r="G365" s="30"/>
      <c r="H365" s="30"/>
      <c r="I365" s="30"/>
      <c r="J365" s="30"/>
      <c r="K365" s="30"/>
      <c r="L365" s="30"/>
      <c r="M365" s="30"/>
      <c r="N365" s="30"/>
      <c r="O365" s="30"/>
      <c r="P365" s="30"/>
      <c r="Q365" s="30"/>
      <c r="R365" s="30"/>
      <c r="S365" s="30"/>
    </row>
    <row r="366" ht="15.75" customHeight="1">
      <c r="A366" s="30"/>
      <c r="B366" s="30"/>
      <c r="C366" s="30"/>
      <c r="D366" s="30"/>
      <c r="E366" s="30"/>
      <c r="F366" s="30"/>
      <c r="G366" s="30"/>
      <c r="H366" s="30"/>
      <c r="I366" s="30"/>
      <c r="J366" s="30"/>
      <c r="K366" s="30"/>
      <c r="L366" s="30"/>
      <c r="M366" s="30"/>
      <c r="N366" s="30"/>
      <c r="O366" s="30"/>
      <c r="P366" s="30"/>
      <c r="Q366" s="30"/>
      <c r="R366" s="30"/>
      <c r="S366" s="30"/>
    </row>
    <row r="367" ht="15.75" customHeight="1">
      <c r="A367" s="30"/>
      <c r="B367" s="30"/>
      <c r="C367" s="30"/>
      <c r="D367" s="30"/>
      <c r="E367" s="30"/>
      <c r="F367" s="30"/>
      <c r="G367" s="30"/>
      <c r="H367" s="30"/>
      <c r="I367" s="30"/>
      <c r="J367" s="30"/>
      <c r="K367" s="30"/>
      <c r="L367" s="30"/>
      <c r="M367" s="30"/>
      <c r="N367" s="30"/>
      <c r="O367" s="30"/>
      <c r="P367" s="30"/>
      <c r="Q367" s="30"/>
      <c r="R367" s="30"/>
      <c r="S367" s="30"/>
    </row>
    <row r="368" ht="15.75" customHeight="1">
      <c r="A368" s="30"/>
      <c r="B368" s="30"/>
      <c r="C368" s="30"/>
      <c r="D368" s="30"/>
      <c r="E368" s="30"/>
      <c r="F368" s="30"/>
      <c r="G368" s="30"/>
      <c r="H368" s="30"/>
      <c r="I368" s="30"/>
      <c r="J368" s="30"/>
      <c r="K368" s="30"/>
      <c r="L368" s="30"/>
      <c r="M368" s="30"/>
      <c r="N368" s="30"/>
      <c r="O368" s="30"/>
      <c r="P368" s="30"/>
      <c r="Q368" s="30"/>
      <c r="R368" s="30"/>
      <c r="S368" s="30"/>
    </row>
    <row r="369" ht="15.75" customHeight="1">
      <c r="A369" s="30"/>
      <c r="B369" s="30"/>
      <c r="C369" s="30"/>
      <c r="D369" s="30"/>
      <c r="E369" s="30"/>
      <c r="F369" s="30"/>
      <c r="G369" s="30"/>
      <c r="H369" s="30"/>
      <c r="I369" s="30"/>
      <c r="J369" s="30"/>
      <c r="K369" s="30"/>
      <c r="L369" s="30"/>
      <c r="M369" s="30"/>
      <c r="N369" s="30"/>
      <c r="O369" s="30"/>
      <c r="P369" s="30"/>
      <c r="Q369" s="30"/>
      <c r="R369" s="30"/>
      <c r="S369" s="30"/>
    </row>
    <row r="370" ht="15.75" customHeight="1">
      <c r="A370" s="30"/>
      <c r="B370" s="30"/>
      <c r="C370" s="30"/>
      <c r="D370" s="30"/>
      <c r="E370" s="30"/>
      <c r="F370" s="30"/>
      <c r="G370" s="30"/>
      <c r="H370" s="30"/>
      <c r="I370" s="30"/>
      <c r="J370" s="30"/>
      <c r="K370" s="30"/>
      <c r="L370" s="30"/>
      <c r="M370" s="30"/>
      <c r="N370" s="30"/>
      <c r="O370" s="30"/>
      <c r="P370" s="30"/>
      <c r="Q370" s="30"/>
      <c r="R370" s="30"/>
      <c r="S370" s="30"/>
    </row>
    <row r="371" ht="15.75" customHeight="1">
      <c r="A371" s="30"/>
      <c r="B371" s="30"/>
      <c r="C371" s="30"/>
      <c r="D371" s="30"/>
      <c r="E371" s="30"/>
      <c r="F371" s="30"/>
      <c r="G371" s="30"/>
      <c r="H371" s="30"/>
      <c r="I371" s="30"/>
      <c r="J371" s="30"/>
      <c r="K371" s="30"/>
      <c r="L371" s="30"/>
      <c r="M371" s="30"/>
      <c r="N371" s="30"/>
      <c r="O371" s="30"/>
      <c r="P371" s="30"/>
      <c r="Q371" s="30"/>
      <c r="R371" s="30"/>
      <c r="S371" s="30"/>
    </row>
    <row r="372" ht="15.75" customHeight="1">
      <c r="A372" s="30"/>
      <c r="B372" s="30"/>
      <c r="C372" s="30"/>
      <c r="D372" s="30"/>
      <c r="E372" s="30"/>
      <c r="F372" s="30"/>
      <c r="G372" s="30"/>
      <c r="H372" s="30"/>
      <c r="I372" s="30"/>
      <c r="J372" s="30"/>
      <c r="K372" s="30"/>
      <c r="L372" s="30"/>
      <c r="M372" s="30"/>
      <c r="N372" s="30"/>
      <c r="O372" s="30"/>
      <c r="P372" s="30"/>
      <c r="Q372" s="30"/>
      <c r="R372" s="30"/>
      <c r="S372" s="30"/>
    </row>
    <row r="373" ht="15.75" customHeight="1">
      <c r="A373" s="30"/>
      <c r="B373" s="30"/>
      <c r="C373" s="30"/>
      <c r="D373" s="30"/>
      <c r="E373" s="30"/>
      <c r="F373" s="30"/>
      <c r="G373" s="30"/>
      <c r="H373" s="30"/>
      <c r="I373" s="30"/>
      <c r="J373" s="30"/>
      <c r="K373" s="30"/>
      <c r="L373" s="30"/>
      <c r="M373" s="30"/>
      <c r="N373" s="30"/>
      <c r="O373" s="30"/>
      <c r="P373" s="30"/>
      <c r="Q373" s="30"/>
      <c r="R373" s="30"/>
      <c r="S373" s="30"/>
    </row>
    <row r="374" ht="15.75" customHeight="1">
      <c r="A374" s="30"/>
      <c r="B374" s="30"/>
      <c r="C374" s="30"/>
      <c r="D374" s="30"/>
      <c r="E374" s="30"/>
      <c r="F374" s="30"/>
      <c r="G374" s="30"/>
      <c r="H374" s="30"/>
      <c r="I374" s="30"/>
      <c r="J374" s="30"/>
      <c r="K374" s="30"/>
      <c r="L374" s="30"/>
      <c r="M374" s="30"/>
      <c r="N374" s="30"/>
      <c r="O374" s="30"/>
      <c r="P374" s="30"/>
      <c r="Q374" s="30"/>
      <c r="R374" s="30"/>
      <c r="S374" s="30"/>
    </row>
    <row r="375" ht="15.75" customHeight="1">
      <c r="A375" s="30"/>
      <c r="B375" s="30"/>
      <c r="C375" s="30"/>
      <c r="D375" s="30"/>
      <c r="E375" s="30"/>
      <c r="F375" s="30"/>
      <c r="G375" s="30"/>
      <c r="H375" s="30"/>
      <c r="I375" s="30"/>
      <c r="J375" s="30"/>
      <c r="K375" s="30"/>
      <c r="L375" s="30"/>
      <c r="M375" s="30"/>
      <c r="N375" s="30"/>
      <c r="O375" s="30"/>
      <c r="P375" s="30"/>
      <c r="Q375" s="30"/>
      <c r="R375" s="30"/>
      <c r="S375" s="30"/>
    </row>
    <row r="376" ht="15.75" customHeight="1">
      <c r="A376" s="30"/>
      <c r="B376" s="30"/>
      <c r="C376" s="30"/>
      <c r="D376" s="30"/>
      <c r="E376" s="30"/>
      <c r="F376" s="30"/>
      <c r="G376" s="30"/>
      <c r="H376" s="30"/>
      <c r="I376" s="30"/>
      <c r="J376" s="30"/>
      <c r="K376" s="30"/>
      <c r="L376" s="30"/>
      <c r="M376" s="30"/>
      <c r="N376" s="30"/>
      <c r="O376" s="30"/>
      <c r="P376" s="30"/>
      <c r="Q376" s="30"/>
      <c r="R376" s="30"/>
      <c r="S376" s="30"/>
    </row>
    <row r="377" ht="15.75" customHeight="1">
      <c r="A377" s="30"/>
      <c r="B377" s="30"/>
      <c r="C377" s="30"/>
      <c r="D377" s="30"/>
      <c r="E377" s="30"/>
      <c r="F377" s="30"/>
      <c r="G377" s="30"/>
      <c r="H377" s="30"/>
      <c r="I377" s="30"/>
      <c r="J377" s="30"/>
      <c r="K377" s="30"/>
      <c r="L377" s="30"/>
      <c r="M377" s="30"/>
      <c r="N377" s="30"/>
      <c r="O377" s="30"/>
      <c r="P377" s="30"/>
      <c r="Q377" s="30"/>
      <c r="R377" s="30"/>
      <c r="S377" s="30"/>
    </row>
    <row r="378" ht="15.75" customHeight="1">
      <c r="A378" s="30"/>
      <c r="B378" s="30"/>
      <c r="C378" s="30"/>
      <c r="D378" s="30"/>
      <c r="E378" s="30"/>
      <c r="F378" s="30"/>
      <c r="G378" s="30"/>
      <c r="H378" s="30"/>
      <c r="I378" s="30"/>
      <c r="J378" s="30"/>
      <c r="K378" s="30"/>
      <c r="L378" s="30"/>
      <c r="M378" s="30"/>
      <c r="N378" s="30"/>
      <c r="O378" s="30"/>
      <c r="P378" s="30"/>
      <c r="Q378" s="30"/>
      <c r="R378" s="30"/>
      <c r="S378" s="30"/>
    </row>
    <row r="379" ht="15.75" customHeight="1">
      <c r="A379" s="30"/>
      <c r="B379" s="30"/>
      <c r="C379" s="30"/>
      <c r="D379" s="30"/>
      <c r="E379" s="30"/>
      <c r="F379" s="30"/>
      <c r="G379" s="30"/>
      <c r="H379" s="30"/>
      <c r="I379" s="30"/>
      <c r="J379" s="30"/>
      <c r="K379" s="30"/>
      <c r="L379" s="30"/>
      <c r="M379" s="30"/>
      <c r="N379" s="30"/>
      <c r="O379" s="30"/>
      <c r="P379" s="30"/>
      <c r="Q379" s="30"/>
      <c r="R379" s="30"/>
      <c r="S379" s="30"/>
    </row>
    <row r="380" ht="15.75" customHeight="1">
      <c r="A380" s="30"/>
      <c r="B380" s="30"/>
      <c r="C380" s="30"/>
      <c r="D380" s="30"/>
      <c r="E380" s="30"/>
      <c r="F380" s="30"/>
      <c r="G380" s="30"/>
      <c r="H380" s="30"/>
      <c r="I380" s="30"/>
      <c r="J380" s="30"/>
      <c r="K380" s="30"/>
      <c r="L380" s="30"/>
      <c r="M380" s="30"/>
      <c r="N380" s="30"/>
      <c r="O380" s="30"/>
      <c r="P380" s="30"/>
      <c r="Q380" s="30"/>
      <c r="R380" s="30"/>
      <c r="S380" s="30"/>
    </row>
    <row r="381" ht="15.75" customHeight="1">
      <c r="A381" s="30"/>
      <c r="B381" s="30"/>
      <c r="C381" s="30"/>
      <c r="D381" s="30"/>
      <c r="E381" s="30"/>
      <c r="F381" s="30"/>
      <c r="G381" s="30"/>
      <c r="H381" s="30"/>
      <c r="I381" s="30"/>
      <c r="J381" s="30"/>
      <c r="K381" s="30"/>
      <c r="L381" s="30"/>
      <c r="M381" s="30"/>
      <c r="N381" s="30"/>
      <c r="O381" s="30"/>
      <c r="P381" s="30"/>
      <c r="Q381" s="30"/>
      <c r="R381" s="30"/>
      <c r="S381" s="30"/>
    </row>
    <row r="382" ht="15.75" customHeight="1">
      <c r="A382" s="30"/>
      <c r="B382" s="30"/>
      <c r="C382" s="30"/>
      <c r="D382" s="30"/>
      <c r="E382" s="30"/>
      <c r="F382" s="30"/>
      <c r="G382" s="30"/>
      <c r="H382" s="30"/>
      <c r="I382" s="30"/>
      <c r="J382" s="30"/>
      <c r="K382" s="30"/>
      <c r="L382" s="30"/>
      <c r="M382" s="30"/>
      <c r="N382" s="30"/>
      <c r="O382" s="30"/>
      <c r="P382" s="30"/>
      <c r="Q382" s="30"/>
      <c r="R382" s="30"/>
      <c r="S382" s="30"/>
    </row>
    <row r="383" ht="15.75" customHeight="1">
      <c r="A383" s="30"/>
      <c r="B383" s="30"/>
      <c r="C383" s="30"/>
      <c r="D383" s="30"/>
      <c r="E383" s="30"/>
      <c r="F383" s="30"/>
      <c r="G383" s="30"/>
      <c r="H383" s="30"/>
      <c r="I383" s="30"/>
      <c r="J383" s="30"/>
      <c r="K383" s="30"/>
      <c r="L383" s="30"/>
      <c r="M383" s="30"/>
      <c r="N383" s="30"/>
      <c r="O383" s="30"/>
      <c r="P383" s="30"/>
      <c r="Q383" s="30"/>
      <c r="R383" s="30"/>
      <c r="S383" s="30"/>
    </row>
    <row r="384" ht="15.75" customHeight="1">
      <c r="A384" s="30"/>
      <c r="B384" s="30"/>
      <c r="C384" s="30"/>
      <c r="D384" s="30"/>
      <c r="E384" s="30"/>
      <c r="F384" s="30"/>
      <c r="G384" s="30"/>
      <c r="H384" s="30"/>
      <c r="I384" s="30"/>
      <c r="J384" s="30"/>
      <c r="K384" s="30"/>
      <c r="L384" s="30"/>
      <c r="M384" s="30"/>
      <c r="N384" s="30"/>
      <c r="O384" s="30"/>
      <c r="P384" s="30"/>
      <c r="Q384" s="30"/>
      <c r="R384" s="30"/>
      <c r="S384" s="30"/>
    </row>
    <row r="385" ht="15.75" customHeight="1">
      <c r="A385" s="30"/>
      <c r="B385" s="30"/>
      <c r="C385" s="30"/>
      <c r="D385" s="30"/>
      <c r="E385" s="30"/>
      <c r="F385" s="30"/>
      <c r="G385" s="30"/>
      <c r="H385" s="30"/>
      <c r="I385" s="30"/>
      <c r="J385" s="30"/>
      <c r="K385" s="30"/>
      <c r="L385" s="30"/>
      <c r="M385" s="30"/>
      <c r="N385" s="30"/>
      <c r="O385" s="30"/>
      <c r="P385" s="30"/>
      <c r="Q385" s="30"/>
      <c r="R385" s="30"/>
      <c r="S385" s="30"/>
    </row>
    <row r="386" ht="15.75" customHeight="1">
      <c r="A386" s="30"/>
      <c r="B386" s="30"/>
      <c r="C386" s="30"/>
      <c r="D386" s="30"/>
      <c r="E386" s="30"/>
      <c r="F386" s="30"/>
      <c r="G386" s="30"/>
      <c r="H386" s="30"/>
      <c r="I386" s="30"/>
      <c r="J386" s="30"/>
      <c r="K386" s="30"/>
      <c r="L386" s="30"/>
      <c r="M386" s="30"/>
      <c r="N386" s="30"/>
      <c r="O386" s="30"/>
      <c r="P386" s="30"/>
      <c r="Q386" s="30"/>
      <c r="R386" s="30"/>
      <c r="S386" s="30"/>
    </row>
    <row r="387" ht="15.75" customHeight="1">
      <c r="A387" s="30"/>
      <c r="B387" s="30"/>
      <c r="C387" s="30"/>
      <c r="D387" s="30"/>
      <c r="E387" s="30"/>
      <c r="F387" s="30"/>
      <c r="G387" s="30"/>
      <c r="H387" s="30"/>
      <c r="I387" s="30"/>
      <c r="J387" s="30"/>
      <c r="K387" s="30"/>
      <c r="L387" s="30"/>
      <c r="M387" s="30"/>
      <c r="N387" s="30"/>
      <c r="O387" s="30"/>
      <c r="P387" s="30"/>
      <c r="Q387" s="30"/>
      <c r="R387" s="30"/>
      <c r="S387" s="30"/>
    </row>
    <row r="388" ht="15.75" customHeight="1">
      <c r="A388" s="30"/>
      <c r="B388" s="30"/>
      <c r="C388" s="30"/>
      <c r="D388" s="30"/>
      <c r="E388" s="30"/>
      <c r="F388" s="30"/>
      <c r="G388" s="30"/>
      <c r="H388" s="30"/>
      <c r="I388" s="30"/>
      <c r="J388" s="30"/>
      <c r="K388" s="30"/>
      <c r="L388" s="30"/>
      <c r="M388" s="30"/>
      <c r="N388" s="30"/>
      <c r="O388" s="30"/>
      <c r="P388" s="30"/>
      <c r="Q388" s="30"/>
      <c r="R388" s="30"/>
      <c r="S388" s="30"/>
    </row>
    <row r="389" ht="15.75" customHeight="1">
      <c r="A389" s="30"/>
      <c r="B389" s="30"/>
      <c r="C389" s="30"/>
      <c r="D389" s="30"/>
      <c r="E389" s="30"/>
      <c r="F389" s="30"/>
      <c r="G389" s="30"/>
      <c r="H389" s="30"/>
      <c r="I389" s="30"/>
      <c r="J389" s="30"/>
      <c r="K389" s="30"/>
      <c r="L389" s="30"/>
      <c r="M389" s="30"/>
      <c r="N389" s="30"/>
      <c r="O389" s="30"/>
      <c r="P389" s="30"/>
      <c r="Q389" s="30"/>
      <c r="R389" s="30"/>
      <c r="S389" s="30"/>
    </row>
    <row r="390" ht="15.75" customHeight="1">
      <c r="A390" s="30"/>
      <c r="B390" s="30"/>
      <c r="C390" s="30"/>
      <c r="D390" s="30"/>
      <c r="E390" s="30"/>
      <c r="F390" s="30"/>
      <c r="G390" s="30"/>
      <c r="H390" s="30"/>
      <c r="I390" s="30"/>
      <c r="J390" s="30"/>
      <c r="K390" s="30"/>
      <c r="L390" s="30"/>
      <c r="M390" s="30"/>
      <c r="N390" s="30"/>
      <c r="O390" s="30"/>
      <c r="P390" s="30"/>
      <c r="Q390" s="30"/>
      <c r="R390" s="30"/>
      <c r="S390" s="30"/>
    </row>
    <row r="391" ht="15.75" customHeight="1">
      <c r="A391" s="30"/>
      <c r="B391" s="30"/>
      <c r="C391" s="30"/>
      <c r="D391" s="30"/>
      <c r="E391" s="30"/>
      <c r="F391" s="30"/>
      <c r="G391" s="30"/>
      <c r="H391" s="30"/>
      <c r="I391" s="30"/>
      <c r="J391" s="30"/>
      <c r="K391" s="30"/>
      <c r="L391" s="30"/>
      <c r="M391" s="30"/>
      <c r="N391" s="30"/>
      <c r="O391" s="30"/>
      <c r="P391" s="30"/>
      <c r="Q391" s="30"/>
      <c r="R391" s="30"/>
      <c r="S391" s="30"/>
    </row>
    <row r="392" ht="15.75" customHeight="1">
      <c r="A392" s="30"/>
      <c r="B392" s="30"/>
      <c r="C392" s="30"/>
      <c r="D392" s="30"/>
      <c r="E392" s="30"/>
      <c r="F392" s="30"/>
      <c r="G392" s="30"/>
      <c r="H392" s="30"/>
      <c r="I392" s="30"/>
      <c r="J392" s="30"/>
      <c r="K392" s="30"/>
      <c r="L392" s="30"/>
      <c r="M392" s="30"/>
      <c r="N392" s="30"/>
      <c r="O392" s="30"/>
      <c r="P392" s="30"/>
      <c r="Q392" s="30"/>
      <c r="R392" s="30"/>
      <c r="S392" s="30"/>
    </row>
    <row r="393" ht="15.75" customHeight="1">
      <c r="A393" s="30"/>
      <c r="B393" s="30"/>
      <c r="C393" s="30"/>
      <c r="D393" s="30"/>
      <c r="E393" s="30"/>
      <c r="F393" s="30"/>
      <c r="G393" s="30"/>
      <c r="H393" s="30"/>
      <c r="I393" s="30"/>
      <c r="J393" s="30"/>
      <c r="K393" s="30"/>
      <c r="L393" s="30"/>
      <c r="M393" s="30"/>
      <c r="N393" s="30"/>
      <c r="O393" s="30"/>
      <c r="P393" s="30"/>
      <c r="Q393" s="30"/>
      <c r="R393" s="30"/>
      <c r="S393" s="30"/>
    </row>
    <row r="394" ht="15.75" customHeight="1">
      <c r="A394" s="30"/>
      <c r="B394" s="30"/>
      <c r="C394" s="30"/>
      <c r="D394" s="30"/>
      <c r="E394" s="30"/>
      <c r="F394" s="30"/>
      <c r="G394" s="30"/>
      <c r="H394" s="30"/>
      <c r="I394" s="30"/>
      <c r="J394" s="30"/>
      <c r="K394" s="30"/>
      <c r="L394" s="30"/>
      <c r="M394" s="30"/>
      <c r="N394" s="30"/>
      <c r="O394" s="30"/>
      <c r="P394" s="30"/>
      <c r="Q394" s="30"/>
      <c r="R394" s="30"/>
      <c r="S394" s="30"/>
    </row>
    <row r="395" ht="15.75" customHeight="1">
      <c r="A395" s="30"/>
      <c r="B395" s="30"/>
      <c r="C395" s="30"/>
      <c r="D395" s="30"/>
      <c r="E395" s="30"/>
      <c r="F395" s="30"/>
      <c r="G395" s="30"/>
      <c r="H395" s="30"/>
      <c r="I395" s="30"/>
      <c r="J395" s="30"/>
      <c r="K395" s="30"/>
      <c r="L395" s="30"/>
      <c r="M395" s="30"/>
      <c r="N395" s="30"/>
      <c r="O395" s="30"/>
      <c r="P395" s="30"/>
      <c r="Q395" s="30"/>
      <c r="R395" s="30"/>
      <c r="S395" s="30"/>
    </row>
    <row r="396" ht="15.75" customHeight="1">
      <c r="A396" s="30"/>
      <c r="B396" s="30"/>
      <c r="C396" s="30"/>
      <c r="D396" s="30"/>
      <c r="E396" s="30"/>
      <c r="F396" s="30"/>
      <c r="G396" s="30"/>
      <c r="H396" s="30"/>
      <c r="I396" s="30"/>
      <c r="J396" s="30"/>
      <c r="K396" s="30"/>
      <c r="L396" s="30"/>
      <c r="M396" s="30"/>
      <c r="N396" s="30"/>
      <c r="O396" s="30"/>
      <c r="P396" s="30"/>
      <c r="Q396" s="30"/>
      <c r="R396" s="30"/>
      <c r="S396" s="30"/>
    </row>
    <row r="397" ht="15.75" customHeight="1">
      <c r="A397" s="30"/>
      <c r="B397" s="30"/>
      <c r="C397" s="30"/>
      <c r="D397" s="30"/>
      <c r="E397" s="30"/>
      <c r="F397" s="30"/>
      <c r="G397" s="30"/>
      <c r="H397" s="30"/>
      <c r="I397" s="30"/>
      <c r="J397" s="30"/>
      <c r="K397" s="30"/>
      <c r="L397" s="30"/>
      <c r="M397" s="30"/>
      <c r="N397" s="30"/>
      <c r="O397" s="30"/>
      <c r="P397" s="30"/>
      <c r="Q397" s="30"/>
      <c r="R397" s="30"/>
      <c r="S397" s="30"/>
    </row>
    <row r="398" ht="15.75" customHeight="1">
      <c r="A398" s="30"/>
      <c r="B398" s="30"/>
      <c r="C398" s="30"/>
      <c r="D398" s="30"/>
      <c r="E398" s="30"/>
      <c r="F398" s="30"/>
      <c r="G398" s="30"/>
      <c r="H398" s="30"/>
      <c r="I398" s="30"/>
      <c r="J398" s="30"/>
      <c r="K398" s="30"/>
      <c r="L398" s="30"/>
      <c r="M398" s="30"/>
      <c r="N398" s="30"/>
      <c r="O398" s="30"/>
      <c r="P398" s="30"/>
      <c r="Q398" s="30"/>
      <c r="R398" s="30"/>
      <c r="S398" s="30"/>
    </row>
    <row r="399" ht="15.75" customHeight="1">
      <c r="A399" s="30"/>
      <c r="B399" s="30"/>
      <c r="C399" s="30"/>
      <c r="D399" s="30"/>
      <c r="E399" s="30"/>
      <c r="F399" s="30"/>
      <c r="G399" s="30"/>
      <c r="H399" s="30"/>
      <c r="I399" s="30"/>
      <c r="J399" s="30"/>
      <c r="K399" s="30"/>
      <c r="L399" s="30"/>
      <c r="M399" s="30"/>
      <c r="N399" s="30"/>
      <c r="O399" s="30"/>
      <c r="P399" s="30"/>
      <c r="Q399" s="30"/>
      <c r="R399" s="30"/>
      <c r="S399" s="30"/>
    </row>
    <row r="400" ht="15.75" customHeight="1">
      <c r="A400" s="30"/>
      <c r="B400" s="30"/>
      <c r="C400" s="30"/>
      <c r="D400" s="30"/>
      <c r="E400" s="30"/>
      <c r="F400" s="30"/>
      <c r="G400" s="30"/>
      <c r="H400" s="30"/>
      <c r="I400" s="30"/>
      <c r="J400" s="30"/>
      <c r="K400" s="30"/>
      <c r="L400" s="30"/>
      <c r="M400" s="30"/>
      <c r="N400" s="30"/>
      <c r="O400" s="30"/>
      <c r="P400" s="30"/>
      <c r="Q400" s="30"/>
      <c r="R400" s="30"/>
      <c r="S400" s="30"/>
    </row>
    <row r="401" ht="15.75" customHeight="1">
      <c r="A401" s="30"/>
      <c r="B401" s="30"/>
      <c r="C401" s="30"/>
      <c r="D401" s="30"/>
      <c r="E401" s="30"/>
      <c r="F401" s="30"/>
      <c r="G401" s="30"/>
      <c r="H401" s="30"/>
      <c r="I401" s="30"/>
      <c r="J401" s="30"/>
      <c r="K401" s="30"/>
      <c r="L401" s="30"/>
      <c r="M401" s="30"/>
      <c r="N401" s="30"/>
      <c r="O401" s="30"/>
      <c r="P401" s="30"/>
      <c r="Q401" s="30"/>
      <c r="R401" s="30"/>
      <c r="S401" s="30"/>
    </row>
    <row r="402" ht="15.75" customHeight="1">
      <c r="A402" s="30"/>
      <c r="B402" s="30"/>
      <c r="C402" s="30"/>
      <c r="D402" s="30"/>
      <c r="E402" s="30"/>
      <c r="F402" s="30"/>
      <c r="G402" s="30"/>
      <c r="H402" s="30"/>
      <c r="I402" s="30"/>
      <c r="J402" s="30"/>
      <c r="K402" s="30"/>
      <c r="L402" s="30"/>
      <c r="M402" s="30"/>
      <c r="N402" s="30"/>
      <c r="O402" s="30"/>
      <c r="P402" s="30"/>
      <c r="Q402" s="30"/>
      <c r="R402" s="30"/>
      <c r="S402" s="30"/>
    </row>
    <row r="403" ht="15.75" customHeight="1">
      <c r="A403" s="30"/>
      <c r="B403" s="30"/>
      <c r="C403" s="30"/>
      <c r="D403" s="30"/>
      <c r="E403" s="30"/>
      <c r="F403" s="30"/>
      <c r="G403" s="30"/>
      <c r="H403" s="30"/>
      <c r="I403" s="30"/>
      <c r="J403" s="30"/>
      <c r="K403" s="30"/>
      <c r="L403" s="30"/>
      <c r="M403" s="30"/>
      <c r="N403" s="30"/>
      <c r="O403" s="30"/>
      <c r="P403" s="30"/>
      <c r="Q403" s="30"/>
      <c r="R403" s="30"/>
      <c r="S403" s="30"/>
    </row>
    <row r="404" ht="15.75" customHeight="1">
      <c r="A404" s="30"/>
      <c r="B404" s="30"/>
      <c r="C404" s="30"/>
      <c r="D404" s="30"/>
      <c r="E404" s="30"/>
      <c r="F404" s="30"/>
      <c r="G404" s="30"/>
      <c r="H404" s="30"/>
      <c r="I404" s="30"/>
      <c r="J404" s="30"/>
      <c r="K404" s="30"/>
      <c r="L404" s="30"/>
      <c r="M404" s="30"/>
      <c r="N404" s="30"/>
      <c r="O404" s="30"/>
      <c r="P404" s="30"/>
      <c r="Q404" s="30"/>
      <c r="R404" s="30"/>
      <c r="S404" s="30"/>
    </row>
    <row r="405" ht="15.75" customHeight="1">
      <c r="A405" s="30"/>
      <c r="B405" s="30"/>
      <c r="C405" s="30"/>
      <c r="D405" s="30"/>
      <c r="E405" s="30"/>
      <c r="F405" s="30"/>
      <c r="G405" s="30"/>
      <c r="H405" s="30"/>
      <c r="I405" s="30"/>
      <c r="J405" s="30"/>
      <c r="K405" s="30"/>
      <c r="L405" s="30"/>
      <c r="M405" s="30"/>
      <c r="N405" s="30"/>
      <c r="O405" s="30"/>
      <c r="P405" s="30"/>
      <c r="Q405" s="30"/>
      <c r="R405" s="30"/>
      <c r="S405" s="30"/>
    </row>
    <row r="406" ht="15.75" customHeight="1">
      <c r="A406" s="30"/>
      <c r="B406" s="30"/>
      <c r="C406" s="30"/>
      <c r="D406" s="30"/>
      <c r="E406" s="30"/>
      <c r="F406" s="30"/>
      <c r="G406" s="30"/>
      <c r="H406" s="30"/>
      <c r="I406" s="30"/>
      <c r="J406" s="30"/>
      <c r="K406" s="30"/>
      <c r="L406" s="30"/>
      <c r="M406" s="30"/>
      <c r="N406" s="30"/>
      <c r="O406" s="30"/>
      <c r="P406" s="30"/>
      <c r="Q406" s="30"/>
      <c r="R406" s="30"/>
      <c r="S406" s="30"/>
    </row>
    <row r="407" ht="15.75" customHeight="1">
      <c r="A407" s="30"/>
      <c r="B407" s="30"/>
      <c r="C407" s="30"/>
      <c r="D407" s="30"/>
      <c r="E407" s="30"/>
      <c r="F407" s="30"/>
      <c r="G407" s="30"/>
      <c r="H407" s="30"/>
      <c r="I407" s="30"/>
      <c r="J407" s="30"/>
      <c r="K407" s="30"/>
      <c r="L407" s="30"/>
      <c r="M407" s="30"/>
      <c r="N407" s="30"/>
      <c r="O407" s="30"/>
      <c r="P407" s="30"/>
      <c r="Q407" s="30"/>
      <c r="R407" s="30"/>
      <c r="S407" s="30"/>
    </row>
    <row r="408" ht="15.75" customHeight="1">
      <c r="A408" s="30"/>
      <c r="B408" s="30"/>
      <c r="C408" s="30"/>
      <c r="D408" s="30"/>
      <c r="E408" s="30"/>
      <c r="F408" s="30"/>
      <c r="G408" s="30"/>
      <c r="H408" s="30"/>
      <c r="I408" s="30"/>
      <c r="J408" s="30"/>
      <c r="K408" s="30"/>
      <c r="L408" s="30"/>
      <c r="M408" s="30"/>
      <c r="N408" s="30"/>
      <c r="O408" s="30"/>
      <c r="P408" s="30"/>
      <c r="Q408" s="30"/>
      <c r="R408" s="30"/>
      <c r="S408" s="30"/>
    </row>
    <row r="409" ht="15.75" customHeight="1">
      <c r="A409" s="30"/>
      <c r="B409" s="30"/>
      <c r="C409" s="30"/>
      <c r="D409" s="30"/>
      <c r="E409" s="30"/>
      <c r="F409" s="30"/>
      <c r="G409" s="30"/>
      <c r="H409" s="30"/>
      <c r="I409" s="30"/>
      <c r="J409" s="30"/>
      <c r="K409" s="30"/>
      <c r="L409" s="30"/>
      <c r="M409" s="30"/>
      <c r="N409" s="30"/>
      <c r="O409" s="30"/>
      <c r="P409" s="30"/>
      <c r="Q409" s="30"/>
      <c r="R409" s="30"/>
      <c r="S409" s="30"/>
    </row>
    <row r="410" ht="15.75" customHeight="1">
      <c r="A410" s="30"/>
      <c r="B410" s="30"/>
      <c r="C410" s="30"/>
      <c r="D410" s="30"/>
      <c r="E410" s="30"/>
      <c r="F410" s="30"/>
      <c r="G410" s="30"/>
      <c r="H410" s="30"/>
      <c r="I410" s="30"/>
      <c r="J410" s="30"/>
      <c r="K410" s="30"/>
      <c r="L410" s="30"/>
      <c r="M410" s="30"/>
      <c r="N410" s="30"/>
      <c r="O410" s="30"/>
      <c r="P410" s="30"/>
      <c r="Q410" s="30"/>
      <c r="R410" s="30"/>
      <c r="S410" s="30"/>
    </row>
    <row r="411" ht="15.75" customHeight="1">
      <c r="A411" s="30"/>
      <c r="B411" s="30"/>
      <c r="C411" s="30"/>
      <c r="D411" s="30"/>
      <c r="E411" s="30"/>
      <c r="F411" s="30"/>
      <c r="G411" s="30"/>
      <c r="H411" s="30"/>
      <c r="I411" s="30"/>
      <c r="J411" s="30"/>
      <c r="K411" s="30"/>
      <c r="L411" s="30"/>
      <c r="M411" s="30"/>
      <c r="N411" s="30"/>
      <c r="O411" s="30"/>
      <c r="P411" s="30"/>
      <c r="Q411" s="30"/>
      <c r="R411" s="30"/>
      <c r="S411" s="30"/>
    </row>
    <row r="412" ht="15.75" customHeight="1">
      <c r="A412" s="30"/>
      <c r="B412" s="30"/>
      <c r="C412" s="30"/>
      <c r="D412" s="30"/>
      <c r="E412" s="30"/>
      <c r="F412" s="30"/>
      <c r="G412" s="30"/>
      <c r="H412" s="30"/>
      <c r="I412" s="30"/>
      <c r="J412" s="30"/>
      <c r="K412" s="30"/>
      <c r="L412" s="30"/>
      <c r="M412" s="30"/>
      <c r="N412" s="30"/>
      <c r="O412" s="30"/>
      <c r="P412" s="30"/>
      <c r="Q412" s="30"/>
      <c r="R412" s="30"/>
      <c r="S412" s="30"/>
    </row>
    <row r="413" ht="15.75" customHeight="1">
      <c r="A413" s="30"/>
      <c r="B413" s="30"/>
      <c r="C413" s="30"/>
      <c r="D413" s="30"/>
      <c r="E413" s="30"/>
      <c r="F413" s="30"/>
      <c r="G413" s="30"/>
      <c r="H413" s="30"/>
      <c r="I413" s="30"/>
      <c r="J413" s="30"/>
      <c r="K413" s="30"/>
      <c r="L413" s="30"/>
      <c r="M413" s="30"/>
      <c r="N413" s="30"/>
      <c r="O413" s="30"/>
      <c r="P413" s="30"/>
      <c r="Q413" s="30"/>
      <c r="R413" s="30"/>
      <c r="S413" s="30"/>
    </row>
    <row r="414" ht="15.75" customHeight="1">
      <c r="A414" s="30"/>
      <c r="B414" s="30"/>
      <c r="C414" s="30"/>
      <c r="D414" s="30"/>
      <c r="E414" s="30"/>
      <c r="F414" s="30"/>
      <c r="G414" s="30"/>
      <c r="H414" s="30"/>
      <c r="I414" s="30"/>
      <c r="J414" s="30"/>
      <c r="K414" s="30"/>
      <c r="L414" s="30"/>
      <c r="M414" s="30"/>
      <c r="N414" s="30"/>
      <c r="O414" s="30"/>
      <c r="P414" s="30"/>
      <c r="Q414" s="30"/>
      <c r="R414" s="30"/>
      <c r="S414" s="30"/>
    </row>
    <row r="415" ht="15.75" customHeight="1">
      <c r="A415" s="30"/>
      <c r="B415" s="30"/>
      <c r="C415" s="30"/>
      <c r="D415" s="30"/>
      <c r="E415" s="30"/>
      <c r="F415" s="30"/>
      <c r="G415" s="30"/>
      <c r="H415" s="30"/>
      <c r="I415" s="30"/>
      <c r="J415" s="30"/>
      <c r="K415" s="30"/>
      <c r="L415" s="30"/>
      <c r="M415" s="30"/>
      <c r="N415" s="30"/>
      <c r="O415" s="30"/>
      <c r="P415" s="30"/>
      <c r="Q415" s="30"/>
      <c r="R415" s="30"/>
      <c r="S415" s="30"/>
    </row>
    <row r="416" ht="15.75" customHeight="1">
      <c r="A416" s="30"/>
      <c r="B416" s="30"/>
      <c r="C416" s="30"/>
      <c r="D416" s="30"/>
      <c r="E416" s="30"/>
      <c r="F416" s="30"/>
      <c r="G416" s="30"/>
      <c r="H416" s="30"/>
      <c r="I416" s="30"/>
      <c r="J416" s="30"/>
      <c r="K416" s="30"/>
      <c r="L416" s="30"/>
      <c r="M416" s="30"/>
      <c r="N416" s="30"/>
      <c r="O416" s="30"/>
      <c r="P416" s="30"/>
      <c r="Q416" s="30"/>
      <c r="R416" s="30"/>
      <c r="S416" s="30"/>
    </row>
    <row r="417" ht="15.75" customHeight="1">
      <c r="A417" s="30"/>
      <c r="B417" s="30"/>
      <c r="C417" s="30"/>
      <c r="D417" s="30"/>
      <c r="E417" s="30"/>
      <c r="F417" s="30"/>
      <c r="G417" s="30"/>
      <c r="H417" s="30"/>
      <c r="I417" s="30"/>
      <c r="J417" s="30"/>
      <c r="K417" s="30"/>
      <c r="L417" s="30"/>
      <c r="M417" s="30"/>
      <c r="N417" s="30"/>
      <c r="O417" s="30"/>
      <c r="P417" s="30"/>
      <c r="Q417" s="30"/>
      <c r="R417" s="30"/>
      <c r="S417" s="30"/>
    </row>
    <row r="418" ht="15.75" customHeight="1">
      <c r="A418" s="30"/>
      <c r="B418" s="30"/>
      <c r="C418" s="30"/>
      <c r="D418" s="30"/>
      <c r="E418" s="30"/>
      <c r="F418" s="30"/>
      <c r="G418" s="30"/>
      <c r="H418" s="30"/>
      <c r="I418" s="30"/>
      <c r="J418" s="30"/>
      <c r="K418" s="30"/>
      <c r="L418" s="30"/>
      <c r="M418" s="30"/>
      <c r="N418" s="30"/>
      <c r="O418" s="30"/>
      <c r="P418" s="30"/>
      <c r="Q418" s="30"/>
      <c r="R418" s="30"/>
      <c r="S418" s="30"/>
    </row>
    <row r="419" ht="15.75" customHeight="1">
      <c r="A419" s="30"/>
      <c r="B419" s="30"/>
      <c r="C419" s="30"/>
      <c r="D419" s="30"/>
      <c r="E419" s="30"/>
      <c r="F419" s="30"/>
      <c r="G419" s="30"/>
      <c r="H419" s="30"/>
      <c r="I419" s="30"/>
      <c r="J419" s="30"/>
      <c r="K419" s="30"/>
      <c r="L419" s="30"/>
      <c r="M419" s="30"/>
      <c r="N419" s="30"/>
      <c r="O419" s="30"/>
      <c r="P419" s="30"/>
      <c r="Q419" s="30"/>
      <c r="R419" s="30"/>
      <c r="S419" s="30"/>
    </row>
    <row r="420" ht="15.75" customHeight="1">
      <c r="A420" s="30"/>
      <c r="B420" s="30"/>
      <c r="C420" s="30"/>
      <c r="D420" s="30"/>
      <c r="E420" s="30"/>
      <c r="F420" s="30"/>
      <c r="G420" s="30"/>
      <c r="H420" s="30"/>
      <c r="I420" s="30"/>
      <c r="J420" s="30"/>
      <c r="K420" s="30"/>
      <c r="L420" s="30"/>
      <c r="M420" s="30"/>
      <c r="N420" s="30"/>
      <c r="O420" s="30"/>
      <c r="P420" s="30"/>
      <c r="Q420" s="30"/>
      <c r="R420" s="30"/>
      <c r="S420" s="30"/>
    </row>
    <row r="421" ht="15.75" customHeight="1">
      <c r="A421" s="30"/>
      <c r="B421" s="30"/>
      <c r="C421" s="30"/>
      <c r="D421" s="30"/>
      <c r="E421" s="30"/>
      <c r="F421" s="30"/>
      <c r="G421" s="30"/>
      <c r="H421" s="30"/>
      <c r="I421" s="30"/>
      <c r="J421" s="30"/>
      <c r="K421" s="30"/>
      <c r="L421" s="30"/>
      <c r="M421" s="30"/>
      <c r="N421" s="30"/>
      <c r="O421" s="30"/>
      <c r="P421" s="30"/>
      <c r="Q421" s="30"/>
      <c r="R421" s="30"/>
      <c r="S421" s="30"/>
    </row>
    <row r="422" ht="15.75" customHeight="1">
      <c r="A422" s="30"/>
      <c r="B422" s="30"/>
      <c r="C422" s="30"/>
      <c r="D422" s="30"/>
      <c r="E422" s="30"/>
      <c r="F422" s="30"/>
      <c r="G422" s="30"/>
      <c r="H422" s="30"/>
      <c r="I422" s="30"/>
      <c r="J422" s="30"/>
      <c r="K422" s="30"/>
      <c r="L422" s="30"/>
      <c r="M422" s="30"/>
      <c r="N422" s="30"/>
      <c r="O422" s="30"/>
      <c r="P422" s="30"/>
      <c r="Q422" s="30"/>
      <c r="R422" s="30"/>
      <c r="S422" s="30"/>
    </row>
    <row r="423" ht="15.75" customHeight="1">
      <c r="A423" s="30"/>
      <c r="B423" s="30"/>
      <c r="C423" s="30"/>
      <c r="D423" s="30"/>
      <c r="E423" s="30"/>
      <c r="F423" s="30"/>
      <c r="G423" s="30"/>
      <c r="H423" s="30"/>
      <c r="I423" s="30"/>
      <c r="J423" s="30"/>
      <c r="K423" s="30"/>
      <c r="L423" s="30"/>
      <c r="M423" s="30"/>
      <c r="N423" s="30"/>
      <c r="O423" s="30"/>
      <c r="P423" s="30"/>
      <c r="Q423" s="30"/>
      <c r="R423" s="30"/>
      <c r="S423" s="30"/>
    </row>
    <row r="424" ht="15.75" customHeight="1">
      <c r="A424" s="30"/>
      <c r="B424" s="30"/>
      <c r="C424" s="30"/>
      <c r="D424" s="30"/>
      <c r="E424" s="30"/>
      <c r="F424" s="30"/>
      <c r="G424" s="30"/>
      <c r="H424" s="30"/>
      <c r="I424" s="30"/>
      <c r="J424" s="30"/>
      <c r="K424" s="30"/>
      <c r="L424" s="30"/>
      <c r="M424" s="30"/>
      <c r="N424" s="30"/>
      <c r="O424" s="30"/>
      <c r="P424" s="30"/>
      <c r="Q424" s="30"/>
      <c r="R424" s="30"/>
      <c r="S424" s="30"/>
    </row>
    <row r="425" ht="15.75" customHeight="1">
      <c r="A425" s="30"/>
      <c r="B425" s="30"/>
      <c r="C425" s="30"/>
      <c r="D425" s="30"/>
      <c r="E425" s="30"/>
      <c r="F425" s="30"/>
      <c r="G425" s="30"/>
      <c r="H425" s="30"/>
      <c r="I425" s="30"/>
      <c r="J425" s="30"/>
      <c r="K425" s="30"/>
      <c r="L425" s="30"/>
      <c r="M425" s="30"/>
      <c r="N425" s="30"/>
      <c r="O425" s="30"/>
      <c r="P425" s="30"/>
      <c r="Q425" s="30"/>
      <c r="R425" s="30"/>
      <c r="S425" s="30"/>
    </row>
    <row r="426" ht="15.75" customHeight="1">
      <c r="A426" s="30"/>
      <c r="B426" s="30"/>
      <c r="C426" s="30"/>
      <c r="D426" s="30"/>
      <c r="E426" s="30"/>
      <c r="F426" s="30"/>
      <c r="G426" s="30"/>
      <c r="H426" s="30"/>
      <c r="I426" s="30"/>
      <c r="J426" s="30"/>
      <c r="K426" s="30"/>
      <c r="L426" s="30"/>
      <c r="M426" s="30"/>
      <c r="N426" s="30"/>
      <c r="O426" s="30"/>
      <c r="P426" s="30"/>
      <c r="Q426" s="30"/>
      <c r="R426" s="30"/>
      <c r="S426" s="30"/>
    </row>
    <row r="427" ht="15.75" customHeight="1">
      <c r="A427" s="30"/>
      <c r="B427" s="30"/>
      <c r="C427" s="30"/>
      <c r="D427" s="30"/>
      <c r="E427" s="30"/>
      <c r="F427" s="30"/>
      <c r="G427" s="30"/>
      <c r="H427" s="30"/>
      <c r="I427" s="30"/>
      <c r="J427" s="30"/>
      <c r="K427" s="30"/>
      <c r="L427" s="30"/>
      <c r="M427" s="30"/>
      <c r="N427" s="30"/>
      <c r="O427" s="30"/>
      <c r="P427" s="30"/>
      <c r="Q427" s="30"/>
      <c r="R427" s="30"/>
      <c r="S427" s="30"/>
    </row>
    <row r="428" ht="15.75" customHeight="1">
      <c r="A428" s="30"/>
      <c r="B428" s="30"/>
      <c r="C428" s="30"/>
      <c r="D428" s="30"/>
      <c r="E428" s="30"/>
      <c r="F428" s="30"/>
      <c r="G428" s="30"/>
      <c r="H428" s="30"/>
      <c r="I428" s="30"/>
      <c r="J428" s="30"/>
      <c r="K428" s="30"/>
      <c r="L428" s="30"/>
      <c r="M428" s="30"/>
      <c r="N428" s="30"/>
      <c r="O428" s="30"/>
      <c r="P428" s="30"/>
      <c r="Q428" s="30"/>
      <c r="R428" s="30"/>
      <c r="S428" s="30"/>
    </row>
    <row r="429" ht="15.75" customHeight="1">
      <c r="A429" s="30"/>
      <c r="B429" s="30"/>
      <c r="C429" s="30"/>
      <c r="D429" s="30"/>
      <c r="E429" s="30"/>
      <c r="F429" s="30"/>
      <c r="G429" s="30"/>
      <c r="H429" s="30"/>
      <c r="I429" s="30"/>
      <c r="J429" s="30"/>
      <c r="K429" s="30"/>
      <c r="L429" s="30"/>
      <c r="M429" s="30"/>
      <c r="N429" s="30"/>
      <c r="O429" s="30"/>
      <c r="P429" s="30"/>
      <c r="Q429" s="30"/>
      <c r="R429" s="30"/>
      <c r="S429" s="30"/>
    </row>
    <row r="430" ht="15.75" customHeight="1">
      <c r="A430" s="30"/>
      <c r="B430" s="30"/>
      <c r="C430" s="30"/>
      <c r="D430" s="30"/>
      <c r="E430" s="30"/>
      <c r="F430" s="30"/>
      <c r="G430" s="30"/>
      <c r="H430" s="30"/>
      <c r="I430" s="30"/>
      <c r="J430" s="30"/>
      <c r="K430" s="30"/>
      <c r="L430" s="30"/>
      <c r="M430" s="30"/>
      <c r="N430" s="30"/>
      <c r="O430" s="30"/>
      <c r="P430" s="30"/>
      <c r="Q430" s="30"/>
      <c r="R430" s="30"/>
      <c r="S430" s="30"/>
    </row>
    <row r="431" ht="15.75" customHeight="1">
      <c r="A431" s="30"/>
      <c r="B431" s="30"/>
      <c r="C431" s="30"/>
      <c r="D431" s="30"/>
      <c r="E431" s="30"/>
      <c r="F431" s="30"/>
      <c r="G431" s="30"/>
      <c r="H431" s="30"/>
      <c r="I431" s="30"/>
      <c r="J431" s="30"/>
      <c r="K431" s="30"/>
      <c r="L431" s="30"/>
      <c r="M431" s="30"/>
      <c r="N431" s="30"/>
      <c r="O431" s="30"/>
      <c r="P431" s="30"/>
      <c r="Q431" s="30"/>
      <c r="R431" s="30"/>
      <c r="S431" s="30"/>
    </row>
    <row r="432" ht="15.75" customHeight="1">
      <c r="A432" s="30"/>
      <c r="B432" s="30"/>
      <c r="C432" s="30"/>
      <c r="D432" s="30"/>
      <c r="E432" s="30"/>
      <c r="F432" s="30"/>
      <c r="G432" s="30"/>
      <c r="H432" s="30"/>
      <c r="I432" s="30"/>
      <c r="J432" s="30"/>
      <c r="K432" s="30"/>
      <c r="L432" s="30"/>
      <c r="M432" s="30"/>
      <c r="N432" s="30"/>
      <c r="O432" s="30"/>
      <c r="P432" s="30"/>
      <c r="Q432" s="30"/>
      <c r="R432" s="30"/>
      <c r="S432" s="30"/>
    </row>
    <row r="433" ht="15.75" customHeight="1">
      <c r="A433" s="30"/>
      <c r="B433" s="30"/>
      <c r="C433" s="30"/>
      <c r="D433" s="30"/>
      <c r="E433" s="30"/>
      <c r="F433" s="30"/>
      <c r="G433" s="30"/>
      <c r="H433" s="30"/>
      <c r="I433" s="30"/>
      <c r="J433" s="30"/>
      <c r="K433" s="30"/>
      <c r="L433" s="30"/>
      <c r="M433" s="30"/>
      <c r="N433" s="30"/>
      <c r="O433" s="30"/>
      <c r="P433" s="30"/>
      <c r="Q433" s="30"/>
      <c r="R433" s="30"/>
      <c r="S433" s="30"/>
    </row>
    <row r="434" ht="15.75" customHeight="1">
      <c r="A434" s="30"/>
      <c r="B434" s="30"/>
      <c r="C434" s="30"/>
      <c r="D434" s="30"/>
      <c r="E434" s="30"/>
      <c r="F434" s="30"/>
      <c r="G434" s="30"/>
      <c r="H434" s="30"/>
      <c r="I434" s="30"/>
      <c r="J434" s="30"/>
      <c r="K434" s="30"/>
      <c r="L434" s="30"/>
      <c r="M434" s="30"/>
      <c r="N434" s="30"/>
      <c r="O434" s="30"/>
      <c r="P434" s="30"/>
      <c r="Q434" s="30"/>
      <c r="R434" s="30"/>
      <c r="S434" s="30"/>
    </row>
    <row r="435" ht="15.75" customHeight="1">
      <c r="A435" s="30"/>
      <c r="B435" s="30"/>
      <c r="C435" s="30"/>
      <c r="D435" s="30"/>
      <c r="E435" s="30"/>
      <c r="F435" s="30"/>
      <c r="G435" s="30"/>
      <c r="H435" s="30"/>
      <c r="I435" s="30"/>
      <c r="J435" s="30"/>
      <c r="K435" s="30"/>
      <c r="L435" s="30"/>
      <c r="M435" s="30"/>
      <c r="N435" s="30"/>
      <c r="O435" s="30"/>
      <c r="P435" s="30"/>
      <c r="Q435" s="30"/>
      <c r="R435" s="30"/>
      <c r="S435" s="30"/>
    </row>
    <row r="436" ht="15.75" customHeight="1">
      <c r="A436" s="30"/>
      <c r="B436" s="30"/>
      <c r="C436" s="30"/>
      <c r="D436" s="30"/>
      <c r="E436" s="30"/>
      <c r="F436" s="30"/>
      <c r="G436" s="30"/>
      <c r="H436" s="30"/>
      <c r="I436" s="30"/>
      <c r="J436" s="30"/>
      <c r="K436" s="30"/>
      <c r="L436" s="30"/>
      <c r="M436" s="30"/>
      <c r="N436" s="30"/>
      <c r="O436" s="30"/>
      <c r="P436" s="30"/>
      <c r="Q436" s="30"/>
      <c r="R436" s="30"/>
      <c r="S436" s="30"/>
    </row>
    <row r="437" ht="15.75" customHeight="1">
      <c r="A437" s="30"/>
      <c r="B437" s="30"/>
      <c r="C437" s="30"/>
      <c r="D437" s="30"/>
      <c r="E437" s="30"/>
      <c r="F437" s="30"/>
      <c r="G437" s="30"/>
      <c r="H437" s="30"/>
      <c r="I437" s="30"/>
      <c r="J437" s="30"/>
      <c r="K437" s="30"/>
      <c r="L437" s="30"/>
      <c r="M437" s="30"/>
      <c r="N437" s="30"/>
      <c r="O437" s="30"/>
      <c r="P437" s="30"/>
      <c r="Q437" s="30"/>
      <c r="R437" s="30"/>
      <c r="S437" s="30"/>
    </row>
    <row r="438" ht="15.75" customHeight="1">
      <c r="A438" s="30"/>
      <c r="B438" s="30"/>
      <c r="C438" s="30"/>
      <c r="D438" s="30"/>
      <c r="E438" s="30"/>
      <c r="F438" s="30"/>
      <c r="G438" s="30"/>
      <c r="H438" s="30"/>
      <c r="I438" s="30"/>
      <c r="J438" s="30"/>
      <c r="K438" s="30"/>
      <c r="L438" s="30"/>
      <c r="M438" s="30"/>
      <c r="N438" s="30"/>
      <c r="O438" s="30"/>
      <c r="P438" s="30"/>
      <c r="Q438" s="30"/>
      <c r="R438" s="30"/>
      <c r="S438" s="30"/>
    </row>
    <row r="439" ht="15.75" customHeight="1">
      <c r="A439" s="30"/>
      <c r="B439" s="30"/>
      <c r="C439" s="30"/>
      <c r="D439" s="30"/>
      <c r="E439" s="30"/>
      <c r="F439" s="30"/>
      <c r="G439" s="30"/>
      <c r="H439" s="30"/>
      <c r="I439" s="30"/>
      <c r="J439" s="30"/>
      <c r="K439" s="30"/>
      <c r="L439" s="30"/>
      <c r="M439" s="30"/>
      <c r="N439" s="30"/>
      <c r="O439" s="30"/>
      <c r="P439" s="30"/>
      <c r="Q439" s="30"/>
      <c r="R439" s="30"/>
      <c r="S439" s="30"/>
    </row>
    <row r="440" ht="15.75" customHeight="1">
      <c r="A440" s="30"/>
      <c r="B440" s="30"/>
      <c r="C440" s="30"/>
      <c r="D440" s="30"/>
      <c r="E440" s="30"/>
      <c r="F440" s="30"/>
      <c r="G440" s="30"/>
      <c r="H440" s="30"/>
      <c r="I440" s="30"/>
      <c r="J440" s="30"/>
      <c r="K440" s="30"/>
      <c r="L440" s="30"/>
      <c r="M440" s="30"/>
      <c r="N440" s="30"/>
      <c r="O440" s="30"/>
      <c r="P440" s="30"/>
      <c r="Q440" s="30"/>
      <c r="R440" s="30"/>
      <c r="S440" s="30"/>
    </row>
    <row r="441" ht="15.75" customHeight="1">
      <c r="A441" s="30"/>
      <c r="B441" s="30"/>
      <c r="C441" s="30"/>
      <c r="D441" s="30"/>
      <c r="E441" s="30"/>
      <c r="F441" s="30"/>
      <c r="G441" s="30"/>
      <c r="H441" s="30"/>
      <c r="I441" s="30"/>
      <c r="J441" s="30"/>
      <c r="K441" s="30"/>
      <c r="L441" s="30"/>
      <c r="M441" s="30"/>
      <c r="N441" s="30"/>
      <c r="O441" s="30"/>
      <c r="P441" s="30"/>
      <c r="Q441" s="30"/>
      <c r="R441" s="30"/>
      <c r="S441" s="30"/>
    </row>
    <row r="442" ht="15.75" customHeight="1">
      <c r="A442" s="30"/>
      <c r="B442" s="30"/>
      <c r="C442" s="30"/>
      <c r="D442" s="30"/>
      <c r="E442" s="30"/>
      <c r="F442" s="30"/>
      <c r="G442" s="30"/>
      <c r="H442" s="30"/>
      <c r="I442" s="30"/>
      <c r="J442" s="30"/>
      <c r="K442" s="30"/>
      <c r="L442" s="30"/>
      <c r="M442" s="30"/>
      <c r="N442" s="30"/>
      <c r="O442" s="30"/>
      <c r="P442" s="30"/>
      <c r="Q442" s="30"/>
      <c r="R442" s="30"/>
      <c r="S442" s="30"/>
    </row>
    <row r="443" ht="15.75" customHeight="1">
      <c r="A443" s="30"/>
      <c r="B443" s="30"/>
      <c r="C443" s="30"/>
      <c r="D443" s="30"/>
      <c r="E443" s="30"/>
      <c r="F443" s="30"/>
      <c r="G443" s="30"/>
      <c r="H443" s="30"/>
      <c r="I443" s="30"/>
      <c r="J443" s="30"/>
      <c r="K443" s="30"/>
      <c r="L443" s="30"/>
      <c r="M443" s="30"/>
      <c r="N443" s="30"/>
      <c r="O443" s="30"/>
      <c r="P443" s="30"/>
      <c r="Q443" s="30"/>
      <c r="R443" s="30"/>
      <c r="S443" s="30"/>
    </row>
    <row r="444" ht="15.75" customHeight="1">
      <c r="A444" s="30"/>
      <c r="B444" s="30"/>
      <c r="C444" s="30"/>
      <c r="D444" s="30"/>
      <c r="E444" s="30"/>
      <c r="F444" s="30"/>
      <c r="G444" s="30"/>
      <c r="H444" s="30"/>
      <c r="I444" s="30"/>
      <c r="J444" s="30"/>
      <c r="K444" s="30"/>
      <c r="L444" s="30"/>
      <c r="M444" s="30"/>
      <c r="N444" s="30"/>
      <c r="O444" s="30"/>
      <c r="P444" s="30"/>
      <c r="Q444" s="30"/>
      <c r="R444" s="30"/>
      <c r="S444" s="30"/>
    </row>
    <row r="445" ht="15.75" customHeight="1">
      <c r="A445" s="30"/>
      <c r="B445" s="30"/>
      <c r="C445" s="30"/>
      <c r="D445" s="30"/>
      <c r="E445" s="30"/>
      <c r="F445" s="30"/>
      <c r="G445" s="30"/>
      <c r="H445" s="30"/>
      <c r="I445" s="30"/>
      <c r="J445" s="30"/>
      <c r="K445" s="30"/>
      <c r="L445" s="30"/>
      <c r="M445" s="30"/>
      <c r="N445" s="30"/>
      <c r="O445" s="30"/>
      <c r="P445" s="30"/>
      <c r="Q445" s="30"/>
      <c r="R445" s="30"/>
      <c r="S445" s="30"/>
    </row>
    <row r="446" ht="15.75" customHeight="1">
      <c r="A446" s="30"/>
      <c r="B446" s="30"/>
      <c r="C446" s="30"/>
      <c r="D446" s="30"/>
      <c r="E446" s="30"/>
      <c r="F446" s="30"/>
      <c r="G446" s="30"/>
      <c r="H446" s="30"/>
      <c r="I446" s="30"/>
      <c r="J446" s="30"/>
      <c r="K446" s="30"/>
      <c r="L446" s="30"/>
      <c r="M446" s="30"/>
      <c r="N446" s="30"/>
      <c r="O446" s="30"/>
      <c r="P446" s="30"/>
      <c r="Q446" s="30"/>
      <c r="R446" s="30"/>
      <c r="S446" s="30"/>
    </row>
    <row r="447" ht="15.75" customHeight="1">
      <c r="A447" s="30"/>
      <c r="B447" s="30"/>
      <c r="C447" s="30"/>
      <c r="D447" s="30"/>
      <c r="E447" s="30"/>
      <c r="F447" s="30"/>
      <c r="G447" s="30"/>
      <c r="H447" s="30"/>
      <c r="I447" s="30"/>
      <c r="J447" s="30"/>
      <c r="K447" s="30"/>
      <c r="L447" s="30"/>
      <c r="M447" s="30"/>
      <c r="N447" s="30"/>
      <c r="O447" s="30"/>
      <c r="P447" s="30"/>
      <c r="Q447" s="30"/>
      <c r="R447" s="30"/>
      <c r="S447" s="30"/>
    </row>
    <row r="448" ht="15.75" customHeight="1">
      <c r="A448" s="30"/>
      <c r="B448" s="30"/>
      <c r="C448" s="30"/>
      <c r="D448" s="30"/>
      <c r="E448" s="30"/>
      <c r="F448" s="30"/>
      <c r="G448" s="30"/>
      <c r="H448" s="30"/>
      <c r="I448" s="30"/>
      <c r="J448" s="30"/>
      <c r="K448" s="30"/>
      <c r="L448" s="30"/>
      <c r="M448" s="30"/>
      <c r="N448" s="30"/>
      <c r="O448" s="30"/>
      <c r="P448" s="30"/>
      <c r="Q448" s="30"/>
      <c r="R448" s="30"/>
      <c r="S448" s="30"/>
    </row>
    <row r="449" ht="15.75" customHeight="1">
      <c r="A449" s="30"/>
      <c r="B449" s="30"/>
      <c r="C449" s="30"/>
      <c r="D449" s="30"/>
      <c r="E449" s="30"/>
      <c r="F449" s="30"/>
      <c r="G449" s="30"/>
      <c r="H449" s="30"/>
      <c r="I449" s="30"/>
      <c r="J449" s="30"/>
      <c r="K449" s="30"/>
      <c r="L449" s="30"/>
      <c r="M449" s="30"/>
      <c r="N449" s="30"/>
      <c r="O449" s="30"/>
      <c r="P449" s="30"/>
      <c r="Q449" s="30"/>
      <c r="R449" s="30"/>
      <c r="S449" s="30"/>
    </row>
    <row r="450" ht="15.75" customHeight="1">
      <c r="A450" s="30"/>
      <c r="B450" s="30"/>
      <c r="C450" s="30"/>
      <c r="D450" s="30"/>
      <c r="E450" s="30"/>
      <c r="F450" s="30"/>
      <c r="G450" s="30"/>
      <c r="H450" s="30"/>
      <c r="I450" s="30"/>
      <c r="J450" s="30"/>
      <c r="K450" s="30"/>
      <c r="L450" s="30"/>
      <c r="M450" s="30"/>
      <c r="N450" s="30"/>
      <c r="O450" s="30"/>
      <c r="P450" s="30"/>
      <c r="Q450" s="30"/>
      <c r="R450" s="30"/>
      <c r="S450" s="30"/>
    </row>
    <row r="451" ht="15.75" customHeight="1">
      <c r="A451" s="30"/>
      <c r="B451" s="30"/>
      <c r="C451" s="30"/>
      <c r="D451" s="30"/>
      <c r="E451" s="30"/>
      <c r="F451" s="30"/>
      <c r="G451" s="30"/>
      <c r="H451" s="30"/>
      <c r="I451" s="30"/>
      <c r="J451" s="30"/>
      <c r="K451" s="30"/>
      <c r="L451" s="30"/>
      <c r="M451" s="30"/>
      <c r="N451" s="30"/>
      <c r="O451" s="30"/>
      <c r="P451" s="30"/>
      <c r="Q451" s="30"/>
      <c r="R451" s="30"/>
      <c r="S451" s="30"/>
    </row>
    <row r="452" ht="15.75" customHeight="1">
      <c r="A452" s="30"/>
      <c r="B452" s="30"/>
      <c r="C452" s="30"/>
      <c r="D452" s="30"/>
      <c r="E452" s="30"/>
      <c r="F452" s="30"/>
      <c r="G452" s="30"/>
      <c r="H452" s="30"/>
      <c r="I452" s="30"/>
      <c r="J452" s="30"/>
      <c r="K452" s="30"/>
      <c r="L452" s="30"/>
      <c r="M452" s="30"/>
      <c r="N452" s="30"/>
      <c r="O452" s="30"/>
      <c r="P452" s="30"/>
      <c r="Q452" s="30"/>
      <c r="R452" s="30"/>
      <c r="S452" s="30"/>
    </row>
    <row r="453" ht="15.75" customHeight="1">
      <c r="A453" s="30"/>
      <c r="B453" s="30"/>
      <c r="C453" s="30"/>
      <c r="D453" s="30"/>
      <c r="E453" s="30"/>
      <c r="F453" s="30"/>
      <c r="G453" s="30"/>
      <c r="H453" s="30"/>
      <c r="I453" s="30"/>
      <c r="J453" s="30"/>
      <c r="K453" s="30"/>
      <c r="L453" s="30"/>
      <c r="M453" s="30"/>
      <c r="N453" s="30"/>
      <c r="O453" s="30"/>
      <c r="P453" s="30"/>
      <c r="Q453" s="30"/>
      <c r="R453" s="30"/>
      <c r="S453" s="30"/>
    </row>
    <row r="454" ht="15.75" customHeight="1">
      <c r="A454" s="30"/>
      <c r="B454" s="30"/>
      <c r="C454" s="30"/>
      <c r="D454" s="30"/>
      <c r="E454" s="30"/>
      <c r="F454" s="30"/>
      <c r="G454" s="30"/>
      <c r="H454" s="30"/>
      <c r="I454" s="30"/>
      <c r="J454" s="30"/>
      <c r="K454" s="30"/>
      <c r="L454" s="30"/>
      <c r="M454" s="30"/>
      <c r="N454" s="30"/>
      <c r="O454" s="30"/>
      <c r="P454" s="30"/>
      <c r="Q454" s="30"/>
      <c r="R454" s="30"/>
      <c r="S454" s="30"/>
    </row>
    <row r="455" ht="15.75" customHeight="1">
      <c r="A455" s="30"/>
      <c r="B455" s="30"/>
      <c r="C455" s="30"/>
      <c r="D455" s="30"/>
      <c r="E455" s="30"/>
      <c r="F455" s="30"/>
      <c r="G455" s="30"/>
      <c r="H455" s="30"/>
      <c r="I455" s="30"/>
      <c r="J455" s="30"/>
      <c r="K455" s="30"/>
      <c r="L455" s="30"/>
      <c r="M455" s="30"/>
      <c r="N455" s="30"/>
      <c r="O455" s="30"/>
      <c r="P455" s="30"/>
      <c r="Q455" s="30"/>
      <c r="R455" s="30"/>
      <c r="S455" s="30"/>
    </row>
    <row r="456" ht="15.75" customHeight="1">
      <c r="A456" s="30"/>
      <c r="B456" s="30"/>
      <c r="C456" s="30"/>
      <c r="D456" s="30"/>
      <c r="E456" s="30"/>
      <c r="F456" s="30"/>
      <c r="G456" s="30"/>
      <c r="H456" s="30"/>
      <c r="I456" s="30"/>
      <c r="J456" s="30"/>
      <c r="K456" s="30"/>
      <c r="L456" s="30"/>
      <c r="M456" s="30"/>
      <c r="N456" s="30"/>
      <c r="O456" s="30"/>
      <c r="P456" s="30"/>
      <c r="Q456" s="30"/>
      <c r="R456" s="30"/>
      <c r="S456" s="30"/>
    </row>
    <row r="457" ht="15.75" customHeight="1">
      <c r="A457" s="30"/>
      <c r="B457" s="30"/>
      <c r="C457" s="30"/>
      <c r="D457" s="30"/>
      <c r="E457" s="30"/>
      <c r="F457" s="30"/>
      <c r="G457" s="30"/>
      <c r="H457" s="30"/>
      <c r="I457" s="30"/>
      <c r="J457" s="30"/>
      <c r="K457" s="30"/>
      <c r="L457" s="30"/>
      <c r="M457" s="30"/>
      <c r="N457" s="30"/>
      <c r="O457" s="30"/>
      <c r="P457" s="30"/>
      <c r="Q457" s="30"/>
      <c r="R457" s="30"/>
      <c r="S457" s="30"/>
    </row>
    <row r="458" ht="15.75" customHeight="1">
      <c r="A458" s="30"/>
      <c r="B458" s="30"/>
      <c r="C458" s="30"/>
      <c r="D458" s="30"/>
      <c r="E458" s="30"/>
      <c r="F458" s="30"/>
      <c r="G458" s="30"/>
      <c r="H458" s="30"/>
      <c r="I458" s="30"/>
      <c r="J458" s="30"/>
      <c r="K458" s="30"/>
      <c r="L458" s="30"/>
      <c r="M458" s="30"/>
      <c r="N458" s="30"/>
      <c r="O458" s="30"/>
      <c r="P458" s="30"/>
      <c r="Q458" s="30"/>
      <c r="R458" s="30"/>
      <c r="S458" s="30"/>
    </row>
    <row r="459" ht="15.75" customHeight="1">
      <c r="A459" s="30"/>
      <c r="B459" s="30"/>
      <c r="C459" s="30"/>
      <c r="D459" s="30"/>
      <c r="E459" s="30"/>
      <c r="F459" s="30"/>
      <c r="G459" s="30"/>
      <c r="H459" s="30"/>
      <c r="I459" s="30"/>
      <c r="J459" s="30"/>
      <c r="K459" s="30"/>
      <c r="L459" s="30"/>
      <c r="M459" s="30"/>
      <c r="N459" s="30"/>
      <c r="O459" s="30"/>
      <c r="P459" s="30"/>
      <c r="Q459" s="30"/>
      <c r="R459" s="30"/>
      <c r="S459" s="30"/>
    </row>
    <row r="460" ht="15.75" customHeight="1">
      <c r="A460" s="30"/>
      <c r="B460" s="30"/>
      <c r="C460" s="30"/>
      <c r="D460" s="30"/>
      <c r="E460" s="30"/>
      <c r="F460" s="30"/>
      <c r="G460" s="30"/>
      <c r="H460" s="30"/>
      <c r="I460" s="30"/>
      <c r="J460" s="30"/>
      <c r="K460" s="30"/>
      <c r="L460" s="30"/>
      <c r="M460" s="30"/>
      <c r="N460" s="30"/>
      <c r="O460" s="30"/>
      <c r="P460" s="30"/>
      <c r="Q460" s="30"/>
      <c r="R460" s="30"/>
      <c r="S460" s="30"/>
    </row>
    <row r="461" ht="15.75" customHeight="1">
      <c r="A461" s="30"/>
      <c r="B461" s="30"/>
      <c r="C461" s="30"/>
      <c r="D461" s="30"/>
      <c r="E461" s="30"/>
      <c r="F461" s="30"/>
      <c r="G461" s="30"/>
      <c r="H461" s="30"/>
      <c r="I461" s="30"/>
      <c r="J461" s="30"/>
      <c r="K461" s="30"/>
      <c r="L461" s="30"/>
      <c r="M461" s="30"/>
      <c r="N461" s="30"/>
      <c r="O461" s="30"/>
      <c r="P461" s="30"/>
      <c r="Q461" s="30"/>
      <c r="R461" s="30"/>
      <c r="S461" s="30"/>
    </row>
    <row r="462" ht="15.75" customHeight="1">
      <c r="A462" s="30"/>
      <c r="B462" s="30"/>
      <c r="C462" s="30"/>
      <c r="D462" s="30"/>
      <c r="E462" s="30"/>
      <c r="F462" s="30"/>
      <c r="G462" s="30"/>
      <c r="H462" s="30"/>
      <c r="I462" s="30"/>
      <c r="J462" s="30"/>
      <c r="K462" s="30"/>
      <c r="L462" s="30"/>
      <c r="M462" s="30"/>
      <c r="N462" s="30"/>
      <c r="O462" s="30"/>
      <c r="P462" s="30"/>
      <c r="Q462" s="30"/>
      <c r="R462" s="30"/>
      <c r="S462" s="30"/>
    </row>
    <row r="463" ht="15.75" customHeight="1">
      <c r="A463" s="30"/>
      <c r="B463" s="30"/>
      <c r="C463" s="30"/>
      <c r="D463" s="30"/>
      <c r="E463" s="30"/>
      <c r="F463" s="30"/>
      <c r="G463" s="30"/>
      <c r="H463" s="30"/>
      <c r="I463" s="30"/>
      <c r="J463" s="30"/>
      <c r="K463" s="30"/>
      <c r="L463" s="30"/>
      <c r="M463" s="30"/>
      <c r="N463" s="30"/>
      <c r="O463" s="30"/>
      <c r="P463" s="30"/>
      <c r="Q463" s="30"/>
      <c r="R463" s="30"/>
      <c r="S463" s="30"/>
    </row>
    <row r="464" ht="15.75" customHeight="1">
      <c r="A464" s="30"/>
      <c r="B464" s="30"/>
      <c r="C464" s="30"/>
      <c r="D464" s="30"/>
      <c r="E464" s="30"/>
      <c r="F464" s="30"/>
      <c r="G464" s="30"/>
      <c r="H464" s="30"/>
      <c r="I464" s="30"/>
      <c r="J464" s="30"/>
      <c r="K464" s="30"/>
      <c r="L464" s="30"/>
      <c r="M464" s="30"/>
      <c r="N464" s="30"/>
      <c r="O464" s="30"/>
      <c r="P464" s="30"/>
      <c r="Q464" s="30"/>
      <c r="R464" s="30"/>
      <c r="S464" s="30"/>
    </row>
    <row r="465" ht="15.75" customHeight="1">
      <c r="A465" s="30"/>
      <c r="B465" s="30"/>
      <c r="C465" s="30"/>
      <c r="D465" s="30"/>
      <c r="E465" s="30"/>
      <c r="F465" s="30"/>
      <c r="G465" s="30"/>
      <c r="H465" s="30"/>
      <c r="I465" s="30"/>
      <c r="J465" s="30"/>
      <c r="K465" s="30"/>
      <c r="L465" s="30"/>
      <c r="M465" s="30"/>
      <c r="N465" s="30"/>
      <c r="O465" s="30"/>
      <c r="P465" s="30"/>
      <c r="Q465" s="30"/>
      <c r="R465" s="30"/>
      <c r="S465" s="30"/>
    </row>
    <row r="466" ht="15.75" customHeight="1">
      <c r="A466" s="30"/>
      <c r="B466" s="30"/>
      <c r="C466" s="30"/>
      <c r="D466" s="30"/>
      <c r="E466" s="30"/>
      <c r="F466" s="30"/>
      <c r="G466" s="30"/>
      <c r="H466" s="30"/>
      <c r="I466" s="30"/>
      <c r="J466" s="30"/>
      <c r="K466" s="30"/>
      <c r="L466" s="30"/>
      <c r="M466" s="30"/>
      <c r="N466" s="30"/>
      <c r="O466" s="30"/>
      <c r="P466" s="30"/>
      <c r="Q466" s="30"/>
      <c r="R466" s="30"/>
      <c r="S466" s="30"/>
    </row>
    <row r="467" ht="15.75" customHeight="1">
      <c r="A467" s="30"/>
      <c r="B467" s="30"/>
      <c r="C467" s="30"/>
      <c r="D467" s="30"/>
      <c r="E467" s="30"/>
      <c r="F467" s="30"/>
      <c r="G467" s="30"/>
      <c r="H467" s="30"/>
      <c r="I467" s="30"/>
      <c r="J467" s="30"/>
      <c r="K467" s="30"/>
      <c r="L467" s="30"/>
      <c r="M467" s="30"/>
      <c r="N467" s="30"/>
      <c r="O467" s="30"/>
      <c r="P467" s="30"/>
      <c r="Q467" s="30"/>
      <c r="R467" s="30"/>
      <c r="S467" s="30"/>
    </row>
    <row r="468" ht="15.75" customHeight="1">
      <c r="A468" s="30"/>
      <c r="B468" s="30"/>
      <c r="C468" s="30"/>
      <c r="D468" s="30"/>
      <c r="E468" s="30"/>
      <c r="F468" s="30"/>
      <c r="G468" s="30"/>
      <c r="H468" s="30"/>
      <c r="I468" s="30"/>
      <c r="J468" s="30"/>
      <c r="K468" s="30"/>
      <c r="L468" s="30"/>
      <c r="M468" s="30"/>
      <c r="N468" s="30"/>
      <c r="O468" s="30"/>
      <c r="P468" s="30"/>
      <c r="Q468" s="30"/>
      <c r="R468" s="30"/>
      <c r="S468" s="30"/>
    </row>
    <row r="469" ht="15.75" customHeight="1">
      <c r="A469" s="30"/>
      <c r="B469" s="30"/>
      <c r="C469" s="30"/>
      <c r="D469" s="30"/>
      <c r="E469" s="30"/>
      <c r="F469" s="30"/>
      <c r="G469" s="30"/>
      <c r="H469" s="30"/>
      <c r="I469" s="30"/>
      <c r="J469" s="30"/>
      <c r="K469" s="30"/>
      <c r="L469" s="30"/>
      <c r="M469" s="30"/>
      <c r="N469" s="30"/>
      <c r="O469" s="30"/>
      <c r="P469" s="30"/>
      <c r="Q469" s="30"/>
      <c r="R469" s="30"/>
      <c r="S469" s="30"/>
    </row>
    <row r="470" ht="15.75" customHeight="1">
      <c r="A470" s="30"/>
      <c r="B470" s="30"/>
      <c r="C470" s="30"/>
      <c r="D470" s="30"/>
      <c r="E470" s="30"/>
      <c r="F470" s="30"/>
      <c r="G470" s="30"/>
      <c r="H470" s="30"/>
      <c r="I470" s="30"/>
      <c r="J470" s="30"/>
      <c r="K470" s="30"/>
      <c r="L470" s="30"/>
      <c r="M470" s="30"/>
      <c r="N470" s="30"/>
      <c r="O470" s="30"/>
      <c r="P470" s="30"/>
      <c r="Q470" s="30"/>
      <c r="R470" s="30"/>
      <c r="S470" s="30"/>
    </row>
    <row r="471" ht="15.75" customHeight="1">
      <c r="A471" s="30"/>
      <c r="B471" s="30"/>
      <c r="C471" s="30"/>
      <c r="D471" s="30"/>
      <c r="E471" s="30"/>
      <c r="F471" s="30"/>
      <c r="G471" s="30"/>
      <c r="H471" s="30"/>
      <c r="I471" s="30"/>
      <c r="J471" s="30"/>
      <c r="K471" s="30"/>
      <c r="L471" s="30"/>
      <c r="M471" s="30"/>
      <c r="N471" s="30"/>
      <c r="O471" s="30"/>
      <c r="P471" s="30"/>
      <c r="Q471" s="30"/>
      <c r="R471" s="30"/>
      <c r="S471" s="30"/>
    </row>
    <row r="472" ht="15.75" customHeight="1">
      <c r="A472" s="30"/>
      <c r="B472" s="30"/>
      <c r="C472" s="30"/>
      <c r="D472" s="30"/>
      <c r="E472" s="30"/>
      <c r="F472" s="30"/>
      <c r="G472" s="30"/>
      <c r="H472" s="30"/>
      <c r="I472" s="30"/>
      <c r="J472" s="30"/>
      <c r="K472" s="30"/>
      <c r="L472" s="30"/>
      <c r="M472" s="30"/>
      <c r="N472" s="30"/>
      <c r="O472" s="30"/>
      <c r="P472" s="30"/>
      <c r="Q472" s="30"/>
      <c r="R472" s="30"/>
      <c r="S472" s="30"/>
    </row>
    <row r="473" ht="15.75" customHeight="1">
      <c r="A473" s="30"/>
      <c r="B473" s="30"/>
      <c r="C473" s="30"/>
      <c r="D473" s="30"/>
      <c r="E473" s="30"/>
      <c r="F473" s="30"/>
      <c r="G473" s="30"/>
      <c r="H473" s="30"/>
      <c r="I473" s="30"/>
      <c r="J473" s="30"/>
      <c r="K473" s="30"/>
      <c r="L473" s="30"/>
      <c r="M473" s="30"/>
      <c r="N473" s="30"/>
      <c r="O473" s="30"/>
      <c r="P473" s="30"/>
      <c r="Q473" s="30"/>
      <c r="R473" s="30"/>
      <c r="S473" s="30"/>
    </row>
    <row r="474" ht="15.75" customHeight="1">
      <c r="A474" s="30"/>
      <c r="B474" s="30"/>
      <c r="C474" s="30"/>
      <c r="D474" s="30"/>
      <c r="E474" s="30"/>
      <c r="F474" s="30"/>
      <c r="G474" s="30"/>
      <c r="H474" s="30"/>
      <c r="I474" s="30"/>
      <c r="J474" s="30"/>
      <c r="K474" s="30"/>
      <c r="L474" s="30"/>
      <c r="M474" s="30"/>
      <c r="N474" s="30"/>
      <c r="O474" s="30"/>
      <c r="P474" s="30"/>
      <c r="Q474" s="30"/>
      <c r="R474" s="30"/>
      <c r="S474" s="30"/>
    </row>
    <row r="475" ht="15.75" customHeight="1">
      <c r="A475" s="30"/>
      <c r="B475" s="30"/>
      <c r="C475" s="30"/>
      <c r="D475" s="30"/>
      <c r="E475" s="30"/>
      <c r="F475" s="30"/>
      <c r="G475" s="30"/>
      <c r="H475" s="30"/>
      <c r="I475" s="30"/>
      <c r="J475" s="30"/>
      <c r="K475" s="30"/>
      <c r="L475" s="30"/>
      <c r="M475" s="30"/>
      <c r="N475" s="30"/>
      <c r="O475" s="30"/>
      <c r="P475" s="30"/>
      <c r="Q475" s="30"/>
      <c r="R475" s="30"/>
      <c r="S475" s="30"/>
    </row>
    <row r="476" ht="15.75" customHeight="1">
      <c r="A476" s="30"/>
      <c r="B476" s="30"/>
      <c r="C476" s="30"/>
      <c r="D476" s="30"/>
      <c r="E476" s="30"/>
      <c r="F476" s="30"/>
      <c r="G476" s="30"/>
      <c r="H476" s="30"/>
      <c r="I476" s="30"/>
      <c r="J476" s="30"/>
      <c r="K476" s="30"/>
      <c r="L476" s="30"/>
      <c r="M476" s="30"/>
      <c r="N476" s="30"/>
      <c r="O476" s="30"/>
      <c r="P476" s="30"/>
      <c r="Q476" s="30"/>
      <c r="R476" s="30"/>
      <c r="S476" s="30"/>
    </row>
    <row r="477" ht="15.75" customHeight="1">
      <c r="A477" s="30"/>
      <c r="B477" s="30"/>
      <c r="C477" s="30"/>
      <c r="D477" s="30"/>
      <c r="E477" s="30"/>
      <c r="F477" s="30"/>
      <c r="G477" s="30"/>
      <c r="H477" s="30"/>
      <c r="I477" s="30"/>
      <c r="J477" s="30"/>
      <c r="K477" s="30"/>
      <c r="L477" s="30"/>
      <c r="M477" s="30"/>
      <c r="N477" s="30"/>
      <c r="O477" s="30"/>
      <c r="P477" s="30"/>
      <c r="Q477" s="30"/>
      <c r="R477" s="30"/>
      <c r="S477" s="30"/>
    </row>
    <row r="478" ht="15.75" customHeight="1">
      <c r="A478" s="30"/>
      <c r="B478" s="30"/>
      <c r="C478" s="30"/>
      <c r="D478" s="30"/>
      <c r="E478" s="30"/>
      <c r="F478" s="30"/>
      <c r="G478" s="30"/>
      <c r="H478" s="30"/>
      <c r="I478" s="30"/>
      <c r="J478" s="30"/>
      <c r="K478" s="30"/>
      <c r="L478" s="30"/>
      <c r="M478" s="30"/>
      <c r="N478" s="30"/>
      <c r="O478" s="30"/>
      <c r="P478" s="30"/>
      <c r="Q478" s="30"/>
      <c r="R478" s="30"/>
      <c r="S478" s="30"/>
    </row>
    <row r="479" ht="15.75" customHeight="1">
      <c r="A479" s="30"/>
      <c r="B479" s="30"/>
      <c r="C479" s="30"/>
      <c r="D479" s="30"/>
      <c r="E479" s="30"/>
      <c r="F479" s="30"/>
      <c r="G479" s="30"/>
      <c r="H479" s="30"/>
      <c r="I479" s="30"/>
      <c r="J479" s="30"/>
      <c r="K479" s="30"/>
      <c r="L479" s="30"/>
      <c r="M479" s="30"/>
      <c r="N479" s="30"/>
      <c r="O479" s="30"/>
      <c r="P479" s="30"/>
      <c r="Q479" s="30"/>
      <c r="R479" s="30"/>
      <c r="S479" s="30"/>
    </row>
    <row r="480" ht="15.75" customHeight="1">
      <c r="A480" s="30"/>
      <c r="B480" s="30"/>
      <c r="C480" s="30"/>
      <c r="D480" s="30"/>
      <c r="E480" s="30"/>
      <c r="F480" s="30"/>
      <c r="G480" s="30"/>
      <c r="H480" s="30"/>
      <c r="I480" s="30"/>
      <c r="J480" s="30"/>
      <c r="K480" s="30"/>
      <c r="L480" s="30"/>
      <c r="M480" s="30"/>
      <c r="N480" s="30"/>
      <c r="O480" s="30"/>
      <c r="P480" s="30"/>
      <c r="Q480" s="30"/>
      <c r="R480" s="30"/>
      <c r="S480" s="30"/>
    </row>
    <row r="481" ht="15.75" customHeight="1">
      <c r="A481" s="30"/>
      <c r="B481" s="30"/>
      <c r="C481" s="30"/>
      <c r="D481" s="30"/>
      <c r="E481" s="30"/>
      <c r="F481" s="30"/>
      <c r="G481" s="30"/>
      <c r="H481" s="30"/>
      <c r="I481" s="30"/>
      <c r="J481" s="30"/>
      <c r="K481" s="30"/>
      <c r="L481" s="30"/>
      <c r="M481" s="30"/>
      <c r="N481" s="30"/>
      <c r="O481" s="30"/>
      <c r="P481" s="30"/>
      <c r="Q481" s="30"/>
      <c r="R481" s="30"/>
      <c r="S481" s="30"/>
    </row>
    <row r="482" ht="15.75" customHeight="1">
      <c r="A482" s="30"/>
      <c r="B482" s="30"/>
      <c r="C482" s="30"/>
      <c r="D482" s="30"/>
      <c r="E482" s="30"/>
      <c r="F482" s="30"/>
      <c r="G482" s="30"/>
      <c r="H482" s="30"/>
      <c r="I482" s="30"/>
      <c r="J482" s="30"/>
      <c r="K482" s="30"/>
      <c r="L482" s="30"/>
      <c r="M482" s="30"/>
      <c r="N482" s="30"/>
      <c r="O482" s="30"/>
      <c r="P482" s="30"/>
      <c r="Q482" s="30"/>
      <c r="R482" s="30"/>
      <c r="S482" s="30"/>
    </row>
    <row r="483" ht="15.75" customHeight="1">
      <c r="A483" s="30"/>
      <c r="B483" s="30"/>
      <c r="C483" s="30"/>
      <c r="D483" s="30"/>
      <c r="E483" s="30"/>
      <c r="F483" s="30"/>
      <c r="G483" s="30"/>
      <c r="H483" s="30"/>
      <c r="I483" s="30"/>
      <c r="J483" s="30"/>
      <c r="K483" s="30"/>
      <c r="L483" s="30"/>
      <c r="M483" s="30"/>
      <c r="N483" s="30"/>
      <c r="O483" s="30"/>
      <c r="P483" s="30"/>
      <c r="Q483" s="30"/>
      <c r="R483" s="30"/>
      <c r="S483" s="30"/>
    </row>
    <row r="484" ht="15.75" customHeight="1">
      <c r="A484" s="30"/>
      <c r="B484" s="30"/>
      <c r="C484" s="30"/>
      <c r="D484" s="30"/>
      <c r="E484" s="30"/>
      <c r="F484" s="30"/>
      <c r="G484" s="30"/>
      <c r="H484" s="30"/>
      <c r="I484" s="30"/>
      <c r="J484" s="30"/>
      <c r="K484" s="30"/>
      <c r="L484" s="30"/>
      <c r="M484" s="30"/>
      <c r="N484" s="30"/>
      <c r="O484" s="30"/>
      <c r="P484" s="30"/>
      <c r="Q484" s="30"/>
      <c r="R484" s="30"/>
      <c r="S484" s="30"/>
    </row>
    <row r="485" ht="15.75" customHeight="1">
      <c r="A485" s="30"/>
      <c r="B485" s="30"/>
      <c r="C485" s="30"/>
      <c r="D485" s="30"/>
      <c r="E485" s="30"/>
      <c r="F485" s="30"/>
      <c r="G485" s="30"/>
      <c r="H485" s="30"/>
      <c r="I485" s="30"/>
      <c r="J485" s="30"/>
      <c r="K485" s="30"/>
      <c r="L485" s="30"/>
      <c r="M485" s="30"/>
      <c r="N485" s="30"/>
      <c r="O485" s="30"/>
      <c r="P485" s="30"/>
      <c r="Q485" s="30"/>
      <c r="R485" s="30"/>
      <c r="S485" s="30"/>
    </row>
    <row r="486" ht="15.75" customHeight="1">
      <c r="A486" s="30"/>
      <c r="B486" s="30"/>
      <c r="C486" s="30"/>
      <c r="D486" s="30"/>
      <c r="E486" s="30"/>
      <c r="F486" s="30"/>
      <c r="G486" s="30"/>
      <c r="H486" s="30"/>
      <c r="I486" s="30"/>
      <c r="J486" s="30"/>
      <c r="K486" s="30"/>
      <c r="L486" s="30"/>
      <c r="M486" s="30"/>
      <c r="N486" s="30"/>
      <c r="O486" s="30"/>
      <c r="P486" s="30"/>
      <c r="Q486" s="30"/>
      <c r="R486" s="30"/>
      <c r="S486" s="30"/>
    </row>
    <row r="487" ht="15.75" customHeight="1">
      <c r="A487" s="30"/>
      <c r="B487" s="30"/>
      <c r="C487" s="30"/>
      <c r="D487" s="30"/>
      <c r="E487" s="30"/>
      <c r="F487" s="30"/>
      <c r="G487" s="30"/>
      <c r="H487" s="30"/>
      <c r="I487" s="30"/>
      <c r="J487" s="30"/>
      <c r="K487" s="30"/>
      <c r="L487" s="30"/>
      <c r="M487" s="30"/>
      <c r="N487" s="30"/>
      <c r="O487" s="30"/>
      <c r="P487" s="30"/>
      <c r="Q487" s="30"/>
      <c r="R487" s="30"/>
      <c r="S487" s="30"/>
    </row>
    <row r="488" ht="15.75" customHeight="1">
      <c r="A488" s="30"/>
      <c r="B488" s="30"/>
      <c r="C488" s="30"/>
      <c r="D488" s="30"/>
      <c r="E488" s="30"/>
      <c r="F488" s="30"/>
      <c r="G488" s="30"/>
      <c r="H488" s="30"/>
      <c r="I488" s="30"/>
      <c r="J488" s="30"/>
      <c r="K488" s="30"/>
      <c r="L488" s="30"/>
      <c r="M488" s="30"/>
      <c r="N488" s="30"/>
      <c r="O488" s="30"/>
      <c r="P488" s="30"/>
      <c r="Q488" s="30"/>
      <c r="R488" s="30"/>
      <c r="S488" s="30"/>
    </row>
    <row r="489" ht="15.75" customHeight="1">
      <c r="A489" s="30"/>
      <c r="B489" s="30"/>
      <c r="C489" s="30"/>
      <c r="D489" s="30"/>
      <c r="E489" s="30"/>
      <c r="F489" s="30"/>
      <c r="G489" s="30"/>
      <c r="H489" s="30"/>
      <c r="I489" s="30"/>
      <c r="J489" s="30"/>
      <c r="K489" s="30"/>
      <c r="L489" s="30"/>
      <c r="M489" s="30"/>
      <c r="N489" s="30"/>
      <c r="O489" s="30"/>
      <c r="P489" s="30"/>
      <c r="Q489" s="30"/>
      <c r="R489" s="30"/>
      <c r="S489" s="30"/>
    </row>
    <row r="490" ht="15.75" customHeight="1">
      <c r="A490" s="30"/>
      <c r="B490" s="30"/>
      <c r="C490" s="30"/>
      <c r="D490" s="30"/>
      <c r="E490" s="30"/>
      <c r="F490" s="30"/>
      <c r="G490" s="30"/>
      <c r="H490" s="30"/>
      <c r="I490" s="30"/>
      <c r="J490" s="30"/>
      <c r="K490" s="30"/>
      <c r="L490" s="30"/>
      <c r="M490" s="30"/>
      <c r="N490" s="30"/>
      <c r="O490" s="30"/>
      <c r="P490" s="30"/>
      <c r="Q490" s="30"/>
      <c r="R490" s="30"/>
      <c r="S490" s="30"/>
    </row>
    <row r="491" ht="15.75" customHeight="1">
      <c r="A491" s="30"/>
      <c r="B491" s="30"/>
      <c r="C491" s="30"/>
      <c r="D491" s="30"/>
      <c r="E491" s="30"/>
      <c r="F491" s="30"/>
      <c r="G491" s="30"/>
      <c r="H491" s="30"/>
      <c r="I491" s="30"/>
      <c r="J491" s="30"/>
      <c r="K491" s="30"/>
      <c r="L491" s="30"/>
      <c r="M491" s="30"/>
      <c r="N491" s="30"/>
      <c r="O491" s="30"/>
      <c r="P491" s="30"/>
      <c r="Q491" s="30"/>
      <c r="R491" s="30"/>
      <c r="S491" s="30"/>
    </row>
    <row r="492" ht="15.75" customHeight="1">
      <c r="A492" s="30"/>
      <c r="B492" s="30"/>
      <c r="C492" s="30"/>
      <c r="D492" s="30"/>
      <c r="E492" s="30"/>
      <c r="F492" s="30"/>
      <c r="G492" s="30"/>
      <c r="H492" s="30"/>
      <c r="I492" s="30"/>
      <c r="J492" s="30"/>
      <c r="K492" s="30"/>
      <c r="L492" s="30"/>
      <c r="M492" s="30"/>
      <c r="N492" s="30"/>
      <c r="O492" s="30"/>
      <c r="P492" s="30"/>
      <c r="Q492" s="30"/>
      <c r="R492" s="30"/>
      <c r="S492" s="30"/>
    </row>
    <row r="493" ht="15.75" customHeight="1">
      <c r="A493" s="30"/>
      <c r="B493" s="30"/>
      <c r="C493" s="30"/>
      <c r="D493" s="30"/>
      <c r="E493" s="30"/>
      <c r="F493" s="30"/>
      <c r="G493" s="30"/>
      <c r="H493" s="30"/>
      <c r="I493" s="30"/>
      <c r="J493" s="30"/>
      <c r="K493" s="30"/>
      <c r="L493" s="30"/>
      <c r="M493" s="30"/>
      <c r="N493" s="30"/>
      <c r="O493" s="30"/>
      <c r="P493" s="30"/>
      <c r="Q493" s="30"/>
      <c r="R493" s="30"/>
      <c r="S493" s="30"/>
    </row>
    <row r="494" ht="15.75" customHeight="1">
      <c r="A494" s="30"/>
      <c r="B494" s="30"/>
      <c r="C494" s="30"/>
      <c r="D494" s="30"/>
      <c r="E494" s="30"/>
      <c r="F494" s="30"/>
      <c r="G494" s="30"/>
      <c r="H494" s="30"/>
      <c r="I494" s="30"/>
      <c r="J494" s="30"/>
      <c r="K494" s="30"/>
      <c r="L494" s="30"/>
      <c r="M494" s="30"/>
      <c r="N494" s="30"/>
      <c r="O494" s="30"/>
      <c r="P494" s="30"/>
      <c r="Q494" s="30"/>
      <c r="R494" s="30"/>
      <c r="S494" s="30"/>
    </row>
    <row r="495" ht="15.75" customHeight="1">
      <c r="A495" s="30"/>
      <c r="B495" s="30"/>
      <c r="C495" s="30"/>
      <c r="D495" s="30"/>
      <c r="E495" s="30"/>
      <c r="F495" s="30"/>
      <c r="G495" s="30"/>
      <c r="H495" s="30"/>
      <c r="I495" s="30"/>
      <c r="J495" s="30"/>
      <c r="K495" s="30"/>
      <c r="L495" s="30"/>
      <c r="M495" s="30"/>
      <c r="N495" s="30"/>
      <c r="O495" s="30"/>
      <c r="P495" s="30"/>
      <c r="Q495" s="30"/>
      <c r="R495" s="30"/>
      <c r="S495" s="30"/>
    </row>
    <row r="496" ht="15.75" customHeight="1">
      <c r="A496" s="30"/>
      <c r="B496" s="30"/>
      <c r="C496" s="30"/>
      <c r="D496" s="30"/>
      <c r="E496" s="30"/>
      <c r="F496" s="30"/>
      <c r="G496" s="30"/>
      <c r="H496" s="30"/>
      <c r="I496" s="30"/>
      <c r="J496" s="30"/>
      <c r="K496" s="30"/>
      <c r="L496" s="30"/>
      <c r="M496" s="30"/>
      <c r="N496" s="30"/>
      <c r="O496" s="30"/>
      <c r="P496" s="30"/>
      <c r="Q496" s="30"/>
      <c r="R496" s="30"/>
      <c r="S496" s="30"/>
    </row>
    <row r="497" ht="15.75" customHeight="1">
      <c r="A497" s="30"/>
      <c r="B497" s="30"/>
      <c r="C497" s="30"/>
      <c r="D497" s="30"/>
      <c r="E497" s="30"/>
      <c r="F497" s="30"/>
      <c r="G497" s="30"/>
      <c r="H497" s="30"/>
      <c r="I497" s="30"/>
      <c r="J497" s="30"/>
      <c r="K497" s="30"/>
      <c r="L497" s="30"/>
      <c r="M497" s="30"/>
      <c r="N497" s="30"/>
      <c r="O497" s="30"/>
      <c r="P497" s="30"/>
      <c r="Q497" s="30"/>
      <c r="R497" s="30"/>
      <c r="S497" s="30"/>
    </row>
    <row r="498" ht="15.75" customHeight="1">
      <c r="A498" s="30"/>
      <c r="B498" s="30"/>
      <c r="C498" s="30"/>
      <c r="D498" s="30"/>
      <c r="E498" s="30"/>
      <c r="F498" s="30"/>
      <c r="G498" s="30"/>
      <c r="H498" s="30"/>
      <c r="I498" s="30"/>
      <c r="J498" s="30"/>
      <c r="K498" s="30"/>
      <c r="L498" s="30"/>
      <c r="M498" s="30"/>
      <c r="N498" s="30"/>
      <c r="O498" s="30"/>
      <c r="P498" s="30"/>
      <c r="Q498" s="30"/>
      <c r="R498" s="30"/>
      <c r="S498" s="30"/>
    </row>
    <row r="499" ht="15.75" customHeight="1">
      <c r="A499" s="30"/>
      <c r="B499" s="30"/>
      <c r="C499" s="30"/>
      <c r="D499" s="30"/>
      <c r="E499" s="30"/>
      <c r="F499" s="30"/>
      <c r="G499" s="30"/>
      <c r="H499" s="30"/>
      <c r="I499" s="30"/>
      <c r="J499" s="30"/>
      <c r="K499" s="30"/>
      <c r="L499" s="30"/>
      <c r="M499" s="30"/>
      <c r="N499" s="30"/>
      <c r="O499" s="30"/>
      <c r="P499" s="30"/>
      <c r="Q499" s="30"/>
      <c r="R499" s="30"/>
      <c r="S499" s="30"/>
    </row>
    <row r="500" ht="15.75" customHeight="1">
      <c r="A500" s="30"/>
      <c r="B500" s="30"/>
      <c r="C500" s="30"/>
      <c r="D500" s="30"/>
      <c r="E500" s="30"/>
      <c r="F500" s="30"/>
      <c r="G500" s="30"/>
      <c r="H500" s="30"/>
      <c r="I500" s="30"/>
      <c r="J500" s="30"/>
      <c r="K500" s="30"/>
      <c r="L500" s="30"/>
      <c r="M500" s="30"/>
      <c r="N500" s="30"/>
      <c r="O500" s="30"/>
      <c r="P500" s="30"/>
      <c r="Q500" s="30"/>
      <c r="R500" s="30"/>
      <c r="S500" s="30"/>
    </row>
    <row r="501" ht="15.75" customHeight="1">
      <c r="A501" s="30"/>
      <c r="B501" s="30"/>
      <c r="C501" s="30"/>
      <c r="D501" s="30"/>
      <c r="E501" s="30"/>
      <c r="F501" s="30"/>
      <c r="G501" s="30"/>
      <c r="H501" s="30"/>
      <c r="I501" s="30"/>
      <c r="J501" s="30"/>
      <c r="K501" s="30"/>
      <c r="L501" s="30"/>
      <c r="M501" s="30"/>
      <c r="N501" s="30"/>
      <c r="O501" s="30"/>
      <c r="P501" s="30"/>
      <c r="Q501" s="30"/>
      <c r="R501" s="30"/>
      <c r="S501" s="30"/>
    </row>
    <row r="502" ht="15.75" customHeight="1">
      <c r="A502" s="30"/>
      <c r="B502" s="30"/>
      <c r="C502" s="30"/>
      <c r="D502" s="30"/>
      <c r="E502" s="30"/>
      <c r="F502" s="30"/>
      <c r="G502" s="30"/>
      <c r="H502" s="30"/>
      <c r="I502" s="30"/>
      <c r="J502" s="30"/>
      <c r="K502" s="30"/>
      <c r="L502" s="30"/>
      <c r="M502" s="30"/>
      <c r="N502" s="30"/>
      <c r="O502" s="30"/>
      <c r="P502" s="30"/>
      <c r="Q502" s="30"/>
      <c r="R502" s="30"/>
      <c r="S502" s="30"/>
    </row>
    <row r="503" ht="15.75" customHeight="1">
      <c r="A503" s="30"/>
      <c r="B503" s="30"/>
      <c r="C503" s="30"/>
      <c r="D503" s="30"/>
      <c r="E503" s="30"/>
      <c r="F503" s="30"/>
      <c r="G503" s="30"/>
      <c r="H503" s="30"/>
      <c r="I503" s="30"/>
      <c r="J503" s="30"/>
      <c r="K503" s="30"/>
      <c r="L503" s="30"/>
      <c r="M503" s="30"/>
      <c r="N503" s="30"/>
      <c r="O503" s="30"/>
      <c r="P503" s="30"/>
      <c r="Q503" s="30"/>
      <c r="R503" s="30"/>
      <c r="S503" s="30"/>
    </row>
    <row r="504" ht="15.75" customHeight="1">
      <c r="A504" s="30"/>
      <c r="B504" s="30"/>
      <c r="C504" s="30"/>
      <c r="D504" s="30"/>
      <c r="E504" s="30"/>
      <c r="F504" s="30"/>
      <c r="G504" s="30"/>
      <c r="H504" s="30"/>
      <c r="I504" s="30"/>
      <c r="J504" s="30"/>
      <c r="K504" s="30"/>
      <c r="L504" s="30"/>
      <c r="M504" s="30"/>
      <c r="N504" s="30"/>
      <c r="O504" s="30"/>
      <c r="P504" s="30"/>
      <c r="Q504" s="30"/>
      <c r="R504" s="30"/>
      <c r="S504" s="30"/>
    </row>
    <row r="505" ht="15.75" customHeight="1">
      <c r="A505" s="30"/>
      <c r="B505" s="30"/>
      <c r="C505" s="30"/>
      <c r="D505" s="30"/>
      <c r="E505" s="30"/>
      <c r="F505" s="30"/>
      <c r="G505" s="30"/>
      <c r="H505" s="30"/>
      <c r="I505" s="30"/>
      <c r="J505" s="30"/>
      <c r="K505" s="30"/>
      <c r="L505" s="30"/>
      <c r="M505" s="30"/>
      <c r="N505" s="30"/>
      <c r="O505" s="30"/>
      <c r="P505" s="30"/>
      <c r="Q505" s="30"/>
      <c r="R505" s="30"/>
      <c r="S505" s="30"/>
    </row>
    <row r="506" ht="15.75" customHeight="1">
      <c r="A506" s="30"/>
      <c r="B506" s="30"/>
      <c r="C506" s="30"/>
      <c r="D506" s="30"/>
      <c r="E506" s="30"/>
      <c r="F506" s="30"/>
      <c r="G506" s="30"/>
      <c r="H506" s="30"/>
      <c r="I506" s="30"/>
      <c r="J506" s="30"/>
      <c r="K506" s="30"/>
      <c r="L506" s="30"/>
      <c r="M506" s="30"/>
      <c r="N506" s="30"/>
      <c r="O506" s="30"/>
      <c r="P506" s="30"/>
      <c r="Q506" s="30"/>
      <c r="R506" s="30"/>
      <c r="S506" s="30"/>
    </row>
    <row r="507" ht="15.75" customHeight="1">
      <c r="A507" s="30"/>
      <c r="B507" s="30"/>
      <c r="C507" s="30"/>
      <c r="D507" s="30"/>
      <c r="E507" s="30"/>
      <c r="F507" s="30"/>
      <c r="G507" s="30"/>
      <c r="H507" s="30"/>
      <c r="I507" s="30"/>
      <c r="J507" s="30"/>
      <c r="K507" s="30"/>
      <c r="L507" s="30"/>
      <c r="M507" s="30"/>
      <c r="N507" s="30"/>
      <c r="O507" s="30"/>
      <c r="P507" s="30"/>
      <c r="Q507" s="30"/>
      <c r="R507" s="30"/>
      <c r="S507" s="30"/>
    </row>
    <row r="508" ht="15.75" customHeight="1">
      <c r="A508" s="30"/>
      <c r="B508" s="30"/>
      <c r="C508" s="30"/>
      <c r="D508" s="30"/>
      <c r="E508" s="30"/>
      <c r="F508" s="30"/>
      <c r="G508" s="30"/>
      <c r="H508" s="30"/>
      <c r="I508" s="30"/>
      <c r="J508" s="30"/>
      <c r="K508" s="30"/>
      <c r="L508" s="30"/>
      <c r="M508" s="30"/>
      <c r="N508" s="30"/>
      <c r="O508" s="30"/>
      <c r="P508" s="30"/>
      <c r="Q508" s="30"/>
      <c r="R508" s="30"/>
      <c r="S508" s="30"/>
    </row>
    <row r="509" ht="15.75" customHeight="1">
      <c r="A509" s="30"/>
      <c r="B509" s="30"/>
      <c r="C509" s="30"/>
      <c r="D509" s="30"/>
      <c r="E509" s="30"/>
      <c r="F509" s="30"/>
      <c r="G509" s="30"/>
      <c r="H509" s="30"/>
      <c r="I509" s="30"/>
      <c r="J509" s="30"/>
      <c r="K509" s="30"/>
      <c r="L509" s="30"/>
      <c r="M509" s="30"/>
      <c r="N509" s="30"/>
      <c r="O509" s="30"/>
      <c r="P509" s="30"/>
      <c r="Q509" s="30"/>
      <c r="R509" s="30"/>
      <c r="S509" s="30"/>
    </row>
    <row r="510" ht="15.75" customHeight="1">
      <c r="A510" s="30"/>
      <c r="B510" s="30"/>
      <c r="C510" s="30"/>
      <c r="D510" s="30"/>
      <c r="E510" s="30"/>
      <c r="F510" s="30"/>
      <c r="G510" s="30"/>
      <c r="H510" s="30"/>
      <c r="I510" s="30"/>
      <c r="J510" s="30"/>
      <c r="K510" s="30"/>
      <c r="L510" s="30"/>
      <c r="M510" s="30"/>
      <c r="N510" s="30"/>
      <c r="O510" s="30"/>
      <c r="P510" s="30"/>
      <c r="Q510" s="30"/>
      <c r="R510" s="30"/>
      <c r="S510" s="30"/>
    </row>
    <row r="511" ht="15.75" customHeight="1">
      <c r="A511" s="30"/>
      <c r="B511" s="30"/>
      <c r="C511" s="30"/>
      <c r="D511" s="30"/>
      <c r="E511" s="30"/>
      <c r="F511" s="30"/>
      <c r="G511" s="30"/>
      <c r="H511" s="30"/>
      <c r="I511" s="30"/>
      <c r="J511" s="30"/>
      <c r="K511" s="30"/>
      <c r="L511" s="30"/>
      <c r="M511" s="30"/>
      <c r="N511" s="30"/>
      <c r="O511" s="30"/>
      <c r="P511" s="30"/>
      <c r="Q511" s="30"/>
      <c r="R511" s="30"/>
      <c r="S511" s="30"/>
    </row>
    <row r="512" ht="15.75" customHeight="1">
      <c r="A512" s="30"/>
      <c r="B512" s="30"/>
      <c r="C512" s="30"/>
      <c r="D512" s="30"/>
      <c r="E512" s="30"/>
      <c r="F512" s="30"/>
      <c r="G512" s="30"/>
      <c r="H512" s="30"/>
      <c r="I512" s="30"/>
      <c r="J512" s="30"/>
      <c r="K512" s="30"/>
      <c r="L512" s="30"/>
      <c r="M512" s="30"/>
      <c r="N512" s="30"/>
      <c r="O512" s="30"/>
      <c r="P512" s="30"/>
      <c r="Q512" s="30"/>
      <c r="R512" s="30"/>
      <c r="S512" s="30"/>
    </row>
    <row r="513" ht="15.75" customHeight="1">
      <c r="A513" s="30"/>
      <c r="B513" s="30"/>
      <c r="C513" s="30"/>
      <c r="D513" s="30"/>
      <c r="E513" s="30"/>
      <c r="F513" s="30"/>
      <c r="G513" s="30"/>
      <c r="H513" s="30"/>
      <c r="I513" s="30"/>
      <c r="J513" s="30"/>
      <c r="K513" s="30"/>
      <c r="L513" s="30"/>
      <c r="M513" s="30"/>
      <c r="N513" s="30"/>
      <c r="O513" s="30"/>
      <c r="P513" s="30"/>
      <c r="Q513" s="30"/>
      <c r="R513" s="30"/>
      <c r="S513" s="30"/>
    </row>
    <row r="514" ht="15.75" customHeight="1">
      <c r="A514" s="30"/>
      <c r="B514" s="30"/>
      <c r="C514" s="30"/>
      <c r="D514" s="30"/>
      <c r="E514" s="30"/>
      <c r="F514" s="30"/>
      <c r="G514" s="30"/>
      <c r="H514" s="30"/>
      <c r="I514" s="30"/>
      <c r="J514" s="30"/>
      <c r="K514" s="30"/>
      <c r="L514" s="30"/>
      <c r="M514" s="30"/>
      <c r="N514" s="30"/>
      <c r="O514" s="30"/>
      <c r="P514" s="30"/>
      <c r="Q514" s="30"/>
      <c r="R514" s="30"/>
      <c r="S514" s="30"/>
    </row>
    <row r="515" ht="15.75" customHeight="1">
      <c r="A515" s="30"/>
      <c r="B515" s="30"/>
      <c r="C515" s="30"/>
      <c r="D515" s="30"/>
      <c r="E515" s="30"/>
      <c r="F515" s="30"/>
      <c r="G515" s="30"/>
      <c r="H515" s="30"/>
      <c r="I515" s="30"/>
      <c r="J515" s="30"/>
      <c r="K515" s="30"/>
      <c r="L515" s="30"/>
      <c r="M515" s="30"/>
      <c r="N515" s="30"/>
      <c r="O515" s="30"/>
      <c r="P515" s="30"/>
      <c r="Q515" s="30"/>
      <c r="R515" s="30"/>
      <c r="S515" s="30"/>
    </row>
    <row r="516" ht="15.75" customHeight="1">
      <c r="A516" s="30"/>
      <c r="B516" s="30"/>
      <c r="C516" s="30"/>
      <c r="D516" s="30"/>
      <c r="E516" s="30"/>
      <c r="F516" s="30"/>
      <c r="G516" s="30"/>
      <c r="H516" s="30"/>
      <c r="I516" s="30"/>
      <c r="J516" s="30"/>
      <c r="K516" s="30"/>
      <c r="L516" s="30"/>
      <c r="M516" s="30"/>
      <c r="N516" s="30"/>
      <c r="O516" s="30"/>
      <c r="P516" s="30"/>
      <c r="Q516" s="30"/>
      <c r="R516" s="30"/>
      <c r="S516" s="30"/>
    </row>
    <row r="517" ht="15.75" customHeight="1">
      <c r="A517" s="30"/>
      <c r="B517" s="30"/>
      <c r="C517" s="30"/>
      <c r="D517" s="30"/>
      <c r="E517" s="30"/>
      <c r="F517" s="30"/>
      <c r="G517" s="30"/>
      <c r="H517" s="30"/>
      <c r="I517" s="30"/>
      <c r="J517" s="30"/>
      <c r="K517" s="30"/>
      <c r="L517" s="30"/>
      <c r="M517" s="30"/>
      <c r="N517" s="30"/>
      <c r="O517" s="30"/>
      <c r="P517" s="30"/>
      <c r="Q517" s="30"/>
      <c r="R517" s="30"/>
      <c r="S517" s="30"/>
    </row>
    <row r="518" ht="15.75" customHeight="1">
      <c r="A518" s="30"/>
      <c r="B518" s="30"/>
      <c r="C518" s="30"/>
      <c r="D518" s="30"/>
      <c r="E518" s="30"/>
      <c r="F518" s="30"/>
      <c r="G518" s="30"/>
      <c r="H518" s="30"/>
      <c r="I518" s="30"/>
      <c r="J518" s="30"/>
      <c r="K518" s="30"/>
      <c r="L518" s="30"/>
      <c r="M518" s="30"/>
      <c r="N518" s="30"/>
      <c r="O518" s="30"/>
      <c r="P518" s="30"/>
      <c r="Q518" s="30"/>
      <c r="R518" s="30"/>
      <c r="S518" s="30"/>
    </row>
    <row r="519" ht="15.75" customHeight="1">
      <c r="A519" s="30"/>
      <c r="B519" s="30"/>
      <c r="C519" s="30"/>
      <c r="D519" s="30"/>
      <c r="E519" s="30"/>
      <c r="F519" s="30"/>
      <c r="G519" s="30"/>
      <c r="H519" s="30"/>
      <c r="I519" s="30"/>
      <c r="J519" s="30"/>
      <c r="K519" s="30"/>
      <c r="L519" s="30"/>
      <c r="M519" s="30"/>
      <c r="N519" s="30"/>
      <c r="O519" s="30"/>
      <c r="P519" s="30"/>
      <c r="Q519" s="30"/>
      <c r="R519" s="30"/>
      <c r="S519" s="30"/>
    </row>
    <row r="520" ht="15.75" customHeight="1">
      <c r="A520" s="30"/>
      <c r="B520" s="30"/>
      <c r="C520" s="30"/>
      <c r="D520" s="30"/>
      <c r="E520" s="30"/>
      <c r="F520" s="30"/>
      <c r="G520" s="30"/>
      <c r="H520" s="30"/>
      <c r="I520" s="30"/>
      <c r="J520" s="30"/>
      <c r="K520" s="30"/>
      <c r="L520" s="30"/>
      <c r="M520" s="30"/>
      <c r="N520" s="30"/>
      <c r="O520" s="30"/>
      <c r="P520" s="30"/>
      <c r="Q520" s="30"/>
      <c r="R520" s="30"/>
      <c r="S520" s="30"/>
    </row>
    <row r="521" ht="15.75" customHeight="1">
      <c r="A521" s="30"/>
      <c r="B521" s="30"/>
      <c r="C521" s="30"/>
      <c r="D521" s="30"/>
      <c r="E521" s="30"/>
      <c r="F521" s="30"/>
      <c r="G521" s="30"/>
      <c r="H521" s="30"/>
      <c r="I521" s="30"/>
      <c r="J521" s="30"/>
      <c r="K521" s="30"/>
      <c r="L521" s="30"/>
      <c r="M521" s="30"/>
      <c r="N521" s="30"/>
      <c r="O521" s="30"/>
      <c r="P521" s="30"/>
      <c r="Q521" s="30"/>
      <c r="R521" s="30"/>
      <c r="S521" s="30"/>
    </row>
    <row r="522" ht="15.75" customHeight="1">
      <c r="A522" s="30"/>
      <c r="B522" s="30"/>
      <c r="C522" s="30"/>
      <c r="D522" s="30"/>
      <c r="E522" s="30"/>
      <c r="F522" s="30"/>
      <c r="G522" s="30"/>
      <c r="H522" s="30"/>
      <c r="I522" s="30"/>
      <c r="J522" s="30"/>
      <c r="K522" s="30"/>
      <c r="L522" s="30"/>
      <c r="M522" s="30"/>
      <c r="N522" s="30"/>
      <c r="O522" s="30"/>
      <c r="P522" s="30"/>
      <c r="Q522" s="30"/>
      <c r="R522" s="30"/>
      <c r="S522" s="30"/>
    </row>
    <row r="523" ht="15.75" customHeight="1">
      <c r="A523" s="30"/>
      <c r="B523" s="30"/>
      <c r="C523" s="30"/>
      <c r="D523" s="30"/>
      <c r="E523" s="30"/>
      <c r="F523" s="30"/>
      <c r="G523" s="30"/>
      <c r="H523" s="30"/>
      <c r="I523" s="30"/>
      <c r="J523" s="30"/>
      <c r="K523" s="30"/>
      <c r="L523" s="30"/>
      <c r="M523" s="30"/>
      <c r="N523" s="30"/>
      <c r="O523" s="30"/>
      <c r="P523" s="30"/>
      <c r="Q523" s="30"/>
      <c r="R523" s="30"/>
      <c r="S523" s="30"/>
    </row>
    <row r="524" ht="15.75" customHeight="1">
      <c r="A524" s="30"/>
      <c r="B524" s="30"/>
      <c r="C524" s="30"/>
      <c r="D524" s="30"/>
      <c r="E524" s="30"/>
      <c r="F524" s="30"/>
      <c r="G524" s="30"/>
      <c r="H524" s="30"/>
      <c r="I524" s="30"/>
      <c r="J524" s="30"/>
      <c r="K524" s="30"/>
      <c r="L524" s="30"/>
      <c r="M524" s="30"/>
      <c r="N524" s="30"/>
      <c r="O524" s="30"/>
      <c r="P524" s="30"/>
      <c r="Q524" s="30"/>
      <c r="R524" s="30"/>
      <c r="S524" s="30"/>
    </row>
    <row r="525" ht="15.75" customHeight="1">
      <c r="A525" s="30"/>
      <c r="B525" s="30"/>
      <c r="C525" s="30"/>
      <c r="D525" s="30"/>
      <c r="E525" s="30"/>
      <c r="F525" s="30"/>
      <c r="G525" s="30"/>
      <c r="H525" s="30"/>
      <c r="I525" s="30"/>
      <c r="J525" s="30"/>
      <c r="K525" s="30"/>
      <c r="L525" s="30"/>
      <c r="M525" s="30"/>
      <c r="N525" s="30"/>
      <c r="O525" s="30"/>
      <c r="P525" s="30"/>
      <c r="Q525" s="30"/>
      <c r="R525" s="30"/>
      <c r="S525" s="30"/>
    </row>
    <row r="526" ht="15.75" customHeight="1">
      <c r="A526" s="30"/>
      <c r="B526" s="30"/>
      <c r="C526" s="30"/>
      <c r="D526" s="30"/>
      <c r="E526" s="30"/>
      <c r="F526" s="30"/>
      <c r="G526" s="30"/>
      <c r="H526" s="30"/>
      <c r="I526" s="30"/>
      <c r="J526" s="30"/>
      <c r="K526" s="30"/>
      <c r="L526" s="30"/>
      <c r="M526" s="30"/>
      <c r="N526" s="30"/>
      <c r="O526" s="30"/>
      <c r="P526" s="30"/>
      <c r="Q526" s="30"/>
      <c r="R526" s="30"/>
      <c r="S526" s="30"/>
    </row>
    <row r="527" ht="15.75" customHeight="1">
      <c r="A527" s="30"/>
      <c r="B527" s="30"/>
      <c r="C527" s="30"/>
      <c r="D527" s="30"/>
      <c r="E527" s="30"/>
      <c r="F527" s="30"/>
      <c r="G527" s="30"/>
      <c r="H527" s="30"/>
      <c r="I527" s="30"/>
      <c r="J527" s="30"/>
      <c r="K527" s="30"/>
      <c r="L527" s="30"/>
      <c r="M527" s="30"/>
      <c r="N527" s="30"/>
      <c r="O527" s="30"/>
      <c r="P527" s="30"/>
      <c r="Q527" s="30"/>
      <c r="R527" s="30"/>
      <c r="S527" s="30"/>
    </row>
    <row r="528" ht="15.75" customHeight="1">
      <c r="A528" s="30"/>
      <c r="B528" s="30"/>
      <c r="C528" s="30"/>
      <c r="D528" s="30"/>
      <c r="E528" s="30"/>
      <c r="F528" s="30"/>
      <c r="G528" s="30"/>
      <c r="H528" s="30"/>
      <c r="I528" s="30"/>
      <c r="J528" s="30"/>
      <c r="K528" s="30"/>
      <c r="L528" s="30"/>
      <c r="M528" s="30"/>
      <c r="N528" s="30"/>
      <c r="O528" s="30"/>
      <c r="P528" s="30"/>
      <c r="Q528" s="30"/>
      <c r="R528" s="30"/>
      <c r="S528" s="30"/>
    </row>
    <row r="529" ht="15.75" customHeight="1">
      <c r="A529" s="30"/>
      <c r="B529" s="30"/>
      <c r="C529" s="30"/>
      <c r="D529" s="30"/>
      <c r="E529" s="30"/>
      <c r="F529" s="30"/>
      <c r="G529" s="30"/>
      <c r="H529" s="30"/>
      <c r="I529" s="30"/>
      <c r="J529" s="30"/>
      <c r="K529" s="30"/>
      <c r="L529" s="30"/>
      <c r="M529" s="30"/>
      <c r="N529" s="30"/>
      <c r="O529" s="30"/>
      <c r="P529" s="30"/>
      <c r="Q529" s="30"/>
      <c r="R529" s="30"/>
      <c r="S529" s="30"/>
    </row>
    <row r="530" ht="15.75" customHeight="1">
      <c r="A530" s="30"/>
      <c r="B530" s="30"/>
      <c r="C530" s="30"/>
      <c r="D530" s="30"/>
      <c r="E530" s="30"/>
      <c r="F530" s="30"/>
      <c r="G530" s="30"/>
      <c r="H530" s="30"/>
      <c r="I530" s="30"/>
      <c r="J530" s="30"/>
      <c r="K530" s="30"/>
      <c r="L530" s="30"/>
      <c r="M530" s="30"/>
      <c r="N530" s="30"/>
      <c r="O530" s="30"/>
      <c r="P530" s="30"/>
      <c r="Q530" s="30"/>
      <c r="R530" s="30"/>
      <c r="S530" s="30"/>
    </row>
    <row r="531" ht="15.75" customHeight="1">
      <c r="A531" s="30"/>
      <c r="B531" s="30"/>
      <c r="C531" s="30"/>
      <c r="D531" s="30"/>
      <c r="E531" s="30"/>
      <c r="F531" s="30"/>
      <c r="G531" s="30"/>
      <c r="H531" s="30"/>
      <c r="I531" s="30"/>
      <c r="J531" s="30"/>
      <c r="K531" s="30"/>
      <c r="L531" s="30"/>
      <c r="M531" s="30"/>
      <c r="N531" s="30"/>
      <c r="O531" s="30"/>
      <c r="P531" s="30"/>
      <c r="Q531" s="30"/>
      <c r="R531" s="30"/>
      <c r="S531" s="30"/>
    </row>
    <row r="532" ht="15.75" customHeight="1">
      <c r="A532" s="30"/>
      <c r="B532" s="30"/>
      <c r="C532" s="30"/>
      <c r="D532" s="30"/>
      <c r="E532" s="30"/>
      <c r="F532" s="30"/>
      <c r="G532" s="30"/>
      <c r="H532" s="30"/>
      <c r="I532" s="30"/>
      <c r="J532" s="30"/>
      <c r="K532" s="30"/>
      <c r="L532" s="30"/>
      <c r="M532" s="30"/>
      <c r="N532" s="30"/>
      <c r="O532" s="30"/>
      <c r="P532" s="30"/>
      <c r="Q532" s="30"/>
      <c r="R532" s="30"/>
      <c r="S532" s="30"/>
    </row>
    <row r="533" ht="15.75" customHeight="1">
      <c r="A533" s="30"/>
      <c r="B533" s="30"/>
      <c r="C533" s="30"/>
      <c r="D533" s="30"/>
      <c r="E533" s="30"/>
      <c r="F533" s="30"/>
      <c r="G533" s="30"/>
      <c r="H533" s="30"/>
      <c r="I533" s="30"/>
      <c r="J533" s="30"/>
      <c r="K533" s="30"/>
      <c r="L533" s="30"/>
      <c r="M533" s="30"/>
      <c r="N533" s="30"/>
      <c r="O533" s="30"/>
      <c r="P533" s="30"/>
      <c r="Q533" s="30"/>
      <c r="R533" s="30"/>
      <c r="S533" s="30"/>
    </row>
    <row r="534" ht="15.75" customHeight="1">
      <c r="A534" s="30"/>
      <c r="B534" s="30"/>
      <c r="C534" s="30"/>
      <c r="D534" s="30"/>
      <c r="E534" s="30"/>
      <c r="F534" s="30"/>
      <c r="G534" s="30"/>
      <c r="H534" s="30"/>
      <c r="I534" s="30"/>
      <c r="J534" s="30"/>
      <c r="K534" s="30"/>
      <c r="L534" s="30"/>
      <c r="M534" s="30"/>
      <c r="N534" s="30"/>
      <c r="O534" s="30"/>
      <c r="P534" s="30"/>
      <c r="Q534" s="30"/>
      <c r="R534" s="30"/>
      <c r="S534" s="30"/>
    </row>
    <row r="535" ht="15.75" customHeight="1">
      <c r="A535" s="30"/>
      <c r="B535" s="30"/>
      <c r="C535" s="30"/>
      <c r="D535" s="30"/>
      <c r="E535" s="30"/>
      <c r="F535" s="30"/>
      <c r="G535" s="30"/>
      <c r="H535" s="30"/>
      <c r="I535" s="30"/>
      <c r="J535" s="30"/>
      <c r="K535" s="30"/>
      <c r="L535" s="30"/>
      <c r="M535" s="30"/>
      <c r="N535" s="30"/>
      <c r="O535" s="30"/>
      <c r="P535" s="30"/>
      <c r="Q535" s="30"/>
      <c r="R535" s="30"/>
      <c r="S535" s="30"/>
    </row>
    <row r="536" ht="15.75" customHeight="1">
      <c r="A536" s="30"/>
      <c r="B536" s="30"/>
      <c r="C536" s="30"/>
      <c r="D536" s="30"/>
      <c r="E536" s="30"/>
      <c r="F536" s="30"/>
      <c r="G536" s="30"/>
      <c r="H536" s="30"/>
      <c r="I536" s="30"/>
      <c r="J536" s="30"/>
      <c r="K536" s="30"/>
      <c r="L536" s="30"/>
      <c r="M536" s="30"/>
      <c r="N536" s="30"/>
      <c r="O536" s="30"/>
      <c r="P536" s="30"/>
      <c r="Q536" s="30"/>
      <c r="R536" s="30"/>
      <c r="S536" s="30"/>
    </row>
    <row r="537" ht="15.75" customHeight="1">
      <c r="A537" s="30"/>
      <c r="B537" s="30"/>
      <c r="C537" s="30"/>
      <c r="D537" s="30"/>
      <c r="E537" s="30"/>
      <c r="F537" s="30"/>
      <c r="G537" s="30"/>
      <c r="H537" s="30"/>
      <c r="I537" s="30"/>
      <c r="J537" s="30"/>
      <c r="K537" s="30"/>
      <c r="L537" s="30"/>
      <c r="M537" s="30"/>
      <c r="N537" s="30"/>
      <c r="O537" s="30"/>
      <c r="P537" s="30"/>
      <c r="Q537" s="30"/>
      <c r="R537" s="30"/>
      <c r="S537" s="30"/>
    </row>
    <row r="538" ht="15.75" customHeight="1">
      <c r="A538" s="30"/>
      <c r="B538" s="30"/>
      <c r="C538" s="30"/>
      <c r="D538" s="30"/>
      <c r="E538" s="30"/>
      <c r="F538" s="30"/>
      <c r="G538" s="30"/>
      <c r="H538" s="30"/>
      <c r="I538" s="30"/>
      <c r="J538" s="30"/>
      <c r="K538" s="30"/>
      <c r="L538" s="30"/>
      <c r="M538" s="30"/>
      <c r="N538" s="30"/>
      <c r="O538" s="30"/>
      <c r="P538" s="30"/>
      <c r="Q538" s="30"/>
      <c r="R538" s="30"/>
      <c r="S538" s="30"/>
    </row>
    <row r="539" ht="15.75" customHeight="1">
      <c r="A539" s="30"/>
      <c r="B539" s="30"/>
      <c r="C539" s="30"/>
      <c r="D539" s="30"/>
      <c r="E539" s="30"/>
      <c r="F539" s="30"/>
      <c r="G539" s="30"/>
      <c r="H539" s="30"/>
      <c r="I539" s="30"/>
      <c r="J539" s="30"/>
      <c r="K539" s="30"/>
      <c r="L539" s="30"/>
      <c r="M539" s="30"/>
      <c r="N539" s="30"/>
      <c r="O539" s="30"/>
      <c r="P539" s="30"/>
      <c r="Q539" s="30"/>
      <c r="R539" s="30"/>
      <c r="S539" s="30"/>
    </row>
    <row r="540" ht="15.75" customHeight="1">
      <c r="A540" s="30"/>
      <c r="B540" s="30"/>
      <c r="C540" s="30"/>
      <c r="D540" s="30"/>
      <c r="E540" s="30"/>
      <c r="F540" s="30"/>
      <c r="G540" s="30"/>
      <c r="H540" s="30"/>
      <c r="I540" s="30"/>
      <c r="J540" s="30"/>
      <c r="K540" s="30"/>
      <c r="L540" s="30"/>
      <c r="M540" s="30"/>
      <c r="N540" s="30"/>
      <c r="O540" s="30"/>
      <c r="P540" s="30"/>
      <c r="Q540" s="30"/>
      <c r="R540" s="30"/>
      <c r="S540" s="30"/>
    </row>
    <row r="541" ht="15.75" customHeight="1">
      <c r="A541" s="30"/>
      <c r="B541" s="30"/>
      <c r="C541" s="30"/>
      <c r="D541" s="30"/>
      <c r="E541" s="30"/>
      <c r="F541" s="30"/>
      <c r="G541" s="30"/>
      <c r="H541" s="30"/>
      <c r="I541" s="30"/>
      <c r="J541" s="30"/>
      <c r="K541" s="30"/>
      <c r="L541" s="30"/>
      <c r="M541" s="30"/>
      <c r="N541" s="30"/>
      <c r="O541" s="30"/>
      <c r="P541" s="30"/>
      <c r="Q541" s="30"/>
      <c r="R541" s="30"/>
      <c r="S541" s="30"/>
    </row>
    <row r="542" ht="15.75" customHeight="1">
      <c r="A542" s="30"/>
      <c r="B542" s="30"/>
      <c r="C542" s="30"/>
      <c r="D542" s="30"/>
      <c r="E542" s="30"/>
      <c r="F542" s="30"/>
      <c r="G542" s="30"/>
      <c r="H542" s="30"/>
      <c r="I542" s="30"/>
      <c r="J542" s="30"/>
      <c r="K542" s="30"/>
      <c r="L542" s="30"/>
      <c r="M542" s="30"/>
      <c r="N542" s="30"/>
      <c r="O542" s="30"/>
      <c r="P542" s="30"/>
      <c r="Q542" s="30"/>
      <c r="R542" s="30"/>
      <c r="S542" s="30"/>
    </row>
    <row r="543" ht="15.75" customHeight="1">
      <c r="A543" s="30"/>
      <c r="B543" s="30"/>
      <c r="C543" s="30"/>
      <c r="D543" s="30"/>
      <c r="E543" s="30"/>
      <c r="F543" s="30"/>
      <c r="G543" s="30"/>
      <c r="H543" s="30"/>
      <c r="I543" s="30"/>
      <c r="J543" s="30"/>
      <c r="K543" s="30"/>
      <c r="L543" s="30"/>
      <c r="M543" s="30"/>
      <c r="N543" s="30"/>
      <c r="O543" s="30"/>
      <c r="P543" s="30"/>
      <c r="Q543" s="30"/>
      <c r="R543" s="30"/>
      <c r="S543" s="30"/>
    </row>
    <row r="544" ht="15.75" customHeight="1">
      <c r="A544" s="30"/>
      <c r="B544" s="30"/>
      <c r="C544" s="30"/>
      <c r="D544" s="30"/>
      <c r="E544" s="30"/>
      <c r="F544" s="30"/>
      <c r="G544" s="30"/>
      <c r="H544" s="30"/>
      <c r="I544" s="30"/>
      <c r="J544" s="30"/>
      <c r="K544" s="30"/>
      <c r="L544" s="30"/>
      <c r="M544" s="30"/>
      <c r="N544" s="30"/>
      <c r="O544" s="30"/>
      <c r="P544" s="30"/>
      <c r="Q544" s="30"/>
      <c r="R544" s="30"/>
      <c r="S544" s="30"/>
    </row>
    <row r="545" ht="15.75" customHeight="1">
      <c r="A545" s="30"/>
      <c r="B545" s="30"/>
      <c r="C545" s="30"/>
      <c r="D545" s="30"/>
      <c r="E545" s="30"/>
      <c r="F545" s="30"/>
      <c r="G545" s="30"/>
      <c r="H545" s="30"/>
      <c r="I545" s="30"/>
      <c r="J545" s="30"/>
      <c r="K545" s="30"/>
      <c r="L545" s="30"/>
      <c r="M545" s="30"/>
      <c r="N545" s="30"/>
      <c r="O545" s="30"/>
      <c r="P545" s="30"/>
      <c r="Q545" s="30"/>
      <c r="R545" s="30"/>
      <c r="S545" s="30"/>
    </row>
    <row r="546" ht="15.75" customHeight="1">
      <c r="A546" s="30"/>
      <c r="B546" s="30"/>
      <c r="C546" s="30"/>
      <c r="D546" s="30"/>
      <c r="E546" s="30"/>
      <c r="F546" s="30"/>
      <c r="G546" s="30"/>
      <c r="H546" s="30"/>
      <c r="I546" s="30"/>
      <c r="J546" s="30"/>
      <c r="K546" s="30"/>
      <c r="L546" s="30"/>
      <c r="M546" s="30"/>
      <c r="N546" s="30"/>
      <c r="O546" s="30"/>
      <c r="P546" s="30"/>
      <c r="Q546" s="30"/>
      <c r="R546" s="30"/>
      <c r="S546" s="30"/>
    </row>
    <row r="547" ht="15.75" customHeight="1">
      <c r="A547" s="30"/>
      <c r="B547" s="30"/>
      <c r="C547" s="30"/>
      <c r="D547" s="30"/>
      <c r="E547" s="30"/>
      <c r="F547" s="30"/>
      <c r="G547" s="30"/>
      <c r="H547" s="30"/>
      <c r="I547" s="30"/>
      <c r="J547" s="30"/>
      <c r="K547" s="30"/>
      <c r="L547" s="30"/>
      <c r="M547" s="30"/>
      <c r="N547" s="30"/>
      <c r="O547" s="30"/>
      <c r="P547" s="30"/>
      <c r="Q547" s="30"/>
      <c r="R547" s="30"/>
      <c r="S547" s="30"/>
    </row>
    <row r="548" ht="15.75" customHeight="1">
      <c r="A548" s="30"/>
      <c r="B548" s="30"/>
      <c r="C548" s="30"/>
      <c r="D548" s="30"/>
      <c r="E548" s="30"/>
      <c r="F548" s="30"/>
      <c r="G548" s="30"/>
      <c r="H548" s="30"/>
      <c r="I548" s="30"/>
      <c r="J548" s="30"/>
      <c r="K548" s="30"/>
      <c r="L548" s="30"/>
      <c r="M548" s="30"/>
      <c r="N548" s="30"/>
      <c r="O548" s="30"/>
      <c r="P548" s="30"/>
      <c r="Q548" s="30"/>
      <c r="R548" s="30"/>
      <c r="S548" s="30"/>
    </row>
    <row r="549" ht="15.75" customHeight="1">
      <c r="A549" s="30"/>
      <c r="B549" s="30"/>
      <c r="C549" s="30"/>
      <c r="D549" s="30"/>
      <c r="E549" s="30"/>
      <c r="F549" s="30"/>
      <c r="G549" s="30"/>
      <c r="H549" s="30"/>
      <c r="I549" s="30"/>
      <c r="J549" s="30"/>
      <c r="K549" s="30"/>
      <c r="L549" s="30"/>
      <c r="M549" s="30"/>
      <c r="N549" s="30"/>
      <c r="O549" s="30"/>
      <c r="P549" s="30"/>
      <c r="Q549" s="30"/>
      <c r="R549" s="30"/>
      <c r="S549" s="30"/>
    </row>
    <row r="550" ht="15.75" customHeight="1">
      <c r="A550" s="30"/>
      <c r="B550" s="30"/>
      <c r="C550" s="30"/>
      <c r="D550" s="30"/>
      <c r="E550" s="30"/>
      <c r="F550" s="30"/>
      <c r="G550" s="30"/>
      <c r="H550" s="30"/>
      <c r="I550" s="30"/>
      <c r="J550" s="30"/>
      <c r="K550" s="30"/>
      <c r="L550" s="30"/>
      <c r="M550" s="30"/>
      <c r="N550" s="30"/>
      <c r="O550" s="30"/>
      <c r="P550" s="30"/>
      <c r="Q550" s="30"/>
      <c r="R550" s="30"/>
      <c r="S550" s="30"/>
    </row>
    <row r="551" ht="15.75" customHeight="1">
      <c r="A551" s="30"/>
      <c r="B551" s="30"/>
      <c r="C551" s="30"/>
      <c r="D551" s="30"/>
      <c r="E551" s="30"/>
      <c r="F551" s="30"/>
      <c r="G551" s="30"/>
      <c r="H551" s="30"/>
      <c r="I551" s="30"/>
      <c r="J551" s="30"/>
      <c r="K551" s="30"/>
      <c r="L551" s="30"/>
      <c r="M551" s="30"/>
      <c r="N551" s="30"/>
      <c r="O551" s="30"/>
      <c r="P551" s="30"/>
      <c r="Q551" s="30"/>
      <c r="R551" s="30"/>
      <c r="S551" s="30"/>
    </row>
    <row r="552" ht="15.75" customHeight="1">
      <c r="A552" s="30"/>
      <c r="B552" s="30"/>
      <c r="C552" s="30"/>
      <c r="D552" s="30"/>
      <c r="E552" s="30"/>
      <c r="F552" s="30"/>
      <c r="G552" s="30"/>
      <c r="H552" s="30"/>
      <c r="I552" s="30"/>
      <c r="J552" s="30"/>
      <c r="K552" s="30"/>
      <c r="L552" s="30"/>
      <c r="M552" s="30"/>
      <c r="N552" s="30"/>
      <c r="O552" s="30"/>
      <c r="P552" s="30"/>
      <c r="Q552" s="30"/>
      <c r="R552" s="30"/>
      <c r="S552" s="30"/>
    </row>
    <row r="553" ht="15.75" customHeight="1">
      <c r="A553" s="30"/>
      <c r="B553" s="30"/>
      <c r="C553" s="30"/>
      <c r="D553" s="30"/>
      <c r="E553" s="30"/>
      <c r="F553" s="30"/>
      <c r="G553" s="30"/>
      <c r="H553" s="30"/>
      <c r="I553" s="30"/>
      <c r="J553" s="30"/>
      <c r="K553" s="30"/>
      <c r="L553" s="30"/>
      <c r="M553" s="30"/>
      <c r="N553" s="30"/>
      <c r="O553" s="30"/>
      <c r="P553" s="30"/>
      <c r="Q553" s="30"/>
      <c r="R553" s="30"/>
      <c r="S553" s="30"/>
    </row>
    <row r="554" ht="15.75" customHeight="1">
      <c r="A554" s="30"/>
      <c r="B554" s="30"/>
      <c r="C554" s="30"/>
      <c r="D554" s="30"/>
      <c r="E554" s="30"/>
      <c r="F554" s="30"/>
      <c r="G554" s="30"/>
      <c r="H554" s="30"/>
      <c r="I554" s="30"/>
      <c r="J554" s="30"/>
      <c r="K554" s="30"/>
      <c r="L554" s="30"/>
      <c r="M554" s="30"/>
      <c r="N554" s="30"/>
      <c r="O554" s="30"/>
      <c r="P554" s="30"/>
      <c r="Q554" s="30"/>
      <c r="R554" s="30"/>
      <c r="S554" s="30"/>
    </row>
    <row r="555" ht="15.75" customHeight="1">
      <c r="A555" s="30"/>
      <c r="B555" s="30"/>
      <c r="C555" s="30"/>
      <c r="D555" s="30"/>
      <c r="E555" s="30"/>
      <c r="F555" s="30"/>
      <c r="G555" s="30"/>
      <c r="H555" s="30"/>
      <c r="I555" s="30"/>
      <c r="J555" s="30"/>
      <c r="K555" s="30"/>
      <c r="L555" s="30"/>
      <c r="M555" s="30"/>
      <c r="N555" s="30"/>
      <c r="O555" s="30"/>
      <c r="P555" s="30"/>
      <c r="Q555" s="30"/>
      <c r="R555" s="30"/>
      <c r="S555" s="30"/>
    </row>
    <row r="556" ht="15.75" customHeight="1">
      <c r="A556" s="30"/>
      <c r="B556" s="30"/>
      <c r="C556" s="30"/>
      <c r="D556" s="30"/>
      <c r="E556" s="30"/>
      <c r="F556" s="30"/>
      <c r="G556" s="30"/>
      <c r="H556" s="30"/>
      <c r="I556" s="30"/>
      <c r="J556" s="30"/>
      <c r="K556" s="30"/>
      <c r="L556" s="30"/>
      <c r="M556" s="30"/>
      <c r="N556" s="30"/>
      <c r="O556" s="30"/>
      <c r="P556" s="30"/>
      <c r="Q556" s="30"/>
      <c r="R556" s="30"/>
      <c r="S556" s="30"/>
    </row>
    <row r="557" ht="15.75" customHeight="1">
      <c r="A557" s="30"/>
      <c r="B557" s="30"/>
      <c r="C557" s="30"/>
      <c r="D557" s="30"/>
      <c r="E557" s="30"/>
      <c r="F557" s="30"/>
      <c r="G557" s="30"/>
      <c r="H557" s="30"/>
      <c r="I557" s="30"/>
      <c r="J557" s="30"/>
      <c r="K557" s="30"/>
      <c r="L557" s="30"/>
      <c r="M557" s="30"/>
      <c r="N557" s="30"/>
      <c r="O557" s="30"/>
      <c r="P557" s="30"/>
      <c r="Q557" s="30"/>
      <c r="R557" s="30"/>
      <c r="S557" s="30"/>
    </row>
    <row r="558" ht="15.75" customHeight="1">
      <c r="A558" s="30"/>
      <c r="B558" s="30"/>
      <c r="C558" s="30"/>
      <c r="D558" s="30"/>
      <c r="E558" s="30"/>
      <c r="F558" s="30"/>
      <c r="G558" s="30"/>
      <c r="H558" s="30"/>
      <c r="I558" s="30"/>
      <c r="J558" s="30"/>
      <c r="K558" s="30"/>
      <c r="L558" s="30"/>
      <c r="M558" s="30"/>
      <c r="N558" s="30"/>
      <c r="O558" s="30"/>
      <c r="P558" s="30"/>
      <c r="Q558" s="30"/>
      <c r="R558" s="30"/>
      <c r="S558" s="30"/>
    </row>
    <row r="559" ht="15.75" customHeight="1">
      <c r="A559" s="30"/>
      <c r="B559" s="30"/>
      <c r="C559" s="30"/>
      <c r="D559" s="30"/>
      <c r="E559" s="30"/>
      <c r="F559" s="30"/>
      <c r="G559" s="30"/>
      <c r="H559" s="30"/>
      <c r="I559" s="30"/>
      <c r="J559" s="30"/>
      <c r="K559" s="30"/>
      <c r="L559" s="30"/>
      <c r="M559" s="30"/>
      <c r="N559" s="30"/>
      <c r="O559" s="30"/>
      <c r="P559" s="30"/>
      <c r="Q559" s="30"/>
      <c r="R559" s="30"/>
      <c r="S559" s="30"/>
    </row>
    <row r="560" ht="15.75" customHeight="1">
      <c r="A560" s="30"/>
      <c r="B560" s="30"/>
      <c r="C560" s="30"/>
      <c r="D560" s="30"/>
      <c r="E560" s="30"/>
      <c r="F560" s="30"/>
      <c r="G560" s="30"/>
      <c r="H560" s="30"/>
      <c r="I560" s="30"/>
      <c r="J560" s="30"/>
      <c r="K560" s="30"/>
      <c r="L560" s="30"/>
      <c r="M560" s="30"/>
      <c r="N560" s="30"/>
      <c r="O560" s="30"/>
      <c r="P560" s="30"/>
      <c r="Q560" s="30"/>
      <c r="R560" s="30"/>
      <c r="S560" s="30"/>
    </row>
    <row r="561" ht="15.75" customHeight="1">
      <c r="A561" s="30"/>
      <c r="B561" s="30"/>
      <c r="C561" s="30"/>
      <c r="D561" s="30"/>
      <c r="E561" s="30"/>
      <c r="F561" s="30"/>
      <c r="G561" s="30"/>
      <c r="H561" s="30"/>
      <c r="I561" s="30"/>
      <c r="J561" s="30"/>
      <c r="K561" s="30"/>
      <c r="L561" s="30"/>
      <c r="M561" s="30"/>
      <c r="N561" s="30"/>
      <c r="O561" s="30"/>
      <c r="P561" s="30"/>
      <c r="Q561" s="30"/>
      <c r="R561" s="30"/>
      <c r="S561" s="30"/>
    </row>
    <row r="562" ht="15.75" customHeight="1">
      <c r="A562" s="30"/>
      <c r="B562" s="30"/>
      <c r="C562" s="30"/>
      <c r="D562" s="30"/>
      <c r="E562" s="30"/>
      <c r="F562" s="30"/>
      <c r="G562" s="30"/>
      <c r="H562" s="30"/>
      <c r="I562" s="30"/>
      <c r="J562" s="30"/>
      <c r="K562" s="30"/>
      <c r="L562" s="30"/>
      <c r="M562" s="30"/>
      <c r="N562" s="30"/>
      <c r="O562" s="30"/>
      <c r="P562" s="30"/>
      <c r="Q562" s="30"/>
      <c r="R562" s="30"/>
      <c r="S562" s="30"/>
    </row>
    <row r="563" ht="15.75" customHeight="1">
      <c r="A563" s="30"/>
      <c r="B563" s="30"/>
      <c r="C563" s="30"/>
      <c r="D563" s="30"/>
      <c r="E563" s="30"/>
      <c r="F563" s="30"/>
      <c r="G563" s="30"/>
      <c r="H563" s="30"/>
      <c r="I563" s="30"/>
      <c r="J563" s="30"/>
      <c r="K563" s="30"/>
      <c r="L563" s="30"/>
      <c r="M563" s="30"/>
      <c r="N563" s="30"/>
      <c r="O563" s="30"/>
      <c r="P563" s="30"/>
      <c r="Q563" s="30"/>
      <c r="R563" s="30"/>
      <c r="S563" s="30"/>
    </row>
    <row r="564" ht="15.75" customHeight="1">
      <c r="A564" s="30"/>
      <c r="B564" s="30"/>
      <c r="C564" s="30"/>
      <c r="D564" s="30"/>
      <c r="E564" s="30"/>
      <c r="F564" s="30"/>
      <c r="G564" s="30"/>
      <c r="H564" s="30"/>
      <c r="I564" s="30"/>
      <c r="J564" s="30"/>
      <c r="K564" s="30"/>
      <c r="L564" s="30"/>
      <c r="M564" s="30"/>
      <c r="N564" s="30"/>
      <c r="O564" s="30"/>
      <c r="P564" s="30"/>
      <c r="Q564" s="30"/>
      <c r="R564" s="30"/>
      <c r="S564" s="30"/>
    </row>
    <row r="565" ht="15.75" customHeight="1">
      <c r="A565" s="30"/>
      <c r="B565" s="30"/>
      <c r="C565" s="30"/>
      <c r="D565" s="30"/>
      <c r="E565" s="30"/>
      <c r="F565" s="30"/>
      <c r="G565" s="30"/>
      <c r="H565" s="30"/>
      <c r="I565" s="30"/>
      <c r="J565" s="30"/>
      <c r="K565" s="30"/>
      <c r="L565" s="30"/>
      <c r="M565" s="30"/>
      <c r="N565" s="30"/>
      <c r="O565" s="30"/>
      <c r="P565" s="30"/>
      <c r="Q565" s="30"/>
      <c r="R565" s="30"/>
      <c r="S565" s="30"/>
    </row>
    <row r="566" ht="15.75" customHeight="1">
      <c r="A566" s="30"/>
      <c r="B566" s="30"/>
      <c r="C566" s="30"/>
      <c r="D566" s="30"/>
      <c r="E566" s="30"/>
      <c r="F566" s="30"/>
      <c r="G566" s="30"/>
      <c r="H566" s="30"/>
      <c r="I566" s="30"/>
      <c r="J566" s="30"/>
      <c r="K566" s="30"/>
      <c r="L566" s="30"/>
      <c r="M566" s="30"/>
      <c r="N566" s="30"/>
      <c r="O566" s="30"/>
      <c r="P566" s="30"/>
      <c r="Q566" s="30"/>
      <c r="R566" s="30"/>
      <c r="S566" s="30"/>
    </row>
    <row r="567" ht="15.75" customHeight="1">
      <c r="A567" s="30"/>
      <c r="B567" s="30"/>
      <c r="C567" s="30"/>
      <c r="D567" s="30"/>
      <c r="E567" s="30"/>
      <c r="F567" s="30"/>
      <c r="G567" s="30"/>
      <c r="H567" s="30"/>
      <c r="I567" s="30"/>
      <c r="J567" s="30"/>
      <c r="K567" s="30"/>
      <c r="L567" s="30"/>
      <c r="M567" s="30"/>
      <c r="N567" s="30"/>
      <c r="O567" s="30"/>
      <c r="P567" s="30"/>
      <c r="Q567" s="30"/>
      <c r="R567" s="30"/>
      <c r="S567" s="30"/>
    </row>
    <row r="568" ht="15.75" customHeight="1">
      <c r="A568" s="30"/>
      <c r="B568" s="30"/>
      <c r="C568" s="30"/>
      <c r="D568" s="30"/>
      <c r="E568" s="30"/>
      <c r="F568" s="30"/>
      <c r="G568" s="30"/>
      <c r="H568" s="30"/>
      <c r="I568" s="30"/>
      <c r="J568" s="30"/>
      <c r="K568" s="30"/>
      <c r="L568" s="30"/>
      <c r="M568" s="30"/>
      <c r="N568" s="30"/>
      <c r="O568" s="30"/>
      <c r="P568" s="30"/>
      <c r="Q568" s="30"/>
      <c r="R568" s="30"/>
      <c r="S568" s="30"/>
    </row>
    <row r="569" ht="15.75" customHeight="1">
      <c r="A569" s="30"/>
      <c r="B569" s="30"/>
      <c r="C569" s="30"/>
      <c r="D569" s="30"/>
      <c r="E569" s="30"/>
      <c r="F569" s="30"/>
      <c r="G569" s="30"/>
      <c r="H569" s="30"/>
      <c r="I569" s="30"/>
      <c r="J569" s="30"/>
      <c r="K569" s="30"/>
      <c r="L569" s="30"/>
      <c r="M569" s="30"/>
      <c r="N569" s="30"/>
      <c r="O569" s="30"/>
      <c r="P569" s="30"/>
      <c r="Q569" s="30"/>
      <c r="R569" s="30"/>
      <c r="S569" s="30"/>
    </row>
    <row r="570" ht="15.75" customHeight="1">
      <c r="A570" s="30"/>
      <c r="B570" s="30"/>
      <c r="C570" s="30"/>
      <c r="D570" s="30"/>
      <c r="E570" s="30"/>
      <c r="F570" s="30"/>
      <c r="G570" s="30"/>
      <c r="H570" s="30"/>
      <c r="I570" s="30"/>
      <c r="J570" s="30"/>
      <c r="K570" s="30"/>
      <c r="L570" s="30"/>
      <c r="M570" s="30"/>
      <c r="N570" s="30"/>
      <c r="O570" s="30"/>
      <c r="P570" s="30"/>
      <c r="Q570" s="30"/>
      <c r="R570" s="30"/>
      <c r="S570" s="30"/>
    </row>
    <row r="571" ht="15.75" customHeight="1">
      <c r="A571" s="30"/>
      <c r="B571" s="30"/>
      <c r="C571" s="30"/>
      <c r="D571" s="30"/>
      <c r="E571" s="30"/>
      <c r="F571" s="30"/>
      <c r="G571" s="30"/>
      <c r="H571" s="30"/>
      <c r="I571" s="30"/>
      <c r="J571" s="30"/>
      <c r="K571" s="30"/>
      <c r="L571" s="30"/>
      <c r="M571" s="30"/>
      <c r="N571" s="30"/>
      <c r="O571" s="30"/>
      <c r="P571" s="30"/>
      <c r="Q571" s="30"/>
      <c r="R571" s="30"/>
      <c r="S571" s="30"/>
    </row>
    <row r="572" ht="15.75" customHeight="1">
      <c r="A572" s="30"/>
      <c r="B572" s="30"/>
      <c r="C572" s="30"/>
      <c r="D572" s="30"/>
      <c r="E572" s="30"/>
      <c r="F572" s="30"/>
      <c r="G572" s="30"/>
      <c r="H572" s="30"/>
      <c r="I572" s="30"/>
      <c r="J572" s="30"/>
      <c r="K572" s="30"/>
      <c r="L572" s="30"/>
      <c r="M572" s="30"/>
      <c r="N572" s="30"/>
      <c r="O572" s="30"/>
      <c r="P572" s="30"/>
      <c r="Q572" s="30"/>
      <c r="R572" s="30"/>
      <c r="S572" s="30"/>
    </row>
    <row r="573" ht="15.75" customHeight="1">
      <c r="A573" s="30"/>
      <c r="B573" s="30"/>
      <c r="C573" s="30"/>
      <c r="D573" s="30"/>
      <c r="E573" s="30"/>
      <c r="F573" s="30"/>
      <c r="G573" s="30"/>
      <c r="H573" s="30"/>
      <c r="I573" s="30"/>
      <c r="J573" s="30"/>
      <c r="K573" s="30"/>
      <c r="L573" s="30"/>
      <c r="M573" s="30"/>
      <c r="N573" s="30"/>
      <c r="O573" s="30"/>
      <c r="P573" s="30"/>
      <c r="Q573" s="30"/>
      <c r="R573" s="30"/>
      <c r="S573" s="30"/>
    </row>
    <row r="574" ht="15.75" customHeight="1">
      <c r="A574" s="30"/>
      <c r="B574" s="30"/>
      <c r="C574" s="30"/>
      <c r="D574" s="30"/>
      <c r="E574" s="30"/>
      <c r="F574" s="30"/>
      <c r="G574" s="30"/>
      <c r="H574" s="30"/>
      <c r="I574" s="30"/>
      <c r="J574" s="30"/>
      <c r="K574" s="30"/>
      <c r="L574" s="30"/>
      <c r="M574" s="30"/>
      <c r="N574" s="30"/>
      <c r="O574" s="30"/>
      <c r="P574" s="30"/>
      <c r="Q574" s="30"/>
      <c r="R574" s="30"/>
      <c r="S574" s="30"/>
    </row>
    <row r="575" ht="15.75" customHeight="1">
      <c r="A575" s="30"/>
      <c r="B575" s="30"/>
      <c r="C575" s="30"/>
      <c r="D575" s="30"/>
      <c r="E575" s="30"/>
      <c r="F575" s="30"/>
      <c r="G575" s="30"/>
      <c r="H575" s="30"/>
      <c r="I575" s="30"/>
      <c r="J575" s="30"/>
      <c r="K575" s="30"/>
      <c r="L575" s="30"/>
      <c r="M575" s="30"/>
      <c r="N575" s="30"/>
      <c r="O575" s="30"/>
      <c r="P575" s="30"/>
      <c r="Q575" s="30"/>
      <c r="R575" s="30"/>
      <c r="S575" s="30"/>
    </row>
    <row r="576" ht="15.75" customHeight="1">
      <c r="A576" s="30"/>
      <c r="B576" s="30"/>
      <c r="C576" s="30"/>
      <c r="D576" s="30"/>
      <c r="E576" s="30"/>
      <c r="F576" s="30"/>
      <c r="G576" s="30"/>
      <c r="H576" s="30"/>
      <c r="I576" s="30"/>
      <c r="J576" s="30"/>
      <c r="K576" s="30"/>
      <c r="L576" s="30"/>
      <c r="M576" s="30"/>
      <c r="N576" s="30"/>
      <c r="O576" s="30"/>
      <c r="P576" s="30"/>
      <c r="Q576" s="30"/>
      <c r="R576" s="30"/>
      <c r="S576" s="30"/>
    </row>
    <row r="577" ht="15.75" customHeight="1">
      <c r="A577" s="30"/>
      <c r="B577" s="30"/>
      <c r="C577" s="30"/>
      <c r="D577" s="30"/>
      <c r="E577" s="30"/>
      <c r="F577" s="30"/>
      <c r="G577" s="30"/>
      <c r="H577" s="30"/>
      <c r="I577" s="30"/>
      <c r="J577" s="30"/>
      <c r="K577" s="30"/>
      <c r="L577" s="30"/>
      <c r="M577" s="30"/>
      <c r="N577" s="30"/>
      <c r="O577" s="30"/>
      <c r="P577" s="30"/>
      <c r="Q577" s="30"/>
      <c r="R577" s="30"/>
      <c r="S577" s="30"/>
    </row>
    <row r="578" ht="15.75" customHeight="1">
      <c r="A578" s="30"/>
      <c r="B578" s="30"/>
      <c r="C578" s="30"/>
      <c r="D578" s="30"/>
      <c r="E578" s="30"/>
      <c r="F578" s="30"/>
      <c r="G578" s="30"/>
      <c r="H578" s="30"/>
      <c r="I578" s="30"/>
      <c r="J578" s="30"/>
      <c r="K578" s="30"/>
      <c r="L578" s="30"/>
      <c r="M578" s="30"/>
      <c r="N578" s="30"/>
      <c r="O578" s="30"/>
      <c r="P578" s="30"/>
      <c r="Q578" s="30"/>
      <c r="R578" s="30"/>
      <c r="S578" s="30"/>
    </row>
    <row r="579" ht="15.75" customHeight="1">
      <c r="A579" s="30"/>
      <c r="B579" s="30"/>
      <c r="C579" s="30"/>
      <c r="D579" s="30"/>
      <c r="E579" s="30"/>
      <c r="F579" s="30"/>
      <c r="G579" s="30"/>
      <c r="H579" s="30"/>
      <c r="I579" s="30"/>
      <c r="J579" s="30"/>
      <c r="K579" s="30"/>
      <c r="L579" s="30"/>
      <c r="M579" s="30"/>
      <c r="N579" s="30"/>
      <c r="O579" s="30"/>
      <c r="P579" s="30"/>
      <c r="Q579" s="30"/>
      <c r="R579" s="30"/>
      <c r="S579" s="30"/>
    </row>
    <row r="580" ht="15.75" customHeight="1">
      <c r="A580" s="30"/>
      <c r="B580" s="30"/>
      <c r="C580" s="30"/>
      <c r="D580" s="30"/>
      <c r="E580" s="30"/>
      <c r="F580" s="30"/>
      <c r="G580" s="30"/>
      <c r="H580" s="30"/>
      <c r="I580" s="30"/>
      <c r="J580" s="30"/>
      <c r="K580" s="30"/>
      <c r="L580" s="30"/>
      <c r="M580" s="30"/>
      <c r="N580" s="30"/>
      <c r="O580" s="30"/>
      <c r="P580" s="30"/>
      <c r="Q580" s="30"/>
      <c r="R580" s="30"/>
      <c r="S580" s="30"/>
    </row>
    <row r="581" ht="15.75" customHeight="1">
      <c r="A581" s="30"/>
      <c r="B581" s="30"/>
      <c r="C581" s="30"/>
      <c r="D581" s="30"/>
      <c r="E581" s="30"/>
      <c r="F581" s="30"/>
      <c r="G581" s="30"/>
      <c r="H581" s="30"/>
      <c r="I581" s="30"/>
      <c r="J581" s="30"/>
      <c r="K581" s="30"/>
      <c r="L581" s="30"/>
      <c r="M581" s="30"/>
      <c r="N581" s="30"/>
      <c r="O581" s="30"/>
      <c r="P581" s="30"/>
      <c r="Q581" s="30"/>
      <c r="R581" s="30"/>
      <c r="S581" s="30"/>
    </row>
    <row r="582" ht="15.75" customHeight="1">
      <c r="A582" s="30"/>
      <c r="B582" s="30"/>
      <c r="C582" s="30"/>
      <c r="D582" s="30"/>
      <c r="E582" s="30"/>
      <c r="F582" s="30"/>
      <c r="G582" s="30"/>
      <c r="H582" s="30"/>
      <c r="I582" s="30"/>
      <c r="J582" s="30"/>
      <c r="K582" s="30"/>
      <c r="L582" s="30"/>
      <c r="M582" s="30"/>
      <c r="N582" s="30"/>
      <c r="O582" s="30"/>
      <c r="P582" s="30"/>
      <c r="Q582" s="30"/>
      <c r="R582" s="30"/>
      <c r="S582" s="30"/>
    </row>
    <row r="583" ht="15.75" customHeight="1">
      <c r="A583" s="30"/>
      <c r="B583" s="30"/>
      <c r="C583" s="30"/>
      <c r="D583" s="30"/>
      <c r="E583" s="30"/>
      <c r="F583" s="30"/>
      <c r="G583" s="30"/>
      <c r="H583" s="30"/>
      <c r="I583" s="30"/>
      <c r="J583" s="30"/>
      <c r="K583" s="30"/>
      <c r="L583" s="30"/>
      <c r="M583" s="30"/>
      <c r="N583" s="30"/>
      <c r="O583" s="30"/>
      <c r="P583" s="30"/>
      <c r="Q583" s="30"/>
      <c r="R583" s="30"/>
      <c r="S583" s="30"/>
    </row>
    <row r="584" ht="15.75" customHeight="1">
      <c r="A584" s="30"/>
      <c r="B584" s="30"/>
      <c r="C584" s="30"/>
      <c r="D584" s="30"/>
      <c r="E584" s="30"/>
      <c r="F584" s="30"/>
      <c r="G584" s="30"/>
      <c r="H584" s="30"/>
      <c r="I584" s="30"/>
      <c r="J584" s="30"/>
      <c r="K584" s="30"/>
      <c r="L584" s="30"/>
      <c r="M584" s="30"/>
      <c r="N584" s="30"/>
      <c r="O584" s="30"/>
      <c r="P584" s="30"/>
      <c r="Q584" s="30"/>
      <c r="R584" s="30"/>
      <c r="S584" s="30"/>
    </row>
    <row r="585" ht="15.75" customHeight="1">
      <c r="A585" s="30"/>
      <c r="B585" s="30"/>
      <c r="C585" s="30"/>
      <c r="D585" s="30"/>
      <c r="E585" s="30"/>
      <c r="F585" s="30"/>
      <c r="G585" s="30"/>
      <c r="H585" s="30"/>
      <c r="I585" s="30"/>
      <c r="J585" s="30"/>
      <c r="K585" s="30"/>
      <c r="L585" s="30"/>
      <c r="M585" s="30"/>
      <c r="N585" s="30"/>
      <c r="O585" s="30"/>
      <c r="P585" s="30"/>
      <c r="Q585" s="30"/>
      <c r="R585" s="30"/>
      <c r="S585" s="30"/>
    </row>
    <row r="586" ht="15.75" customHeight="1">
      <c r="A586" s="30"/>
      <c r="B586" s="30"/>
      <c r="C586" s="30"/>
      <c r="D586" s="30"/>
      <c r="E586" s="30"/>
      <c r="F586" s="30"/>
      <c r="G586" s="30"/>
      <c r="H586" s="30"/>
      <c r="I586" s="30"/>
      <c r="J586" s="30"/>
      <c r="K586" s="30"/>
      <c r="L586" s="30"/>
      <c r="M586" s="30"/>
      <c r="N586" s="30"/>
      <c r="O586" s="30"/>
      <c r="P586" s="30"/>
      <c r="Q586" s="30"/>
      <c r="R586" s="30"/>
      <c r="S586" s="30"/>
    </row>
    <row r="587" ht="15.75" customHeight="1">
      <c r="A587" s="30"/>
      <c r="B587" s="30"/>
      <c r="C587" s="30"/>
      <c r="D587" s="30"/>
      <c r="E587" s="30"/>
      <c r="F587" s="30"/>
      <c r="G587" s="30"/>
      <c r="H587" s="30"/>
      <c r="I587" s="30"/>
      <c r="J587" s="30"/>
      <c r="K587" s="30"/>
      <c r="L587" s="30"/>
      <c r="M587" s="30"/>
      <c r="N587" s="30"/>
      <c r="O587" s="30"/>
      <c r="P587" s="30"/>
      <c r="Q587" s="30"/>
      <c r="R587" s="30"/>
      <c r="S587" s="30"/>
    </row>
    <row r="588" ht="15.75" customHeight="1">
      <c r="A588" s="30"/>
      <c r="B588" s="30"/>
      <c r="C588" s="30"/>
      <c r="D588" s="30"/>
      <c r="E588" s="30"/>
      <c r="F588" s="30"/>
      <c r="G588" s="30"/>
      <c r="H588" s="30"/>
      <c r="I588" s="30"/>
      <c r="J588" s="30"/>
      <c r="K588" s="30"/>
      <c r="L588" s="30"/>
      <c r="M588" s="30"/>
      <c r="N588" s="30"/>
      <c r="O588" s="30"/>
      <c r="P588" s="30"/>
      <c r="Q588" s="30"/>
      <c r="R588" s="30"/>
      <c r="S588" s="30"/>
    </row>
    <row r="589" ht="15.75" customHeight="1">
      <c r="A589" s="30"/>
      <c r="B589" s="30"/>
      <c r="C589" s="30"/>
      <c r="D589" s="30"/>
      <c r="E589" s="30"/>
      <c r="F589" s="30"/>
      <c r="G589" s="30"/>
      <c r="H589" s="30"/>
      <c r="I589" s="30"/>
      <c r="J589" s="30"/>
      <c r="K589" s="30"/>
      <c r="L589" s="30"/>
      <c r="M589" s="30"/>
      <c r="N589" s="30"/>
      <c r="O589" s="30"/>
      <c r="P589" s="30"/>
      <c r="Q589" s="30"/>
      <c r="R589" s="30"/>
      <c r="S589" s="30"/>
    </row>
    <row r="590" ht="15.75" customHeight="1">
      <c r="A590" s="30"/>
      <c r="B590" s="30"/>
      <c r="C590" s="30"/>
      <c r="D590" s="30"/>
      <c r="E590" s="30"/>
      <c r="F590" s="30"/>
      <c r="G590" s="30"/>
      <c r="H590" s="30"/>
      <c r="I590" s="30"/>
      <c r="J590" s="30"/>
      <c r="K590" s="30"/>
      <c r="L590" s="30"/>
      <c r="M590" s="30"/>
      <c r="N590" s="30"/>
      <c r="O590" s="30"/>
      <c r="P590" s="30"/>
      <c r="Q590" s="30"/>
      <c r="R590" s="30"/>
      <c r="S590" s="30"/>
    </row>
    <row r="591" ht="15.75" customHeight="1">
      <c r="A591" s="30"/>
      <c r="B591" s="30"/>
      <c r="C591" s="30"/>
      <c r="D591" s="30"/>
      <c r="E591" s="30"/>
      <c r="F591" s="30"/>
      <c r="G591" s="30"/>
      <c r="H591" s="30"/>
      <c r="I591" s="30"/>
      <c r="J591" s="30"/>
      <c r="K591" s="30"/>
      <c r="L591" s="30"/>
      <c r="M591" s="30"/>
      <c r="N591" s="30"/>
      <c r="O591" s="30"/>
      <c r="P591" s="30"/>
      <c r="Q591" s="30"/>
      <c r="R591" s="30"/>
      <c r="S591" s="30"/>
    </row>
    <row r="592" ht="15.75" customHeight="1">
      <c r="A592" s="30"/>
      <c r="B592" s="30"/>
      <c r="C592" s="30"/>
      <c r="D592" s="30"/>
      <c r="E592" s="30"/>
      <c r="F592" s="30"/>
      <c r="G592" s="30"/>
      <c r="H592" s="30"/>
      <c r="I592" s="30"/>
      <c r="J592" s="30"/>
      <c r="K592" s="30"/>
      <c r="L592" s="30"/>
      <c r="M592" s="30"/>
      <c r="N592" s="30"/>
      <c r="O592" s="30"/>
      <c r="P592" s="30"/>
      <c r="Q592" s="30"/>
      <c r="R592" s="30"/>
      <c r="S592" s="30"/>
    </row>
    <row r="593" ht="15.75" customHeight="1">
      <c r="A593" s="30"/>
      <c r="B593" s="30"/>
      <c r="C593" s="30"/>
      <c r="D593" s="30"/>
      <c r="E593" s="30"/>
      <c r="F593" s="30"/>
      <c r="G593" s="30"/>
      <c r="H593" s="30"/>
      <c r="I593" s="30"/>
      <c r="J593" s="30"/>
      <c r="K593" s="30"/>
      <c r="L593" s="30"/>
      <c r="M593" s="30"/>
      <c r="N593" s="30"/>
      <c r="O593" s="30"/>
      <c r="P593" s="30"/>
      <c r="Q593" s="30"/>
      <c r="R593" s="30"/>
      <c r="S593" s="30"/>
    </row>
    <row r="594" ht="15.75" customHeight="1">
      <c r="A594" s="30"/>
      <c r="B594" s="30"/>
      <c r="C594" s="30"/>
      <c r="D594" s="30"/>
      <c r="E594" s="30"/>
      <c r="F594" s="30"/>
      <c r="G594" s="30"/>
      <c r="H594" s="30"/>
      <c r="I594" s="30"/>
      <c r="J594" s="30"/>
      <c r="K594" s="30"/>
      <c r="L594" s="30"/>
      <c r="M594" s="30"/>
      <c r="N594" s="30"/>
      <c r="O594" s="30"/>
      <c r="P594" s="30"/>
      <c r="Q594" s="30"/>
      <c r="R594" s="30"/>
      <c r="S594" s="30"/>
    </row>
    <row r="595" ht="15.75" customHeight="1">
      <c r="A595" s="30"/>
      <c r="B595" s="30"/>
      <c r="C595" s="30"/>
      <c r="D595" s="30"/>
      <c r="E595" s="30"/>
      <c r="F595" s="30"/>
      <c r="G595" s="30"/>
      <c r="H595" s="30"/>
      <c r="I595" s="30"/>
      <c r="J595" s="30"/>
      <c r="K595" s="30"/>
      <c r="L595" s="30"/>
      <c r="M595" s="30"/>
      <c r="N595" s="30"/>
      <c r="O595" s="30"/>
      <c r="P595" s="30"/>
      <c r="Q595" s="30"/>
      <c r="R595" s="30"/>
      <c r="S595" s="30"/>
    </row>
    <row r="596" ht="15.75" customHeight="1">
      <c r="A596" s="30"/>
      <c r="B596" s="30"/>
      <c r="C596" s="30"/>
      <c r="D596" s="30"/>
      <c r="E596" s="30"/>
      <c r="F596" s="30"/>
      <c r="G596" s="30"/>
      <c r="H596" s="30"/>
      <c r="I596" s="30"/>
      <c r="J596" s="30"/>
      <c r="K596" s="30"/>
      <c r="L596" s="30"/>
      <c r="M596" s="30"/>
      <c r="N596" s="30"/>
      <c r="O596" s="30"/>
      <c r="P596" s="30"/>
      <c r="Q596" s="30"/>
      <c r="R596" s="30"/>
      <c r="S596" s="30"/>
    </row>
    <row r="597" ht="15.75" customHeight="1">
      <c r="A597" s="30"/>
      <c r="B597" s="30"/>
      <c r="C597" s="30"/>
      <c r="D597" s="30"/>
      <c r="E597" s="30"/>
      <c r="F597" s="30"/>
      <c r="G597" s="30"/>
      <c r="H597" s="30"/>
      <c r="I597" s="30"/>
      <c r="J597" s="30"/>
      <c r="K597" s="30"/>
      <c r="L597" s="30"/>
      <c r="M597" s="30"/>
      <c r="N597" s="30"/>
      <c r="O597" s="30"/>
      <c r="P597" s="30"/>
      <c r="Q597" s="30"/>
      <c r="R597" s="30"/>
      <c r="S597" s="30"/>
    </row>
    <row r="598" ht="15.75" customHeight="1">
      <c r="A598" s="30"/>
      <c r="B598" s="30"/>
      <c r="C598" s="30"/>
      <c r="D598" s="30"/>
      <c r="E598" s="30"/>
      <c r="F598" s="30"/>
      <c r="G598" s="30"/>
      <c r="H598" s="30"/>
      <c r="I598" s="30"/>
      <c r="J598" s="30"/>
      <c r="K598" s="30"/>
      <c r="L598" s="30"/>
      <c r="M598" s="30"/>
      <c r="N598" s="30"/>
      <c r="O598" s="30"/>
      <c r="P598" s="30"/>
      <c r="Q598" s="30"/>
      <c r="R598" s="30"/>
      <c r="S598" s="30"/>
    </row>
    <row r="599" ht="15.75" customHeight="1">
      <c r="A599" s="30"/>
      <c r="B599" s="30"/>
      <c r="C599" s="30"/>
      <c r="D599" s="30"/>
      <c r="E599" s="30"/>
      <c r="F599" s="30"/>
      <c r="G599" s="30"/>
      <c r="H599" s="30"/>
      <c r="I599" s="30"/>
      <c r="J599" s="30"/>
      <c r="K599" s="30"/>
      <c r="L599" s="30"/>
      <c r="M599" s="30"/>
      <c r="N599" s="30"/>
      <c r="O599" s="30"/>
      <c r="P599" s="30"/>
      <c r="Q599" s="30"/>
      <c r="R599" s="30"/>
      <c r="S599" s="30"/>
    </row>
    <row r="600" ht="15.75" customHeight="1">
      <c r="A600" s="30"/>
      <c r="B600" s="30"/>
      <c r="C600" s="30"/>
      <c r="D600" s="30"/>
      <c r="E600" s="30"/>
      <c r="F600" s="30"/>
      <c r="G600" s="30"/>
      <c r="H600" s="30"/>
      <c r="I600" s="30"/>
      <c r="J600" s="30"/>
      <c r="K600" s="30"/>
      <c r="L600" s="30"/>
      <c r="M600" s="30"/>
      <c r="N600" s="30"/>
      <c r="O600" s="30"/>
      <c r="P600" s="30"/>
      <c r="Q600" s="30"/>
      <c r="R600" s="30"/>
      <c r="S600" s="30"/>
    </row>
    <row r="601" ht="15.75" customHeight="1">
      <c r="A601" s="30"/>
      <c r="B601" s="30"/>
      <c r="C601" s="30"/>
      <c r="D601" s="30"/>
      <c r="E601" s="30"/>
      <c r="F601" s="30"/>
      <c r="G601" s="30"/>
      <c r="H601" s="30"/>
      <c r="I601" s="30"/>
      <c r="J601" s="30"/>
      <c r="K601" s="30"/>
      <c r="L601" s="30"/>
      <c r="M601" s="30"/>
      <c r="N601" s="30"/>
      <c r="O601" s="30"/>
      <c r="P601" s="30"/>
      <c r="Q601" s="30"/>
      <c r="R601" s="30"/>
      <c r="S601" s="30"/>
    </row>
    <row r="602" ht="15.75" customHeight="1">
      <c r="A602" s="30"/>
      <c r="B602" s="30"/>
      <c r="C602" s="30"/>
      <c r="D602" s="30"/>
      <c r="E602" s="30"/>
      <c r="F602" s="30"/>
      <c r="G602" s="30"/>
      <c r="H602" s="30"/>
      <c r="I602" s="30"/>
      <c r="J602" s="30"/>
      <c r="K602" s="30"/>
      <c r="L602" s="30"/>
      <c r="M602" s="30"/>
      <c r="N602" s="30"/>
      <c r="O602" s="30"/>
      <c r="P602" s="30"/>
      <c r="Q602" s="30"/>
      <c r="R602" s="30"/>
      <c r="S602" s="30"/>
    </row>
    <row r="603" ht="15.75" customHeight="1">
      <c r="A603" s="30"/>
      <c r="B603" s="30"/>
      <c r="C603" s="30"/>
      <c r="D603" s="30"/>
      <c r="E603" s="30"/>
      <c r="F603" s="30"/>
      <c r="G603" s="30"/>
      <c r="H603" s="30"/>
      <c r="I603" s="30"/>
      <c r="J603" s="30"/>
      <c r="K603" s="30"/>
      <c r="L603" s="30"/>
      <c r="M603" s="30"/>
      <c r="N603" s="30"/>
      <c r="O603" s="30"/>
      <c r="P603" s="30"/>
      <c r="Q603" s="30"/>
      <c r="R603" s="30"/>
      <c r="S603" s="30"/>
    </row>
    <row r="604" ht="15.75" customHeight="1">
      <c r="A604" s="30"/>
      <c r="B604" s="30"/>
      <c r="C604" s="30"/>
      <c r="D604" s="30"/>
      <c r="E604" s="30"/>
      <c r="F604" s="30"/>
      <c r="G604" s="30"/>
      <c r="H604" s="30"/>
      <c r="I604" s="30"/>
      <c r="J604" s="30"/>
      <c r="K604" s="30"/>
      <c r="L604" s="30"/>
      <c r="M604" s="30"/>
      <c r="N604" s="30"/>
      <c r="O604" s="30"/>
      <c r="P604" s="30"/>
      <c r="Q604" s="30"/>
      <c r="R604" s="30"/>
      <c r="S604" s="30"/>
    </row>
    <row r="605" ht="15.75" customHeight="1">
      <c r="A605" s="30"/>
      <c r="B605" s="30"/>
      <c r="C605" s="30"/>
      <c r="D605" s="30"/>
      <c r="E605" s="30"/>
      <c r="F605" s="30"/>
      <c r="G605" s="30"/>
      <c r="H605" s="30"/>
      <c r="I605" s="30"/>
      <c r="J605" s="30"/>
      <c r="K605" s="30"/>
      <c r="L605" s="30"/>
      <c r="M605" s="30"/>
      <c r="N605" s="30"/>
      <c r="O605" s="30"/>
      <c r="P605" s="30"/>
      <c r="Q605" s="30"/>
      <c r="R605" s="30"/>
      <c r="S605" s="30"/>
    </row>
    <row r="606" ht="15.75" customHeight="1">
      <c r="A606" s="30"/>
      <c r="B606" s="30"/>
      <c r="C606" s="30"/>
      <c r="D606" s="30"/>
      <c r="E606" s="30"/>
      <c r="F606" s="30"/>
      <c r="G606" s="30"/>
      <c r="H606" s="30"/>
      <c r="I606" s="30"/>
      <c r="J606" s="30"/>
      <c r="K606" s="30"/>
      <c r="L606" s="30"/>
      <c r="M606" s="30"/>
      <c r="N606" s="30"/>
      <c r="O606" s="30"/>
      <c r="P606" s="30"/>
      <c r="Q606" s="30"/>
      <c r="R606" s="30"/>
      <c r="S606" s="30"/>
    </row>
    <row r="607" ht="15.75" customHeight="1">
      <c r="A607" s="30"/>
      <c r="B607" s="30"/>
      <c r="C607" s="30"/>
      <c r="D607" s="30"/>
      <c r="E607" s="30"/>
      <c r="F607" s="30"/>
      <c r="G607" s="30"/>
      <c r="H607" s="30"/>
      <c r="I607" s="30"/>
      <c r="J607" s="30"/>
      <c r="K607" s="30"/>
      <c r="L607" s="30"/>
      <c r="M607" s="30"/>
      <c r="N607" s="30"/>
      <c r="O607" s="30"/>
      <c r="P607" s="30"/>
      <c r="Q607" s="30"/>
      <c r="R607" s="30"/>
      <c r="S607" s="30"/>
    </row>
    <row r="608" ht="15.75" customHeight="1">
      <c r="A608" s="30"/>
      <c r="B608" s="30"/>
      <c r="C608" s="30"/>
      <c r="D608" s="30"/>
      <c r="E608" s="30"/>
      <c r="F608" s="30"/>
      <c r="G608" s="30"/>
      <c r="H608" s="30"/>
      <c r="I608" s="30"/>
      <c r="J608" s="30"/>
      <c r="K608" s="30"/>
      <c r="L608" s="30"/>
      <c r="M608" s="30"/>
      <c r="N608" s="30"/>
      <c r="O608" s="30"/>
      <c r="P608" s="30"/>
      <c r="Q608" s="30"/>
      <c r="R608" s="30"/>
      <c r="S608" s="30"/>
    </row>
    <row r="609" ht="15.75" customHeight="1">
      <c r="A609" s="30"/>
      <c r="B609" s="30"/>
      <c r="C609" s="30"/>
      <c r="D609" s="30"/>
      <c r="E609" s="30"/>
      <c r="F609" s="30"/>
      <c r="G609" s="30"/>
      <c r="H609" s="30"/>
      <c r="I609" s="30"/>
      <c r="J609" s="30"/>
      <c r="K609" s="30"/>
      <c r="L609" s="30"/>
      <c r="M609" s="30"/>
      <c r="N609" s="30"/>
      <c r="O609" s="30"/>
      <c r="P609" s="30"/>
      <c r="Q609" s="30"/>
      <c r="R609" s="30"/>
      <c r="S609" s="30"/>
    </row>
    <row r="610" ht="15.75" customHeight="1">
      <c r="A610" s="30"/>
      <c r="B610" s="30"/>
      <c r="C610" s="30"/>
      <c r="D610" s="30"/>
      <c r="E610" s="30"/>
      <c r="F610" s="30"/>
      <c r="G610" s="30"/>
      <c r="H610" s="30"/>
      <c r="I610" s="30"/>
      <c r="J610" s="30"/>
      <c r="K610" s="30"/>
      <c r="L610" s="30"/>
      <c r="M610" s="30"/>
      <c r="N610" s="30"/>
      <c r="O610" s="30"/>
      <c r="P610" s="30"/>
      <c r="Q610" s="30"/>
      <c r="R610" s="30"/>
      <c r="S610" s="30"/>
    </row>
    <row r="611" ht="15.75" customHeight="1">
      <c r="A611" s="30"/>
      <c r="B611" s="30"/>
      <c r="C611" s="30"/>
      <c r="D611" s="30"/>
      <c r="E611" s="30"/>
      <c r="F611" s="30"/>
      <c r="G611" s="30"/>
      <c r="H611" s="30"/>
      <c r="I611" s="30"/>
      <c r="J611" s="30"/>
      <c r="K611" s="30"/>
      <c r="L611" s="30"/>
      <c r="M611" s="30"/>
      <c r="N611" s="30"/>
      <c r="O611" s="30"/>
      <c r="P611" s="30"/>
      <c r="Q611" s="30"/>
      <c r="R611" s="30"/>
      <c r="S611" s="30"/>
    </row>
    <row r="612" ht="15.75" customHeight="1">
      <c r="A612" s="30"/>
      <c r="B612" s="30"/>
      <c r="C612" s="30"/>
      <c r="D612" s="30"/>
      <c r="E612" s="30"/>
      <c r="F612" s="30"/>
      <c r="G612" s="30"/>
      <c r="H612" s="30"/>
      <c r="I612" s="30"/>
      <c r="J612" s="30"/>
      <c r="K612" s="30"/>
      <c r="L612" s="30"/>
      <c r="M612" s="30"/>
      <c r="N612" s="30"/>
      <c r="O612" s="30"/>
      <c r="P612" s="30"/>
      <c r="Q612" s="30"/>
      <c r="R612" s="30"/>
      <c r="S612" s="30"/>
    </row>
    <row r="613" ht="15.75" customHeight="1">
      <c r="A613" s="30"/>
      <c r="B613" s="30"/>
      <c r="C613" s="30"/>
      <c r="D613" s="30"/>
      <c r="E613" s="30"/>
      <c r="F613" s="30"/>
      <c r="G613" s="30"/>
      <c r="H613" s="30"/>
      <c r="I613" s="30"/>
      <c r="J613" s="30"/>
      <c r="K613" s="30"/>
      <c r="L613" s="30"/>
      <c r="M613" s="30"/>
      <c r="N613" s="30"/>
      <c r="O613" s="30"/>
      <c r="P613" s="30"/>
      <c r="Q613" s="30"/>
      <c r="R613" s="30"/>
      <c r="S613" s="30"/>
    </row>
    <row r="614" ht="15.75" customHeight="1">
      <c r="A614" s="30"/>
      <c r="B614" s="30"/>
      <c r="C614" s="30"/>
      <c r="D614" s="30"/>
      <c r="E614" s="30"/>
      <c r="F614" s="30"/>
      <c r="G614" s="30"/>
      <c r="H614" s="30"/>
      <c r="I614" s="30"/>
      <c r="J614" s="30"/>
      <c r="K614" s="30"/>
      <c r="L614" s="30"/>
      <c r="M614" s="30"/>
      <c r="N614" s="30"/>
      <c r="O614" s="30"/>
      <c r="P614" s="30"/>
      <c r="Q614" s="30"/>
      <c r="R614" s="30"/>
      <c r="S614" s="30"/>
    </row>
    <row r="615" ht="15.75" customHeight="1">
      <c r="A615" s="30"/>
      <c r="B615" s="30"/>
      <c r="C615" s="30"/>
      <c r="D615" s="30"/>
      <c r="E615" s="30"/>
      <c r="F615" s="30"/>
      <c r="G615" s="30"/>
      <c r="H615" s="30"/>
      <c r="I615" s="30"/>
      <c r="J615" s="30"/>
      <c r="K615" s="30"/>
      <c r="L615" s="30"/>
      <c r="M615" s="30"/>
      <c r="N615" s="30"/>
      <c r="O615" s="30"/>
      <c r="P615" s="30"/>
      <c r="Q615" s="30"/>
      <c r="R615" s="30"/>
      <c r="S615" s="30"/>
    </row>
    <row r="616" ht="15.75" customHeight="1">
      <c r="A616" s="30"/>
      <c r="B616" s="30"/>
      <c r="C616" s="30"/>
      <c r="D616" s="30"/>
      <c r="E616" s="30"/>
      <c r="F616" s="30"/>
      <c r="G616" s="30"/>
      <c r="H616" s="30"/>
      <c r="I616" s="30"/>
      <c r="J616" s="30"/>
      <c r="K616" s="30"/>
      <c r="L616" s="30"/>
      <c r="M616" s="30"/>
      <c r="N616" s="30"/>
      <c r="O616" s="30"/>
      <c r="P616" s="30"/>
      <c r="Q616" s="30"/>
      <c r="R616" s="30"/>
      <c r="S616" s="30"/>
    </row>
    <row r="617" ht="15.75" customHeight="1">
      <c r="A617" s="30"/>
      <c r="B617" s="30"/>
      <c r="C617" s="30"/>
      <c r="D617" s="30"/>
      <c r="E617" s="30"/>
      <c r="F617" s="30"/>
      <c r="G617" s="30"/>
      <c r="H617" s="30"/>
      <c r="I617" s="30"/>
      <c r="J617" s="30"/>
      <c r="K617" s="30"/>
      <c r="L617" s="30"/>
      <c r="M617" s="30"/>
      <c r="N617" s="30"/>
      <c r="O617" s="30"/>
      <c r="P617" s="30"/>
      <c r="Q617" s="30"/>
      <c r="R617" s="30"/>
      <c r="S617" s="30"/>
    </row>
    <row r="618" ht="15.75" customHeight="1">
      <c r="A618" s="30"/>
      <c r="B618" s="30"/>
      <c r="C618" s="30"/>
      <c r="D618" s="30"/>
      <c r="E618" s="30"/>
      <c r="F618" s="30"/>
      <c r="G618" s="30"/>
      <c r="H618" s="30"/>
      <c r="I618" s="30"/>
      <c r="J618" s="30"/>
      <c r="K618" s="30"/>
      <c r="L618" s="30"/>
      <c r="M618" s="30"/>
      <c r="N618" s="30"/>
      <c r="O618" s="30"/>
      <c r="P618" s="30"/>
      <c r="Q618" s="30"/>
      <c r="R618" s="30"/>
      <c r="S618" s="30"/>
    </row>
    <row r="619" ht="15.75" customHeight="1">
      <c r="A619" s="30"/>
      <c r="B619" s="30"/>
      <c r="C619" s="30"/>
      <c r="D619" s="30"/>
      <c r="E619" s="30"/>
      <c r="F619" s="30"/>
      <c r="G619" s="30"/>
      <c r="H619" s="30"/>
      <c r="I619" s="30"/>
      <c r="J619" s="30"/>
      <c r="K619" s="30"/>
      <c r="L619" s="30"/>
      <c r="M619" s="30"/>
      <c r="N619" s="30"/>
      <c r="O619" s="30"/>
      <c r="P619" s="30"/>
      <c r="Q619" s="30"/>
      <c r="R619" s="30"/>
      <c r="S619" s="30"/>
    </row>
    <row r="620" ht="15.75" customHeight="1">
      <c r="A620" s="30"/>
      <c r="B620" s="30"/>
      <c r="C620" s="30"/>
      <c r="D620" s="30"/>
      <c r="E620" s="30"/>
      <c r="F620" s="30"/>
      <c r="G620" s="30"/>
      <c r="H620" s="30"/>
      <c r="I620" s="30"/>
      <c r="J620" s="30"/>
      <c r="K620" s="30"/>
      <c r="L620" s="30"/>
      <c r="M620" s="30"/>
      <c r="N620" s="30"/>
      <c r="O620" s="30"/>
      <c r="P620" s="30"/>
      <c r="Q620" s="30"/>
      <c r="R620" s="30"/>
      <c r="S620" s="30"/>
    </row>
    <row r="621" ht="15.75" customHeight="1">
      <c r="A621" s="30"/>
      <c r="B621" s="30"/>
      <c r="C621" s="30"/>
      <c r="D621" s="30"/>
      <c r="E621" s="30"/>
      <c r="F621" s="30"/>
      <c r="G621" s="30"/>
      <c r="H621" s="30"/>
      <c r="I621" s="30"/>
      <c r="J621" s="30"/>
      <c r="K621" s="30"/>
      <c r="L621" s="30"/>
      <c r="M621" s="30"/>
      <c r="N621" s="30"/>
      <c r="O621" s="30"/>
      <c r="P621" s="30"/>
      <c r="Q621" s="30"/>
      <c r="R621" s="30"/>
      <c r="S621" s="30"/>
    </row>
    <row r="622" ht="15.75" customHeight="1">
      <c r="A622" s="30"/>
      <c r="B622" s="30"/>
      <c r="C622" s="30"/>
      <c r="D622" s="30"/>
      <c r="E622" s="30"/>
      <c r="F622" s="30"/>
      <c r="G622" s="30"/>
      <c r="H622" s="30"/>
      <c r="I622" s="30"/>
      <c r="J622" s="30"/>
      <c r="K622" s="30"/>
      <c r="L622" s="30"/>
      <c r="M622" s="30"/>
      <c r="N622" s="30"/>
      <c r="O622" s="30"/>
      <c r="P622" s="30"/>
      <c r="Q622" s="30"/>
      <c r="R622" s="30"/>
      <c r="S622" s="30"/>
    </row>
    <row r="623" ht="15.75" customHeight="1">
      <c r="A623" s="30"/>
      <c r="B623" s="30"/>
      <c r="C623" s="30"/>
      <c r="D623" s="30"/>
      <c r="E623" s="30"/>
      <c r="F623" s="30"/>
      <c r="G623" s="30"/>
      <c r="H623" s="30"/>
      <c r="I623" s="30"/>
      <c r="J623" s="30"/>
      <c r="K623" s="30"/>
      <c r="L623" s="30"/>
      <c r="M623" s="30"/>
      <c r="N623" s="30"/>
      <c r="O623" s="30"/>
      <c r="P623" s="30"/>
      <c r="Q623" s="30"/>
      <c r="R623" s="30"/>
      <c r="S623" s="30"/>
    </row>
    <row r="624" ht="15.75" customHeight="1">
      <c r="A624" s="30"/>
      <c r="B624" s="30"/>
      <c r="C624" s="30"/>
      <c r="D624" s="30"/>
      <c r="E624" s="30"/>
      <c r="F624" s="30"/>
      <c r="G624" s="30"/>
      <c r="H624" s="30"/>
      <c r="I624" s="30"/>
      <c r="J624" s="30"/>
      <c r="K624" s="30"/>
      <c r="L624" s="30"/>
      <c r="M624" s="30"/>
      <c r="N624" s="30"/>
      <c r="O624" s="30"/>
      <c r="P624" s="30"/>
      <c r="Q624" s="30"/>
      <c r="R624" s="30"/>
      <c r="S624" s="30"/>
    </row>
    <row r="625" ht="15.75" customHeight="1">
      <c r="A625" s="30"/>
      <c r="B625" s="30"/>
      <c r="C625" s="30"/>
      <c r="D625" s="30"/>
      <c r="E625" s="30"/>
      <c r="F625" s="30"/>
      <c r="G625" s="30"/>
      <c r="H625" s="30"/>
      <c r="I625" s="30"/>
      <c r="J625" s="30"/>
      <c r="K625" s="30"/>
      <c r="L625" s="30"/>
      <c r="M625" s="30"/>
      <c r="N625" s="30"/>
      <c r="O625" s="30"/>
      <c r="P625" s="30"/>
      <c r="Q625" s="30"/>
      <c r="R625" s="30"/>
      <c r="S625" s="30"/>
    </row>
    <row r="626" ht="15.75" customHeight="1">
      <c r="A626" s="30"/>
      <c r="B626" s="30"/>
      <c r="C626" s="30"/>
      <c r="D626" s="30"/>
      <c r="E626" s="30"/>
      <c r="F626" s="30"/>
      <c r="G626" s="30"/>
      <c r="H626" s="30"/>
      <c r="I626" s="30"/>
      <c r="J626" s="30"/>
      <c r="K626" s="30"/>
      <c r="L626" s="30"/>
      <c r="M626" s="30"/>
      <c r="N626" s="30"/>
      <c r="O626" s="30"/>
      <c r="P626" s="30"/>
      <c r="Q626" s="30"/>
      <c r="R626" s="30"/>
      <c r="S626" s="30"/>
    </row>
    <row r="627" ht="15.75" customHeight="1">
      <c r="A627" s="30"/>
      <c r="B627" s="30"/>
      <c r="C627" s="30"/>
      <c r="D627" s="30"/>
      <c r="E627" s="30"/>
      <c r="F627" s="30"/>
      <c r="G627" s="30"/>
      <c r="H627" s="30"/>
      <c r="I627" s="30"/>
      <c r="J627" s="30"/>
      <c r="K627" s="30"/>
      <c r="L627" s="30"/>
      <c r="M627" s="30"/>
      <c r="N627" s="30"/>
      <c r="O627" s="30"/>
      <c r="P627" s="30"/>
      <c r="Q627" s="30"/>
      <c r="R627" s="30"/>
      <c r="S627" s="30"/>
    </row>
    <row r="628" ht="15.75" customHeight="1">
      <c r="A628" s="30"/>
      <c r="B628" s="30"/>
      <c r="C628" s="30"/>
      <c r="D628" s="30"/>
      <c r="E628" s="30"/>
      <c r="F628" s="30"/>
      <c r="G628" s="30"/>
      <c r="H628" s="30"/>
      <c r="I628" s="30"/>
      <c r="J628" s="30"/>
      <c r="K628" s="30"/>
      <c r="L628" s="30"/>
      <c r="M628" s="30"/>
      <c r="N628" s="30"/>
      <c r="O628" s="30"/>
      <c r="P628" s="30"/>
      <c r="Q628" s="30"/>
      <c r="R628" s="30"/>
      <c r="S628" s="30"/>
    </row>
    <row r="629" ht="15.75" customHeight="1">
      <c r="A629" s="30"/>
      <c r="B629" s="30"/>
      <c r="C629" s="30"/>
      <c r="D629" s="30"/>
      <c r="E629" s="30"/>
      <c r="F629" s="30"/>
      <c r="G629" s="30"/>
      <c r="H629" s="30"/>
      <c r="I629" s="30"/>
      <c r="J629" s="30"/>
      <c r="K629" s="30"/>
      <c r="L629" s="30"/>
      <c r="M629" s="30"/>
      <c r="N629" s="30"/>
      <c r="O629" s="30"/>
      <c r="P629" s="30"/>
      <c r="Q629" s="30"/>
      <c r="R629" s="30"/>
      <c r="S629" s="30"/>
    </row>
    <row r="630" ht="15.75" customHeight="1">
      <c r="A630" s="30"/>
      <c r="B630" s="30"/>
      <c r="C630" s="30"/>
      <c r="D630" s="30"/>
      <c r="E630" s="30"/>
      <c r="F630" s="30"/>
      <c r="G630" s="30"/>
      <c r="H630" s="30"/>
      <c r="I630" s="30"/>
      <c r="J630" s="30"/>
      <c r="K630" s="30"/>
      <c r="L630" s="30"/>
      <c r="M630" s="30"/>
      <c r="N630" s="30"/>
      <c r="O630" s="30"/>
      <c r="P630" s="30"/>
      <c r="Q630" s="30"/>
      <c r="R630" s="30"/>
      <c r="S630" s="30"/>
    </row>
    <row r="631" ht="15.75" customHeight="1">
      <c r="A631" s="30"/>
      <c r="B631" s="30"/>
      <c r="C631" s="30"/>
      <c r="D631" s="30"/>
      <c r="E631" s="30"/>
      <c r="F631" s="30"/>
      <c r="G631" s="30"/>
      <c r="H631" s="30"/>
      <c r="I631" s="30"/>
      <c r="J631" s="30"/>
      <c r="K631" s="30"/>
      <c r="L631" s="30"/>
      <c r="M631" s="30"/>
      <c r="N631" s="30"/>
      <c r="O631" s="30"/>
      <c r="P631" s="30"/>
      <c r="Q631" s="30"/>
      <c r="R631" s="30"/>
      <c r="S631" s="30"/>
    </row>
    <row r="632" ht="15.75" customHeight="1">
      <c r="A632" s="30"/>
      <c r="B632" s="30"/>
      <c r="C632" s="30"/>
      <c r="D632" s="30"/>
      <c r="E632" s="30"/>
      <c r="F632" s="30"/>
      <c r="G632" s="30"/>
      <c r="H632" s="30"/>
      <c r="I632" s="30"/>
      <c r="J632" s="30"/>
      <c r="K632" s="30"/>
      <c r="L632" s="30"/>
      <c r="M632" s="30"/>
      <c r="N632" s="30"/>
      <c r="O632" s="30"/>
      <c r="P632" s="30"/>
      <c r="Q632" s="30"/>
      <c r="R632" s="30"/>
      <c r="S632" s="30"/>
    </row>
    <row r="633" ht="15.75" customHeight="1">
      <c r="A633" s="30"/>
      <c r="B633" s="30"/>
      <c r="C633" s="30"/>
      <c r="D633" s="30"/>
      <c r="E633" s="30"/>
      <c r="F633" s="30"/>
      <c r="G633" s="30"/>
      <c r="H633" s="30"/>
      <c r="I633" s="30"/>
      <c r="J633" s="30"/>
      <c r="K633" s="30"/>
      <c r="L633" s="30"/>
      <c r="M633" s="30"/>
      <c r="N633" s="30"/>
      <c r="O633" s="30"/>
      <c r="P633" s="30"/>
      <c r="Q633" s="30"/>
      <c r="R633" s="30"/>
      <c r="S633" s="30"/>
    </row>
    <row r="634" ht="15.75" customHeight="1">
      <c r="A634" s="30"/>
      <c r="B634" s="30"/>
      <c r="C634" s="30"/>
      <c r="D634" s="30"/>
      <c r="E634" s="30"/>
      <c r="F634" s="30"/>
      <c r="G634" s="30"/>
      <c r="H634" s="30"/>
      <c r="I634" s="30"/>
      <c r="J634" s="30"/>
      <c r="K634" s="30"/>
      <c r="L634" s="30"/>
      <c r="M634" s="30"/>
      <c r="N634" s="30"/>
      <c r="O634" s="30"/>
      <c r="P634" s="30"/>
      <c r="Q634" s="30"/>
      <c r="R634" s="30"/>
      <c r="S634" s="30"/>
    </row>
    <row r="635" ht="15.75" customHeight="1">
      <c r="A635" s="30"/>
      <c r="B635" s="30"/>
      <c r="C635" s="30"/>
      <c r="D635" s="30"/>
      <c r="E635" s="30"/>
      <c r="F635" s="30"/>
      <c r="G635" s="30"/>
      <c r="H635" s="30"/>
      <c r="I635" s="30"/>
      <c r="J635" s="30"/>
      <c r="K635" s="30"/>
      <c r="L635" s="30"/>
      <c r="M635" s="30"/>
      <c r="N635" s="30"/>
      <c r="O635" s="30"/>
      <c r="P635" s="30"/>
      <c r="Q635" s="30"/>
      <c r="R635" s="30"/>
      <c r="S635" s="30"/>
    </row>
    <row r="636" ht="15.75" customHeight="1">
      <c r="A636" s="30"/>
      <c r="B636" s="30"/>
      <c r="C636" s="30"/>
      <c r="D636" s="30"/>
      <c r="E636" s="30"/>
      <c r="F636" s="30"/>
      <c r="G636" s="30"/>
      <c r="H636" s="30"/>
      <c r="I636" s="30"/>
      <c r="J636" s="30"/>
      <c r="K636" s="30"/>
      <c r="L636" s="30"/>
      <c r="M636" s="30"/>
      <c r="N636" s="30"/>
      <c r="O636" s="30"/>
      <c r="P636" s="30"/>
      <c r="Q636" s="30"/>
      <c r="R636" s="30"/>
      <c r="S636" s="30"/>
    </row>
    <row r="637" ht="15.75" customHeight="1">
      <c r="A637" s="30"/>
      <c r="B637" s="30"/>
      <c r="C637" s="30"/>
      <c r="D637" s="30"/>
      <c r="E637" s="30"/>
      <c r="F637" s="30"/>
      <c r="G637" s="30"/>
      <c r="H637" s="30"/>
      <c r="I637" s="30"/>
      <c r="J637" s="30"/>
      <c r="K637" s="30"/>
      <c r="L637" s="30"/>
      <c r="M637" s="30"/>
      <c r="N637" s="30"/>
      <c r="O637" s="30"/>
      <c r="P637" s="30"/>
      <c r="Q637" s="30"/>
      <c r="R637" s="30"/>
      <c r="S637" s="30"/>
    </row>
    <row r="638" ht="15.75" customHeight="1">
      <c r="A638" s="30"/>
      <c r="B638" s="30"/>
      <c r="C638" s="30"/>
      <c r="D638" s="30"/>
      <c r="E638" s="30"/>
      <c r="F638" s="30"/>
      <c r="G638" s="30"/>
      <c r="H638" s="30"/>
      <c r="I638" s="30"/>
      <c r="J638" s="30"/>
      <c r="K638" s="30"/>
      <c r="L638" s="30"/>
      <c r="M638" s="30"/>
      <c r="N638" s="30"/>
      <c r="O638" s="30"/>
      <c r="P638" s="30"/>
      <c r="Q638" s="30"/>
      <c r="R638" s="30"/>
      <c r="S638" s="30"/>
    </row>
    <row r="639" ht="15.75" customHeight="1">
      <c r="A639" s="30"/>
      <c r="B639" s="30"/>
      <c r="C639" s="30"/>
      <c r="D639" s="30"/>
      <c r="E639" s="30"/>
      <c r="F639" s="30"/>
      <c r="G639" s="30"/>
      <c r="H639" s="30"/>
      <c r="I639" s="30"/>
      <c r="J639" s="30"/>
      <c r="K639" s="30"/>
      <c r="L639" s="30"/>
      <c r="M639" s="30"/>
      <c r="N639" s="30"/>
      <c r="O639" s="30"/>
      <c r="P639" s="30"/>
      <c r="Q639" s="30"/>
      <c r="R639" s="30"/>
      <c r="S639" s="30"/>
    </row>
    <row r="640" ht="15.75" customHeight="1">
      <c r="A640" s="30"/>
      <c r="B640" s="30"/>
      <c r="C640" s="30"/>
      <c r="D640" s="30"/>
      <c r="E640" s="30"/>
      <c r="F640" s="30"/>
      <c r="G640" s="30"/>
      <c r="H640" s="30"/>
      <c r="I640" s="30"/>
      <c r="J640" s="30"/>
      <c r="K640" s="30"/>
      <c r="L640" s="30"/>
      <c r="M640" s="30"/>
      <c r="N640" s="30"/>
      <c r="O640" s="30"/>
      <c r="P640" s="30"/>
      <c r="Q640" s="30"/>
      <c r="R640" s="30"/>
      <c r="S640" s="30"/>
    </row>
    <row r="641" ht="15.75" customHeight="1">
      <c r="A641" s="30"/>
      <c r="B641" s="30"/>
      <c r="C641" s="30"/>
      <c r="D641" s="30"/>
      <c r="E641" s="30"/>
      <c r="F641" s="30"/>
      <c r="G641" s="30"/>
      <c r="H641" s="30"/>
      <c r="I641" s="30"/>
      <c r="J641" s="30"/>
      <c r="K641" s="30"/>
      <c r="L641" s="30"/>
      <c r="M641" s="30"/>
      <c r="N641" s="30"/>
      <c r="O641" s="30"/>
      <c r="P641" s="30"/>
      <c r="Q641" s="30"/>
      <c r="R641" s="30"/>
      <c r="S641" s="30"/>
    </row>
    <row r="642" ht="15.75" customHeight="1">
      <c r="A642" s="30"/>
      <c r="B642" s="30"/>
      <c r="C642" s="30"/>
      <c r="D642" s="30"/>
      <c r="E642" s="30"/>
      <c r="F642" s="30"/>
      <c r="G642" s="30"/>
      <c r="H642" s="30"/>
      <c r="I642" s="30"/>
      <c r="J642" s="30"/>
      <c r="K642" s="30"/>
      <c r="L642" s="30"/>
      <c r="M642" s="30"/>
      <c r="N642" s="30"/>
      <c r="O642" s="30"/>
      <c r="P642" s="30"/>
      <c r="Q642" s="30"/>
      <c r="R642" s="30"/>
      <c r="S642" s="30"/>
    </row>
    <row r="643" ht="15.75" customHeight="1">
      <c r="A643" s="30"/>
      <c r="B643" s="30"/>
      <c r="C643" s="30"/>
      <c r="D643" s="30"/>
      <c r="E643" s="30"/>
      <c r="F643" s="30"/>
      <c r="G643" s="30"/>
      <c r="H643" s="30"/>
      <c r="I643" s="30"/>
      <c r="J643" s="30"/>
      <c r="K643" s="30"/>
      <c r="L643" s="30"/>
      <c r="M643" s="30"/>
      <c r="N643" s="30"/>
      <c r="O643" s="30"/>
      <c r="P643" s="30"/>
      <c r="Q643" s="30"/>
      <c r="R643" s="30"/>
      <c r="S643" s="30"/>
    </row>
    <row r="644" ht="15.75" customHeight="1">
      <c r="A644" s="30"/>
      <c r="B644" s="30"/>
      <c r="C644" s="30"/>
      <c r="D644" s="30"/>
      <c r="E644" s="30"/>
      <c r="F644" s="30"/>
      <c r="G644" s="30"/>
      <c r="H644" s="30"/>
      <c r="I644" s="30"/>
      <c r="J644" s="30"/>
      <c r="K644" s="30"/>
      <c r="L644" s="30"/>
      <c r="M644" s="30"/>
      <c r="N644" s="30"/>
      <c r="O644" s="30"/>
      <c r="P644" s="30"/>
      <c r="Q644" s="30"/>
      <c r="R644" s="30"/>
      <c r="S644" s="30"/>
    </row>
    <row r="645" ht="15.75" customHeight="1">
      <c r="A645" s="30"/>
      <c r="B645" s="30"/>
      <c r="C645" s="30"/>
      <c r="D645" s="30"/>
      <c r="E645" s="30"/>
      <c r="F645" s="30"/>
      <c r="G645" s="30"/>
      <c r="H645" s="30"/>
      <c r="I645" s="30"/>
      <c r="J645" s="30"/>
      <c r="K645" s="30"/>
      <c r="L645" s="30"/>
      <c r="M645" s="30"/>
      <c r="N645" s="30"/>
      <c r="O645" s="30"/>
      <c r="P645" s="30"/>
      <c r="Q645" s="30"/>
      <c r="R645" s="30"/>
      <c r="S645" s="30"/>
    </row>
    <row r="646" ht="15.75" customHeight="1">
      <c r="A646" s="30"/>
      <c r="B646" s="30"/>
      <c r="C646" s="30"/>
      <c r="D646" s="30"/>
      <c r="E646" s="30"/>
      <c r="F646" s="30"/>
      <c r="G646" s="30"/>
      <c r="H646" s="30"/>
      <c r="I646" s="30"/>
      <c r="J646" s="30"/>
      <c r="K646" s="30"/>
      <c r="L646" s="30"/>
      <c r="M646" s="30"/>
      <c r="N646" s="30"/>
      <c r="O646" s="30"/>
      <c r="P646" s="30"/>
      <c r="Q646" s="30"/>
      <c r="R646" s="30"/>
      <c r="S646" s="30"/>
    </row>
    <row r="647" ht="15.75" customHeight="1">
      <c r="A647" s="30"/>
      <c r="B647" s="30"/>
      <c r="C647" s="30"/>
      <c r="D647" s="30"/>
      <c r="E647" s="30"/>
      <c r="F647" s="30"/>
      <c r="G647" s="30"/>
      <c r="H647" s="30"/>
      <c r="I647" s="30"/>
      <c r="J647" s="30"/>
      <c r="K647" s="30"/>
      <c r="L647" s="30"/>
      <c r="M647" s="30"/>
      <c r="N647" s="30"/>
      <c r="O647" s="30"/>
      <c r="P647" s="30"/>
      <c r="Q647" s="30"/>
      <c r="R647" s="30"/>
      <c r="S647" s="30"/>
    </row>
    <row r="648" ht="15.75" customHeight="1">
      <c r="A648" s="30"/>
      <c r="B648" s="30"/>
      <c r="C648" s="30"/>
      <c r="D648" s="30"/>
      <c r="E648" s="30"/>
      <c r="F648" s="30"/>
      <c r="G648" s="30"/>
      <c r="H648" s="30"/>
      <c r="I648" s="30"/>
      <c r="J648" s="30"/>
      <c r="K648" s="30"/>
      <c r="L648" s="30"/>
      <c r="M648" s="30"/>
      <c r="N648" s="30"/>
      <c r="O648" s="30"/>
      <c r="P648" s="30"/>
      <c r="Q648" s="30"/>
      <c r="R648" s="30"/>
      <c r="S648" s="30"/>
    </row>
    <row r="649" ht="15.75" customHeight="1">
      <c r="A649" s="30"/>
      <c r="B649" s="30"/>
      <c r="C649" s="30"/>
      <c r="D649" s="30"/>
      <c r="E649" s="30"/>
      <c r="F649" s="30"/>
      <c r="G649" s="30"/>
      <c r="H649" s="30"/>
      <c r="I649" s="30"/>
      <c r="J649" s="30"/>
      <c r="K649" s="30"/>
      <c r="L649" s="30"/>
      <c r="M649" s="30"/>
      <c r="N649" s="30"/>
      <c r="O649" s="30"/>
      <c r="P649" s="30"/>
      <c r="Q649" s="30"/>
      <c r="R649" s="30"/>
      <c r="S649" s="30"/>
    </row>
    <row r="650" ht="15.75" customHeight="1">
      <c r="A650" s="30"/>
      <c r="B650" s="30"/>
      <c r="C650" s="30"/>
      <c r="D650" s="30"/>
      <c r="E650" s="30"/>
      <c r="F650" s="30"/>
      <c r="G650" s="30"/>
      <c r="H650" s="30"/>
      <c r="I650" s="30"/>
      <c r="J650" s="30"/>
      <c r="K650" s="30"/>
      <c r="L650" s="30"/>
      <c r="M650" s="30"/>
      <c r="N650" s="30"/>
      <c r="O650" s="30"/>
      <c r="P650" s="30"/>
      <c r="Q650" s="30"/>
      <c r="R650" s="30"/>
      <c r="S650" s="30"/>
    </row>
    <row r="651" ht="15.75" customHeight="1">
      <c r="A651" s="30"/>
      <c r="B651" s="30"/>
      <c r="C651" s="30"/>
      <c r="D651" s="30"/>
      <c r="E651" s="30"/>
      <c r="F651" s="30"/>
      <c r="G651" s="30"/>
      <c r="H651" s="30"/>
      <c r="I651" s="30"/>
      <c r="J651" s="30"/>
      <c r="K651" s="30"/>
      <c r="L651" s="30"/>
      <c r="M651" s="30"/>
      <c r="N651" s="30"/>
      <c r="O651" s="30"/>
      <c r="P651" s="30"/>
      <c r="Q651" s="30"/>
      <c r="R651" s="30"/>
      <c r="S651" s="30"/>
    </row>
    <row r="652" ht="15.75" customHeight="1">
      <c r="A652" s="30"/>
      <c r="B652" s="30"/>
      <c r="C652" s="30"/>
      <c r="D652" s="30"/>
      <c r="E652" s="30"/>
      <c r="F652" s="30"/>
      <c r="G652" s="30"/>
      <c r="H652" s="30"/>
      <c r="I652" s="30"/>
      <c r="J652" s="30"/>
      <c r="K652" s="30"/>
      <c r="L652" s="30"/>
      <c r="M652" s="30"/>
      <c r="N652" s="30"/>
      <c r="O652" s="30"/>
      <c r="P652" s="30"/>
      <c r="Q652" s="30"/>
      <c r="R652" s="30"/>
      <c r="S652" s="30"/>
    </row>
    <row r="653" ht="15.75" customHeight="1">
      <c r="A653" s="30"/>
      <c r="B653" s="30"/>
      <c r="C653" s="30"/>
      <c r="D653" s="30"/>
      <c r="E653" s="30"/>
      <c r="F653" s="30"/>
      <c r="G653" s="30"/>
      <c r="H653" s="30"/>
      <c r="I653" s="30"/>
      <c r="J653" s="30"/>
      <c r="K653" s="30"/>
      <c r="L653" s="30"/>
      <c r="M653" s="30"/>
      <c r="N653" s="30"/>
      <c r="O653" s="30"/>
      <c r="P653" s="30"/>
      <c r="Q653" s="30"/>
      <c r="R653" s="30"/>
      <c r="S653" s="30"/>
    </row>
    <row r="654" ht="15.75" customHeight="1">
      <c r="A654" s="30"/>
      <c r="B654" s="30"/>
      <c r="C654" s="30"/>
      <c r="D654" s="30"/>
      <c r="E654" s="30"/>
      <c r="F654" s="30"/>
      <c r="G654" s="30"/>
      <c r="H654" s="30"/>
      <c r="I654" s="30"/>
      <c r="J654" s="30"/>
      <c r="K654" s="30"/>
      <c r="L654" s="30"/>
      <c r="M654" s="30"/>
      <c r="N654" s="30"/>
      <c r="O654" s="30"/>
      <c r="P654" s="30"/>
      <c r="Q654" s="30"/>
      <c r="R654" s="30"/>
      <c r="S654" s="30"/>
    </row>
    <row r="655" ht="15.75" customHeight="1">
      <c r="A655" s="30"/>
      <c r="B655" s="30"/>
      <c r="C655" s="30"/>
      <c r="D655" s="30"/>
      <c r="E655" s="30"/>
      <c r="F655" s="30"/>
      <c r="G655" s="30"/>
      <c r="H655" s="30"/>
      <c r="I655" s="30"/>
      <c r="J655" s="30"/>
      <c r="K655" s="30"/>
      <c r="L655" s="30"/>
      <c r="M655" s="30"/>
      <c r="N655" s="30"/>
      <c r="O655" s="30"/>
      <c r="P655" s="30"/>
      <c r="Q655" s="30"/>
      <c r="R655" s="30"/>
      <c r="S655" s="30"/>
    </row>
    <row r="656" ht="15.75" customHeight="1">
      <c r="A656" s="30"/>
      <c r="B656" s="30"/>
      <c r="C656" s="30"/>
      <c r="D656" s="30"/>
      <c r="E656" s="30"/>
      <c r="F656" s="30"/>
      <c r="G656" s="30"/>
      <c r="H656" s="30"/>
      <c r="I656" s="30"/>
      <c r="J656" s="30"/>
      <c r="K656" s="30"/>
      <c r="L656" s="30"/>
      <c r="M656" s="30"/>
      <c r="N656" s="30"/>
      <c r="O656" s="30"/>
      <c r="P656" s="30"/>
      <c r="Q656" s="30"/>
      <c r="R656" s="30"/>
      <c r="S656" s="30"/>
    </row>
    <row r="657" ht="15.75" customHeight="1">
      <c r="A657" s="30"/>
      <c r="B657" s="30"/>
      <c r="C657" s="30"/>
      <c r="D657" s="30"/>
      <c r="E657" s="30"/>
      <c r="F657" s="30"/>
      <c r="G657" s="30"/>
      <c r="H657" s="30"/>
      <c r="I657" s="30"/>
      <c r="J657" s="30"/>
      <c r="K657" s="30"/>
      <c r="L657" s="30"/>
      <c r="M657" s="30"/>
      <c r="N657" s="30"/>
      <c r="O657" s="30"/>
      <c r="P657" s="30"/>
      <c r="Q657" s="30"/>
      <c r="R657" s="30"/>
      <c r="S657" s="30"/>
    </row>
    <row r="658" ht="15.75" customHeight="1">
      <c r="A658" s="30"/>
      <c r="B658" s="30"/>
      <c r="C658" s="30"/>
      <c r="D658" s="30"/>
      <c r="E658" s="30"/>
      <c r="F658" s="30"/>
      <c r="G658" s="30"/>
      <c r="H658" s="30"/>
      <c r="I658" s="30"/>
      <c r="J658" s="30"/>
      <c r="K658" s="30"/>
      <c r="L658" s="30"/>
      <c r="M658" s="30"/>
      <c r="N658" s="30"/>
      <c r="O658" s="30"/>
      <c r="P658" s="30"/>
      <c r="Q658" s="30"/>
      <c r="R658" s="30"/>
      <c r="S658" s="30"/>
    </row>
    <row r="659" ht="15.75" customHeight="1">
      <c r="A659" s="30"/>
      <c r="B659" s="30"/>
      <c r="C659" s="30"/>
      <c r="D659" s="30"/>
      <c r="E659" s="30"/>
      <c r="F659" s="30"/>
      <c r="G659" s="30"/>
      <c r="H659" s="30"/>
      <c r="I659" s="30"/>
      <c r="J659" s="30"/>
      <c r="K659" s="30"/>
      <c r="L659" s="30"/>
      <c r="M659" s="30"/>
      <c r="N659" s="30"/>
      <c r="O659" s="30"/>
      <c r="P659" s="30"/>
      <c r="Q659" s="30"/>
      <c r="R659" s="30"/>
      <c r="S659" s="30"/>
    </row>
    <row r="660" ht="15.75" customHeight="1">
      <c r="A660" s="30"/>
      <c r="B660" s="30"/>
      <c r="C660" s="30"/>
      <c r="D660" s="30"/>
      <c r="E660" s="30"/>
      <c r="F660" s="30"/>
      <c r="G660" s="30"/>
      <c r="H660" s="30"/>
      <c r="I660" s="30"/>
      <c r="J660" s="30"/>
      <c r="K660" s="30"/>
      <c r="L660" s="30"/>
      <c r="M660" s="30"/>
      <c r="N660" s="30"/>
      <c r="O660" s="30"/>
      <c r="P660" s="30"/>
      <c r="Q660" s="30"/>
      <c r="R660" s="30"/>
      <c r="S660" s="30"/>
    </row>
    <row r="661" ht="15.75" customHeight="1">
      <c r="A661" s="30"/>
      <c r="B661" s="30"/>
      <c r="C661" s="30"/>
      <c r="D661" s="30"/>
      <c r="E661" s="30"/>
      <c r="F661" s="30"/>
      <c r="G661" s="30"/>
      <c r="H661" s="30"/>
      <c r="I661" s="30"/>
      <c r="J661" s="30"/>
      <c r="K661" s="30"/>
      <c r="L661" s="30"/>
      <c r="M661" s="30"/>
      <c r="N661" s="30"/>
      <c r="O661" s="30"/>
      <c r="P661" s="30"/>
      <c r="Q661" s="30"/>
      <c r="R661" s="30"/>
      <c r="S661" s="30"/>
    </row>
    <row r="662" ht="15.75" customHeight="1">
      <c r="A662" s="30"/>
      <c r="B662" s="30"/>
      <c r="C662" s="30"/>
      <c r="D662" s="30"/>
      <c r="E662" s="30"/>
      <c r="F662" s="30"/>
      <c r="G662" s="30"/>
      <c r="H662" s="30"/>
      <c r="I662" s="30"/>
      <c r="J662" s="30"/>
      <c r="K662" s="30"/>
      <c r="L662" s="30"/>
      <c r="M662" s="30"/>
      <c r="N662" s="30"/>
      <c r="O662" s="30"/>
      <c r="P662" s="30"/>
      <c r="Q662" s="30"/>
      <c r="R662" s="30"/>
      <c r="S662" s="30"/>
    </row>
    <row r="663" ht="15.75" customHeight="1">
      <c r="A663" s="30"/>
      <c r="B663" s="30"/>
      <c r="C663" s="30"/>
      <c r="D663" s="30"/>
      <c r="E663" s="30"/>
      <c r="F663" s="30"/>
      <c r="G663" s="30"/>
      <c r="H663" s="30"/>
      <c r="I663" s="30"/>
      <c r="J663" s="30"/>
      <c r="K663" s="30"/>
      <c r="L663" s="30"/>
      <c r="M663" s="30"/>
      <c r="N663" s="30"/>
      <c r="O663" s="30"/>
      <c r="P663" s="30"/>
      <c r="Q663" s="30"/>
      <c r="R663" s="30"/>
      <c r="S663" s="30"/>
    </row>
    <row r="664" ht="15.75" customHeight="1">
      <c r="A664" s="30"/>
      <c r="B664" s="30"/>
      <c r="C664" s="30"/>
      <c r="D664" s="30"/>
      <c r="E664" s="30"/>
      <c r="F664" s="30"/>
      <c r="G664" s="30"/>
      <c r="H664" s="30"/>
      <c r="I664" s="30"/>
      <c r="J664" s="30"/>
      <c r="K664" s="30"/>
      <c r="L664" s="30"/>
      <c r="M664" s="30"/>
      <c r="N664" s="30"/>
      <c r="O664" s="30"/>
      <c r="P664" s="30"/>
      <c r="Q664" s="30"/>
      <c r="R664" s="30"/>
      <c r="S664" s="30"/>
    </row>
    <row r="665" ht="15.75" customHeight="1">
      <c r="A665" s="30"/>
      <c r="B665" s="30"/>
      <c r="C665" s="30"/>
      <c r="D665" s="30"/>
      <c r="E665" s="30"/>
      <c r="F665" s="30"/>
      <c r="G665" s="30"/>
      <c r="H665" s="30"/>
      <c r="I665" s="30"/>
      <c r="J665" s="30"/>
      <c r="K665" s="30"/>
      <c r="L665" s="30"/>
      <c r="M665" s="30"/>
      <c r="N665" s="30"/>
      <c r="O665" s="30"/>
      <c r="P665" s="30"/>
      <c r="Q665" s="30"/>
      <c r="R665" s="30"/>
      <c r="S665" s="30"/>
    </row>
    <row r="666" ht="15.75" customHeight="1">
      <c r="A666" s="30"/>
      <c r="B666" s="30"/>
      <c r="C666" s="30"/>
      <c r="D666" s="30"/>
      <c r="E666" s="30"/>
      <c r="F666" s="30"/>
      <c r="G666" s="30"/>
      <c r="H666" s="30"/>
      <c r="I666" s="30"/>
      <c r="J666" s="30"/>
      <c r="K666" s="30"/>
      <c r="L666" s="30"/>
      <c r="M666" s="30"/>
      <c r="N666" s="30"/>
      <c r="O666" s="30"/>
      <c r="P666" s="30"/>
      <c r="Q666" s="30"/>
      <c r="R666" s="30"/>
      <c r="S666" s="30"/>
    </row>
    <row r="667" ht="15.75" customHeight="1">
      <c r="A667" s="30"/>
      <c r="B667" s="30"/>
      <c r="C667" s="30"/>
      <c r="D667" s="30"/>
      <c r="E667" s="30"/>
      <c r="F667" s="30"/>
      <c r="G667" s="30"/>
      <c r="H667" s="30"/>
      <c r="I667" s="30"/>
      <c r="J667" s="30"/>
      <c r="K667" s="30"/>
      <c r="L667" s="30"/>
      <c r="M667" s="30"/>
      <c r="N667" s="30"/>
      <c r="O667" s="30"/>
      <c r="P667" s="30"/>
      <c r="Q667" s="30"/>
      <c r="R667" s="30"/>
      <c r="S667" s="30"/>
    </row>
    <row r="668" ht="15.75" customHeight="1">
      <c r="A668" s="30"/>
      <c r="B668" s="30"/>
      <c r="C668" s="30"/>
      <c r="D668" s="30"/>
      <c r="E668" s="30"/>
      <c r="F668" s="30"/>
      <c r="G668" s="30"/>
      <c r="H668" s="30"/>
      <c r="I668" s="30"/>
      <c r="J668" s="30"/>
      <c r="K668" s="30"/>
      <c r="L668" s="30"/>
      <c r="M668" s="30"/>
      <c r="N668" s="30"/>
      <c r="O668" s="30"/>
      <c r="P668" s="30"/>
      <c r="Q668" s="30"/>
      <c r="R668" s="30"/>
      <c r="S668" s="30"/>
    </row>
    <row r="669" ht="15.75" customHeight="1">
      <c r="A669" s="30"/>
      <c r="B669" s="30"/>
      <c r="C669" s="30"/>
      <c r="D669" s="30"/>
      <c r="E669" s="30"/>
      <c r="F669" s="30"/>
      <c r="G669" s="30"/>
      <c r="H669" s="30"/>
      <c r="I669" s="30"/>
      <c r="J669" s="30"/>
      <c r="K669" s="30"/>
      <c r="L669" s="30"/>
      <c r="M669" s="30"/>
      <c r="N669" s="30"/>
      <c r="O669" s="30"/>
      <c r="P669" s="30"/>
      <c r="Q669" s="30"/>
      <c r="R669" s="30"/>
      <c r="S669" s="30"/>
    </row>
    <row r="670" ht="15.75" customHeight="1">
      <c r="A670" s="30"/>
      <c r="B670" s="30"/>
      <c r="C670" s="30"/>
      <c r="D670" s="30"/>
      <c r="E670" s="30"/>
      <c r="F670" s="30"/>
      <c r="G670" s="30"/>
      <c r="H670" s="30"/>
      <c r="I670" s="30"/>
      <c r="J670" s="30"/>
      <c r="K670" s="30"/>
      <c r="L670" s="30"/>
      <c r="M670" s="30"/>
      <c r="N670" s="30"/>
      <c r="O670" s="30"/>
      <c r="P670" s="30"/>
      <c r="Q670" s="30"/>
      <c r="R670" s="30"/>
      <c r="S670" s="30"/>
    </row>
    <row r="671" ht="15.75" customHeight="1">
      <c r="A671" s="30"/>
      <c r="B671" s="30"/>
      <c r="C671" s="30"/>
      <c r="D671" s="30"/>
      <c r="E671" s="30"/>
      <c r="F671" s="30"/>
      <c r="G671" s="30"/>
      <c r="H671" s="30"/>
      <c r="I671" s="30"/>
      <c r="J671" s="30"/>
      <c r="K671" s="30"/>
      <c r="L671" s="30"/>
      <c r="M671" s="30"/>
      <c r="N671" s="30"/>
      <c r="O671" s="30"/>
      <c r="P671" s="30"/>
      <c r="Q671" s="30"/>
      <c r="R671" s="30"/>
      <c r="S671" s="30"/>
    </row>
    <row r="672" ht="15.75" customHeight="1">
      <c r="A672" s="30"/>
      <c r="B672" s="30"/>
      <c r="C672" s="30"/>
      <c r="D672" s="30"/>
      <c r="E672" s="30"/>
      <c r="F672" s="30"/>
      <c r="G672" s="30"/>
      <c r="H672" s="30"/>
      <c r="I672" s="30"/>
      <c r="J672" s="30"/>
      <c r="K672" s="30"/>
      <c r="L672" s="30"/>
      <c r="M672" s="30"/>
      <c r="N672" s="30"/>
      <c r="O672" s="30"/>
      <c r="P672" s="30"/>
      <c r="Q672" s="30"/>
      <c r="R672" s="30"/>
      <c r="S672" s="30"/>
    </row>
    <row r="673" ht="15.75" customHeight="1">
      <c r="A673" s="30"/>
      <c r="B673" s="30"/>
      <c r="C673" s="30"/>
      <c r="D673" s="30"/>
      <c r="E673" s="30"/>
      <c r="F673" s="30"/>
      <c r="G673" s="30"/>
      <c r="H673" s="30"/>
      <c r="I673" s="30"/>
      <c r="J673" s="30"/>
      <c r="K673" s="30"/>
      <c r="L673" s="30"/>
      <c r="M673" s="30"/>
      <c r="N673" s="30"/>
      <c r="O673" s="30"/>
      <c r="P673" s="30"/>
      <c r="Q673" s="30"/>
      <c r="R673" s="30"/>
      <c r="S673" s="30"/>
    </row>
    <row r="674" ht="15.75" customHeight="1">
      <c r="A674" s="30"/>
      <c r="B674" s="30"/>
      <c r="C674" s="30"/>
      <c r="D674" s="30"/>
      <c r="E674" s="30"/>
      <c r="F674" s="30"/>
      <c r="G674" s="30"/>
      <c r="H674" s="30"/>
      <c r="I674" s="30"/>
      <c r="J674" s="30"/>
      <c r="K674" s="30"/>
      <c r="L674" s="30"/>
      <c r="M674" s="30"/>
      <c r="N674" s="30"/>
      <c r="O674" s="30"/>
      <c r="P674" s="30"/>
      <c r="Q674" s="30"/>
      <c r="R674" s="30"/>
      <c r="S674" s="30"/>
    </row>
    <row r="675" ht="15.75" customHeight="1">
      <c r="A675" s="30"/>
      <c r="B675" s="30"/>
      <c r="C675" s="30"/>
      <c r="D675" s="30"/>
      <c r="E675" s="30"/>
      <c r="F675" s="30"/>
      <c r="G675" s="30"/>
      <c r="H675" s="30"/>
      <c r="I675" s="30"/>
      <c r="J675" s="30"/>
      <c r="K675" s="30"/>
      <c r="L675" s="30"/>
      <c r="M675" s="30"/>
      <c r="N675" s="30"/>
      <c r="O675" s="30"/>
      <c r="P675" s="30"/>
      <c r="Q675" s="30"/>
      <c r="R675" s="30"/>
      <c r="S675" s="30"/>
    </row>
    <row r="676" ht="15.75" customHeight="1">
      <c r="A676" s="30"/>
      <c r="B676" s="30"/>
      <c r="C676" s="30"/>
      <c r="D676" s="30"/>
      <c r="E676" s="30"/>
      <c r="F676" s="30"/>
      <c r="G676" s="30"/>
      <c r="H676" s="30"/>
      <c r="I676" s="30"/>
      <c r="J676" s="30"/>
      <c r="K676" s="30"/>
      <c r="L676" s="30"/>
      <c r="M676" s="30"/>
      <c r="N676" s="30"/>
      <c r="O676" s="30"/>
      <c r="P676" s="30"/>
      <c r="Q676" s="30"/>
      <c r="R676" s="30"/>
      <c r="S676" s="30"/>
    </row>
    <row r="677" ht="15.75" customHeight="1">
      <c r="A677" s="30"/>
      <c r="B677" s="30"/>
      <c r="C677" s="30"/>
      <c r="D677" s="30"/>
      <c r="E677" s="30"/>
      <c r="F677" s="30"/>
      <c r="G677" s="30"/>
      <c r="H677" s="30"/>
      <c r="I677" s="30"/>
      <c r="J677" s="30"/>
      <c r="K677" s="30"/>
      <c r="L677" s="30"/>
      <c r="M677" s="30"/>
      <c r="N677" s="30"/>
      <c r="O677" s="30"/>
      <c r="P677" s="30"/>
      <c r="Q677" s="30"/>
      <c r="R677" s="30"/>
      <c r="S677" s="30"/>
    </row>
    <row r="678" ht="15.75" customHeight="1">
      <c r="A678" s="30"/>
      <c r="B678" s="30"/>
      <c r="C678" s="30"/>
      <c r="D678" s="30"/>
      <c r="E678" s="30"/>
      <c r="F678" s="30"/>
      <c r="G678" s="30"/>
      <c r="H678" s="30"/>
      <c r="I678" s="30"/>
      <c r="J678" s="30"/>
      <c r="K678" s="30"/>
      <c r="L678" s="30"/>
      <c r="M678" s="30"/>
      <c r="N678" s="30"/>
      <c r="O678" s="30"/>
      <c r="P678" s="30"/>
      <c r="Q678" s="30"/>
      <c r="R678" s="30"/>
      <c r="S678" s="30"/>
    </row>
    <row r="679" ht="15.75" customHeight="1">
      <c r="A679" s="30"/>
      <c r="B679" s="30"/>
      <c r="C679" s="30"/>
      <c r="D679" s="30"/>
      <c r="E679" s="30"/>
      <c r="F679" s="30"/>
      <c r="G679" s="30"/>
      <c r="H679" s="30"/>
      <c r="I679" s="30"/>
      <c r="J679" s="30"/>
      <c r="K679" s="30"/>
      <c r="L679" s="30"/>
      <c r="M679" s="30"/>
      <c r="N679" s="30"/>
      <c r="O679" s="30"/>
      <c r="P679" s="30"/>
      <c r="Q679" s="30"/>
      <c r="R679" s="30"/>
      <c r="S679" s="30"/>
    </row>
    <row r="680" ht="15.75" customHeight="1">
      <c r="A680" s="30"/>
      <c r="B680" s="30"/>
      <c r="C680" s="30"/>
      <c r="D680" s="30"/>
      <c r="E680" s="30"/>
      <c r="F680" s="30"/>
      <c r="G680" s="30"/>
      <c r="H680" s="30"/>
      <c r="I680" s="30"/>
      <c r="J680" s="30"/>
      <c r="K680" s="30"/>
      <c r="L680" s="30"/>
      <c r="M680" s="30"/>
      <c r="N680" s="30"/>
      <c r="O680" s="30"/>
      <c r="P680" s="30"/>
      <c r="Q680" s="30"/>
      <c r="R680" s="30"/>
      <c r="S680" s="30"/>
    </row>
    <row r="681" ht="15.75" customHeight="1">
      <c r="A681" s="30"/>
      <c r="B681" s="30"/>
      <c r="C681" s="30"/>
      <c r="D681" s="30"/>
      <c r="E681" s="30"/>
      <c r="F681" s="30"/>
      <c r="G681" s="30"/>
      <c r="H681" s="30"/>
      <c r="I681" s="30"/>
      <c r="J681" s="30"/>
      <c r="K681" s="30"/>
      <c r="L681" s="30"/>
      <c r="M681" s="30"/>
      <c r="N681" s="30"/>
      <c r="O681" s="30"/>
      <c r="P681" s="30"/>
      <c r="Q681" s="30"/>
      <c r="R681" s="30"/>
      <c r="S681" s="30"/>
    </row>
    <row r="682" ht="15.75" customHeight="1">
      <c r="A682" s="30"/>
      <c r="B682" s="30"/>
      <c r="C682" s="30"/>
      <c r="D682" s="30"/>
      <c r="E682" s="30"/>
      <c r="F682" s="30"/>
      <c r="G682" s="30"/>
      <c r="H682" s="30"/>
      <c r="I682" s="30"/>
      <c r="J682" s="30"/>
      <c r="K682" s="30"/>
      <c r="L682" s="30"/>
      <c r="M682" s="30"/>
      <c r="N682" s="30"/>
      <c r="O682" s="30"/>
      <c r="P682" s="30"/>
      <c r="Q682" s="30"/>
      <c r="R682" s="30"/>
      <c r="S682" s="30"/>
    </row>
    <row r="683" ht="15.75" customHeight="1">
      <c r="A683" s="30"/>
      <c r="B683" s="30"/>
      <c r="C683" s="30"/>
      <c r="D683" s="30"/>
      <c r="E683" s="30"/>
      <c r="F683" s="30"/>
      <c r="G683" s="30"/>
      <c r="H683" s="30"/>
      <c r="I683" s="30"/>
      <c r="J683" s="30"/>
      <c r="K683" s="30"/>
      <c r="L683" s="30"/>
      <c r="M683" s="30"/>
      <c r="N683" s="30"/>
      <c r="O683" s="30"/>
      <c r="P683" s="30"/>
      <c r="Q683" s="30"/>
      <c r="R683" s="30"/>
      <c r="S683" s="30"/>
    </row>
    <row r="684" ht="15.75" customHeight="1">
      <c r="A684" s="30"/>
      <c r="B684" s="30"/>
      <c r="C684" s="30"/>
      <c r="D684" s="30"/>
      <c r="E684" s="30"/>
      <c r="F684" s="30"/>
      <c r="G684" s="30"/>
      <c r="H684" s="30"/>
      <c r="I684" s="30"/>
      <c r="J684" s="30"/>
      <c r="K684" s="30"/>
      <c r="L684" s="30"/>
      <c r="M684" s="30"/>
      <c r="N684" s="30"/>
      <c r="O684" s="30"/>
      <c r="P684" s="30"/>
      <c r="Q684" s="30"/>
      <c r="R684" s="30"/>
      <c r="S684" s="30"/>
    </row>
    <row r="685" ht="15.75" customHeight="1">
      <c r="A685" s="30"/>
      <c r="B685" s="30"/>
      <c r="C685" s="30"/>
      <c r="D685" s="30"/>
      <c r="E685" s="30"/>
      <c r="F685" s="30"/>
      <c r="G685" s="30"/>
      <c r="H685" s="30"/>
      <c r="I685" s="30"/>
      <c r="J685" s="30"/>
      <c r="K685" s="30"/>
      <c r="L685" s="30"/>
      <c r="M685" s="30"/>
      <c r="N685" s="30"/>
      <c r="O685" s="30"/>
      <c r="P685" s="30"/>
      <c r="Q685" s="30"/>
      <c r="R685" s="30"/>
      <c r="S685" s="30"/>
    </row>
    <row r="686" ht="15.75" customHeight="1">
      <c r="A686" s="30"/>
      <c r="B686" s="30"/>
      <c r="C686" s="30"/>
      <c r="D686" s="30"/>
      <c r="E686" s="30"/>
      <c r="F686" s="30"/>
      <c r="G686" s="30"/>
      <c r="H686" s="30"/>
      <c r="I686" s="30"/>
      <c r="J686" s="30"/>
      <c r="K686" s="30"/>
      <c r="L686" s="30"/>
      <c r="M686" s="30"/>
      <c r="N686" s="30"/>
      <c r="O686" s="30"/>
      <c r="P686" s="30"/>
      <c r="Q686" s="30"/>
      <c r="R686" s="30"/>
      <c r="S686" s="30"/>
    </row>
    <row r="687" ht="15.75" customHeight="1">
      <c r="A687" s="30"/>
      <c r="B687" s="30"/>
      <c r="C687" s="30"/>
      <c r="D687" s="30"/>
      <c r="E687" s="30"/>
      <c r="F687" s="30"/>
      <c r="G687" s="30"/>
      <c r="H687" s="30"/>
      <c r="I687" s="30"/>
      <c r="J687" s="30"/>
      <c r="K687" s="30"/>
      <c r="L687" s="30"/>
      <c r="M687" s="30"/>
      <c r="N687" s="30"/>
      <c r="O687" s="30"/>
      <c r="P687" s="30"/>
      <c r="Q687" s="30"/>
      <c r="R687" s="30"/>
      <c r="S687" s="30"/>
    </row>
    <row r="688" ht="15.75" customHeight="1">
      <c r="A688" s="30"/>
      <c r="B688" s="30"/>
      <c r="C688" s="30"/>
      <c r="D688" s="30"/>
      <c r="E688" s="30"/>
      <c r="F688" s="30"/>
      <c r="G688" s="30"/>
      <c r="H688" s="30"/>
      <c r="I688" s="30"/>
      <c r="J688" s="30"/>
      <c r="K688" s="30"/>
      <c r="L688" s="30"/>
      <c r="M688" s="30"/>
      <c r="N688" s="30"/>
      <c r="O688" s="30"/>
      <c r="P688" s="30"/>
      <c r="Q688" s="30"/>
      <c r="R688" s="30"/>
      <c r="S688" s="30"/>
    </row>
    <row r="689" ht="15.75" customHeight="1">
      <c r="A689" s="30"/>
      <c r="B689" s="30"/>
      <c r="C689" s="30"/>
      <c r="D689" s="30"/>
      <c r="E689" s="30"/>
      <c r="F689" s="30"/>
      <c r="G689" s="30"/>
      <c r="H689" s="30"/>
      <c r="I689" s="30"/>
      <c r="J689" s="30"/>
      <c r="K689" s="30"/>
      <c r="L689" s="30"/>
      <c r="M689" s="30"/>
      <c r="N689" s="30"/>
      <c r="O689" s="30"/>
      <c r="P689" s="30"/>
      <c r="Q689" s="30"/>
      <c r="R689" s="30"/>
      <c r="S689" s="30"/>
    </row>
    <row r="690" ht="15.75" customHeight="1">
      <c r="A690" s="30"/>
      <c r="B690" s="30"/>
      <c r="C690" s="30"/>
      <c r="D690" s="30"/>
      <c r="E690" s="30"/>
      <c r="F690" s="30"/>
      <c r="G690" s="30"/>
      <c r="H690" s="30"/>
      <c r="I690" s="30"/>
      <c r="J690" s="30"/>
      <c r="K690" s="30"/>
      <c r="L690" s="30"/>
      <c r="M690" s="30"/>
      <c r="N690" s="30"/>
      <c r="O690" s="30"/>
      <c r="P690" s="30"/>
      <c r="Q690" s="30"/>
      <c r="R690" s="30"/>
      <c r="S690" s="30"/>
    </row>
    <row r="691" ht="15.75" customHeight="1">
      <c r="A691" s="30"/>
      <c r="B691" s="30"/>
      <c r="C691" s="30"/>
      <c r="D691" s="30"/>
      <c r="E691" s="30"/>
      <c r="F691" s="30"/>
      <c r="G691" s="30"/>
      <c r="H691" s="30"/>
      <c r="I691" s="30"/>
      <c r="J691" s="30"/>
      <c r="K691" s="30"/>
      <c r="L691" s="30"/>
      <c r="M691" s="30"/>
      <c r="N691" s="30"/>
      <c r="O691" s="30"/>
      <c r="P691" s="30"/>
      <c r="Q691" s="30"/>
      <c r="R691" s="30"/>
      <c r="S691" s="30"/>
    </row>
    <row r="692" ht="15.75" customHeight="1">
      <c r="A692" s="30"/>
      <c r="B692" s="30"/>
      <c r="C692" s="30"/>
      <c r="D692" s="30"/>
      <c r="E692" s="30"/>
      <c r="F692" s="30"/>
      <c r="G692" s="30"/>
      <c r="H692" s="30"/>
      <c r="I692" s="30"/>
      <c r="J692" s="30"/>
      <c r="K692" s="30"/>
      <c r="L692" s="30"/>
      <c r="M692" s="30"/>
      <c r="N692" s="30"/>
      <c r="O692" s="30"/>
      <c r="P692" s="30"/>
      <c r="Q692" s="30"/>
      <c r="R692" s="30"/>
      <c r="S692" s="30"/>
    </row>
    <row r="693" ht="15.75" customHeight="1">
      <c r="A693" s="30"/>
      <c r="B693" s="30"/>
      <c r="C693" s="30"/>
      <c r="D693" s="30"/>
      <c r="E693" s="30"/>
      <c r="F693" s="30"/>
      <c r="G693" s="30"/>
      <c r="H693" s="30"/>
      <c r="I693" s="30"/>
      <c r="J693" s="30"/>
      <c r="K693" s="30"/>
      <c r="L693" s="30"/>
      <c r="M693" s="30"/>
      <c r="N693" s="30"/>
      <c r="O693" s="30"/>
      <c r="P693" s="30"/>
      <c r="Q693" s="30"/>
      <c r="R693" s="30"/>
      <c r="S693" s="30"/>
    </row>
    <row r="694" ht="15.75" customHeight="1">
      <c r="A694" s="30"/>
      <c r="B694" s="30"/>
      <c r="C694" s="30"/>
      <c r="D694" s="30"/>
      <c r="E694" s="30"/>
      <c r="F694" s="30"/>
      <c r="G694" s="30"/>
      <c r="H694" s="30"/>
      <c r="I694" s="30"/>
      <c r="J694" s="30"/>
      <c r="K694" s="30"/>
      <c r="L694" s="30"/>
      <c r="M694" s="30"/>
      <c r="N694" s="30"/>
      <c r="O694" s="30"/>
      <c r="P694" s="30"/>
      <c r="Q694" s="30"/>
      <c r="R694" s="30"/>
      <c r="S694" s="30"/>
    </row>
    <row r="695" ht="15.75" customHeight="1">
      <c r="A695" s="30"/>
      <c r="B695" s="30"/>
      <c r="C695" s="30"/>
      <c r="D695" s="30"/>
      <c r="E695" s="30"/>
      <c r="F695" s="30"/>
      <c r="G695" s="30"/>
      <c r="H695" s="30"/>
      <c r="I695" s="30"/>
      <c r="J695" s="30"/>
      <c r="K695" s="30"/>
      <c r="L695" s="30"/>
      <c r="M695" s="30"/>
      <c r="N695" s="30"/>
      <c r="O695" s="30"/>
      <c r="P695" s="30"/>
      <c r="Q695" s="30"/>
      <c r="R695" s="30"/>
      <c r="S695" s="30"/>
    </row>
    <row r="696" ht="15.75" customHeight="1">
      <c r="A696" s="30"/>
      <c r="B696" s="30"/>
      <c r="C696" s="30"/>
      <c r="D696" s="30"/>
      <c r="E696" s="30"/>
      <c r="F696" s="30"/>
      <c r="G696" s="30"/>
      <c r="H696" s="30"/>
      <c r="I696" s="30"/>
      <c r="J696" s="30"/>
      <c r="K696" s="30"/>
      <c r="L696" s="30"/>
      <c r="M696" s="30"/>
      <c r="N696" s="30"/>
      <c r="O696" s="30"/>
      <c r="P696" s="30"/>
      <c r="Q696" s="30"/>
      <c r="R696" s="30"/>
      <c r="S696" s="30"/>
    </row>
    <row r="697" ht="15.75" customHeight="1">
      <c r="A697" s="30"/>
      <c r="B697" s="30"/>
      <c r="C697" s="30"/>
      <c r="D697" s="30"/>
      <c r="E697" s="30"/>
      <c r="F697" s="30"/>
      <c r="G697" s="30"/>
      <c r="H697" s="30"/>
      <c r="I697" s="30"/>
      <c r="J697" s="30"/>
      <c r="K697" s="30"/>
      <c r="L697" s="30"/>
      <c r="M697" s="30"/>
      <c r="N697" s="30"/>
      <c r="O697" s="30"/>
      <c r="P697" s="30"/>
      <c r="Q697" s="30"/>
      <c r="R697" s="30"/>
      <c r="S697" s="30"/>
    </row>
    <row r="698" ht="15.75" customHeight="1">
      <c r="A698" s="30"/>
      <c r="B698" s="30"/>
      <c r="C698" s="30"/>
      <c r="D698" s="30"/>
      <c r="E698" s="30"/>
      <c r="F698" s="30"/>
      <c r="G698" s="30"/>
      <c r="H698" s="30"/>
      <c r="I698" s="30"/>
      <c r="J698" s="30"/>
      <c r="K698" s="30"/>
      <c r="L698" s="30"/>
      <c r="M698" s="30"/>
      <c r="N698" s="30"/>
      <c r="O698" s="30"/>
      <c r="P698" s="30"/>
      <c r="Q698" s="30"/>
      <c r="R698" s="30"/>
      <c r="S698" s="30"/>
    </row>
    <row r="699" ht="15.75" customHeight="1">
      <c r="A699" s="30"/>
      <c r="B699" s="30"/>
      <c r="C699" s="30"/>
      <c r="D699" s="30"/>
      <c r="E699" s="30"/>
      <c r="F699" s="30"/>
      <c r="G699" s="30"/>
      <c r="H699" s="30"/>
      <c r="I699" s="30"/>
      <c r="J699" s="30"/>
      <c r="K699" s="30"/>
      <c r="L699" s="30"/>
      <c r="M699" s="30"/>
      <c r="N699" s="30"/>
      <c r="O699" s="30"/>
      <c r="P699" s="30"/>
      <c r="Q699" s="30"/>
      <c r="R699" s="30"/>
      <c r="S699" s="30"/>
    </row>
    <row r="700" ht="15.75" customHeight="1">
      <c r="A700" s="30"/>
      <c r="B700" s="30"/>
      <c r="C700" s="30"/>
      <c r="D700" s="30"/>
      <c r="E700" s="30"/>
      <c r="F700" s="30"/>
      <c r="G700" s="30"/>
      <c r="H700" s="30"/>
      <c r="I700" s="30"/>
      <c r="J700" s="30"/>
      <c r="K700" s="30"/>
      <c r="L700" s="30"/>
      <c r="M700" s="30"/>
      <c r="N700" s="30"/>
      <c r="O700" s="30"/>
      <c r="P700" s="30"/>
      <c r="Q700" s="30"/>
      <c r="R700" s="30"/>
      <c r="S700" s="30"/>
    </row>
    <row r="701" ht="15.75" customHeight="1">
      <c r="A701" s="30"/>
      <c r="B701" s="30"/>
      <c r="C701" s="30"/>
      <c r="D701" s="30"/>
      <c r="E701" s="30"/>
      <c r="F701" s="30"/>
      <c r="G701" s="30"/>
      <c r="H701" s="30"/>
      <c r="I701" s="30"/>
      <c r="J701" s="30"/>
      <c r="K701" s="30"/>
      <c r="L701" s="30"/>
      <c r="M701" s="30"/>
      <c r="N701" s="30"/>
      <c r="O701" s="30"/>
      <c r="P701" s="30"/>
      <c r="Q701" s="30"/>
      <c r="R701" s="30"/>
      <c r="S701" s="30"/>
    </row>
    <row r="702" ht="15.75" customHeight="1">
      <c r="A702" s="30"/>
      <c r="B702" s="30"/>
      <c r="C702" s="30"/>
      <c r="D702" s="30"/>
      <c r="E702" s="30"/>
      <c r="F702" s="30"/>
      <c r="G702" s="30"/>
      <c r="H702" s="30"/>
      <c r="I702" s="30"/>
      <c r="J702" s="30"/>
      <c r="K702" s="30"/>
      <c r="L702" s="30"/>
      <c r="M702" s="30"/>
      <c r="N702" s="30"/>
      <c r="O702" s="30"/>
      <c r="P702" s="30"/>
      <c r="Q702" s="30"/>
      <c r="R702" s="30"/>
      <c r="S702" s="30"/>
    </row>
    <row r="703" ht="15.75" customHeight="1">
      <c r="A703" s="30"/>
      <c r="B703" s="30"/>
      <c r="C703" s="30"/>
      <c r="D703" s="30"/>
      <c r="E703" s="30"/>
      <c r="F703" s="30"/>
      <c r="G703" s="30"/>
      <c r="H703" s="30"/>
      <c r="I703" s="30"/>
      <c r="J703" s="30"/>
      <c r="K703" s="30"/>
      <c r="L703" s="30"/>
      <c r="M703" s="30"/>
      <c r="N703" s="30"/>
      <c r="O703" s="30"/>
      <c r="P703" s="30"/>
      <c r="Q703" s="30"/>
      <c r="R703" s="30"/>
      <c r="S703" s="30"/>
    </row>
    <row r="704" ht="15.75" customHeight="1">
      <c r="A704" s="30"/>
      <c r="B704" s="30"/>
      <c r="C704" s="30"/>
      <c r="D704" s="30"/>
      <c r="E704" s="30"/>
      <c r="F704" s="30"/>
      <c r="G704" s="30"/>
      <c r="H704" s="30"/>
      <c r="I704" s="30"/>
      <c r="J704" s="30"/>
      <c r="K704" s="30"/>
      <c r="L704" s="30"/>
      <c r="M704" s="30"/>
      <c r="N704" s="30"/>
      <c r="O704" s="30"/>
      <c r="P704" s="30"/>
      <c r="Q704" s="30"/>
      <c r="R704" s="30"/>
      <c r="S704" s="30"/>
    </row>
    <row r="705" ht="15.75" customHeight="1">
      <c r="A705" s="30"/>
      <c r="B705" s="30"/>
      <c r="C705" s="30"/>
      <c r="D705" s="30"/>
      <c r="E705" s="30"/>
      <c r="F705" s="30"/>
      <c r="G705" s="30"/>
      <c r="H705" s="30"/>
      <c r="I705" s="30"/>
      <c r="J705" s="30"/>
      <c r="K705" s="30"/>
      <c r="L705" s="30"/>
      <c r="M705" s="30"/>
      <c r="N705" s="30"/>
      <c r="O705" s="30"/>
      <c r="P705" s="30"/>
      <c r="Q705" s="30"/>
      <c r="R705" s="30"/>
      <c r="S705" s="30"/>
    </row>
    <row r="706" ht="15.75" customHeight="1">
      <c r="A706" s="30"/>
      <c r="B706" s="30"/>
      <c r="C706" s="30"/>
      <c r="D706" s="30"/>
      <c r="E706" s="30"/>
      <c r="F706" s="30"/>
      <c r="G706" s="30"/>
      <c r="H706" s="30"/>
      <c r="I706" s="30"/>
      <c r="J706" s="30"/>
      <c r="K706" s="30"/>
      <c r="L706" s="30"/>
      <c r="M706" s="30"/>
      <c r="N706" s="30"/>
      <c r="O706" s="30"/>
      <c r="P706" s="30"/>
      <c r="Q706" s="30"/>
      <c r="R706" s="30"/>
      <c r="S706" s="30"/>
    </row>
    <row r="707" ht="15.75" customHeight="1">
      <c r="A707" s="30"/>
      <c r="B707" s="30"/>
      <c r="C707" s="30"/>
      <c r="D707" s="30"/>
      <c r="E707" s="30"/>
      <c r="F707" s="30"/>
      <c r="G707" s="30"/>
      <c r="H707" s="30"/>
      <c r="I707" s="30"/>
      <c r="J707" s="30"/>
      <c r="K707" s="30"/>
      <c r="L707" s="30"/>
      <c r="M707" s="30"/>
      <c r="N707" s="30"/>
      <c r="O707" s="30"/>
      <c r="P707" s="30"/>
      <c r="Q707" s="30"/>
      <c r="R707" s="30"/>
      <c r="S707" s="30"/>
    </row>
    <row r="708" ht="15.75" customHeight="1">
      <c r="A708" s="30"/>
      <c r="B708" s="30"/>
      <c r="C708" s="30"/>
      <c r="D708" s="30"/>
      <c r="E708" s="30"/>
      <c r="F708" s="30"/>
      <c r="G708" s="30"/>
      <c r="H708" s="30"/>
      <c r="I708" s="30"/>
      <c r="J708" s="30"/>
      <c r="K708" s="30"/>
      <c r="L708" s="30"/>
      <c r="M708" s="30"/>
      <c r="N708" s="30"/>
      <c r="O708" s="30"/>
      <c r="P708" s="30"/>
      <c r="Q708" s="30"/>
      <c r="R708" s="30"/>
      <c r="S708" s="30"/>
    </row>
    <row r="709" ht="15.75" customHeight="1">
      <c r="A709" s="30"/>
      <c r="B709" s="30"/>
      <c r="C709" s="30"/>
      <c r="D709" s="30"/>
      <c r="E709" s="30"/>
      <c r="F709" s="30"/>
      <c r="G709" s="30"/>
      <c r="H709" s="30"/>
      <c r="I709" s="30"/>
      <c r="J709" s="30"/>
      <c r="K709" s="30"/>
      <c r="L709" s="30"/>
      <c r="M709" s="30"/>
      <c r="N709" s="30"/>
      <c r="O709" s="30"/>
      <c r="P709" s="30"/>
      <c r="Q709" s="30"/>
      <c r="R709" s="30"/>
      <c r="S709" s="30"/>
    </row>
    <row r="710" ht="15.75" customHeight="1">
      <c r="A710" s="30"/>
      <c r="B710" s="30"/>
      <c r="C710" s="30"/>
      <c r="D710" s="30"/>
      <c r="E710" s="30"/>
      <c r="F710" s="30"/>
      <c r="G710" s="30"/>
      <c r="H710" s="30"/>
      <c r="I710" s="30"/>
      <c r="J710" s="30"/>
      <c r="K710" s="30"/>
      <c r="L710" s="30"/>
      <c r="M710" s="30"/>
      <c r="N710" s="30"/>
      <c r="O710" s="30"/>
      <c r="P710" s="30"/>
      <c r="Q710" s="30"/>
      <c r="R710" s="30"/>
      <c r="S710" s="30"/>
    </row>
    <row r="711" ht="15.75" customHeight="1">
      <c r="A711" s="30"/>
      <c r="B711" s="30"/>
      <c r="C711" s="30"/>
      <c r="D711" s="30"/>
      <c r="E711" s="30"/>
      <c r="F711" s="30"/>
      <c r="G711" s="30"/>
      <c r="H711" s="30"/>
      <c r="I711" s="30"/>
      <c r="J711" s="30"/>
      <c r="K711" s="30"/>
      <c r="L711" s="30"/>
      <c r="M711" s="30"/>
      <c r="N711" s="30"/>
      <c r="O711" s="30"/>
      <c r="P711" s="30"/>
      <c r="Q711" s="30"/>
      <c r="R711" s="30"/>
      <c r="S711" s="30"/>
    </row>
    <row r="712" ht="15.75" customHeight="1">
      <c r="A712" s="30"/>
      <c r="B712" s="30"/>
      <c r="C712" s="30"/>
      <c r="D712" s="30"/>
      <c r="E712" s="30"/>
      <c r="F712" s="30"/>
      <c r="G712" s="30"/>
      <c r="H712" s="30"/>
      <c r="I712" s="30"/>
      <c r="J712" s="30"/>
      <c r="K712" s="30"/>
      <c r="L712" s="30"/>
      <c r="M712" s="30"/>
      <c r="N712" s="30"/>
      <c r="O712" s="30"/>
      <c r="P712" s="30"/>
      <c r="Q712" s="30"/>
      <c r="R712" s="30"/>
      <c r="S712" s="30"/>
    </row>
    <row r="713" ht="15.75" customHeight="1">
      <c r="A713" s="30"/>
      <c r="B713" s="30"/>
      <c r="C713" s="30"/>
      <c r="D713" s="30"/>
      <c r="E713" s="30"/>
      <c r="F713" s="30"/>
      <c r="G713" s="30"/>
      <c r="H713" s="30"/>
      <c r="I713" s="30"/>
      <c r="J713" s="30"/>
      <c r="K713" s="30"/>
      <c r="L713" s="30"/>
      <c r="M713" s="30"/>
      <c r="N713" s="30"/>
      <c r="O713" s="30"/>
      <c r="P713" s="30"/>
      <c r="Q713" s="30"/>
      <c r="R713" s="30"/>
      <c r="S713" s="30"/>
    </row>
    <row r="714" ht="15.75" customHeight="1">
      <c r="A714" s="30"/>
      <c r="B714" s="30"/>
      <c r="C714" s="30"/>
      <c r="D714" s="30"/>
      <c r="E714" s="30"/>
      <c r="F714" s="30"/>
      <c r="G714" s="30"/>
      <c r="H714" s="30"/>
      <c r="I714" s="30"/>
      <c r="J714" s="30"/>
      <c r="K714" s="30"/>
      <c r="L714" s="30"/>
      <c r="M714" s="30"/>
      <c r="N714" s="30"/>
      <c r="O714" s="30"/>
      <c r="P714" s="30"/>
      <c r="Q714" s="30"/>
      <c r="R714" s="30"/>
      <c r="S714" s="30"/>
    </row>
    <row r="715" ht="15.75" customHeight="1">
      <c r="A715" s="30"/>
      <c r="B715" s="30"/>
      <c r="C715" s="30"/>
      <c r="D715" s="30"/>
      <c r="E715" s="30"/>
      <c r="F715" s="30"/>
      <c r="G715" s="30"/>
      <c r="H715" s="30"/>
      <c r="I715" s="30"/>
      <c r="J715" s="30"/>
      <c r="K715" s="30"/>
      <c r="L715" s="30"/>
      <c r="M715" s="30"/>
      <c r="N715" s="30"/>
      <c r="O715" s="30"/>
      <c r="P715" s="30"/>
      <c r="Q715" s="30"/>
      <c r="R715" s="30"/>
      <c r="S715" s="30"/>
    </row>
    <row r="716" ht="15.75" customHeight="1">
      <c r="A716" s="30"/>
      <c r="B716" s="30"/>
      <c r="C716" s="30"/>
      <c r="D716" s="30"/>
      <c r="E716" s="30"/>
      <c r="F716" s="30"/>
      <c r="G716" s="30"/>
      <c r="H716" s="30"/>
      <c r="I716" s="30"/>
      <c r="J716" s="30"/>
      <c r="K716" s="30"/>
      <c r="L716" s="30"/>
      <c r="M716" s="30"/>
      <c r="N716" s="30"/>
      <c r="O716" s="30"/>
      <c r="P716" s="30"/>
      <c r="Q716" s="30"/>
      <c r="R716" s="30"/>
      <c r="S716" s="30"/>
    </row>
    <row r="717" ht="15.75" customHeight="1">
      <c r="A717" s="30"/>
      <c r="B717" s="30"/>
      <c r="C717" s="30"/>
      <c r="D717" s="30"/>
      <c r="E717" s="30"/>
      <c r="F717" s="30"/>
      <c r="G717" s="30"/>
      <c r="H717" s="30"/>
      <c r="I717" s="30"/>
      <c r="J717" s="30"/>
      <c r="K717" s="30"/>
      <c r="L717" s="30"/>
      <c r="M717" s="30"/>
      <c r="N717" s="30"/>
      <c r="O717" s="30"/>
      <c r="P717" s="30"/>
      <c r="Q717" s="30"/>
      <c r="R717" s="30"/>
      <c r="S717" s="30"/>
    </row>
    <row r="718" ht="15.75" customHeight="1">
      <c r="A718" s="30"/>
      <c r="B718" s="30"/>
      <c r="C718" s="30"/>
      <c r="D718" s="30"/>
      <c r="E718" s="30"/>
      <c r="F718" s="30"/>
      <c r="G718" s="30"/>
      <c r="H718" s="30"/>
      <c r="I718" s="30"/>
      <c r="J718" s="30"/>
      <c r="K718" s="30"/>
      <c r="L718" s="30"/>
      <c r="M718" s="30"/>
      <c r="N718" s="30"/>
      <c r="O718" s="30"/>
      <c r="P718" s="30"/>
      <c r="Q718" s="30"/>
      <c r="R718" s="30"/>
      <c r="S718" s="30"/>
    </row>
    <row r="719" ht="15.75" customHeight="1">
      <c r="A719" s="30"/>
      <c r="B719" s="30"/>
      <c r="C719" s="30"/>
      <c r="D719" s="30"/>
      <c r="E719" s="30"/>
      <c r="F719" s="30"/>
      <c r="G719" s="30"/>
      <c r="H719" s="30"/>
      <c r="I719" s="30"/>
      <c r="J719" s="30"/>
      <c r="K719" s="30"/>
      <c r="L719" s="30"/>
      <c r="M719" s="30"/>
      <c r="N719" s="30"/>
      <c r="O719" s="30"/>
      <c r="P719" s="30"/>
      <c r="Q719" s="30"/>
      <c r="R719" s="30"/>
      <c r="S719" s="30"/>
    </row>
    <row r="720" ht="15.75" customHeight="1">
      <c r="A720" s="30"/>
      <c r="B720" s="30"/>
      <c r="C720" s="30"/>
      <c r="D720" s="30"/>
      <c r="E720" s="30"/>
      <c r="F720" s="30"/>
      <c r="G720" s="30"/>
      <c r="H720" s="30"/>
      <c r="I720" s="30"/>
      <c r="J720" s="30"/>
      <c r="K720" s="30"/>
      <c r="L720" s="30"/>
      <c r="M720" s="30"/>
      <c r="N720" s="30"/>
      <c r="O720" s="30"/>
      <c r="P720" s="30"/>
      <c r="Q720" s="30"/>
      <c r="R720" s="30"/>
      <c r="S720" s="30"/>
    </row>
    <row r="721" ht="15.75" customHeight="1">
      <c r="A721" s="30"/>
      <c r="B721" s="30"/>
      <c r="C721" s="30"/>
      <c r="D721" s="30"/>
      <c r="E721" s="30"/>
      <c r="F721" s="30"/>
      <c r="G721" s="30"/>
      <c r="H721" s="30"/>
      <c r="I721" s="30"/>
      <c r="J721" s="30"/>
      <c r="K721" s="30"/>
      <c r="L721" s="30"/>
      <c r="M721" s="30"/>
      <c r="N721" s="30"/>
      <c r="O721" s="30"/>
      <c r="P721" s="30"/>
      <c r="Q721" s="30"/>
      <c r="R721" s="30"/>
      <c r="S721" s="30"/>
    </row>
    <row r="722" ht="15.75" customHeight="1">
      <c r="A722" s="30"/>
      <c r="B722" s="30"/>
      <c r="C722" s="30"/>
      <c r="D722" s="30"/>
      <c r="E722" s="30"/>
      <c r="F722" s="30"/>
      <c r="G722" s="30"/>
      <c r="H722" s="30"/>
      <c r="I722" s="30"/>
      <c r="J722" s="30"/>
      <c r="K722" s="30"/>
      <c r="L722" s="30"/>
      <c r="M722" s="30"/>
      <c r="N722" s="30"/>
      <c r="O722" s="30"/>
      <c r="P722" s="30"/>
      <c r="Q722" s="30"/>
      <c r="R722" s="30"/>
      <c r="S722" s="30"/>
    </row>
    <row r="723" ht="15.75" customHeight="1">
      <c r="A723" s="30"/>
      <c r="B723" s="30"/>
      <c r="C723" s="30"/>
      <c r="D723" s="30"/>
      <c r="E723" s="30"/>
      <c r="F723" s="30"/>
      <c r="G723" s="30"/>
      <c r="H723" s="30"/>
      <c r="I723" s="30"/>
      <c r="J723" s="30"/>
      <c r="K723" s="30"/>
      <c r="L723" s="30"/>
      <c r="M723" s="30"/>
      <c r="N723" s="30"/>
      <c r="O723" s="30"/>
      <c r="P723" s="30"/>
      <c r="Q723" s="30"/>
      <c r="R723" s="30"/>
      <c r="S723" s="30"/>
    </row>
    <row r="724" ht="15.75" customHeight="1">
      <c r="A724" s="30"/>
      <c r="B724" s="30"/>
      <c r="C724" s="30"/>
      <c r="D724" s="30"/>
      <c r="E724" s="30"/>
      <c r="F724" s="30"/>
      <c r="G724" s="30"/>
      <c r="H724" s="30"/>
      <c r="I724" s="30"/>
      <c r="J724" s="30"/>
      <c r="K724" s="30"/>
      <c r="L724" s="30"/>
      <c r="M724" s="30"/>
      <c r="N724" s="30"/>
      <c r="O724" s="30"/>
      <c r="P724" s="30"/>
      <c r="Q724" s="30"/>
      <c r="R724" s="30"/>
      <c r="S724" s="30"/>
    </row>
    <row r="725" ht="15.75" customHeight="1">
      <c r="A725" s="30"/>
      <c r="B725" s="30"/>
      <c r="C725" s="30"/>
      <c r="D725" s="30"/>
      <c r="E725" s="30"/>
      <c r="F725" s="30"/>
      <c r="G725" s="30"/>
      <c r="H725" s="30"/>
      <c r="I725" s="30"/>
      <c r="J725" s="30"/>
      <c r="K725" s="30"/>
      <c r="L725" s="30"/>
      <c r="M725" s="30"/>
      <c r="N725" s="30"/>
      <c r="O725" s="30"/>
      <c r="P725" s="30"/>
      <c r="Q725" s="30"/>
      <c r="R725" s="30"/>
      <c r="S725" s="30"/>
    </row>
    <row r="726" ht="15.75" customHeight="1">
      <c r="A726" s="30"/>
      <c r="B726" s="30"/>
      <c r="C726" s="30"/>
      <c r="D726" s="30"/>
      <c r="E726" s="30"/>
      <c r="F726" s="30"/>
      <c r="G726" s="30"/>
      <c r="H726" s="30"/>
      <c r="I726" s="30"/>
      <c r="J726" s="30"/>
      <c r="K726" s="30"/>
      <c r="L726" s="30"/>
      <c r="M726" s="30"/>
      <c r="N726" s="30"/>
      <c r="O726" s="30"/>
      <c r="P726" s="30"/>
      <c r="Q726" s="30"/>
      <c r="R726" s="30"/>
      <c r="S726" s="30"/>
    </row>
    <row r="727" ht="15.75" customHeight="1">
      <c r="A727" s="30"/>
      <c r="B727" s="30"/>
      <c r="C727" s="30"/>
      <c r="D727" s="30"/>
      <c r="E727" s="30"/>
      <c r="F727" s="30"/>
      <c r="G727" s="30"/>
      <c r="H727" s="30"/>
      <c r="I727" s="30"/>
      <c r="J727" s="30"/>
      <c r="K727" s="30"/>
      <c r="L727" s="30"/>
      <c r="M727" s="30"/>
      <c r="N727" s="30"/>
      <c r="O727" s="30"/>
      <c r="P727" s="30"/>
      <c r="Q727" s="30"/>
      <c r="R727" s="30"/>
      <c r="S727" s="30"/>
    </row>
    <row r="728" ht="15.75" customHeight="1">
      <c r="A728" s="30"/>
      <c r="B728" s="30"/>
      <c r="C728" s="30"/>
      <c r="D728" s="30"/>
      <c r="E728" s="30"/>
      <c r="F728" s="30"/>
      <c r="G728" s="30"/>
      <c r="H728" s="30"/>
      <c r="I728" s="30"/>
      <c r="J728" s="30"/>
      <c r="K728" s="30"/>
      <c r="L728" s="30"/>
      <c r="M728" s="30"/>
      <c r="N728" s="30"/>
      <c r="O728" s="30"/>
      <c r="P728" s="30"/>
      <c r="Q728" s="30"/>
      <c r="R728" s="30"/>
      <c r="S728" s="30"/>
    </row>
    <row r="729" ht="15.75" customHeight="1">
      <c r="A729" s="30"/>
      <c r="B729" s="30"/>
      <c r="C729" s="30"/>
      <c r="D729" s="30"/>
      <c r="E729" s="30"/>
      <c r="F729" s="30"/>
      <c r="G729" s="30"/>
      <c r="H729" s="30"/>
      <c r="I729" s="30"/>
      <c r="J729" s="30"/>
      <c r="K729" s="30"/>
      <c r="L729" s="30"/>
      <c r="M729" s="30"/>
      <c r="N729" s="30"/>
      <c r="O729" s="30"/>
      <c r="P729" s="30"/>
      <c r="Q729" s="30"/>
      <c r="R729" s="30"/>
      <c r="S729" s="30"/>
    </row>
    <row r="730" ht="15.75" customHeight="1">
      <c r="A730" s="30"/>
      <c r="B730" s="30"/>
      <c r="C730" s="30"/>
      <c r="D730" s="30"/>
      <c r="E730" s="30"/>
      <c r="F730" s="30"/>
      <c r="G730" s="30"/>
      <c r="H730" s="30"/>
      <c r="I730" s="30"/>
      <c r="J730" s="30"/>
      <c r="K730" s="30"/>
      <c r="L730" s="30"/>
      <c r="M730" s="30"/>
      <c r="N730" s="30"/>
      <c r="O730" s="30"/>
      <c r="P730" s="30"/>
      <c r="Q730" s="30"/>
      <c r="R730" s="30"/>
      <c r="S730" s="30"/>
    </row>
    <row r="731" ht="15.75" customHeight="1">
      <c r="A731" s="30"/>
      <c r="B731" s="30"/>
      <c r="C731" s="30"/>
      <c r="D731" s="30"/>
      <c r="E731" s="30"/>
      <c r="F731" s="30"/>
      <c r="G731" s="30"/>
      <c r="H731" s="30"/>
      <c r="I731" s="30"/>
      <c r="J731" s="30"/>
      <c r="K731" s="30"/>
      <c r="L731" s="30"/>
      <c r="M731" s="30"/>
      <c r="N731" s="30"/>
      <c r="O731" s="30"/>
      <c r="P731" s="30"/>
      <c r="Q731" s="30"/>
      <c r="R731" s="30"/>
      <c r="S731" s="30"/>
    </row>
    <row r="732" ht="15.75" customHeight="1">
      <c r="A732" s="30"/>
      <c r="B732" s="30"/>
      <c r="C732" s="30"/>
      <c r="D732" s="30"/>
      <c r="E732" s="30"/>
      <c r="F732" s="30"/>
      <c r="G732" s="30"/>
      <c r="H732" s="30"/>
      <c r="I732" s="30"/>
      <c r="J732" s="30"/>
      <c r="K732" s="30"/>
      <c r="L732" s="30"/>
      <c r="M732" s="30"/>
      <c r="N732" s="30"/>
      <c r="O732" s="30"/>
      <c r="P732" s="30"/>
      <c r="Q732" s="30"/>
      <c r="R732" s="30"/>
      <c r="S732" s="30"/>
    </row>
    <row r="733" ht="15.75" customHeight="1">
      <c r="A733" s="30"/>
      <c r="B733" s="30"/>
      <c r="C733" s="30"/>
      <c r="D733" s="30"/>
      <c r="E733" s="30"/>
      <c r="F733" s="30"/>
      <c r="G733" s="30"/>
      <c r="H733" s="30"/>
      <c r="I733" s="30"/>
      <c r="J733" s="30"/>
      <c r="K733" s="30"/>
      <c r="L733" s="30"/>
      <c r="M733" s="30"/>
      <c r="N733" s="30"/>
      <c r="O733" s="30"/>
      <c r="P733" s="30"/>
      <c r="Q733" s="30"/>
      <c r="R733" s="30"/>
      <c r="S733" s="30"/>
    </row>
    <row r="734" ht="15.75" customHeight="1">
      <c r="A734" s="30"/>
      <c r="B734" s="30"/>
      <c r="C734" s="30"/>
      <c r="D734" s="30"/>
      <c r="E734" s="30"/>
      <c r="F734" s="30"/>
      <c r="G734" s="30"/>
      <c r="H734" s="30"/>
      <c r="I734" s="30"/>
      <c r="J734" s="30"/>
      <c r="K734" s="30"/>
      <c r="L734" s="30"/>
      <c r="M734" s="30"/>
      <c r="N734" s="30"/>
      <c r="O734" s="30"/>
      <c r="P734" s="30"/>
      <c r="Q734" s="30"/>
      <c r="R734" s="30"/>
      <c r="S734" s="30"/>
    </row>
    <row r="735" ht="15.75" customHeight="1">
      <c r="A735" s="30"/>
      <c r="B735" s="30"/>
      <c r="C735" s="30"/>
      <c r="D735" s="30"/>
      <c r="E735" s="30"/>
      <c r="F735" s="30"/>
      <c r="G735" s="30"/>
      <c r="H735" s="30"/>
      <c r="I735" s="30"/>
      <c r="J735" s="30"/>
      <c r="K735" s="30"/>
      <c r="L735" s="30"/>
      <c r="M735" s="30"/>
      <c r="N735" s="30"/>
      <c r="O735" s="30"/>
      <c r="P735" s="30"/>
      <c r="Q735" s="30"/>
      <c r="R735" s="30"/>
      <c r="S735" s="30"/>
    </row>
    <row r="736" ht="15.75" customHeight="1">
      <c r="A736" s="30"/>
      <c r="B736" s="30"/>
      <c r="C736" s="30"/>
      <c r="D736" s="30"/>
      <c r="E736" s="30"/>
      <c r="F736" s="30"/>
      <c r="G736" s="30"/>
      <c r="H736" s="30"/>
      <c r="I736" s="30"/>
      <c r="J736" s="30"/>
      <c r="K736" s="30"/>
      <c r="L736" s="30"/>
      <c r="M736" s="30"/>
      <c r="N736" s="30"/>
      <c r="O736" s="30"/>
      <c r="P736" s="30"/>
      <c r="Q736" s="30"/>
      <c r="R736" s="30"/>
      <c r="S736" s="30"/>
    </row>
    <row r="737" ht="15.75" customHeight="1">
      <c r="A737" s="30"/>
      <c r="B737" s="30"/>
      <c r="C737" s="30"/>
      <c r="D737" s="30"/>
      <c r="E737" s="30"/>
      <c r="F737" s="30"/>
      <c r="G737" s="30"/>
      <c r="H737" s="30"/>
      <c r="I737" s="30"/>
      <c r="J737" s="30"/>
      <c r="K737" s="30"/>
      <c r="L737" s="30"/>
      <c r="M737" s="30"/>
      <c r="N737" s="30"/>
      <c r="O737" s="30"/>
      <c r="P737" s="30"/>
      <c r="Q737" s="30"/>
      <c r="R737" s="30"/>
      <c r="S737" s="30"/>
    </row>
    <row r="738" ht="15.75" customHeight="1">
      <c r="A738" s="30"/>
      <c r="B738" s="30"/>
      <c r="C738" s="30"/>
      <c r="D738" s="30"/>
      <c r="E738" s="30"/>
      <c r="F738" s="30"/>
      <c r="G738" s="30"/>
      <c r="H738" s="30"/>
      <c r="I738" s="30"/>
      <c r="J738" s="30"/>
      <c r="K738" s="30"/>
      <c r="L738" s="30"/>
      <c r="M738" s="30"/>
      <c r="N738" s="30"/>
      <c r="O738" s="30"/>
      <c r="P738" s="30"/>
      <c r="Q738" s="30"/>
      <c r="R738" s="30"/>
      <c r="S738" s="30"/>
    </row>
    <row r="739" ht="15.75" customHeight="1">
      <c r="A739" s="30"/>
      <c r="B739" s="30"/>
      <c r="C739" s="30"/>
      <c r="D739" s="30"/>
      <c r="E739" s="30"/>
      <c r="F739" s="30"/>
      <c r="G739" s="30"/>
      <c r="H739" s="30"/>
      <c r="I739" s="30"/>
      <c r="J739" s="30"/>
      <c r="K739" s="30"/>
      <c r="L739" s="30"/>
      <c r="M739" s="30"/>
      <c r="N739" s="30"/>
      <c r="O739" s="30"/>
      <c r="P739" s="30"/>
      <c r="Q739" s="30"/>
      <c r="R739" s="30"/>
      <c r="S739" s="30"/>
    </row>
    <row r="740" ht="15.75" customHeight="1">
      <c r="A740" s="30"/>
      <c r="B740" s="30"/>
      <c r="C740" s="30"/>
      <c r="D740" s="30"/>
      <c r="E740" s="30"/>
      <c r="F740" s="30"/>
      <c r="G740" s="30"/>
      <c r="H740" s="30"/>
      <c r="I740" s="30"/>
      <c r="J740" s="30"/>
      <c r="K740" s="30"/>
      <c r="L740" s="30"/>
      <c r="M740" s="30"/>
      <c r="N740" s="30"/>
      <c r="O740" s="30"/>
      <c r="P740" s="30"/>
      <c r="Q740" s="30"/>
      <c r="R740" s="30"/>
      <c r="S740" s="30"/>
    </row>
    <row r="741" ht="15.75" customHeight="1">
      <c r="A741" s="30"/>
      <c r="B741" s="30"/>
      <c r="C741" s="30"/>
      <c r="D741" s="30"/>
      <c r="E741" s="30"/>
      <c r="F741" s="30"/>
      <c r="G741" s="30"/>
      <c r="H741" s="30"/>
      <c r="I741" s="30"/>
      <c r="J741" s="30"/>
      <c r="K741" s="30"/>
      <c r="L741" s="30"/>
      <c r="M741" s="30"/>
      <c r="N741" s="30"/>
      <c r="O741" s="30"/>
      <c r="P741" s="30"/>
      <c r="Q741" s="30"/>
      <c r="R741" s="30"/>
      <c r="S741" s="30"/>
    </row>
    <row r="742" ht="15.75" customHeight="1">
      <c r="A742" s="30"/>
      <c r="B742" s="30"/>
      <c r="C742" s="30"/>
      <c r="D742" s="30"/>
      <c r="E742" s="30"/>
      <c r="F742" s="30"/>
      <c r="G742" s="30"/>
      <c r="H742" s="30"/>
      <c r="I742" s="30"/>
      <c r="J742" s="30"/>
      <c r="K742" s="30"/>
      <c r="L742" s="30"/>
      <c r="M742" s="30"/>
      <c r="N742" s="30"/>
      <c r="O742" s="30"/>
      <c r="P742" s="30"/>
      <c r="Q742" s="30"/>
      <c r="R742" s="30"/>
      <c r="S742" s="30"/>
    </row>
    <row r="743" ht="15.75" customHeight="1">
      <c r="A743" s="30"/>
      <c r="B743" s="30"/>
      <c r="C743" s="30"/>
      <c r="D743" s="30"/>
      <c r="E743" s="30"/>
      <c r="F743" s="30"/>
      <c r="G743" s="30"/>
      <c r="H743" s="30"/>
      <c r="I743" s="30"/>
      <c r="J743" s="30"/>
      <c r="K743" s="30"/>
      <c r="L743" s="30"/>
      <c r="M743" s="30"/>
      <c r="N743" s="30"/>
      <c r="O743" s="30"/>
      <c r="P743" s="30"/>
      <c r="Q743" s="30"/>
      <c r="R743" s="30"/>
      <c r="S743" s="30"/>
    </row>
    <row r="744" ht="15.75" customHeight="1">
      <c r="A744" s="30"/>
      <c r="B744" s="30"/>
      <c r="C744" s="30"/>
      <c r="D744" s="30"/>
      <c r="E744" s="30"/>
      <c r="F744" s="30"/>
      <c r="G744" s="30"/>
      <c r="H744" s="30"/>
      <c r="I744" s="30"/>
      <c r="J744" s="30"/>
      <c r="K744" s="30"/>
      <c r="L744" s="30"/>
      <c r="M744" s="30"/>
      <c r="N744" s="30"/>
      <c r="O744" s="30"/>
      <c r="P744" s="30"/>
      <c r="Q744" s="30"/>
      <c r="R744" s="30"/>
      <c r="S744" s="30"/>
    </row>
    <row r="745" ht="15.75" customHeight="1">
      <c r="A745" s="30"/>
      <c r="B745" s="30"/>
      <c r="C745" s="30"/>
      <c r="D745" s="30"/>
      <c r="E745" s="30"/>
      <c r="F745" s="30"/>
      <c r="G745" s="30"/>
      <c r="H745" s="30"/>
      <c r="I745" s="30"/>
      <c r="J745" s="30"/>
      <c r="K745" s="30"/>
      <c r="L745" s="30"/>
      <c r="M745" s="30"/>
      <c r="N745" s="30"/>
      <c r="O745" s="30"/>
      <c r="P745" s="30"/>
      <c r="Q745" s="30"/>
      <c r="R745" s="30"/>
      <c r="S745" s="30"/>
    </row>
    <row r="746" ht="15.75" customHeight="1">
      <c r="A746" s="30"/>
      <c r="B746" s="30"/>
      <c r="C746" s="30"/>
      <c r="D746" s="30"/>
      <c r="E746" s="30"/>
      <c r="F746" s="30"/>
      <c r="G746" s="30"/>
      <c r="H746" s="30"/>
      <c r="I746" s="30"/>
      <c r="J746" s="30"/>
      <c r="K746" s="30"/>
      <c r="L746" s="30"/>
      <c r="M746" s="30"/>
      <c r="N746" s="30"/>
      <c r="O746" s="30"/>
      <c r="P746" s="30"/>
      <c r="Q746" s="30"/>
      <c r="R746" s="30"/>
      <c r="S746" s="30"/>
    </row>
    <row r="747" ht="15.75" customHeight="1">
      <c r="A747" s="30"/>
      <c r="B747" s="30"/>
      <c r="C747" s="30"/>
      <c r="D747" s="30"/>
      <c r="E747" s="30"/>
      <c r="F747" s="30"/>
      <c r="G747" s="30"/>
      <c r="H747" s="30"/>
      <c r="I747" s="30"/>
      <c r="J747" s="30"/>
      <c r="K747" s="30"/>
      <c r="L747" s="30"/>
      <c r="M747" s="30"/>
      <c r="N747" s="30"/>
      <c r="O747" s="30"/>
      <c r="P747" s="30"/>
      <c r="Q747" s="30"/>
      <c r="R747" s="30"/>
      <c r="S747" s="30"/>
    </row>
    <row r="748" ht="15.75" customHeight="1">
      <c r="A748" s="30"/>
      <c r="B748" s="30"/>
      <c r="C748" s="30"/>
      <c r="D748" s="30"/>
      <c r="E748" s="30"/>
      <c r="F748" s="30"/>
      <c r="G748" s="30"/>
      <c r="H748" s="30"/>
      <c r="I748" s="30"/>
      <c r="J748" s="30"/>
      <c r="K748" s="30"/>
      <c r="L748" s="30"/>
      <c r="M748" s="30"/>
      <c r="N748" s="30"/>
      <c r="O748" s="30"/>
      <c r="P748" s="30"/>
      <c r="Q748" s="30"/>
      <c r="R748" s="30"/>
      <c r="S748" s="30"/>
    </row>
    <row r="749" ht="15.75" customHeight="1">
      <c r="A749" s="30"/>
      <c r="B749" s="30"/>
      <c r="C749" s="30"/>
      <c r="D749" s="30"/>
      <c r="E749" s="30"/>
      <c r="F749" s="30"/>
      <c r="G749" s="30"/>
      <c r="H749" s="30"/>
      <c r="I749" s="30"/>
      <c r="J749" s="30"/>
      <c r="K749" s="30"/>
      <c r="L749" s="30"/>
      <c r="M749" s="30"/>
      <c r="N749" s="30"/>
      <c r="O749" s="30"/>
      <c r="P749" s="30"/>
      <c r="Q749" s="30"/>
      <c r="R749" s="30"/>
      <c r="S749" s="30"/>
    </row>
    <row r="750" ht="15.75" customHeight="1">
      <c r="A750" s="30"/>
      <c r="B750" s="30"/>
      <c r="C750" s="30"/>
      <c r="D750" s="30"/>
      <c r="E750" s="30"/>
      <c r="F750" s="30"/>
      <c r="G750" s="30"/>
      <c r="H750" s="30"/>
      <c r="I750" s="30"/>
      <c r="J750" s="30"/>
      <c r="K750" s="30"/>
      <c r="L750" s="30"/>
      <c r="M750" s="30"/>
      <c r="N750" s="30"/>
      <c r="O750" s="30"/>
      <c r="P750" s="30"/>
      <c r="Q750" s="30"/>
      <c r="R750" s="30"/>
      <c r="S750" s="30"/>
    </row>
    <row r="751" ht="15.75" customHeight="1">
      <c r="A751" s="30"/>
      <c r="B751" s="30"/>
      <c r="C751" s="30"/>
      <c r="D751" s="30"/>
      <c r="E751" s="30"/>
      <c r="F751" s="30"/>
      <c r="G751" s="30"/>
      <c r="H751" s="30"/>
      <c r="I751" s="30"/>
      <c r="J751" s="30"/>
      <c r="K751" s="30"/>
      <c r="L751" s="30"/>
      <c r="M751" s="30"/>
      <c r="N751" s="30"/>
      <c r="O751" s="30"/>
      <c r="P751" s="30"/>
      <c r="Q751" s="30"/>
      <c r="R751" s="30"/>
      <c r="S751" s="30"/>
    </row>
    <row r="752" ht="15.75" customHeight="1">
      <c r="A752" s="30"/>
      <c r="B752" s="30"/>
      <c r="C752" s="30"/>
      <c r="D752" s="30"/>
      <c r="E752" s="30"/>
      <c r="F752" s="30"/>
      <c r="G752" s="30"/>
      <c r="H752" s="30"/>
      <c r="I752" s="30"/>
      <c r="J752" s="30"/>
      <c r="K752" s="30"/>
      <c r="L752" s="30"/>
      <c r="M752" s="30"/>
      <c r="N752" s="30"/>
      <c r="O752" s="30"/>
      <c r="P752" s="30"/>
      <c r="Q752" s="30"/>
      <c r="R752" s="30"/>
      <c r="S752" s="30"/>
    </row>
    <row r="753" ht="15.75" customHeight="1">
      <c r="A753" s="30"/>
      <c r="B753" s="30"/>
      <c r="C753" s="30"/>
      <c r="D753" s="30"/>
      <c r="E753" s="30"/>
      <c r="F753" s="30"/>
      <c r="G753" s="30"/>
      <c r="H753" s="30"/>
      <c r="I753" s="30"/>
      <c r="J753" s="30"/>
      <c r="K753" s="30"/>
      <c r="L753" s="30"/>
      <c r="M753" s="30"/>
      <c r="N753" s="30"/>
      <c r="O753" s="30"/>
      <c r="P753" s="30"/>
      <c r="Q753" s="30"/>
      <c r="R753" s="30"/>
      <c r="S753" s="30"/>
    </row>
    <row r="754" ht="15.75" customHeight="1">
      <c r="A754" s="30"/>
      <c r="B754" s="30"/>
      <c r="C754" s="30"/>
      <c r="D754" s="30"/>
      <c r="E754" s="30"/>
      <c r="F754" s="30"/>
      <c r="G754" s="30"/>
      <c r="H754" s="30"/>
      <c r="I754" s="30"/>
      <c r="J754" s="30"/>
      <c r="K754" s="30"/>
      <c r="L754" s="30"/>
      <c r="M754" s="30"/>
      <c r="N754" s="30"/>
      <c r="O754" s="30"/>
      <c r="P754" s="30"/>
      <c r="Q754" s="30"/>
      <c r="R754" s="30"/>
      <c r="S754" s="30"/>
    </row>
    <row r="755" ht="15.75" customHeight="1">
      <c r="A755" s="30"/>
      <c r="B755" s="30"/>
      <c r="C755" s="30"/>
      <c r="D755" s="30"/>
      <c r="E755" s="30"/>
      <c r="F755" s="30"/>
      <c r="G755" s="30"/>
      <c r="H755" s="30"/>
      <c r="I755" s="30"/>
      <c r="J755" s="30"/>
      <c r="K755" s="30"/>
      <c r="L755" s="30"/>
      <c r="M755" s="30"/>
      <c r="N755" s="30"/>
      <c r="O755" s="30"/>
      <c r="P755" s="30"/>
      <c r="Q755" s="30"/>
      <c r="R755" s="30"/>
      <c r="S755" s="30"/>
    </row>
    <row r="756" ht="15.75" customHeight="1">
      <c r="A756" s="30"/>
      <c r="B756" s="30"/>
      <c r="C756" s="30"/>
      <c r="D756" s="30"/>
      <c r="E756" s="30"/>
      <c r="F756" s="30"/>
      <c r="G756" s="30"/>
      <c r="H756" s="30"/>
      <c r="I756" s="30"/>
      <c r="J756" s="30"/>
      <c r="K756" s="30"/>
      <c r="L756" s="30"/>
      <c r="M756" s="30"/>
      <c r="N756" s="30"/>
      <c r="O756" s="30"/>
      <c r="P756" s="30"/>
      <c r="Q756" s="30"/>
      <c r="R756" s="30"/>
      <c r="S756" s="30"/>
    </row>
    <row r="757" ht="15.75" customHeight="1">
      <c r="A757" s="30"/>
      <c r="B757" s="30"/>
      <c r="C757" s="30"/>
      <c r="D757" s="30"/>
      <c r="E757" s="30"/>
      <c r="F757" s="30"/>
      <c r="G757" s="30"/>
      <c r="H757" s="30"/>
      <c r="I757" s="30"/>
      <c r="J757" s="30"/>
      <c r="K757" s="30"/>
      <c r="L757" s="30"/>
      <c r="M757" s="30"/>
      <c r="N757" s="30"/>
      <c r="O757" s="30"/>
      <c r="P757" s="30"/>
      <c r="Q757" s="30"/>
      <c r="R757" s="30"/>
      <c r="S757" s="30"/>
    </row>
    <row r="758" ht="15.75" customHeight="1">
      <c r="A758" s="30"/>
      <c r="B758" s="30"/>
      <c r="C758" s="30"/>
      <c r="D758" s="30"/>
      <c r="E758" s="30"/>
      <c r="F758" s="30"/>
      <c r="G758" s="30"/>
      <c r="H758" s="30"/>
      <c r="I758" s="30"/>
      <c r="J758" s="30"/>
      <c r="K758" s="30"/>
      <c r="L758" s="30"/>
      <c r="M758" s="30"/>
      <c r="N758" s="30"/>
      <c r="O758" s="30"/>
      <c r="P758" s="30"/>
      <c r="Q758" s="30"/>
      <c r="R758" s="30"/>
      <c r="S758" s="30"/>
    </row>
    <row r="759" ht="15.75" customHeight="1">
      <c r="A759" s="30"/>
      <c r="B759" s="30"/>
      <c r="C759" s="30"/>
      <c r="D759" s="30"/>
      <c r="E759" s="30"/>
      <c r="F759" s="30"/>
      <c r="G759" s="30"/>
      <c r="H759" s="30"/>
      <c r="I759" s="30"/>
      <c r="J759" s="30"/>
      <c r="K759" s="30"/>
      <c r="L759" s="30"/>
      <c r="M759" s="30"/>
      <c r="N759" s="30"/>
      <c r="O759" s="30"/>
      <c r="P759" s="30"/>
      <c r="Q759" s="30"/>
      <c r="R759" s="30"/>
      <c r="S759" s="30"/>
    </row>
    <row r="760" ht="15.75" customHeight="1">
      <c r="A760" s="30"/>
      <c r="B760" s="30"/>
      <c r="C760" s="30"/>
      <c r="D760" s="30"/>
      <c r="E760" s="30"/>
      <c r="F760" s="30"/>
      <c r="G760" s="30"/>
      <c r="H760" s="30"/>
      <c r="I760" s="30"/>
      <c r="J760" s="30"/>
      <c r="K760" s="30"/>
      <c r="L760" s="30"/>
      <c r="M760" s="30"/>
      <c r="N760" s="30"/>
      <c r="O760" s="30"/>
      <c r="P760" s="30"/>
      <c r="Q760" s="30"/>
      <c r="R760" s="30"/>
      <c r="S760" s="30"/>
    </row>
    <row r="761" ht="15.75" customHeight="1">
      <c r="A761" s="30"/>
      <c r="B761" s="30"/>
      <c r="C761" s="30"/>
      <c r="D761" s="30"/>
      <c r="E761" s="30"/>
      <c r="F761" s="30"/>
      <c r="G761" s="30"/>
      <c r="H761" s="30"/>
      <c r="I761" s="30"/>
      <c r="J761" s="30"/>
      <c r="K761" s="30"/>
      <c r="L761" s="30"/>
      <c r="M761" s="30"/>
      <c r="N761" s="30"/>
      <c r="O761" s="30"/>
      <c r="P761" s="30"/>
      <c r="Q761" s="30"/>
      <c r="R761" s="30"/>
      <c r="S761" s="30"/>
    </row>
    <row r="762" ht="15.75" customHeight="1">
      <c r="A762" s="30"/>
      <c r="B762" s="30"/>
      <c r="C762" s="30"/>
      <c r="D762" s="30"/>
      <c r="E762" s="30"/>
      <c r="F762" s="30"/>
      <c r="G762" s="30"/>
      <c r="H762" s="30"/>
      <c r="I762" s="30"/>
      <c r="J762" s="30"/>
      <c r="K762" s="30"/>
      <c r="L762" s="30"/>
      <c r="M762" s="30"/>
      <c r="N762" s="30"/>
      <c r="O762" s="30"/>
      <c r="P762" s="30"/>
      <c r="Q762" s="30"/>
      <c r="R762" s="30"/>
      <c r="S762" s="30"/>
    </row>
    <row r="763" ht="15.75" customHeight="1">
      <c r="A763" s="30"/>
      <c r="B763" s="30"/>
      <c r="C763" s="30"/>
      <c r="D763" s="30"/>
      <c r="E763" s="30"/>
      <c r="F763" s="30"/>
      <c r="G763" s="30"/>
      <c r="H763" s="30"/>
      <c r="I763" s="30"/>
      <c r="J763" s="30"/>
      <c r="K763" s="30"/>
      <c r="L763" s="30"/>
      <c r="M763" s="30"/>
      <c r="N763" s="30"/>
      <c r="O763" s="30"/>
      <c r="P763" s="30"/>
      <c r="Q763" s="30"/>
      <c r="R763" s="30"/>
      <c r="S763" s="30"/>
    </row>
    <row r="764" ht="15.75" customHeight="1">
      <c r="A764" s="30"/>
      <c r="B764" s="30"/>
      <c r="C764" s="30"/>
      <c r="D764" s="30"/>
      <c r="E764" s="30"/>
      <c r="F764" s="30"/>
      <c r="G764" s="30"/>
      <c r="H764" s="30"/>
      <c r="I764" s="30"/>
      <c r="J764" s="30"/>
      <c r="K764" s="30"/>
      <c r="L764" s="30"/>
      <c r="M764" s="30"/>
      <c r="N764" s="30"/>
      <c r="O764" s="30"/>
      <c r="P764" s="30"/>
      <c r="Q764" s="30"/>
      <c r="R764" s="30"/>
      <c r="S764" s="30"/>
    </row>
    <row r="765" ht="15.75" customHeight="1">
      <c r="A765" s="30"/>
      <c r="B765" s="30"/>
      <c r="C765" s="30"/>
      <c r="D765" s="30"/>
      <c r="E765" s="30"/>
      <c r="F765" s="30"/>
      <c r="G765" s="30"/>
      <c r="H765" s="30"/>
      <c r="I765" s="30"/>
      <c r="J765" s="30"/>
      <c r="K765" s="30"/>
      <c r="L765" s="30"/>
      <c r="M765" s="30"/>
      <c r="N765" s="30"/>
      <c r="O765" s="30"/>
      <c r="P765" s="30"/>
      <c r="Q765" s="30"/>
      <c r="R765" s="30"/>
      <c r="S765" s="30"/>
    </row>
    <row r="766" ht="15.75" customHeight="1">
      <c r="A766" s="30"/>
      <c r="B766" s="30"/>
      <c r="C766" s="30"/>
      <c r="D766" s="30"/>
      <c r="E766" s="30"/>
      <c r="F766" s="30"/>
      <c r="G766" s="30"/>
      <c r="H766" s="30"/>
      <c r="I766" s="30"/>
      <c r="J766" s="30"/>
      <c r="K766" s="30"/>
      <c r="L766" s="30"/>
      <c r="M766" s="30"/>
      <c r="N766" s="30"/>
      <c r="O766" s="30"/>
      <c r="P766" s="30"/>
      <c r="Q766" s="30"/>
      <c r="R766" s="30"/>
      <c r="S766" s="30"/>
    </row>
    <row r="767" ht="15.75" customHeight="1">
      <c r="A767" s="30"/>
      <c r="B767" s="30"/>
      <c r="C767" s="30"/>
      <c r="D767" s="30"/>
      <c r="E767" s="30"/>
      <c r="F767" s="30"/>
      <c r="G767" s="30"/>
      <c r="H767" s="30"/>
      <c r="I767" s="30"/>
      <c r="J767" s="30"/>
      <c r="K767" s="30"/>
      <c r="L767" s="30"/>
      <c r="M767" s="30"/>
      <c r="N767" s="30"/>
      <c r="O767" s="30"/>
      <c r="P767" s="30"/>
      <c r="Q767" s="30"/>
      <c r="R767" s="30"/>
      <c r="S767" s="30"/>
    </row>
    <row r="768" ht="15.75" customHeight="1">
      <c r="A768" s="30"/>
      <c r="B768" s="30"/>
      <c r="C768" s="30"/>
      <c r="D768" s="30"/>
      <c r="E768" s="30"/>
      <c r="F768" s="30"/>
      <c r="G768" s="30"/>
      <c r="H768" s="30"/>
      <c r="I768" s="30"/>
      <c r="J768" s="30"/>
      <c r="K768" s="30"/>
      <c r="L768" s="30"/>
      <c r="M768" s="30"/>
      <c r="N768" s="30"/>
      <c r="O768" s="30"/>
      <c r="P768" s="30"/>
      <c r="Q768" s="30"/>
      <c r="R768" s="30"/>
      <c r="S768" s="30"/>
    </row>
    <row r="769" ht="15.75" customHeight="1">
      <c r="A769" s="30"/>
      <c r="B769" s="30"/>
      <c r="C769" s="30"/>
      <c r="D769" s="30"/>
      <c r="E769" s="30"/>
      <c r="F769" s="30"/>
      <c r="G769" s="30"/>
      <c r="H769" s="30"/>
      <c r="I769" s="30"/>
      <c r="J769" s="30"/>
      <c r="K769" s="30"/>
      <c r="L769" s="30"/>
      <c r="M769" s="30"/>
      <c r="N769" s="30"/>
      <c r="O769" s="30"/>
      <c r="P769" s="30"/>
      <c r="Q769" s="30"/>
      <c r="R769" s="30"/>
      <c r="S769" s="30"/>
    </row>
    <row r="770" ht="15.75" customHeight="1">
      <c r="A770" s="30"/>
      <c r="B770" s="30"/>
      <c r="C770" s="30"/>
      <c r="D770" s="30"/>
      <c r="E770" s="30"/>
      <c r="F770" s="30"/>
      <c r="G770" s="30"/>
      <c r="H770" s="30"/>
      <c r="I770" s="30"/>
      <c r="J770" s="30"/>
      <c r="K770" s="30"/>
      <c r="L770" s="30"/>
      <c r="M770" s="30"/>
      <c r="N770" s="30"/>
      <c r="O770" s="30"/>
      <c r="P770" s="30"/>
      <c r="Q770" s="30"/>
      <c r="R770" s="30"/>
      <c r="S770" s="30"/>
    </row>
    <row r="771" ht="15.75" customHeight="1">
      <c r="A771" s="30"/>
      <c r="B771" s="30"/>
      <c r="C771" s="30"/>
      <c r="D771" s="30"/>
      <c r="E771" s="30"/>
      <c r="F771" s="30"/>
      <c r="G771" s="30"/>
      <c r="H771" s="30"/>
      <c r="I771" s="30"/>
      <c r="J771" s="30"/>
      <c r="K771" s="30"/>
      <c r="L771" s="30"/>
      <c r="M771" s="30"/>
      <c r="N771" s="30"/>
      <c r="O771" s="30"/>
      <c r="P771" s="30"/>
      <c r="Q771" s="30"/>
      <c r="R771" s="30"/>
      <c r="S771" s="30"/>
    </row>
    <row r="772" ht="15.75" customHeight="1">
      <c r="A772" s="30"/>
      <c r="B772" s="30"/>
      <c r="C772" s="30"/>
      <c r="D772" s="30"/>
      <c r="E772" s="30"/>
      <c r="F772" s="30"/>
      <c r="G772" s="30"/>
      <c r="H772" s="30"/>
      <c r="I772" s="30"/>
      <c r="J772" s="30"/>
      <c r="K772" s="30"/>
      <c r="L772" s="30"/>
      <c r="M772" s="30"/>
      <c r="N772" s="30"/>
      <c r="O772" s="30"/>
      <c r="P772" s="30"/>
      <c r="Q772" s="30"/>
      <c r="R772" s="30"/>
      <c r="S772" s="30"/>
    </row>
    <row r="773" ht="15.75" customHeight="1">
      <c r="A773" s="30"/>
      <c r="B773" s="30"/>
      <c r="C773" s="30"/>
      <c r="D773" s="30"/>
      <c r="E773" s="30"/>
      <c r="F773" s="30"/>
      <c r="G773" s="30"/>
      <c r="H773" s="30"/>
      <c r="I773" s="30"/>
      <c r="J773" s="30"/>
      <c r="K773" s="30"/>
      <c r="L773" s="30"/>
      <c r="M773" s="30"/>
      <c r="N773" s="30"/>
      <c r="O773" s="30"/>
      <c r="P773" s="30"/>
      <c r="Q773" s="30"/>
      <c r="R773" s="30"/>
      <c r="S773" s="30"/>
    </row>
    <row r="774" ht="15.75" customHeight="1">
      <c r="A774" s="30"/>
      <c r="B774" s="30"/>
      <c r="C774" s="30"/>
      <c r="D774" s="30"/>
      <c r="E774" s="30"/>
      <c r="F774" s="30"/>
      <c r="G774" s="30"/>
      <c r="H774" s="30"/>
      <c r="I774" s="30"/>
      <c r="J774" s="30"/>
      <c r="K774" s="30"/>
      <c r="L774" s="30"/>
      <c r="M774" s="30"/>
      <c r="N774" s="30"/>
      <c r="O774" s="30"/>
      <c r="P774" s="30"/>
      <c r="Q774" s="30"/>
      <c r="R774" s="30"/>
      <c r="S774" s="30"/>
    </row>
    <row r="775" ht="15.75" customHeight="1">
      <c r="A775" s="30"/>
      <c r="B775" s="30"/>
      <c r="C775" s="30"/>
      <c r="D775" s="30"/>
      <c r="E775" s="30"/>
      <c r="F775" s="30"/>
      <c r="G775" s="30"/>
      <c r="H775" s="30"/>
      <c r="I775" s="30"/>
      <c r="J775" s="30"/>
      <c r="K775" s="30"/>
      <c r="L775" s="30"/>
      <c r="M775" s="30"/>
      <c r="N775" s="30"/>
      <c r="O775" s="30"/>
      <c r="P775" s="30"/>
      <c r="Q775" s="30"/>
      <c r="R775" s="30"/>
      <c r="S775" s="30"/>
    </row>
    <row r="776" ht="15.75" customHeight="1">
      <c r="A776" s="30"/>
      <c r="B776" s="30"/>
      <c r="C776" s="30"/>
      <c r="D776" s="30"/>
      <c r="E776" s="30"/>
      <c r="F776" s="30"/>
      <c r="G776" s="30"/>
      <c r="H776" s="30"/>
      <c r="I776" s="30"/>
      <c r="J776" s="30"/>
      <c r="K776" s="30"/>
      <c r="L776" s="30"/>
      <c r="M776" s="30"/>
      <c r="N776" s="30"/>
      <c r="O776" s="30"/>
      <c r="P776" s="30"/>
      <c r="Q776" s="30"/>
      <c r="R776" s="30"/>
      <c r="S776" s="30"/>
    </row>
    <row r="777" ht="15.75" customHeight="1">
      <c r="A777" s="30"/>
      <c r="B777" s="30"/>
      <c r="C777" s="30"/>
      <c r="D777" s="30"/>
      <c r="E777" s="30"/>
      <c r="F777" s="30"/>
      <c r="G777" s="30"/>
      <c r="H777" s="30"/>
      <c r="I777" s="30"/>
      <c r="J777" s="30"/>
      <c r="K777" s="30"/>
      <c r="L777" s="30"/>
      <c r="M777" s="30"/>
      <c r="N777" s="30"/>
      <c r="O777" s="30"/>
      <c r="P777" s="30"/>
      <c r="Q777" s="30"/>
      <c r="R777" s="30"/>
      <c r="S777" s="30"/>
    </row>
    <row r="778" ht="15.75" customHeight="1">
      <c r="A778" s="30"/>
      <c r="B778" s="30"/>
      <c r="C778" s="30"/>
      <c r="D778" s="30"/>
      <c r="E778" s="30"/>
      <c r="F778" s="30"/>
      <c r="G778" s="30"/>
      <c r="H778" s="30"/>
      <c r="I778" s="30"/>
      <c r="J778" s="30"/>
      <c r="K778" s="30"/>
      <c r="L778" s="30"/>
      <c r="M778" s="30"/>
      <c r="N778" s="30"/>
      <c r="O778" s="30"/>
      <c r="P778" s="30"/>
      <c r="Q778" s="30"/>
      <c r="R778" s="30"/>
      <c r="S778" s="30"/>
    </row>
    <row r="779" ht="15.75" customHeight="1">
      <c r="A779" s="30"/>
      <c r="B779" s="30"/>
      <c r="C779" s="30"/>
      <c r="D779" s="30"/>
      <c r="E779" s="30"/>
      <c r="F779" s="30"/>
      <c r="G779" s="30"/>
      <c r="H779" s="30"/>
      <c r="I779" s="30"/>
      <c r="J779" s="30"/>
      <c r="K779" s="30"/>
      <c r="L779" s="30"/>
      <c r="M779" s="30"/>
      <c r="N779" s="30"/>
      <c r="O779" s="30"/>
      <c r="P779" s="30"/>
      <c r="Q779" s="30"/>
      <c r="R779" s="30"/>
      <c r="S779" s="30"/>
    </row>
    <row r="780" ht="15.75" customHeight="1">
      <c r="A780" s="30"/>
      <c r="B780" s="30"/>
      <c r="C780" s="30"/>
      <c r="D780" s="30"/>
      <c r="E780" s="30"/>
      <c r="F780" s="30"/>
      <c r="G780" s="30"/>
      <c r="H780" s="30"/>
      <c r="I780" s="30"/>
      <c r="J780" s="30"/>
      <c r="K780" s="30"/>
      <c r="L780" s="30"/>
      <c r="M780" s="30"/>
      <c r="N780" s="30"/>
      <c r="O780" s="30"/>
      <c r="P780" s="30"/>
      <c r="Q780" s="30"/>
      <c r="R780" s="30"/>
      <c r="S780" s="30"/>
    </row>
    <row r="781" ht="15.75" customHeight="1">
      <c r="A781" s="30"/>
      <c r="B781" s="30"/>
      <c r="C781" s="30"/>
      <c r="D781" s="30"/>
      <c r="E781" s="30"/>
      <c r="F781" s="30"/>
      <c r="G781" s="30"/>
      <c r="H781" s="30"/>
      <c r="I781" s="30"/>
      <c r="J781" s="30"/>
      <c r="K781" s="30"/>
      <c r="L781" s="30"/>
      <c r="M781" s="30"/>
      <c r="N781" s="30"/>
      <c r="O781" s="30"/>
      <c r="P781" s="30"/>
      <c r="Q781" s="30"/>
      <c r="R781" s="30"/>
      <c r="S781" s="30"/>
    </row>
    <row r="782" ht="15.75" customHeight="1">
      <c r="A782" s="30"/>
      <c r="B782" s="30"/>
      <c r="C782" s="30"/>
      <c r="D782" s="30"/>
      <c r="E782" s="30"/>
      <c r="F782" s="30"/>
      <c r="G782" s="30"/>
      <c r="H782" s="30"/>
      <c r="I782" s="30"/>
      <c r="J782" s="30"/>
      <c r="K782" s="30"/>
      <c r="L782" s="30"/>
      <c r="M782" s="30"/>
      <c r="N782" s="30"/>
      <c r="O782" s="30"/>
      <c r="P782" s="30"/>
      <c r="Q782" s="30"/>
      <c r="R782" s="30"/>
      <c r="S782" s="30"/>
    </row>
    <row r="783" ht="15.75" customHeight="1">
      <c r="A783" s="30"/>
      <c r="B783" s="30"/>
      <c r="C783" s="30"/>
      <c r="D783" s="30"/>
      <c r="E783" s="30"/>
      <c r="F783" s="30"/>
      <c r="G783" s="30"/>
      <c r="H783" s="30"/>
      <c r="I783" s="30"/>
      <c r="J783" s="30"/>
      <c r="K783" s="30"/>
      <c r="L783" s="30"/>
      <c r="M783" s="30"/>
      <c r="N783" s="30"/>
      <c r="O783" s="30"/>
      <c r="P783" s="30"/>
      <c r="Q783" s="30"/>
      <c r="R783" s="30"/>
      <c r="S783" s="30"/>
    </row>
    <row r="784" ht="15.75" customHeight="1">
      <c r="A784" s="30"/>
      <c r="B784" s="30"/>
      <c r="C784" s="30"/>
      <c r="D784" s="30"/>
      <c r="E784" s="30"/>
      <c r="F784" s="30"/>
      <c r="G784" s="30"/>
      <c r="H784" s="30"/>
      <c r="I784" s="30"/>
      <c r="J784" s="30"/>
      <c r="K784" s="30"/>
      <c r="L784" s="30"/>
      <c r="M784" s="30"/>
      <c r="N784" s="30"/>
      <c r="O784" s="30"/>
      <c r="P784" s="30"/>
      <c r="Q784" s="30"/>
      <c r="R784" s="30"/>
      <c r="S784" s="30"/>
    </row>
    <row r="785" ht="15.75" customHeight="1">
      <c r="A785" s="30"/>
      <c r="B785" s="30"/>
      <c r="C785" s="30"/>
      <c r="D785" s="30"/>
      <c r="E785" s="30"/>
      <c r="F785" s="30"/>
      <c r="G785" s="30"/>
      <c r="H785" s="30"/>
      <c r="I785" s="30"/>
      <c r="J785" s="30"/>
      <c r="K785" s="30"/>
      <c r="L785" s="30"/>
      <c r="M785" s="30"/>
      <c r="N785" s="30"/>
      <c r="O785" s="30"/>
      <c r="P785" s="30"/>
      <c r="Q785" s="30"/>
      <c r="R785" s="30"/>
      <c r="S785" s="30"/>
    </row>
    <row r="786" ht="15.75" customHeight="1">
      <c r="A786" s="30"/>
      <c r="B786" s="30"/>
      <c r="C786" s="30"/>
      <c r="D786" s="30"/>
      <c r="E786" s="30"/>
      <c r="F786" s="30"/>
      <c r="G786" s="30"/>
      <c r="H786" s="30"/>
      <c r="I786" s="30"/>
      <c r="J786" s="30"/>
      <c r="K786" s="30"/>
      <c r="L786" s="30"/>
      <c r="M786" s="30"/>
      <c r="N786" s="30"/>
      <c r="O786" s="30"/>
      <c r="P786" s="30"/>
      <c r="Q786" s="30"/>
      <c r="R786" s="30"/>
      <c r="S786" s="30"/>
    </row>
    <row r="787" ht="15.75" customHeight="1">
      <c r="A787" s="30"/>
      <c r="B787" s="30"/>
      <c r="C787" s="30"/>
      <c r="D787" s="30"/>
      <c r="E787" s="30"/>
      <c r="F787" s="30"/>
      <c r="G787" s="30"/>
      <c r="H787" s="30"/>
      <c r="I787" s="30"/>
      <c r="J787" s="30"/>
      <c r="K787" s="30"/>
      <c r="L787" s="30"/>
      <c r="M787" s="30"/>
      <c r="N787" s="30"/>
      <c r="O787" s="30"/>
      <c r="P787" s="30"/>
      <c r="Q787" s="30"/>
      <c r="R787" s="30"/>
      <c r="S787" s="30"/>
    </row>
    <row r="788" ht="15.75" customHeight="1">
      <c r="A788" s="30"/>
      <c r="B788" s="30"/>
      <c r="C788" s="30"/>
      <c r="D788" s="30"/>
      <c r="E788" s="30"/>
      <c r="F788" s="30"/>
      <c r="G788" s="30"/>
      <c r="H788" s="30"/>
      <c r="I788" s="30"/>
      <c r="J788" s="30"/>
      <c r="K788" s="30"/>
      <c r="L788" s="30"/>
      <c r="M788" s="30"/>
      <c r="N788" s="30"/>
      <c r="O788" s="30"/>
      <c r="P788" s="30"/>
      <c r="Q788" s="30"/>
      <c r="R788" s="30"/>
      <c r="S788" s="30"/>
    </row>
    <row r="789" ht="15.75" customHeight="1">
      <c r="A789" s="30"/>
      <c r="B789" s="30"/>
      <c r="C789" s="30"/>
      <c r="D789" s="30"/>
      <c r="E789" s="30"/>
      <c r="F789" s="30"/>
      <c r="G789" s="30"/>
      <c r="H789" s="30"/>
      <c r="I789" s="30"/>
      <c r="J789" s="30"/>
      <c r="K789" s="30"/>
      <c r="L789" s="30"/>
      <c r="M789" s="30"/>
      <c r="N789" s="30"/>
      <c r="O789" s="30"/>
      <c r="P789" s="30"/>
      <c r="Q789" s="30"/>
      <c r="R789" s="30"/>
      <c r="S789" s="30"/>
    </row>
    <row r="790" ht="15.75" customHeight="1">
      <c r="A790" s="30"/>
      <c r="B790" s="30"/>
      <c r="C790" s="30"/>
      <c r="D790" s="30"/>
      <c r="E790" s="30"/>
      <c r="F790" s="30"/>
      <c r="G790" s="30"/>
      <c r="H790" s="30"/>
      <c r="I790" s="30"/>
      <c r="J790" s="30"/>
      <c r="K790" s="30"/>
      <c r="L790" s="30"/>
      <c r="M790" s="30"/>
      <c r="N790" s="30"/>
      <c r="O790" s="30"/>
      <c r="P790" s="30"/>
      <c r="Q790" s="30"/>
      <c r="R790" s="30"/>
      <c r="S790" s="30"/>
    </row>
    <row r="791" ht="15.75" customHeight="1">
      <c r="A791" s="30"/>
      <c r="B791" s="30"/>
      <c r="C791" s="30"/>
      <c r="D791" s="30"/>
      <c r="E791" s="30"/>
      <c r="F791" s="30"/>
      <c r="G791" s="30"/>
      <c r="H791" s="30"/>
      <c r="I791" s="30"/>
      <c r="J791" s="30"/>
      <c r="K791" s="30"/>
      <c r="L791" s="30"/>
      <c r="M791" s="30"/>
      <c r="N791" s="30"/>
      <c r="O791" s="30"/>
      <c r="P791" s="30"/>
      <c r="Q791" s="30"/>
      <c r="R791" s="30"/>
      <c r="S791" s="30"/>
    </row>
    <row r="792" ht="15.75" customHeight="1">
      <c r="A792" s="30"/>
      <c r="B792" s="30"/>
      <c r="C792" s="30"/>
      <c r="D792" s="30"/>
      <c r="E792" s="30"/>
      <c r="F792" s="30"/>
      <c r="G792" s="30"/>
      <c r="H792" s="30"/>
      <c r="I792" s="30"/>
      <c r="J792" s="30"/>
      <c r="K792" s="30"/>
      <c r="L792" s="30"/>
      <c r="M792" s="30"/>
      <c r="N792" s="30"/>
      <c r="O792" s="30"/>
      <c r="P792" s="30"/>
      <c r="Q792" s="30"/>
      <c r="R792" s="30"/>
      <c r="S792" s="30"/>
    </row>
    <row r="793" ht="15.75" customHeight="1">
      <c r="A793" s="30"/>
      <c r="B793" s="30"/>
      <c r="C793" s="30"/>
      <c r="D793" s="30"/>
      <c r="E793" s="30"/>
      <c r="F793" s="30"/>
      <c r="G793" s="30"/>
      <c r="H793" s="30"/>
      <c r="I793" s="30"/>
      <c r="J793" s="30"/>
      <c r="K793" s="30"/>
      <c r="L793" s="30"/>
      <c r="M793" s="30"/>
      <c r="N793" s="30"/>
      <c r="O793" s="30"/>
      <c r="P793" s="30"/>
      <c r="Q793" s="30"/>
      <c r="R793" s="30"/>
      <c r="S793" s="30"/>
    </row>
    <row r="794" ht="15.75" customHeight="1">
      <c r="A794" s="30"/>
      <c r="B794" s="30"/>
      <c r="C794" s="30"/>
      <c r="D794" s="30"/>
      <c r="E794" s="30"/>
      <c r="F794" s="30"/>
      <c r="G794" s="30"/>
      <c r="H794" s="30"/>
      <c r="I794" s="30"/>
      <c r="J794" s="30"/>
      <c r="K794" s="30"/>
      <c r="L794" s="30"/>
      <c r="M794" s="30"/>
      <c r="N794" s="30"/>
      <c r="O794" s="30"/>
      <c r="P794" s="30"/>
      <c r="Q794" s="30"/>
      <c r="R794" s="30"/>
      <c r="S794" s="30"/>
    </row>
    <row r="795" ht="15.75" customHeight="1">
      <c r="A795" s="30"/>
      <c r="B795" s="30"/>
      <c r="C795" s="30"/>
      <c r="D795" s="30"/>
      <c r="E795" s="30"/>
      <c r="F795" s="30"/>
      <c r="G795" s="30"/>
      <c r="H795" s="30"/>
      <c r="I795" s="30"/>
      <c r="J795" s="30"/>
      <c r="K795" s="30"/>
      <c r="L795" s="30"/>
      <c r="M795" s="30"/>
      <c r="N795" s="30"/>
      <c r="O795" s="30"/>
      <c r="P795" s="30"/>
      <c r="Q795" s="30"/>
      <c r="R795" s="30"/>
      <c r="S795" s="30"/>
    </row>
    <row r="796" ht="15.75" customHeight="1">
      <c r="A796" s="30"/>
      <c r="B796" s="30"/>
      <c r="C796" s="30"/>
      <c r="D796" s="30"/>
      <c r="E796" s="30"/>
      <c r="F796" s="30"/>
      <c r="G796" s="30"/>
      <c r="H796" s="30"/>
      <c r="I796" s="30"/>
      <c r="J796" s="30"/>
      <c r="K796" s="30"/>
      <c r="L796" s="30"/>
      <c r="M796" s="30"/>
      <c r="N796" s="30"/>
      <c r="O796" s="30"/>
      <c r="P796" s="30"/>
      <c r="Q796" s="30"/>
      <c r="R796" s="30"/>
      <c r="S796" s="30"/>
    </row>
    <row r="797" ht="15.75" customHeight="1">
      <c r="A797" s="30"/>
      <c r="B797" s="30"/>
      <c r="C797" s="30"/>
      <c r="D797" s="30"/>
      <c r="E797" s="30"/>
      <c r="F797" s="30"/>
      <c r="G797" s="30"/>
      <c r="H797" s="30"/>
      <c r="I797" s="30"/>
      <c r="J797" s="30"/>
      <c r="K797" s="30"/>
      <c r="L797" s="30"/>
      <c r="M797" s="30"/>
      <c r="N797" s="30"/>
      <c r="O797" s="30"/>
      <c r="P797" s="30"/>
      <c r="Q797" s="30"/>
      <c r="R797" s="30"/>
      <c r="S797" s="30"/>
    </row>
    <row r="798" ht="15.75" customHeight="1">
      <c r="A798" s="30"/>
      <c r="B798" s="30"/>
      <c r="C798" s="30"/>
      <c r="D798" s="30"/>
      <c r="E798" s="30"/>
      <c r="F798" s="30"/>
      <c r="G798" s="30"/>
      <c r="H798" s="30"/>
      <c r="I798" s="30"/>
      <c r="J798" s="30"/>
      <c r="K798" s="30"/>
      <c r="L798" s="30"/>
      <c r="M798" s="30"/>
      <c r="N798" s="30"/>
      <c r="O798" s="30"/>
      <c r="P798" s="30"/>
      <c r="Q798" s="30"/>
      <c r="R798" s="30"/>
      <c r="S798" s="30"/>
    </row>
    <row r="799" ht="15.75" customHeight="1">
      <c r="A799" s="30"/>
      <c r="B799" s="30"/>
      <c r="C799" s="30"/>
      <c r="D799" s="30"/>
      <c r="E799" s="30"/>
      <c r="F799" s="30"/>
      <c r="G799" s="30"/>
      <c r="H799" s="30"/>
      <c r="I799" s="30"/>
      <c r="J799" s="30"/>
      <c r="K799" s="30"/>
      <c r="L799" s="30"/>
      <c r="M799" s="30"/>
      <c r="N799" s="30"/>
      <c r="O799" s="30"/>
      <c r="P799" s="30"/>
      <c r="Q799" s="30"/>
      <c r="R799" s="30"/>
      <c r="S799" s="30"/>
    </row>
    <row r="800" ht="15.75" customHeight="1">
      <c r="A800" s="30"/>
      <c r="B800" s="30"/>
      <c r="C800" s="30"/>
      <c r="D800" s="30"/>
      <c r="E800" s="30"/>
      <c r="F800" s="30"/>
      <c r="G800" s="30"/>
      <c r="H800" s="30"/>
      <c r="I800" s="30"/>
      <c r="J800" s="30"/>
      <c r="K800" s="30"/>
      <c r="L800" s="30"/>
      <c r="M800" s="30"/>
      <c r="N800" s="30"/>
      <c r="O800" s="30"/>
      <c r="P800" s="30"/>
      <c r="Q800" s="30"/>
      <c r="R800" s="30"/>
      <c r="S800" s="30"/>
    </row>
    <row r="801" ht="15.75" customHeight="1">
      <c r="A801" s="30"/>
      <c r="B801" s="30"/>
      <c r="C801" s="30"/>
      <c r="D801" s="30"/>
      <c r="E801" s="30"/>
      <c r="F801" s="30"/>
      <c r="G801" s="30"/>
      <c r="H801" s="30"/>
      <c r="I801" s="30"/>
      <c r="J801" s="30"/>
      <c r="K801" s="30"/>
      <c r="L801" s="30"/>
      <c r="M801" s="30"/>
      <c r="N801" s="30"/>
      <c r="O801" s="30"/>
      <c r="P801" s="30"/>
      <c r="Q801" s="30"/>
      <c r="R801" s="30"/>
      <c r="S801" s="30"/>
    </row>
    <row r="802" ht="15.75" customHeight="1">
      <c r="A802" s="30"/>
      <c r="B802" s="30"/>
      <c r="C802" s="30"/>
      <c r="D802" s="30"/>
      <c r="E802" s="30"/>
      <c r="F802" s="30"/>
      <c r="G802" s="30"/>
      <c r="H802" s="30"/>
      <c r="I802" s="30"/>
      <c r="J802" s="30"/>
      <c r="K802" s="30"/>
      <c r="L802" s="30"/>
      <c r="M802" s="30"/>
      <c r="N802" s="30"/>
      <c r="O802" s="30"/>
      <c r="P802" s="30"/>
      <c r="Q802" s="30"/>
      <c r="R802" s="30"/>
      <c r="S802" s="30"/>
    </row>
    <row r="803" ht="15.75" customHeight="1">
      <c r="A803" s="30"/>
      <c r="B803" s="30"/>
      <c r="C803" s="30"/>
      <c r="D803" s="30"/>
      <c r="E803" s="30"/>
      <c r="F803" s="30"/>
      <c r="G803" s="30"/>
      <c r="H803" s="30"/>
      <c r="I803" s="30"/>
      <c r="J803" s="30"/>
      <c r="K803" s="30"/>
      <c r="L803" s="30"/>
      <c r="M803" s="30"/>
      <c r="N803" s="30"/>
      <c r="O803" s="30"/>
      <c r="P803" s="30"/>
      <c r="Q803" s="30"/>
      <c r="R803" s="30"/>
      <c r="S803" s="30"/>
    </row>
    <row r="804" ht="15.75" customHeight="1">
      <c r="A804" s="30"/>
      <c r="B804" s="30"/>
      <c r="C804" s="30"/>
      <c r="D804" s="30"/>
      <c r="E804" s="30"/>
      <c r="F804" s="30"/>
      <c r="G804" s="30"/>
      <c r="H804" s="30"/>
      <c r="I804" s="30"/>
      <c r="J804" s="30"/>
      <c r="K804" s="30"/>
      <c r="L804" s="30"/>
      <c r="M804" s="30"/>
      <c r="N804" s="30"/>
      <c r="O804" s="30"/>
      <c r="P804" s="30"/>
      <c r="Q804" s="30"/>
      <c r="R804" s="30"/>
      <c r="S804" s="30"/>
    </row>
    <row r="805" ht="15.75" customHeight="1">
      <c r="A805" s="30"/>
      <c r="B805" s="30"/>
      <c r="C805" s="30"/>
      <c r="D805" s="30"/>
      <c r="E805" s="30"/>
      <c r="F805" s="30"/>
      <c r="G805" s="30"/>
      <c r="H805" s="30"/>
      <c r="I805" s="30"/>
      <c r="J805" s="30"/>
      <c r="K805" s="30"/>
      <c r="L805" s="30"/>
      <c r="M805" s="30"/>
      <c r="N805" s="30"/>
      <c r="O805" s="30"/>
      <c r="P805" s="30"/>
      <c r="Q805" s="30"/>
      <c r="R805" s="30"/>
      <c r="S805" s="30"/>
    </row>
    <row r="806" ht="15.75" customHeight="1">
      <c r="A806" s="30"/>
      <c r="B806" s="30"/>
      <c r="C806" s="30"/>
      <c r="D806" s="30"/>
      <c r="E806" s="30"/>
      <c r="F806" s="30"/>
      <c r="G806" s="30"/>
      <c r="H806" s="30"/>
      <c r="I806" s="30"/>
      <c r="J806" s="30"/>
      <c r="K806" s="30"/>
      <c r="L806" s="30"/>
      <c r="M806" s="30"/>
      <c r="N806" s="30"/>
      <c r="O806" s="30"/>
      <c r="P806" s="30"/>
      <c r="Q806" s="30"/>
      <c r="R806" s="30"/>
      <c r="S806" s="30"/>
    </row>
    <row r="807" ht="15.75" customHeight="1">
      <c r="A807" s="30"/>
      <c r="B807" s="30"/>
      <c r="C807" s="30"/>
      <c r="D807" s="30"/>
      <c r="E807" s="30"/>
      <c r="F807" s="30"/>
      <c r="G807" s="30"/>
      <c r="H807" s="30"/>
      <c r="I807" s="30"/>
      <c r="J807" s="30"/>
      <c r="K807" s="30"/>
      <c r="L807" s="30"/>
      <c r="M807" s="30"/>
      <c r="N807" s="30"/>
      <c r="O807" s="30"/>
      <c r="P807" s="30"/>
      <c r="Q807" s="30"/>
      <c r="R807" s="30"/>
      <c r="S807" s="30"/>
    </row>
    <row r="808" ht="15.75" customHeight="1">
      <c r="A808" s="30"/>
      <c r="B808" s="30"/>
      <c r="C808" s="30"/>
      <c r="D808" s="30"/>
      <c r="E808" s="30"/>
      <c r="F808" s="30"/>
      <c r="G808" s="30"/>
      <c r="H808" s="30"/>
      <c r="I808" s="30"/>
      <c r="J808" s="30"/>
      <c r="K808" s="30"/>
      <c r="L808" s="30"/>
      <c r="M808" s="30"/>
      <c r="N808" s="30"/>
      <c r="O808" s="30"/>
      <c r="P808" s="30"/>
      <c r="Q808" s="30"/>
      <c r="R808" s="30"/>
      <c r="S808" s="30"/>
    </row>
    <row r="809" ht="15.75" customHeight="1">
      <c r="A809" s="30"/>
      <c r="B809" s="30"/>
      <c r="C809" s="30"/>
      <c r="D809" s="30"/>
      <c r="E809" s="30"/>
      <c r="F809" s="30"/>
      <c r="G809" s="30"/>
      <c r="H809" s="30"/>
      <c r="I809" s="30"/>
      <c r="J809" s="30"/>
      <c r="K809" s="30"/>
      <c r="L809" s="30"/>
      <c r="M809" s="30"/>
      <c r="N809" s="30"/>
      <c r="O809" s="30"/>
      <c r="P809" s="30"/>
      <c r="Q809" s="30"/>
      <c r="R809" s="30"/>
      <c r="S809" s="30"/>
    </row>
    <row r="810" ht="15.75" customHeight="1">
      <c r="A810" s="30"/>
      <c r="B810" s="30"/>
      <c r="C810" s="30"/>
      <c r="D810" s="30"/>
      <c r="E810" s="30"/>
      <c r="F810" s="30"/>
      <c r="G810" s="30"/>
      <c r="H810" s="30"/>
      <c r="I810" s="30"/>
      <c r="J810" s="30"/>
      <c r="K810" s="30"/>
      <c r="L810" s="30"/>
      <c r="M810" s="30"/>
      <c r="N810" s="30"/>
      <c r="O810" s="30"/>
      <c r="P810" s="30"/>
      <c r="Q810" s="30"/>
      <c r="R810" s="30"/>
      <c r="S810" s="30"/>
    </row>
    <row r="811" ht="15.75" customHeight="1">
      <c r="A811" s="30"/>
      <c r="B811" s="30"/>
      <c r="C811" s="30"/>
      <c r="D811" s="30"/>
      <c r="E811" s="30"/>
      <c r="F811" s="30"/>
      <c r="G811" s="30"/>
      <c r="H811" s="30"/>
      <c r="I811" s="30"/>
      <c r="J811" s="30"/>
      <c r="K811" s="30"/>
      <c r="L811" s="30"/>
      <c r="M811" s="30"/>
      <c r="N811" s="30"/>
      <c r="O811" s="30"/>
      <c r="P811" s="30"/>
      <c r="Q811" s="30"/>
      <c r="R811" s="30"/>
      <c r="S811" s="30"/>
    </row>
    <row r="812" ht="15.75" customHeight="1">
      <c r="A812" s="30"/>
      <c r="B812" s="30"/>
      <c r="C812" s="30"/>
      <c r="D812" s="30"/>
      <c r="E812" s="30"/>
      <c r="F812" s="30"/>
      <c r="G812" s="30"/>
      <c r="H812" s="30"/>
      <c r="I812" s="30"/>
      <c r="J812" s="30"/>
      <c r="K812" s="30"/>
      <c r="L812" s="30"/>
      <c r="M812" s="30"/>
      <c r="N812" s="30"/>
      <c r="O812" s="30"/>
      <c r="P812" s="30"/>
      <c r="Q812" s="30"/>
      <c r="R812" s="30"/>
      <c r="S812" s="30"/>
    </row>
    <row r="813" ht="15.75" customHeight="1">
      <c r="A813" s="30"/>
      <c r="B813" s="30"/>
      <c r="C813" s="30"/>
      <c r="D813" s="30"/>
      <c r="E813" s="30"/>
      <c r="F813" s="30"/>
      <c r="G813" s="30"/>
      <c r="H813" s="30"/>
      <c r="I813" s="30"/>
      <c r="J813" s="30"/>
      <c r="K813" s="30"/>
      <c r="L813" s="30"/>
      <c r="M813" s="30"/>
      <c r="N813" s="30"/>
      <c r="O813" s="30"/>
      <c r="P813" s="30"/>
      <c r="Q813" s="30"/>
      <c r="R813" s="30"/>
      <c r="S813" s="30"/>
    </row>
    <row r="814" ht="15.75" customHeight="1">
      <c r="A814" s="30"/>
      <c r="B814" s="30"/>
      <c r="C814" s="30"/>
      <c r="D814" s="30"/>
      <c r="E814" s="30"/>
      <c r="F814" s="30"/>
      <c r="G814" s="30"/>
      <c r="H814" s="30"/>
      <c r="I814" s="30"/>
      <c r="J814" s="30"/>
      <c r="K814" s="30"/>
      <c r="L814" s="30"/>
      <c r="M814" s="30"/>
      <c r="N814" s="30"/>
      <c r="O814" s="30"/>
      <c r="P814" s="30"/>
      <c r="Q814" s="30"/>
      <c r="R814" s="30"/>
      <c r="S814" s="30"/>
    </row>
    <row r="815" ht="15.75" customHeight="1">
      <c r="A815" s="30"/>
      <c r="B815" s="30"/>
      <c r="C815" s="30"/>
      <c r="D815" s="30"/>
      <c r="E815" s="30"/>
      <c r="F815" s="30"/>
      <c r="G815" s="30"/>
      <c r="H815" s="30"/>
      <c r="I815" s="30"/>
      <c r="J815" s="30"/>
      <c r="K815" s="30"/>
      <c r="L815" s="30"/>
      <c r="M815" s="30"/>
      <c r="N815" s="30"/>
      <c r="O815" s="30"/>
      <c r="P815" s="30"/>
      <c r="Q815" s="30"/>
      <c r="R815" s="30"/>
      <c r="S815" s="30"/>
    </row>
    <row r="816" ht="15.75" customHeight="1">
      <c r="A816" s="30"/>
      <c r="B816" s="30"/>
      <c r="C816" s="30"/>
      <c r="D816" s="30"/>
      <c r="E816" s="30"/>
      <c r="F816" s="30"/>
      <c r="G816" s="30"/>
      <c r="H816" s="30"/>
      <c r="I816" s="30"/>
      <c r="J816" s="30"/>
      <c r="K816" s="30"/>
      <c r="L816" s="30"/>
      <c r="M816" s="30"/>
      <c r="N816" s="30"/>
      <c r="O816" s="30"/>
      <c r="P816" s="30"/>
      <c r="Q816" s="30"/>
      <c r="R816" s="30"/>
      <c r="S816" s="30"/>
    </row>
    <row r="817" ht="15.75" customHeight="1">
      <c r="A817" s="30"/>
      <c r="B817" s="30"/>
      <c r="C817" s="30"/>
      <c r="D817" s="30"/>
      <c r="E817" s="30"/>
      <c r="F817" s="30"/>
      <c r="G817" s="30"/>
      <c r="H817" s="30"/>
      <c r="I817" s="30"/>
      <c r="J817" s="30"/>
      <c r="K817" s="30"/>
      <c r="L817" s="30"/>
      <c r="M817" s="30"/>
      <c r="N817" s="30"/>
      <c r="O817" s="30"/>
      <c r="P817" s="30"/>
      <c r="Q817" s="30"/>
      <c r="R817" s="30"/>
      <c r="S817" s="30"/>
    </row>
    <row r="818" ht="15.75" customHeight="1">
      <c r="A818" s="30"/>
      <c r="B818" s="30"/>
      <c r="C818" s="30"/>
      <c r="D818" s="30"/>
      <c r="E818" s="30"/>
      <c r="F818" s="30"/>
      <c r="G818" s="30"/>
      <c r="H818" s="30"/>
      <c r="I818" s="30"/>
      <c r="J818" s="30"/>
      <c r="K818" s="30"/>
      <c r="L818" s="30"/>
      <c r="M818" s="30"/>
      <c r="N818" s="30"/>
      <c r="O818" s="30"/>
      <c r="P818" s="30"/>
      <c r="Q818" s="30"/>
      <c r="R818" s="30"/>
      <c r="S818" s="30"/>
    </row>
    <row r="819" ht="15.75" customHeight="1">
      <c r="A819" s="30"/>
      <c r="B819" s="30"/>
      <c r="C819" s="30"/>
      <c r="D819" s="30"/>
      <c r="E819" s="30"/>
      <c r="F819" s="30"/>
      <c r="G819" s="30"/>
      <c r="H819" s="30"/>
      <c r="I819" s="30"/>
      <c r="J819" s="30"/>
      <c r="K819" s="30"/>
      <c r="L819" s="30"/>
      <c r="M819" s="30"/>
      <c r="N819" s="30"/>
      <c r="O819" s="30"/>
      <c r="P819" s="30"/>
      <c r="Q819" s="30"/>
      <c r="R819" s="30"/>
      <c r="S819" s="30"/>
    </row>
    <row r="820" ht="15.75" customHeight="1">
      <c r="A820" s="30"/>
      <c r="B820" s="30"/>
      <c r="C820" s="30"/>
      <c r="D820" s="30"/>
      <c r="E820" s="30"/>
      <c r="F820" s="30"/>
      <c r="G820" s="30"/>
      <c r="H820" s="30"/>
      <c r="I820" s="30"/>
      <c r="J820" s="30"/>
      <c r="K820" s="30"/>
      <c r="L820" s="30"/>
      <c r="M820" s="30"/>
      <c r="N820" s="30"/>
      <c r="O820" s="30"/>
      <c r="P820" s="30"/>
      <c r="Q820" s="30"/>
      <c r="R820" s="30"/>
      <c r="S820" s="30"/>
    </row>
    <row r="821" ht="15.75" customHeight="1">
      <c r="A821" s="30"/>
      <c r="B821" s="30"/>
      <c r="C821" s="30"/>
      <c r="D821" s="30"/>
      <c r="E821" s="30"/>
      <c r="F821" s="30"/>
      <c r="G821" s="30"/>
      <c r="H821" s="30"/>
      <c r="I821" s="30"/>
      <c r="J821" s="30"/>
      <c r="K821" s="30"/>
      <c r="L821" s="30"/>
      <c r="M821" s="30"/>
      <c r="N821" s="30"/>
      <c r="O821" s="30"/>
      <c r="P821" s="30"/>
      <c r="Q821" s="30"/>
      <c r="R821" s="30"/>
      <c r="S821" s="30"/>
    </row>
    <row r="822" ht="15.75" customHeight="1">
      <c r="A822" s="30"/>
      <c r="B822" s="30"/>
      <c r="C822" s="30"/>
      <c r="D822" s="30"/>
      <c r="E822" s="30"/>
      <c r="F822" s="30"/>
      <c r="G822" s="30"/>
      <c r="H822" s="30"/>
      <c r="I822" s="30"/>
      <c r="J822" s="30"/>
      <c r="K822" s="30"/>
      <c r="L822" s="30"/>
      <c r="M822" s="30"/>
      <c r="N822" s="30"/>
      <c r="O822" s="30"/>
      <c r="P822" s="30"/>
      <c r="Q822" s="30"/>
      <c r="R822" s="30"/>
      <c r="S822" s="30"/>
    </row>
    <row r="823" ht="15.75" customHeight="1">
      <c r="A823" s="30"/>
      <c r="B823" s="30"/>
      <c r="C823" s="30"/>
      <c r="D823" s="30"/>
      <c r="E823" s="30"/>
      <c r="F823" s="30"/>
      <c r="G823" s="30"/>
      <c r="H823" s="30"/>
      <c r="I823" s="30"/>
      <c r="J823" s="30"/>
      <c r="K823" s="30"/>
      <c r="L823" s="30"/>
      <c r="M823" s="30"/>
      <c r="N823" s="30"/>
      <c r="O823" s="30"/>
      <c r="P823" s="30"/>
      <c r="Q823" s="30"/>
      <c r="R823" s="30"/>
      <c r="S823" s="30"/>
    </row>
    <row r="824" ht="15.75" customHeight="1">
      <c r="A824" s="30"/>
      <c r="B824" s="30"/>
      <c r="C824" s="30"/>
      <c r="D824" s="30"/>
      <c r="E824" s="30"/>
      <c r="F824" s="30"/>
      <c r="G824" s="30"/>
      <c r="H824" s="30"/>
      <c r="I824" s="30"/>
      <c r="J824" s="30"/>
      <c r="K824" s="30"/>
      <c r="L824" s="30"/>
      <c r="M824" s="30"/>
      <c r="N824" s="30"/>
      <c r="O824" s="30"/>
      <c r="P824" s="30"/>
      <c r="Q824" s="30"/>
      <c r="R824" s="30"/>
      <c r="S824" s="30"/>
    </row>
    <row r="825" ht="15.75" customHeight="1">
      <c r="A825" s="30"/>
      <c r="B825" s="30"/>
      <c r="C825" s="30"/>
      <c r="D825" s="30"/>
      <c r="E825" s="30"/>
      <c r="F825" s="30"/>
      <c r="G825" s="30"/>
      <c r="H825" s="30"/>
      <c r="I825" s="30"/>
      <c r="J825" s="30"/>
      <c r="K825" s="30"/>
      <c r="L825" s="30"/>
      <c r="M825" s="30"/>
      <c r="N825" s="30"/>
      <c r="O825" s="30"/>
      <c r="P825" s="30"/>
      <c r="Q825" s="30"/>
      <c r="R825" s="30"/>
      <c r="S825" s="30"/>
    </row>
    <row r="826" ht="15.75" customHeight="1">
      <c r="A826" s="30"/>
      <c r="B826" s="30"/>
      <c r="C826" s="30"/>
      <c r="D826" s="30"/>
      <c r="E826" s="30"/>
      <c r="F826" s="30"/>
      <c r="G826" s="30"/>
      <c r="H826" s="30"/>
      <c r="I826" s="30"/>
      <c r="J826" s="30"/>
      <c r="K826" s="30"/>
      <c r="L826" s="30"/>
      <c r="M826" s="30"/>
      <c r="N826" s="30"/>
      <c r="O826" s="30"/>
      <c r="P826" s="30"/>
      <c r="Q826" s="30"/>
      <c r="R826" s="30"/>
      <c r="S826" s="30"/>
    </row>
    <row r="827" ht="15.75" customHeight="1">
      <c r="A827" s="30"/>
      <c r="B827" s="30"/>
      <c r="C827" s="30"/>
      <c r="D827" s="30"/>
      <c r="E827" s="30"/>
      <c r="F827" s="30"/>
      <c r="G827" s="30"/>
      <c r="H827" s="30"/>
      <c r="I827" s="30"/>
      <c r="J827" s="30"/>
      <c r="K827" s="30"/>
      <c r="L827" s="30"/>
      <c r="M827" s="30"/>
      <c r="N827" s="30"/>
      <c r="O827" s="30"/>
      <c r="P827" s="30"/>
      <c r="Q827" s="30"/>
      <c r="R827" s="30"/>
      <c r="S827" s="30"/>
    </row>
    <row r="828" ht="15.75" customHeight="1">
      <c r="A828" s="30"/>
      <c r="B828" s="30"/>
      <c r="C828" s="30"/>
      <c r="D828" s="30"/>
      <c r="E828" s="30"/>
      <c r="F828" s="30"/>
      <c r="G828" s="30"/>
      <c r="H828" s="30"/>
      <c r="I828" s="30"/>
      <c r="J828" s="30"/>
      <c r="K828" s="30"/>
      <c r="L828" s="30"/>
      <c r="M828" s="30"/>
      <c r="N828" s="30"/>
      <c r="O828" s="30"/>
      <c r="P828" s="30"/>
      <c r="Q828" s="30"/>
      <c r="R828" s="30"/>
      <c r="S828" s="30"/>
    </row>
    <row r="829" ht="15.75" customHeight="1">
      <c r="A829" s="30"/>
      <c r="B829" s="30"/>
      <c r="C829" s="30"/>
      <c r="D829" s="30"/>
      <c r="E829" s="30"/>
      <c r="F829" s="30"/>
      <c r="G829" s="30"/>
      <c r="H829" s="30"/>
      <c r="I829" s="30"/>
      <c r="J829" s="30"/>
      <c r="K829" s="30"/>
      <c r="L829" s="30"/>
      <c r="M829" s="30"/>
      <c r="N829" s="30"/>
      <c r="O829" s="30"/>
      <c r="P829" s="30"/>
      <c r="Q829" s="30"/>
      <c r="R829" s="30"/>
      <c r="S829" s="30"/>
    </row>
    <row r="830" ht="15.75" customHeight="1">
      <c r="A830" s="30"/>
      <c r="B830" s="30"/>
      <c r="C830" s="30"/>
      <c r="D830" s="30"/>
      <c r="E830" s="30"/>
      <c r="F830" s="30"/>
      <c r="G830" s="30"/>
      <c r="H830" s="30"/>
      <c r="I830" s="30"/>
      <c r="J830" s="30"/>
      <c r="K830" s="30"/>
      <c r="L830" s="30"/>
      <c r="M830" s="30"/>
      <c r="N830" s="30"/>
      <c r="O830" s="30"/>
      <c r="P830" s="30"/>
      <c r="Q830" s="30"/>
      <c r="R830" s="30"/>
      <c r="S830" s="30"/>
    </row>
    <row r="831" ht="15.75" customHeight="1">
      <c r="A831" s="30"/>
      <c r="B831" s="30"/>
      <c r="C831" s="30"/>
      <c r="D831" s="30"/>
      <c r="E831" s="30"/>
      <c r="F831" s="30"/>
      <c r="G831" s="30"/>
      <c r="H831" s="30"/>
      <c r="I831" s="30"/>
      <c r="J831" s="30"/>
      <c r="K831" s="30"/>
      <c r="L831" s="30"/>
      <c r="M831" s="30"/>
      <c r="N831" s="30"/>
      <c r="O831" s="30"/>
      <c r="P831" s="30"/>
      <c r="Q831" s="30"/>
      <c r="R831" s="30"/>
      <c r="S831" s="30"/>
    </row>
    <row r="832" ht="15.75" customHeight="1">
      <c r="A832" s="30"/>
      <c r="B832" s="30"/>
      <c r="C832" s="30"/>
      <c r="D832" s="30"/>
      <c r="E832" s="30"/>
      <c r="F832" s="30"/>
      <c r="G832" s="30"/>
      <c r="H832" s="30"/>
      <c r="I832" s="30"/>
      <c r="J832" s="30"/>
      <c r="K832" s="30"/>
      <c r="L832" s="30"/>
      <c r="M832" s="30"/>
      <c r="N832" s="30"/>
      <c r="O832" s="30"/>
      <c r="P832" s="30"/>
      <c r="Q832" s="30"/>
      <c r="R832" s="30"/>
      <c r="S832" s="30"/>
    </row>
    <row r="833" ht="15.75" customHeight="1">
      <c r="A833" s="30"/>
      <c r="B833" s="30"/>
      <c r="C833" s="30"/>
      <c r="D833" s="30"/>
      <c r="E833" s="30"/>
      <c r="F833" s="30"/>
      <c r="G833" s="30"/>
      <c r="H833" s="30"/>
      <c r="I833" s="30"/>
      <c r="J833" s="30"/>
      <c r="K833" s="30"/>
      <c r="L833" s="30"/>
      <c r="M833" s="30"/>
      <c r="N833" s="30"/>
      <c r="O833" s="30"/>
      <c r="P833" s="30"/>
      <c r="Q833" s="30"/>
      <c r="R833" s="30"/>
      <c r="S833" s="30"/>
    </row>
    <row r="834" ht="15.75" customHeight="1">
      <c r="A834" s="30"/>
      <c r="B834" s="30"/>
      <c r="C834" s="30"/>
      <c r="D834" s="30"/>
      <c r="E834" s="30"/>
      <c r="F834" s="30"/>
      <c r="G834" s="30"/>
      <c r="H834" s="30"/>
      <c r="I834" s="30"/>
      <c r="J834" s="30"/>
      <c r="K834" s="30"/>
      <c r="L834" s="30"/>
      <c r="M834" s="30"/>
      <c r="N834" s="30"/>
      <c r="O834" s="30"/>
      <c r="P834" s="30"/>
      <c r="Q834" s="30"/>
      <c r="R834" s="30"/>
      <c r="S834" s="30"/>
    </row>
    <row r="835" ht="15.75" customHeight="1">
      <c r="A835" s="30"/>
      <c r="B835" s="30"/>
      <c r="C835" s="30"/>
      <c r="D835" s="30"/>
      <c r="E835" s="30"/>
      <c r="F835" s="30"/>
      <c r="G835" s="30"/>
      <c r="H835" s="30"/>
      <c r="I835" s="30"/>
      <c r="J835" s="30"/>
      <c r="K835" s="30"/>
      <c r="L835" s="30"/>
      <c r="M835" s="30"/>
      <c r="N835" s="30"/>
      <c r="O835" s="30"/>
      <c r="P835" s="30"/>
      <c r="Q835" s="30"/>
      <c r="R835" s="30"/>
      <c r="S835" s="30"/>
    </row>
    <row r="836" ht="15.75" customHeight="1">
      <c r="A836" s="30"/>
      <c r="B836" s="30"/>
      <c r="C836" s="30"/>
      <c r="D836" s="30"/>
      <c r="E836" s="30"/>
      <c r="F836" s="30"/>
      <c r="G836" s="30"/>
      <c r="H836" s="30"/>
      <c r="I836" s="30"/>
      <c r="J836" s="30"/>
      <c r="K836" s="30"/>
      <c r="L836" s="30"/>
      <c r="M836" s="30"/>
      <c r="N836" s="30"/>
      <c r="O836" s="30"/>
      <c r="P836" s="30"/>
      <c r="Q836" s="30"/>
      <c r="R836" s="30"/>
      <c r="S836" s="30"/>
    </row>
    <row r="837" ht="15.75" customHeight="1">
      <c r="A837" s="30"/>
      <c r="B837" s="30"/>
      <c r="C837" s="30"/>
      <c r="D837" s="30"/>
      <c r="E837" s="30"/>
      <c r="F837" s="30"/>
      <c r="G837" s="30"/>
      <c r="H837" s="30"/>
      <c r="I837" s="30"/>
      <c r="J837" s="30"/>
      <c r="K837" s="30"/>
      <c r="L837" s="30"/>
      <c r="M837" s="30"/>
      <c r="N837" s="30"/>
      <c r="O837" s="30"/>
      <c r="P837" s="30"/>
      <c r="Q837" s="30"/>
      <c r="R837" s="30"/>
      <c r="S837" s="30"/>
    </row>
    <row r="838" ht="15.75" customHeight="1">
      <c r="A838" s="30"/>
      <c r="B838" s="30"/>
      <c r="C838" s="30"/>
      <c r="D838" s="30"/>
      <c r="E838" s="30"/>
      <c r="F838" s="30"/>
      <c r="G838" s="30"/>
      <c r="H838" s="30"/>
      <c r="I838" s="30"/>
      <c r="J838" s="30"/>
      <c r="K838" s="30"/>
      <c r="L838" s="30"/>
      <c r="M838" s="30"/>
      <c r="N838" s="30"/>
      <c r="O838" s="30"/>
      <c r="P838" s="30"/>
      <c r="Q838" s="30"/>
      <c r="R838" s="30"/>
      <c r="S838" s="30"/>
    </row>
    <row r="839" ht="15.75" customHeight="1">
      <c r="A839" s="30"/>
      <c r="B839" s="30"/>
      <c r="C839" s="30"/>
      <c r="D839" s="30"/>
      <c r="E839" s="30"/>
      <c r="F839" s="30"/>
      <c r="G839" s="30"/>
      <c r="H839" s="30"/>
      <c r="I839" s="30"/>
      <c r="J839" s="30"/>
      <c r="K839" s="30"/>
      <c r="L839" s="30"/>
      <c r="M839" s="30"/>
      <c r="N839" s="30"/>
      <c r="O839" s="30"/>
      <c r="P839" s="30"/>
      <c r="Q839" s="30"/>
      <c r="R839" s="30"/>
      <c r="S839" s="30"/>
    </row>
    <row r="840" ht="15.75" customHeight="1">
      <c r="A840" s="30"/>
      <c r="B840" s="30"/>
      <c r="C840" s="30"/>
      <c r="D840" s="30"/>
      <c r="E840" s="30"/>
      <c r="F840" s="30"/>
      <c r="G840" s="30"/>
      <c r="H840" s="30"/>
      <c r="I840" s="30"/>
      <c r="J840" s="30"/>
      <c r="K840" s="30"/>
      <c r="L840" s="30"/>
      <c r="M840" s="30"/>
      <c r="N840" s="30"/>
      <c r="O840" s="30"/>
      <c r="P840" s="30"/>
      <c r="Q840" s="30"/>
      <c r="R840" s="30"/>
      <c r="S840" s="30"/>
    </row>
    <row r="841" ht="15.75" customHeight="1">
      <c r="A841" s="30"/>
      <c r="B841" s="30"/>
      <c r="C841" s="30"/>
      <c r="D841" s="30"/>
      <c r="E841" s="30"/>
      <c r="F841" s="30"/>
      <c r="G841" s="30"/>
      <c r="H841" s="30"/>
      <c r="I841" s="30"/>
      <c r="J841" s="30"/>
      <c r="K841" s="30"/>
      <c r="L841" s="30"/>
      <c r="M841" s="30"/>
      <c r="N841" s="30"/>
      <c r="O841" s="30"/>
      <c r="P841" s="30"/>
      <c r="Q841" s="30"/>
      <c r="R841" s="30"/>
      <c r="S841" s="30"/>
    </row>
    <row r="842" ht="15.75" customHeight="1">
      <c r="A842" s="30"/>
      <c r="B842" s="30"/>
      <c r="C842" s="30"/>
      <c r="D842" s="30"/>
      <c r="E842" s="30"/>
      <c r="F842" s="30"/>
      <c r="G842" s="30"/>
      <c r="H842" s="30"/>
      <c r="I842" s="30"/>
      <c r="J842" s="30"/>
      <c r="K842" s="30"/>
      <c r="L842" s="30"/>
      <c r="M842" s="30"/>
      <c r="N842" s="30"/>
      <c r="O842" s="30"/>
      <c r="P842" s="30"/>
      <c r="Q842" s="30"/>
      <c r="R842" s="30"/>
      <c r="S842" s="30"/>
    </row>
    <row r="843" ht="15.75" customHeight="1">
      <c r="A843" s="30"/>
      <c r="B843" s="30"/>
      <c r="C843" s="30"/>
      <c r="D843" s="30"/>
      <c r="E843" s="30"/>
      <c r="F843" s="30"/>
      <c r="G843" s="30"/>
      <c r="H843" s="30"/>
      <c r="I843" s="30"/>
      <c r="J843" s="30"/>
      <c r="K843" s="30"/>
      <c r="L843" s="30"/>
      <c r="M843" s="30"/>
      <c r="N843" s="30"/>
      <c r="O843" s="30"/>
      <c r="P843" s="30"/>
      <c r="Q843" s="30"/>
      <c r="R843" s="30"/>
      <c r="S843" s="30"/>
    </row>
    <row r="844" ht="15.75" customHeight="1">
      <c r="A844" s="30"/>
      <c r="B844" s="30"/>
      <c r="C844" s="30"/>
      <c r="D844" s="30"/>
      <c r="E844" s="30"/>
      <c r="F844" s="30"/>
      <c r="G844" s="30"/>
      <c r="H844" s="30"/>
      <c r="I844" s="30"/>
      <c r="J844" s="30"/>
      <c r="K844" s="30"/>
      <c r="L844" s="30"/>
      <c r="M844" s="30"/>
      <c r="N844" s="30"/>
      <c r="O844" s="30"/>
      <c r="P844" s="30"/>
      <c r="Q844" s="30"/>
      <c r="R844" s="30"/>
      <c r="S844" s="30"/>
    </row>
    <row r="845" ht="15.75" customHeight="1">
      <c r="A845" s="30"/>
      <c r="B845" s="30"/>
      <c r="C845" s="30"/>
      <c r="D845" s="30"/>
      <c r="E845" s="30"/>
      <c r="F845" s="30"/>
      <c r="G845" s="30"/>
      <c r="H845" s="30"/>
      <c r="I845" s="30"/>
      <c r="J845" s="30"/>
      <c r="K845" s="30"/>
      <c r="L845" s="30"/>
      <c r="M845" s="30"/>
      <c r="N845" s="30"/>
      <c r="O845" s="30"/>
      <c r="P845" s="30"/>
      <c r="Q845" s="30"/>
      <c r="R845" s="30"/>
      <c r="S845" s="30"/>
    </row>
    <row r="846" ht="15.75" customHeight="1">
      <c r="A846" s="30"/>
      <c r="B846" s="30"/>
      <c r="C846" s="30"/>
      <c r="D846" s="30"/>
      <c r="E846" s="30"/>
      <c r="F846" s="30"/>
      <c r="G846" s="30"/>
      <c r="H846" s="30"/>
      <c r="I846" s="30"/>
      <c r="J846" s="30"/>
      <c r="K846" s="30"/>
      <c r="L846" s="30"/>
      <c r="M846" s="30"/>
      <c r="N846" s="30"/>
      <c r="O846" s="30"/>
      <c r="P846" s="30"/>
      <c r="Q846" s="30"/>
      <c r="R846" s="30"/>
      <c r="S846" s="30"/>
    </row>
    <row r="847" ht="15.75" customHeight="1">
      <c r="A847" s="30"/>
      <c r="B847" s="30"/>
      <c r="C847" s="30"/>
      <c r="D847" s="30"/>
      <c r="E847" s="30"/>
      <c r="F847" s="30"/>
      <c r="G847" s="30"/>
      <c r="H847" s="30"/>
      <c r="I847" s="30"/>
      <c r="J847" s="30"/>
      <c r="K847" s="30"/>
      <c r="L847" s="30"/>
      <c r="M847" s="30"/>
      <c r="N847" s="30"/>
      <c r="O847" s="30"/>
      <c r="P847" s="30"/>
      <c r="Q847" s="30"/>
      <c r="R847" s="30"/>
      <c r="S847" s="30"/>
    </row>
    <row r="848" ht="15.75" customHeight="1">
      <c r="A848" s="30"/>
      <c r="B848" s="30"/>
      <c r="C848" s="30"/>
      <c r="D848" s="30"/>
      <c r="E848" s="30"/>
      <c r="F848" s="30"/>
      <c r="G848" s="30"/>
      <c r="H848" s="30"/>
      <c r="I848" s="30"/>
      <c r="J848" s="30"/>
      <c r="K848" s="30"/>
      <c r="L848" s="30"/>
      <c r="M848" s="30"/>
      <c r="N848" s="30"/>
      <c r="O848" s="30"/>
      <c r="P848" s="30"/>
      <c r="Q848" s="30"/>
      <c r="R848" s="30"/>
      <c r="S848" s="30"/>
    </row>
    <row r="849" ht="15.75" customHeight="1">
      <c r="A849" s="30"/>
      <c r="B849" s="30"/>
      <c r="C849" s="30"/>
      <c r="D849" s="30"/>
      <c r="E849" s="30"/>
      <c r="F849" s="30"/>
      <c r="G849" s="30"/>
      <c r="H849" s="30"/>
      <c r="I849" s="30"/>
      <c r="J849" s="30"/>
      <c r="K849" s="30"/>
      <c r="L849" s="30"/>
      <c r="M849" s="30"/>
      <c r="N849" s="30"/>
      <c r="O849" s="30"/>
      <c r="P849" s="30"/>
      <c r="Q849" s="30"/>
      <c r="R849" s="30"/>
      <c r="S849" s="30"/>
    </row>
    <row r="850" ht="15.75" customHeight="1">
      <c r="A850" s="30"/>
      <c r="B850" s="30"/>
      <c r="C850" s="30"/>
      <c r="D850" s="30"/>
      <c r="E850" s="30"/>
      <c r="F850" s="30"/>
      <c r="G850" s="30"/>
      <c r="H850" s="30"/>
      <c r="I850" s="30"/>
      <c r="J850" s="30"/>
      <c r="K850" s="30"/>
      <c r="L850" s="30"/>
      <c r="M850" s="30"/>
      <c r="N850" s="30"/>
      <c r="O850" s="30"/>
      <c r="P850" s="30"/>
      <c r="Q850" s="30"/>
      <c r="R850" s="30"/>
      <c r="S850" s="30"/>
    </row>
    <row r="851" ht="15.75" customHeight="1">
      <c r="A851" s="30"/>
      <c r="B851" s="30"/>
      <c r="C851" s="30"/>
      <c r="D851" s="30"/>
      <c r="E851" s="30"/>
      <c r="F851" s="30"/>
      <c r="G851" s="30"/>
      <c r="H851" s="30"/>
      <c r="I851" s="30"/>
      <c r="J851" s="30"/>
      <c r="K851" s="30"/>
      <c r="L851" s="30"/>
      <c r="M851" s="30"/>
      <c r="N851" s="30"/>
      <c r="O851" s="30"/>
      <c r="P851" s="30"/>
      <c r="Q851" s="30"/>
      <c r="R851" s="30"/>
      <c r="S851" s="30"/>
    </row>
    <row r="852" ht="15.75" customHeight="1">
      <c r="A852" s="30"/>
      <c r="B852" s="30"/>
      <c r="C852" s="30"/>
      <c r="D852" s="30"/>
      <c r="E852" s="30"/>
      <c r="F852" s="30"/>
      <c r="G852" s="30"/>
      <c r="H852" s="30"/>
      <c r="I852" s="30"/>
      <c r="J852" s="30"/>
      <c r="K852" s="30"/>
      <c r="L852" s="30"/>
      <c r="M852" s="30"/>
      <c r="N852" s="30"/>
      <c r="O852" s="30"/>
      <c r="P852" s="30"/>
      <c r="Q852" s="30"/>
      <c r="R852" s="30"/>
      <c r="S852" s="30"/>
    </row>
    <row r="853" ht="15.75" customHeight="1">
      <c r="A853" s="30"/>
      <c r="B853" s="30"/>
      <c r="C853" s="30"/>
      <c r="D853" s="30"/>
      <c r="E853" s="30"/>
      <c r="F853" s="30"/>
      <c r="G853" s="30"/>
      <c r="H853" s="30"/>
      <c r="I853" s="30"/>
      <c r="J853" s="30"/>
      <c r="K853" s="30"/>
      <c r="L853" s="30"/>
      <c r="M853" s="30"/>
      <c r="N853" s="30"/>
      <c r="O853" s="30"/>
      <c r="P853" s="30"/>
      <c r="Q853" s="30"/>
      <c r="R853" s="30"/>
      <c r="S853" s="30"/>
    </row>
    <row r="854" ht="15.75" customHeight="1">
      <c r="A854" s="30"/>
      <c r="B854" s="30"/>
      <c r="C854" s="30"/>
      <c r="D854" s="30"/>
      <c r="E854" s="30"/>
      <c r="F854" s="30"/>
      <c r="G854" s="30"/>
      <c r="H854" s="30"/>
      <c r="I854" s="30"/>
      <c r="J854" s="30"/>
      <c r="K854" s="30"/>
      <c r="L854" s="30"/>
      <c r="M854" s="30"/>
      <c r="N854" s="30"/>
      <c r="O854" s="30"/>
      <c r="P854" s="30"/>
      <c r="Q854" s="30"/>
      <c r="R854" s="30"/>
      <c r="S854" s="30"/>
    </row>
    <row r="855" ht="15.75" customHeight="1">
      <c r="A855" s="30"/>
      <c r="B855" s="30"/>
      <c r="C855" s="30"/>
      <c r="D855" s="30"/>
      <c r="E855" s="30"/>
      <c r="F855" s="30"/>
      <c r="G855" s="30"/>
      <c r="H855" s="30"/>
      <c r="I855" s="30"/>
      <c r="J855" s="30"/>
      <c r="K855" s="30"/>
      <c r="L855" s="30"/>
      <c r="M855" s="30"/>
      <c r="N855" s="30"/>
      <c r="O855" s="30"/>
      <c r="P855" s="30"/>
      <c r="Q855" s="30"/>
      <c r="R855" s="30"/>
      <c r="S855" s="30"/>
    </row>
    <row r="856" ht="15.75" customHeight="1">
      <c r="A856" s="30"/>
      <c r="B856" s="30"/>
      <c r="C856" s="30"/>
      <c r="D856" s="30"/>
      <c r="E856" s="30"/>
      <c r="F856" s="30"/>
      <c r="G856" s="30"/>
      <c r="H856" s="30"/>
      <c r="I856" s="30"/>
      <c r="J856" s="30"/>
      <c r="K856" s="30"/>
      <c r="L856" s="30"/>
      <c r="M856" s="30"/>
      <c r="N856" s="30"/>
      <c r="O856" s="30"/>
      <c r="P856" s="30"/>
      <c r="Q856" s="30"/>
      <c r="R856" s="30"/>
      <c r="S856" s="30"/>
    </row>
    <row r="857" ht="15.75" customHeight="1">
      <c r="A857" s="30"/>
      <c r="B857" s="30"/>
      <c r="C857" s="30"/>
      <c r="D857" s="30"/>
      <c r="E857" s="30"/>
      <c r="F857" s="30"/>
      <c r="G857" s="30"/>
      <c r="H857" s="30"/>
      <c r="I857" s="30"/>
      <c r="J857" s="30"/>
      <c r="K857" s="30"/>
      <c r="L857" s="30"/>
      <c r="M857" s="30"/>
      <c r="N857" s="30"/>
      <c r="O857" s="30"/>
      <c r="P857" s="30"/>
      <c r="Q857" s="30"/>
      <c r="R857" s="30"/>
      <c r="S857" s="30"/>
    </row>
    <row r="858" ht="15.75" customHeight="1">
      <c r="A858" s="30"/>
      <c r="B858" s="30"/>
      <c r="C858" s="30"/>
      <c r="D858" s="30"/>
      <c r="E858" s="30"/>
      <c r="F858" s="30"/>
      <c r="G858" s="30"/>
      <c r="H858" s="30"/>
      <c r="I858" s="30"/>
      <c r="J858" s="30"/>
      <c r="K858" s="30"/>
      <c r="L858" s="30"/>
      <c r="M858" s="30"/>
      <c r="N858" s="30"/>
      <c r="O858" s="30"/>
      <c r="P858" s="30"/>
      <c r="Q858" s="30"/>
      <c r="R858" s="30"/>
      <c r="S858" s="30"/>
    </row>
    <row r="859" ht="15.75" customHeight="1">
      <c r="A859" s="30"/>
      <c r="B859" s="30"/>
      <c r="C859" s="30"/>
      <c r="D859" s="30"/>
      <c r="E859" s="30"/>
      <c r="F859" s="30"/>
      <c r="G859" s="30"/>
      <c r="H859" s="30"/>
      <c r="I859" s="30"/>
      <c r="J859" s="30"/>
      <c r="K859" s="30"/>
      <c r="L859" s="30"/>
      <c r="M859" s="30"/>
      <c r="N859" s="30"/>
      <c r="O859" s="30"/>
      <c r="P859" s="30"/>
      <c r="Q859" s="30"/>
      <c r="R859" s="30"/>
      <c r="S859" s="30"/>
    </row>
    <row r="860" ht="15.75" customHeight="1">
      <c r="A860" s="30"/>
      <c r="B860" s="30"/>
      <c r="C860" s="30"/>
      <c r="D860" s="30"/>
      <c r="E860" s="30"/>
      <c r="F860" s="30"/>
      <c r="G860" s="30"/>
      <c r="H860" s="30"/>
      <c r="I860" s="30"/>
      <c r="J860" s="30"/>
      <c r="K860" s="30"/>
      <c r="L860" s="30"/>
      <c r="M860" s="30"/>
      <c r="N860" s="30"/>
      <c r="O860" s="30"/>
      <c r="P860" s="30"/>
      <c r="Q860" s="30"/>
      <c r="R860" s="30"/>
      <c r="S860" s="30"/>
    </row>
    <row r="861" ht="15.75" customHeight="1">
      <c r="A861" s="30"/>
      <c r="B861" s="30"/>
      <c r="C861" s="30"/>
      <c r="D861" s="30"/>
      <c r="E861" s="30"/>
      <c r="F861" s="30"/>
      <c r="G861" s="30"/>
      <c r="H861" s="30"/>
      <c r="I861" s="30"/>
      <c r="J861" s="30"/>
      <c r="K861" s="30"/>
      <c r="L861" s="30"/>
      <c r="M861" s="30"/>
      <c r="N861" s="30"/>
      <c r="O861" s="30"/>
      <c r="P861" s="30"/>
      <c r="Q861" s="30"/>
      <c r="R861" s="30"/>
      <c r="S861" s="30"/>
    </row>
    <row r="862" ht="15.75" customHeight="1">
      <c r="A862" s="30"/>
      <c r="B862" s="30"/>
      <c r="C862" s="30"/>
      <c r="D862" s="30"/>
      <c r="E862" s="30"/>
      <c r="F862" s="30"/>
      <c r="G862" s="30"/>
      <c r="H862" s="30"/>
      <c r="I862" s="30"/>
      <c r="J862" s="30"/>
      <c r="K862" s="30"/>
      <c r="L862" s="30"/>
      <c r="M862" s="30"/>
      <c r="N862" s="30"/>
      <c r="O862" s="30"/>
      <c r="P862" s="30"/>
      <c r="Q862" s="30"/>
      <c r="R862" s="30"/>
      <c r="S862" s="30"/>
    </row>
    <row r="863" ht="15.75" customHeight="1">
      <c r="A863" s="30"/>
      <c r="B863" s="30"/>
      <c r="C863" s="30"/>
      <c r="D863" s="30"/>
      <c r="E863" s="30"/>
      <c r="F863" s="30"/>
      <c r="G863" s="30"/>
      <c r="H863" s="30"/>
      <c r="I863" s="30"/>
      <c r="J863" s="30"/>
      <c r="K863" s="30"/>
      <c r="L863" s="30"/>
      <c r="M863" s="30"/>
      <c r="N863" s="30"/>
      <c r="O863" s="30"/>
      <c r="P863" s="30"/>
      <c r="Q863" s="30"/>
      <c r="R863" s="30"/>
      <c r="S863" s="30"/>
    </row>
    <row r="864" ht="15.75" customHeight="1">
      <c r="A864" s="30"/>
      <c r="B864" s="30"/>
      <c r="C864" s="30"/>
      <c r="D864" s="30"/>
      <c r="E864" s="30"/>
      <c r="F864" s="30"/>
      <c r="G864" s="30"/>
      <c r="H864" s="30"/>
      <c r="I864" s="30"/>
      <c r="J864" s="30"/>
      <c r="K864" s="30"/>
      <c r="L864" s="30"/>
      <c r="M864" s="30"/>
      <c r="N864" s="30"/>
      <c r="O864" s="30"/>
      <c r="P864" s="30"/>
      <c r="Q864" s="30"/>
      <c r="R864" s="30"/>
      <c r="S864" s="30"/>
    </row>
    <row r="865" ht="15.75" customHeight="1">
      <c r="A865" s="30"/>
      <c r="B865" s="30"/>
      <c r="C865" s="30"/>
      <c r="D865" s="30"/>
      <c r="E865" s="30"/>
      <c r="F865" s="30"/>
      <c r="G865" s="30"/>
      <c r="H865" s="30"/>
      <c r="I865" s="30"/>
      <c r="J865" s="30"/>
      <c r="K865" s="30"/>
      <c r="L865" s="30"/>
      <c r="M865" s="30"/>
      <c r="N865" s="30"/>
      <c r="O865" s="30"/>
      <c r="P865" s="30"/>
      <c r="Q865" s="30"/>
      <c r="R865" s="30"/>
      <c r="S865" s="30"/>
    </row>
    <row r="866" ht="15.75" customHeight="1">
      <c r="A866" s="30"/>
      <c r="B866" s="30"/>
      <c r="C866" s="30"/>
      <c r="D866" s="30"/>
      <c r="E866" s="30"/>
      <c r="F866" s="30"/>
      <c r="G866" s="30"/>
      <c r="H866" s="30"/>
      <c r="I866" s="30"/>
      <c r="J866" s="30"/>
      <c r="K866" s="30"/>
      <c r="L866" s="30"/>
      <c r="M866" s="30"/>
      <c r="N866" s="30"/>
      <c r="O866" s="30"/>
      <c r="P866" s="30"/>
      <c r="Q866" s="30"/>
      <c r="R866" s="30"/>
      <c r="S866" s="30"/>
    </row>
    <row r="867" ht="15.75" customHeight="1">
      <c r="A867" s="30"/>
      <c r="B867" s="30"/>
      <c r="C867" s="30"/>
      <c r="D867" s="30"/>
      <c r="E867" s="30"/>
      <c r="F867" s="30"/>
      <c r="G867" s="30"/>
      <c r="H867" s="30"/>
      <c r="I867" s="30"/>
      <c r="J867" s="30"/>
      <c r="K867" s="30"/>
      <c r="L867" s="30"/>
      <c r="M867" s="30"/>
      <c r="N867" s="30"/>
      <c r="O867" s="30"/>
      <c r="P867" s="30"/>
      <c r="Q867" s="30"/>
      <c r="R867" s="30"/>
      <c r="S867" s="30"/>
    </row>
    <row r="868" ht="15.75" customHeight="1">
      <c r="A868" s="30"/>
      <c r="B868" s="30"/>
      <c r="C868" s="30"/>
      <c r="D868" s="30"/>
      <c r="E868" s="30"/>
      <c r="F868" s="30"/>
      <c r="G868" s="30"/>
      <c r="H868" s="30"/>
      <c r="I868" s="30"/>
      <c r="J868" s="30"/>
      <c r="K868" s="30"/>
      <c r="L868" s="30"/>
      <c r="M868" s="30"/>
      <c r="N868" s="30"/>
      <c r="O868" s="30"/>
      <c r="P868" s="30"/>
      <c r="Q868" s="30"/>
      <c r="R868" s="30"/>
      <c r="S868" s="30"/>
    </row>
    <row r="869" ht="15.75" customHeight="1">
      <c r="A869" s="30"/>
      <c r="B869" s="30"/>
      <c r="C869" s="30"/>
      <c r="D869" s="30"/>
      <c r="E869" s="30"/>
      <c r="F869" s="30"/>
      <c r="G869" s="30"/>
      <c r="H869" s="30"/>
      <c r="I869" s="30"/>
      <c r="J869" s="30"/>
      <c r="K869" s="30"/>
      <c r="L869" s="30"/>
      <c r="M869" s="30"/>
      <c r="N869" s="30"/>
      <c r="O869" s="30"/>
      <c r="P869" s="30"/>
      <c r="Q869" s="30"/>
      <c r="R869" s="30"/>
      <c r="S869" s="30"/>
    </row>
    <row r="870" ht="15.75" customHeight="1">
      <c r="A870" s="30"/>
      <c r="B870" s="30"/>
      <c r="C870" s="30"/>
      <c r="D870" s="30"/>
      <c r="E870" s="30"/>
      <c r="F870" s="30"/>
      <c r="G870" s="30"/>
      <c r="H870" s="30"/>
      <c r="I870" s="30"/>
      <c r="J870" s="30"/>
      <c r="K870" s="30"/>
      <c r="L870" s="30"/>
      <c r="M870" s="30"/>
      <c r="N870" s="30"/>
      <c r="O870" s="30"/>
      <c r="P870" s="30"/>
      <c r="Q870" s="30"/>
      <c r="R870" s="30"/>
      <c r="S870" s="30"/>
    </row>
    <row r="871" ht="15.75" customHeight="1">
      <c r="A871" s="30"/>
      <c r="B871" s="30"/>
      <c r="C871" s="30"/>
      <c r="D871" s="30"/>
      <c r="E871" s="30"/>
      <c r="F871" s="30"/>
      <c r="G871" s="30"/>
      <c r="H871" s="30"/>
      <c r="I871" s="30"/>
      <c r="J871" s="30"/>
      <c r="K871" s="30"/>
      <c r="L871" s="30"/>
      <c r="M871" s="30"/>
      <c r="N871" s="30"/>
      <c r="O871" s="30"/>
      <c r="P871" s="30"/>
      <c r="Q871" s="30"/>
      <c r="R871" s="30"/>
      <c r="S871" s="30"/>
    </row>
    <row r="872" ht="15.75" customHeight="1">
      <c r="A872" s="30"/>
      <c r="B872" s="30"/>
      <c r="C872" s="30"/>
      <c r="D872" s="30"/>
      <c r="E872" s="30"/>
      <c r="F872" s="30"/>
      <c r="G872" s="30"/>
      <c r="H872" s="30"/>
      <c r="I872" s="30"/>
      <c r="J872" s="30"/>
      <c r="K872" s="30"/>
      <c r="L872" s="30"/>
      <c r="M872" s="30"/>
      <c r="N872" s="30"/>
      <c r="O872" s="30"/>
      <c r="P872" s="30"/>
      <c r="Q872" s="30"/>
      <c r="R872" s="30"/>
      <c r="S872" s="30"/>
    </row>
    <row r="873" ht="15.75" customHeight="1">
      <c r="A873" s="30"/>
      <c r="B873" s="30"/>
      <c r="C873" s="30"/>
      <c r="D873" s="30"/>
      <c r="E873" s="30"/>
      <c r="F873" s="30"/>
      <c r="G873" s="30"/>
      <c r="H873" s="30"/>
      <c r="I873" s="30"/>
      <c r="J873" s="30"/>
      <c r="K873" s="30"/>
      <c r="L873" s="30"/>
      <c r="M873" s="30"/>
      <c r="N873" s="30"/>
      <c r="O873" s="30"/>
      <c r="P873" s="30"/>
      <c r="Q873" s="30"/>
      <c r="R873" s="30"/>
      <c r="S873" s="30"/>
    </row>
    <row r="874" ht="15.75" customHeight="1">
      <c r="A874" s="30"/>
      <c r="B874" s="30"/>
      <c r="C874" s="30"/>
      <c r="D874" s="30"/>
      <c r="E874" s="30"/>
      <c r="F874" s="30"/>
      <c r="G874" s="30"/>
      <c r="H874" s="30"/>
      <c r="I874" s="30"/>
      <c r="J874" s="30"/>
      <c r="K874" s="30"/>
      <c r="L874" s="30"/>
      <c r="M874" s="30"/>
      <c r="N874" s="30"/>
      <c r="O874" s="30"/>
      <c r="P874" s="30"/>
      <c r="Q874" s="30"/>
      <c r="R874" s="30"/>
      <c r="S874" s="30"/>
    </row>
    <row r="875" ht="15.75" customHeight="1">
      <c r="A875" s="30"/>
      <c r="B875" s="30"/>
      <c r="C875" s="30"/>
      <c r="D875" s="30"/>
      <c r="E875" s="30"/>
      <c r="F875" s="30"/>
      <c r="G875" s="30"/>
      <c r="H875" s="30"/>
      <c r="I875" s="30"/>
      <c r="J875" s="30"/>
      <c r="K875" s="30"/>
      <c r="L875" s="30"/>
      <c r="M875" s="30"/>
      <c r="N875" s="30"/>
      <c r="O875" s="30"/>
      <c r="P875" s="30"/>
      <c r="Q875" s="30"/>
      <c r="R875" s="30"/>
      <c r="S875" s="30"/>
    </row>
    <row r="876" ht="15.75" customHeight="1">
      <c r="A876" s="30"/>
      <c r="B876" s="30"/>
      <c r="C876" s="30"/>
      <c r="D876" s="30"/>
      <c r="E876" s="30"/>
      <c r="F876" s="30"/>
      <c r="G876" s="30"/>
      <c r="H876" s="30"/>
      <c r="I876" s="30"/>
      <c r="J876" s="30"/>
      <c r="K876" s="30"/>
      <c r="L876" s="30"/>
      <c r="M876" s="30"/>
      <c r="N876" s="30"/>
      <c r="O876" s="30"/>
      <c r="P876" s="30"/>
      <c r="Q876" s="30"/>
      <c r="R876" s="30"/>
      <c r="S876" s="30"/>
    </row>
    <row r="877" ht="15.75" customHeight="1">
      <c r="A877" s="30"/>
      <c r="B877" s="30"/>
      <c r="C877" s="30"/>
      <c r="D877" s="30"/>
      <c r="E877" s="30"/>
      <c r="F877" s="30"/>
      <c r="G877" s="30"/>
      <c r="H877" s="30"/>
      <c r="I877" s="30"/>
      <c r="J877" s="30"/>
      <c r="K877" s="30"/>
      <c r="L877" s="30"/>
      <c r="M877" s="30"/>
      <c r="N877" s="30"/>
      <c r="O877" s="30"/>
      <c r="P877" s="30"/>
      <c r="Q877" s="30"/>
      <c r="R877" s="30"/>
      <c r="S877" s="30"/>
    </row>
    <row r="878" ht="15.75" customHeight="1">
      <c r="A878" s="30"/>
      <c r="B878" s="30"/>
      <c r="C878" s="30"/>
      <c r="D878" s="30"/>
      <c r="E878" s="30"/>
      <c r="F878" s="30"/>
      <c r="G878" s="30"/>
      <c r="H878" s="30"/>
      <c r="I878" s="30"/>
      <c r="J878" s="30"/>
      <c r="K878" s="30"/>
      <c r="L878" s="30"/>
      <c r="M878" s="30"/>
      <c r="N878" s="30"/>
      <c r="O878" s="30"/>
      <c r="P878" s="30"/>
      <c r="Q878" s="30"/>
      <c r="R878" s="30"/>
      <c r="S878" s="30"/>
    </row>
    <row r="879" ht="15.75" customHeight="1">
      <c r="A879" s="30"/>
      <c r="B879" s="30"/>
      <c r="C879" s="30"/>
      <c r="D879" s="30"/>
      <c r="E879" s="30"/>
      <c r="F879" s="30"/>
      <c r="G879" s="30"/>
      <c r="H879" s="30"/>
      <c r="I879" s="30"/>
      <c r="J879" s="30"/>
      <c r="K879" s="30"/>
      <c r="L879" s="30"/>
      <c r="M879" s="30"/>
      <c r="N879" s="30"/>
      <c r="O879" s="30"/>
      <c r="P879" s="30"/>
      <c r="Q879" s="30"/>
      <c r="R879" s="30"/>
      <c r="S879" s="30"/>
    </row>
    <row r="880" ht="15.75" customHeight="1">
      <c r="A880" s="30"/>
      <c r="B880" s="30"/>
      <c r="C880" s="30"/>
      <c r="D880" s="30"/>
      <c r="E880" s="30"/>
      <c r="F880" s="30"/>
      <c r="G880" s="30"/>
      <c r="H880" s="30"/>
      <c r="I880" s="30"/>
      <c r="J880" s="30"/>
      <c r="K880" s="30"/>
      <c r="L880" s="30"/>
      <c r="M880" s="30"/>
      <c r="N880" s="30"/>
      <c r="O880" s="30"/>
      <c r="P880" s="30"/>
      <c r="Q880" s="30"/>
      <c r="R880" s="30"/>
      <c r="S880" s="30"/>
    </row>
    <row r="881" ht="15.75" customHeight="1">
      <c r="A881" s="30"/>
      <c r="B881" s="30"/>
      <c r="C881" s="30"/>
      <c r="D881" s="30"/>
      <c r="E881" s="30"/>
      <c r="F881" s="30"/>
      <c r="G881" s="30"/>
      <c r="H881" s="30"/>
      <c r="I881" s="30"/>
      <c r="J881" s="30"/>
      <c r="K881" s="30"/>
      <c r="L881" s="30"/>
      <c r="M881" s="30"/>
      <c r="N881" s="30"/>
      <c r="O881" s="30"/>
      <c r="P881" s="30"/>
      <c r="Q881" s="30"/>
      <c r="R881" s="30"/>
      <c r="S881" s="30"/>
    </row>
    <row r="882" ht="15.75" customHeight="1">
      <c r="A882" s="30"/>
      <c r="B882" s="30"/>
      <c r="C882" s="30"/>
      <c r="D882" s="30"/>
      <c r="E882" s="30"/>
      <c r="F882" s="30"/>
      <c r="G882" s="30"/>
      <c r="H882" s="30"/>
      <c r="I882" s="30"/>
      <c r="J882" s="30"/>
      <c r="K882" s="30"/>
      <c r="L882" s="30"/>
      <c r="M882" s="30"/>
      <c r="N882" s="30"/>
      <c r="O882" s="30"/>
      <c r="P882" s="30"/>
      <c r="Q882" s="30"/>
      <c r="R882" s="30"/>
      <c r="S882" s="30"/>
    </row>
    <row r="883" ht="15.75" customHeight="1">
      <c r="A883" s="30"/>
      <c r="B883" s="30"/>
      <c r="C883" s="30"/>
      <c r="D883" s="30"/>
      <c r="E883" s="30"/>
      <c r="F883" s="30"/>
      <c r="G883" s="30"/>
      <c r="H883" s="30"/>
      <c r="I883" s="30"/>
      <c r="J883" s="30"/>
      <c r="K883" s="30"/>
      <c r="L883" s="30"/>
      <c r="M883" s="30"/>
      <c r="N883" s="30"/>
      <c r="O883" s="30"/>
      <c r="P883" s="30"/>
      <c r="Q883" s="30"/>
      <c r="R883" s="30"/>
      <c r="S883" s="30"/>
    </row>
    <row r="884" ht="15.75" customHeight="1">
      <c r="A884" s="30"/>
      <c r="B884" s="30"/>
      <c r="C884" s="30"/>
      <c r="D884" s="30"/>
      <c r="E884" s="30"/>
      <c r="F884" s="30"/>
      <c r="G884" s="30"/>
      <c r="H884" s="30"/>
      <c r="I884" s="30"/>
      <c r="J884" s="30"/>
      <c r="K884" s="30"/>
      <c r="L884" s="30"/>
      <c r="M884" s="30"/>
      <c r="N884" s="30"/>
      <c r="O884" s="30"/>
      <c r="P884" s="30"/>
      <c r="Q884" s="30"/>
      <c r="R884" s="30"/>
      <c r="S884" s="30"/>
    </row>
    <row r="885" ht="15.75" customHeight="1">
      <c r="A885" s="30"/>
      <c r="B885" s="30"/>
      <c r="C885" s="30"/>
      <c r="D885" s="30"/>
      <c r="E885" s="30"/>
      <c r="F885" s="30"/>
      <c r="G885" s="30"/>
      <c r="H885" s="30"/>
      <c r="I885" s="30"/>
      <c r="J885" s="30"/>
      <c r="K885" s="30"/>
      <c r="L885" s="30"/>
      <c r="M885" s="30"/>
      <c r="N885" s="30"/>
      <c r="O885" s="30"/>
      <c r="P885" s="30"/>
      <c r="Q885" s="30"/>
      <c r="R885" s="30"/>
      <c r="S885" s="30"/>
    </row>
    <row r="886" ht="15.75" customHeight="1">
      <c r="A886" s="30"/>
      <c r="B886" s="30"/>
      <c r="C886" s="30"/>
      <c r="D886" s="30"/>
      <c r="E886" s="30"/>
      <c r="F886" s="30"/>
      <c r="G886" s="30"/>
      <c r="H886" s="30"/>
      <c r="I886" s="30"/>
      <c r="J886" s="30"/>
      <c r="K886" s="30"/>
      <c r="L886" s="30"/>
      <c r="M886" s="30"/>
      <c r="N886" s="30"/>
      <c r="O886" s="30"/>
      <c r="P886" s="30"/>
      <c r="Q886" s="30"/>
      <c r="R886" s="30"/>
      <c r="S886" s="30"/>
    </row>
    <row r="887" ht="15.75" customHeight="1">
      <c r="A887" s="30"/>
      <c r="B887" s="30"/>
      <c r="C887" s="30"/>
      <c r="D887" s="30"/>
      <c r="E887" s="30"/>
      <c r="F887" s="30"/>
      <c r="G887" s="30"/>
      <c r="H887" s="30"/>
      <c r="I887" s="30"/>
      <c r="J887" s="30"/>
      <c r="K887" s="30"/>
      <c r="L887" s="30"/>
      <c r="M887" s="30"/>
      <c r="N887" s="30"/>
      <c r="O887" s="30"/>
      <c r="P887" s="30"/>
      <c r="Q887" s="30"/>
      <c r="R887" s="30"/>
      <c r="S887" s="30"/>
    </row>
    <row r="888" ht="15.75" customHeight="1">
      <c r="A888" s="30"/>
      <c r="B888" s="30"/>
      <c r="C888" s="30"/>
      <c r="D888" s="30"/>
      <c r="E888" s="30"/>
      <c r="F888" s="30"/>
      <c r="G888" s="30"/>
      <c r="H888" s="30"/>
      <c r="I888" s="30"/>
      <c r="J888" s="30"/>
      <c r="K888" s="30"/>
      <c r="L888" s="30"/>
      <c r="M888" s="30"/>
      <c r="N888" s="30"/>
      <c r="O888" s="30"/>
      <c r="P888" s="30"/>
      <c r="Q888" s="30"/>
      <c r="R888" s="30"/>
      <c r="S888" s="30"/>
    </row>
    <row r="889" ht="15.75" customHeight="1">
      <c r="A889" s="30"/>
      <c r="B889" s="30"/>
      <c r="C889" s="30"/>
      <c r="D889" s="30"/>
      <c r="E889" s="30"/>
      <c r="F889" s="30"/>
      <c r="G889" s="30"/>
      <c r="H889" s="30"/>
      <c r="I889" s="30"/>
      <c r="J889" s="30"/>
      <c r="K889" s="30"/>
      <c r="L889" s="30"/>
      <c r="M889" s="30"/>
      <c r="N889" s="30"/>
      <c r="O889" s="30"/>
      <c r="P889" s="30"/>
      <c r="Q889" s="30"/>
      <c r="R889" s="30"/>
      <c r="S889" s="30"/>
    </row>
    <row r="890" ht="15.75" customHeight="1">
      <c r="A890" s="30"/>
      <c r="B890" s="30"/>
      <c r="C890" s="30"/>
      <c r="D890" s="30"/>
      <c r="E890" s="30"/>
      <c r="F890" s="30"/>
      <c r="G890" s="30"/>
      <c r="H890" s="30"/>
      <c r="I890" s="30"/>
      <c r="J890" s="30"/>
      <c r="K890" s="30"/>
      <c r="L890" s="30"/>
      <c r="M890" s="30"/>
      <c r="N890" s="30"/>
      <c r="O890" s="30"/>
      <c r="P890" s="30"/>
      <c r="Q890" s="30"/>
      <c r="R890" s="30"/>
      <c r="S890" s="30"/>
    </row>
    <row r="891" ht="15.75" customHeight="1">
      <c r="A891" s="30"/>
      <c r="B891" s="30"/>
      <c r="C891" s="30"/>
      <c r="D891" s="30"/>
      <c r="E891" s="30"/>
      <c r="F891" s="30"/>
      <c r="G891" s="30"/>
      <c r="H891" s="30"/>
      <c r="I891" s="30"/>
      <c r="J891" s="30"/>
      <c r="K891" s="30"/>
      <c r="L891" s="30"/>
      <c r="M891" s="30"/>
      <c r="N891" s="30"/>
      <c r="O891" s="30"/>
      <c r="P891" s="30"/>
      <c r="Q891" s="30"/>
      <c r="R891" s="30"/>
      <c r="S891" s="30"/>
    </row>
    <row r="892" ht="15.75" customHeight="1">
      <c r="A892" s="30"/>
      <c r="B892" s="30"/>
      <c r="C892" s="30"/>
      <c r="D892" s="30"/>
      <c r="E892" s="30"/>
      <c r="F892" s="30"/>
      <c r="G892" s="30"/>
      <c r="H892" s="30"/>
      <c r="I892" s="30"/>
      <c r="J892" s="30"/>
      <c r="K892" s="30"/>
      <c r="L892" s="30"/>
      <c r="M892" s="30"/>
      <c r="N892" s="30"/>
      <c r="O892" s="30"/>
      <c r="P892" s="30"/>
      <c r="Q892" s="30"/>
      <c r="R892" s="30"/>
      <c r="S892" s="30"/>
    </row>
    <row r="893" ht="15.75" customHeight="1">
      <c r="A893" s="30"/>
      <c r="B893" s="30"/>
      <c r="C893" s="30"/>
      <c r="D893" s="30"/>
      <c r="E893" s="30"/>
      <c r="F893" s="30"/>
      <c r="G893" s="30"/>
      <c r="H893" s="30"/>
      <c r="I893" s="30"/>
      <c r="J893" s="30"/>
      <c r="K893" s="30"/>
      <c r="L893" s="30"/>
      <c r="M893" s="30"/>
      <c r="N893" s="30"/>
      <c r="O893" s="30"/>
      <c r="P893" s="30"/>
      <c r="Q893" s="30"/>
      <c r="R893" s="30"/>
      <c r="S893" s="30"/>
    </row>
    <row r="894" ht="15.75" customHeight="1">
      <c r="A894" s="30"/>
      <c r="B894" s="30"/>
      <c r="C894" s="30"/>
      <c r="D894" s="30"/>
      <c r="E894" s="30"/>
      <c r="F894" s="30"/>
      <c r="G894" s="30"/>
      <c r="H894" s="30"/>
      <c r="I894" s="30"/>
      <c r="J894" s="30"/>
      <c r="K894" s="30"/>
      <c r="L894" s="30"/>
      <c r="M894" s="30"/>
      <c r="N894" s="30"/>
      <c r="O894" s="30"/>
      <c r="P894" s="30"/>
      <c r="Q894" s="30"/>
      <c r="R894" s="30"/>
      <c r="S894" s="30"/>
    </row>
    <row r="895" ht="15.75" customHeight="1">
      <c r="A895" s="30"/>
      <c r="B895" s="30"/>
      <c r="C895" s="30"/>
      <c r="D895" s="30"/>
      <c r="E895" s="30"/>
      <c r="F895" s="30"/>
      <c r="G895" s="30"/>
      <c r="H895" s="30"/>
      <c r="I895" s="30"/>
      <c r="J895" s="30"/>
      <c r="K895" s="30"/>
      <c r="L895" s="30"/>
      <c r="M895" s="30"/>
      <c r="N895" s="30"/>
      <c r="O895" s="30"/>
      <c r="P895" s="30"/>
      <c r="Q895" s="30"/>
      <c r="R895" s="30"/>
      <c r="S895" s="30"/>
    </row>
    <row r="896" ht="15.75" customHeight="1">
      <c r="A896" s="30"/>
      <c r="B896" s="30"/>
      <c r="C896" s="30"/>
      <c r="D896" s="30"/>
      <c r="E896" s="30"/>
      <c r="F896" s="30"/>
      <c r="G896" s="30"/>
      <c r="H896" s="30"/>
      <c r="I896" s="30"/>
      <c r="J896" s="30"/>
      <c r="K896" s="30"/>
      <c r="L896" s="30"/>
      <c r="M896" s="30"/>
      <c r="N896" s="30"/>
      <c r="O896" s="30"/>
      <c r="P896" s="30"/>
      <c r="Q896" s="30"/>
      <c r="R896" s="30"/>
      <c r="S896" s="30"/>
    </row>
    <row r="897" ht="15.75" customHeight="1">
      <c r="A897" s="30"/>
      <c r="B897" s="30"/>
      <c r="C897" s="30"/>
      <c r="D897" s="30"/>
      <c r="E897" s="30"/>
      <c r="F897" s="30"/>
      <c r="G897" s="30"/>
      <c r="H897" s="30"/>
      <c r="I897" s="30"/>
      <c r="J897" s="30"/>
      <c r="K897" s="30"/>
      <c r="L897" s="30"/>
      <c r="M897" s="30"/>
      <c r="N897" s="30"/>
      <c r="O897" s="30"/>
      <c r="P897" s="30"/>
      <c r="Q897" s="30"/>
      <c r="R897" s="30"/>
      <c r="S897" s="30"/>
    </row>
    <row r="898" ht="15.75" customHeight="1">
      <c r="A898" s="30"/>
      <c r="B898" s="30"/>
      <c r="C898" s="30"/>
      <c r="D898" s="30"/>
      <c r="E898" s="30"/>
      <c r="F898" s="30"/>
      <c r="G898" s="30"/>
      <c r="H898" s="30"/>
      <c r="I898" s="30"/>
      <c r="J898" s="30"/>
      <c r="K898" s="30"/>
      <c r="L898" s="30"/>
      <c r="M898" s="30"/>
      <c r="N898" s="30"/>
      <c r="O898" s="30"/>
      <c r="P898" s="30"/>
      <c r="Q898" s="30"/>
      <c r="R898" s="30"/>
      <c r="S898" s="30"/>
    </row>
    <row r="899" ht="15.75" customHeight="1">
      <c r="A899" s="30"/>
      <c r="B899" s="30"/>
      <c r="C899" s="30"/>
      <c r="D899" s="30"/>
      <c r="E899" s="30"/>
      <c r="F899" s="30"/>
      <c r="G899" s="30"/>
      <c r="H899" s="30"/>
      <c r="I899" s="30"/>
      <c r="J899" s="30"/>
      <c r="K899" s="30"/>
      <c r="L899" s="30"/>
      <c r="M899" s="30"/>
      <c r="N899" s="30"/>
      <c r="O899" s="30"/>
      <c r="P899" s="30"/>
      <c r="Q899" s="30"/>
      <c r="R899" s="30"/>
      <c r="S899" s="30"/>
    </row>
    <row r="900" ht="15.75" customHeight="1">
      <c r="A900" s="30"/>
      <c r="B900" s="30"/>
      <c r="C900" s="30"/>
      <c r="D900" s="30"/>
      <c r="E900" s="30"/>
      <c r="F900" s="30"/>
      <c r="G900" s="30"/>
      <c r="H900" s="30"/>
      <c r="I900" s="30"/>
      <c r="J900" s="30"/>
      <c r="K900" s="30"/>
      <c r="L900" s="30"/>
      <c r="M900" s="30"/>
      <c r="N900" s="30"/>
      <c r="O900" s="30"/>
      <c r="P900" s="30"/>
      <c r="Q900" s="30"/>
      <c r="R900" s="30"/>
      <c r="S900" s="30"/>
    </row>
    <row r="901" ht="15.75" customHeight="1">
      <c r="A901" s="30"/>
      <c r="B901" s="30"/>
      <c r="C901" s="30"/>
      <c r="D901" s="30"/>
      <c r="E901" s="30"/>
      <c r="F901" s="30"/>
      <c r="G901" s="30"/>
      <c r="H901" s="30"/>
      <c r="I901" s="30"/>
      <c r="J901" s="30"/>
      <c r="K901" s="30"/>
      <c r="L901" s="30"/>
      <c r="M901" s="30"/>
      <c r="N901" s="30"/>
      <c r="O901" s="30"/>
      <c r="P901" s="30"/>
      <c r="Q901" s="30"/>
      <c r="R901" s="30"/>
      <c r="S901" s="30"/>
    </row>
    <row r="902" ht="15.75" customHeight="1">
      <c r="A902" s="30"/>
      <c r="B902" s="30"/>
      <c r="C902" s="30"/>
      <c r="D902" s="30"/>
      <c r="E902" s="30"/>
      <c r="F902" s="30"/>
      <c r="G902" s="30"/>
      <c r="H902" s="30"/>
      <c r="I902" s="30"/>
      <c r="J902" s="30"/>
      <c r="K902" s="30"/>
      <c r="L902" s="30"/>
      <c r="M902" s="30"/>
      <c r="N902" s="30"/>
      <c r="O902" s="30"/>
      <c r="P902" s="30"/>
      <c r="Q902" s="30"/>
      <c r="R902" s="30"/>
      <c r="S902" s="30"/>
    </row>
    <row r="903" ht="15.75" customHeight="1">
      <c r="A903" s="30"/>
      <c r="B903" s="30"/>
      <c r="C903" s="30"/>
      <c r="D903" s="30"/>
      <c r="E903" s="30"/>
      <c r="F903" s="30"/>
      <c r="G903" s="30"/>
      <c r="H903" s="30"/>
      <c r="I903" s="30"/>
      <c r="J903" s="30"/>
      <c r="K903" s="30"/>
      <c r="L903" s="30"/>
      <c r="M903" s="30"/>
      <c r="N903" s="30"/>
      <c r="O903" s="30"/>
      <c r="P903" s="30"/>
      <c r="Q903" s="30"/>
      <c r="R903" s="30"/>
      <c r="S903" s="30"/>
    </row>
    <row r="904" ht="15.75" customHeight="1">
      <c r="A904" s="30"/>
      <c r="B904" s="30"/>
      <c r="C904" s="30"/>
      <c r="D904" s="30"/>
      <c r="E904" s="30"/>
      <c r="F904" s="30"/>
      <c r="G904" s="30"/>
      <c r="H904" s="30"/>
      <c r="I904" s="30"/>
      <c r="J904" s="30"/>
      <c r="K904" s="30"/>
      <c r="L904" s="30"/>
      <c r="M904" s="30"/>
      <c r="N904" s="30"/>
      <c r="O904" s="30"/>
      <c r="P904" s="30"/>
      <c r="Q904" s="30"/>
      <c r="R904" s="30"/>
      <c r="S904" s="30"/>
    </row>
    <row r="905" ht="15.75" customHeight="1">
      <c r="A905" s="30"/>
      <c r="B905" s="30"/>
      <c r="C905" s="30"/>
      <c r="D905" s="30"/>
      <c r="E905" s="30"/>
      <c r="F905" s="30"/>
      <c r="G905" s="30"/>
      <c r="H905" s="30"/>
      <c r="I905" s="30"/>
      <c r="J905" s="30"/>
      <c r="K905" s="30"/>
      <c r="L905" s="30"/>
      <c r="M905" s="30"/>
      <c r="N905" s="30"/>
      <c r="O905" s="30"/>
      <c r="P905" s="30"/>
      <c r="Q905" s="30"/>
      <c r="R905" s="30"/>
      <c r="S905" s="30"/>
    </row>
    <row r="906" ht="15.75" customHeight="1">
      <c r="A906" s="30"/>
      <c r="B906" s="30"/>
      <c r="C906" s="30"/>
      <c r="D906" s="30"/>
      <c r="E906" s="30"/>
      <c r="F906" s="30"/>
      <c r="G906" s="30"/>
      <c r="H906" s="30"/>
      <c r="I906" s="30"/>
      <c r="J906" s="30"/>
      <c r="K906" s="30"/>
      <c r="L906" s="30"/>
      <c r="M906" s="30"/>
      <c r="N906" s="30"/>
      <c r="O906" s="30"/>
      <c r="P906" s="30"/>
      <c r="Q906" s="30"/>
      <c r="R906" s="30"/>
      <c r="S906" s="30"/>
    </row>
    <row r="907" ht="15.75" customHeight="1">
      <c r="A907" s="30"/>
      <c r="B907" s="30"/>
      <c r="C907" s="30"/>
      <c r="D907" s="30"/>
      <c r="E907" s="30"/>
      <c r="F907" s="30"/>
      <c r="G907" s="30"/>
      <c r="H907" s="30"/>
      <c r="I907" s="30"/>
      <c r="J907" s="30"/>
      <c r="K907" s="30"/>
      <c r="L907" s="30"/>
      <c r="M907" s="30"/>
      <c r="N907" s="30"/>
      <c r="O907" s="30"/>
      <c r="P907" s="30"/>
      <c r="Q907" s="30"/>
      <c r="R907" s="30"/>
      <c r="S907" s="30"/>
    </row>
    <row r="908" ht="15.75" customHeight="1">
      <c r="A908" s="30"/>
      <c r="B908" s="30"/>
      <c r="C908" s="30"/>
      <c r="D908" s="30"/>
      <c r="E908" s="30"/>
      <c r="F908" s="30"/>
      <c r="G908" s="30"/>
      <c r="H908" s="30"/>
      <c r="I908" s="30"/>
      <c r="J908" s="30"/>
      <c r="K908" s="30"/>
      <c r="L908" s="30"/>
      <c r="M908" s="30"/>
      <c r="N908" s="30"/>
      <c r="O908" s="30"/>
      <c r="P908" s="30"/>
      <c r="Q908" s="30"/>
      <c r="R908" s="30"/>
      <c r="S908" s="30"/>
    </row>
    <row r="909" ht="15.75" customHeight="1">
      <c r="A909" s="30"/>
      <c r="B909" s="30"/>
      <c r="C909" s="30"/>
      <c r="D909" s="30"/>
      <c r="E909" s="30"/>
      <c r="F909" s="30"/>
      <c r="G909" s="30"/>
      <c r="H909" s="30"/>
      <c r="I909" s="30"/>
      <c r="J909" s="30"/>
      <c r="K909" s="30"/>
      <c r="L909" s="30"/>
      <c r="M909" s="30"/>
      <c r="N909" s="30"/>
      <c r="O909" s="30"/>
      <c r="P909" s="30"/>
      <c r="Q909" s="30"/>
      <c r="R909" s="30"/>
      <c r="S909" s="30"/>
    </row>
    <row r="910" ht="15.75" customHeight="1">
      <c r="A910" s="30"/>
      <c r="B910" s="30"/>
      <c r="C910" s="30"/>
      <c r="D910" s="30"/>
      <c r="E910" s="30"/>
      <c r="F910" s="30"/>
      <c r="G910" s="30"/>
      <c r="H910" s="30"/>
      <c r="I910" s="30"/>
      <c r="J910" s="30"/>
      <c r="K910" s="30"/>
      <c r="L910" s="30"/>
      <c r="M910" s="30"/>
      <c r="N910" s="30"/>
      <c r="O910" s="30"/>
      <c r="P910" s="30"/>
      <c r="Q910" s="30"/>
      <c r="R910" s="30"/>
      <c r="S910" s="30"/>
    </row>
    <row r="911" ht="15.75" customHeight="1">
      <c r="A911" s="30"/>
      <c r="B911" s="30"/>
      <c r="C911" s="30"/>
      <c r="D911" s="30"/>
      <c r="E911" s="30"/>
      <c r="F911" s="30"/>
      <c r="G911" s="30"/>
      <c r="H911" s="30"/>
      <c r="I911" s="30"/>
      <c r="J911" s="30"/>
      <c r="K911" s="30"/>
      <c r="L911" s="30"/>
      <c r="M911" s="30"/>
      <c r="N911" s="30"/>
      <c r="O911" s="30"/>
      <c r="P911" s="30"/>
      <c r="Q911" s="30"/>
      <c r="R911" s="30"/>
      <c r="S911" s="30"/>
    </row>
    <row r="912" ht="15.75" customHeight="1">
      <c r="A912" s="30"/>
      <c r="B912" s="30"/>
      <c r="C912" s="30"/>
      <c r="D912" s="30"/>
      <c r="E912" s="30"/>
      <c r="F912" s="30"/>
      <c r="G912" s="30"/>
      <c r="H912" s="30"/>
      <c r="I912" s="30"/>
      <c r="J912" s="30"/>
      <c r="K912" s="30"/>
      <c r="L912" s="30"/>
      <c r="M912" s="30"/>
      <c r="N912" s="30"/>
      <c r="O912" s="30"/>
      <c r="P912" s="30"/>
      <c r="Q912" s="30"/>
      <c r="R912" s="30"/>
      <c r="S912" s="30"/>
    </row>
    <row r="913" ht="15.75" customHeight="1">
      <c r="A913" s="30"/>
      <c r="B913" s="30"/>
      <c r="C913" s="30"/>
      <c r="D913" s="30"/>
      <c r="E913" s="30"/>
      <c r="F913" s="30"/>
      <c r="G913" s="30"/>
      <c r="H913" s="30"/>
      <c r="I913" s="30"/>
      <c r="J913" s="30"/>
      <c r="K913" s="30"/>
      <c r="L913" s="30"/>
      <c r="M913" s="30"/>
      <c r="N913" s="30"/>
      <c r="O913" s="30"/>
      <c r="P913" s="30"/>
      <c r="Q913" s="30"/>
      <c r="R913" s="30"/>
      <c r="S913" s="30"/>
    </row>
    <row r="914" ht="15.75" customHeight="1">
      <c r="A914" s="30"/>
      <c r="B914" s="30"/>
      <c r="C914" s="30"/>
      <c r="D914" s="30"/>
      <c r="E914" s="30"/>
      <c r="F914" s="30"/>
      <c r="G914" s="30"/>
      <c r="H914" s="30"/>
      <c r="I914" s="30"/>
      <c r="J914" s="30"/>
      <c r="K914" s="30"/>
      <c r="L914" s="30"/>
      <c r="M914" s="30"/>
      <c r="N914" s="30"/>
      <c r="O914" s="30"/>
      <c r="P914" s="30"/>
      <c r="Q914" s="30"/>
      <c r="R914" s="30"/>
      <c r="S914" s="30"/>
    </row>
    <row r="915" ht="15.75" customHeight="1">
      <c r="A915" s="30"/>
      <c r="B915" s="30"/>
      <c r="C915" s="30"/>
      <c r="D915" s="30"/>
      <c r="E915" s="30"/>
      <c r="F915" s="30"/>
      <c r="G915" s="30"/>
      <c r="H915" s="30"/>
      <c r="I915" s="30"/>
      <c r="J915" s="30"/>
      <c r="K915" s="30"/>
      <c r="L915" s="30"/>
      <c r="M915" s="30"/>
      <c r="N915" s="30"/>
      <c r="O915" s="30"/>
      <c r="P915" s="30"/>
      <c r="Q915" s="30"/>
      <c r="R915" s="30"/>
      <c r="S915" s="30"/>
    </row>
    <row r="916" ht="15.75" customHeight="1">
      <c r="A916" s="30"/>
      <c r="B916" s="30"/>
      <c r="C916" s="30"/>
      <c r="D916" s="30"/>
      <c r="E916" s="30"/>
      <c r="F916" s="30"/>
      <c r="G916" s="30"/>
      <c r="H916" s="30"/>
      <c r="I916" s="30"/>
      <c r="J916" s="30"/>
      <c r="K916" s="30"/>
      <c r="L916" s="30"/>
      <c r="M916" s="30"/>
      <c r="N916" s="30"/>
      <c r="O916" s="30"/>
      <c r="P916" s="30"/>
      <c r="Q916" s="30"/>
      <c r="R916" s="30"/>
      <c r="S916" s="30"/>
    </row>
    <row r="917" ht="15.75" customHeight="1">
      <c r="A917" s="30"/>
      <c r="B917" s="30"/>
      <c r="C917" s="30"/>
      <c r="D917" s="30"/>
      <c r="E917" s="30"/>
      <c r="F917" s="30"/>
      <c r="G917" s="30"/>
      <c r="H917" s="30"/>
      <c r="I917" s="30"/>
      <c r="J917" s="30"/>
      <c r="K917" s="30"/>
      <c r="L917" s="30"/>
      <c r="M917" s="30"/>
      <c r="N917" s="30"/>
      <c r="O917" s="30"/>
      <c r="P917" s="30"/>
      <c r="Q917" s="30"/>
      <c r="R917" s="30"/>
      <c r="S917" s="30"/>
    </row>
    <row r="918" ht="15.75" customHeight="1">
      <c r="A918" s="30"/>
      <c r="B918" s="30"/>
      <c r="C918" s="30"/>
      <c r="D918" s="30"/>
      <c r="E918" s="30"/>
      <c r="F918" s="30"/>
      <c r="G918" s="30"/>
      <c r="H918" s="30"/>
      <c r="I918" s="30"/>
      <c r="J918" s="30"/>
      <c r="K918" s="30"/>
      <c r="L918" s="30"/>
      <c r="M918" s="30"/>
      <c r="N918" s="30"/>
      <c r="O918" s="30"/>
      <c r="P918" s="30"/>
      <c r="Q918" s="30"/>
      <c r="R918" s="30"/>
      <c r="S918" s="30"/>
    </row>
    <row r="919" ht="15.75" customHeight="1">
      <c r="A919" s="30"/>
      <c r="B919" s="30"/>
      <c r="C919" s="30"/>
      <c r="D919" s="30"/>
      <c r="E919" s="30"/>
      <c r="F919" s="30"/>
      <c r="G919" s="30"/>
      <c r="H919" s="30"/>
      <c r="I919" s="30"/>
      <c r="J919" s="30"/>
      <c r="K919" s="30"/>
      <c r="L919" s="30"/>
      <c r="M919" s="30"/>
      <c r="N919" s="30"/>
      <c r="O919" s="30"/>
      <c r="P919" s="30"/>
      <c r="Q919" s="30"/>
      <c r="R919" s="30"/>
      <c r="S919" s="30"/>
    </row>
    <row r="920" ht="15.75" customHeight="1">
      <c r="A920" s="30"/>
      <c r="B920" s="30"/>
      <c r="C920" s="30"/>
      <c r="D920" s="30"/>
      <c r="E920" s="30"/>
      <c r="F920" s="30"/>
      <c r="G920" s="30"/>
      <c r="H920" s="30"/>
      <c r="I920" s="30"/>
      <c r="J920" s="30"/>
      <c r="K920" s="30"/>
      <c r="L920" s="30"/>
      <c r="M920" s="30"/>
      <c r="N920" s="30"/>
      <c r="O920" s="30"/>
      <c r="P920" s="30"/>
      <c r="Q920" s="30"/>
      <c r="R920" s="30"/>
      <c r="S920" s="30"/>
    </row>
    <row r="921" ht="15.75" customHeight="1">
      <c r="A921" s="30"/>
      <c r="B921" s="30"/>
      <c r="C921" s="30"/>
      <c r="D921" s="30"/>
      <c r="E921" s="30"/>
      <c r="F921" s="30"/>
      <c r="G921" s="30"/>
      <c r="H921" s="30"/>
      <c r="I921" s="30"/>
      <c r="J921" s="30"/>
      <c r="K921" s="30"/>
      <c r="L921" s="30"/>
      <c r="M921" s="30"/>
      <c r="N921" s="30"/>
      <c r="O921" s="30"/>
      <c r="P921" s="30"/>
      <c r="Q921" s="30"/>
      <c r="R921" s="30"/>
      <c r="S921" s="30"/>
    </row>
    <row r="922" ht="15.75" customHeight="1">
      <c r="A922" s="30"/>
      <c r="B922" s="30"/>
      <c r="C922" s="30"/>
      <c r="D922" s="30"/>
      <c r="E922" s="30"/>
      <c r="F922" s="30"/>
      <c r="G922" s="30"/>
      <c r="H922" s="30"/>
      <c r="I922" s="30"/>
      <c r="J922" s="30"/>
      <c r="K922" s="30"/>
      <c r="L922" s="30"/>
      <c r="M922" s="30"/>
      <c r="N922" s="30"/>
      <c r="O922" s="30"/>
      <c r="P922" s="30"/>
      <c r="Q922" s="30"/>
      <c r="R922" s="30"/>
      <c r="S922" s="30"/>
    </row>
    <row r="923" ht="15.75" customHeight="1">
      <c r="A923" s="30"/>
      <c r="B923" s="30"/>
      <c r="C923" s="30"/>
      <c r="D923" s="30"/>
      <c r="E923" s="30"/>
      <c r="F923" s="30"/>
      <c r="G923" s="30"/>
      <c r="H923" s="30"/>
      <c r="I923" s="30"/>
      <c r="J923" s="30"/>
      <c r="K923" s="30"/>
      <c r="L923" s="30"/>
      <c r="M923" s="30"/>
      <c r="N923" s="30"/>
      <c r="O923" s="30"/>
      <c r="P923" s="30"/>
      <c r="Q923" s="30"/>
      <c r="R923" s="30"/>
      <c r="S923" s="30"/>
    </row>
    <row r="924" ht="15.75" customHeight="1">
      <c r="A924" s="30"/>
      <c r="B924" s="30"/>
      <c r="C924" s="30"/>
      <c r="D924" s="30"/>
      <c r="E924" s="30"/>
      <c r="F924" s="30"/>
      <c r="G924" s="30"/>
      <c r="H924" s="30"/>
      <c r="I924" s="30"/>
      <c r="J924" s="30"/>
      <c r="K924" s="30"/>
      <c r="L924" s="30"/>
      <c r="M924" s="30"/>
      <c r="N924" s="30"/>
      <c r="O924" s="30"/>
      <c r="P924" s="30"/>
      <c r="Q924" s="30"/>
      <c r="R924" s="30"/>
      <c r="S924" s="30"/>
    </row>
    <row r="925" ht="15.75" customHeight="1">
      <c r="A925" s="30"/>
      <c r="B925" s="30"/>
      <c r="C925" s="30"/>
      <c r="D925" s="30"/>
      <c r="E925" s="30"/>
      <c r="F925" s="30"/>
      <c r="G925" s="30"/>
      <c r="H925" s="30"/>
      <c r="I925" s="30"/>
      <c r="J925" s="30"/>
      <c r="K925" s="30"/>
      <c r="L925" s="30"/>
      <c r="M925" s="30"/>
      <c r="N925" s="30"/>
      <c r="O925" s="30"/>
      <c r="P925" s="30"/>
      <c r="Q925" s="30"/>
      <c r="R925" s="30"/>
      <c r="S925" s="30"/>
    </row>
    <row r="926" ht="15.75" customHeight="1">
      <c r="A926" s="30"/>
      <c r="B926" s="30"/>
      <c r="C926" s="30"/>
      <c r="D926" s="30"/>
      <c r="E926" s="30"/>
      <c r="F926" s="30"/>
      <c r="G926" s="30"/>
      <c r="H926" s="30"/>
      <c r="I926" s="30"/>
      <c r="J926" s="30"/>
      <c r="K926" s="30"/>
      <c r="L926" s="30"/>
      <c r="M926" s="30"/>
      <c r="N926" s="30"/>
      <c r="O926" s="30"/>
      <c r="P926" s="30"/>
      <c r="Q926" s="30"/>
      <c r="R926" s="30"/>
      <c r="S926" s="30"/>
    </row>
    <row r="927" ht="15.75" customHeight="1">
      <c r="A927" s="30"/>
      <c r="B927" s="30"/>
      <c r="C927" s="30"/>
      <c r="D927" s="30"/>
      <c r="E927" s="30"/>
      <c r="F927" s="30"/>
      <c r="G927" s="30"/>
      <c r="H927" s="30"/>
      <c r="I927" s="30"/>
      <c r="J927" s="30"/>
      <c r="K927" s="30"/>
      <c r="L927" s="30"/>
      <c r="M927" s="30"/>
      <c r="N927" s="30"/>
      <c r="O927" s="30"/>
      <c r="P927" s="30"/>
      <c r="Q927" s="30"/>
      <c r="R927" s="30"/>
      <c r="S927" s="30"/>
    </row>
    <row r="928" ht="15.75" customHeight="1">
      <c r="A928" s="30"/>
      <c r="B928" s="30"/>
      <c r="C928" s="30"/>
      <c r="D928" s="30"/>
      <c r="E928" s="30"/>
      <c r="F928" s="30"/>
      <c r="G928" s="30"/>
      <c r="H928" s="30"/>
      <c r="I928" s="30"/>
      <c r="J928" s="30"/>
      <c r="K928" s="30"/>
      <c r="L928" s="30"/>
      <c r="M928" s="30"/>
      <c r="N928" s="30"/>
      <c r="O928" s="30"/>
      <c r="P928" s="30"/>
      <c r="Q928" s="30"/>
      <c r="R928" s="30"/>
      <c r="S928" s="30"/>
    </row>
    <row r="929" ht="15.75" customHeight="1">
      <c r="A929" s="30"/>
      <c r="B929" s="30"/>
      <c r="C929" s="30"/>
      <c r="D929" s="30"/>
      <c r="E929" s="30"/>
      <c r="F929" s="30"/>
      <c r="G929" s="30"/>
      <c r="H929" s="30"/>
      <c r="I929" s="30"/>
      <c r="J929" s="30"/>
      <c r="K929" s="30"/>
      <c r="L929" s="30"/>
      <c r="M929" s="30"/>
      <c r="N929" s="30"/>
      <c r="O929" s="30"/>
      <c r="P929" s="30"/>
      <c r="Q929" s="30"/>
      <c r="R929" s="30"/>
      <c r="S929" s="30"/>
    </row>
    <row r="930" ht="15.75" customHeight="1">
      <c r="A930" s="30"/>
      <c r="B930" s="30"/>
      <c r="C930" s="30"/>
      <c r="D930" s="30"/>
      <c r="E930" s="30"/>
      <c r="F930" s="30"/>
      <c r="G930" s="30"/>
      <c r="H930" s="30"/>
      <c r="I930" s="30"/>
      <c r="J930" s="30"/>
      <c r="K930" s="30"/>
      <c r="L930" s="30"/>
      <c r="M930" s="30"/>
      <c r="N930" s="30"/>
      <c r="O930" s="30"/>
      <c r="P930" s="30"/>
      <c r="Q930" s="30"/>
      <c r="R930" s="30"/>
      <c r="S930" s="30"/>
    </row>
    <row r="931" ht="15.75" customHeight="1">
      <c r="A931" s="30"/>
      <c r="B931" s="30"/>
      <c r="C931" s="30"/>
      <c r="D931" s="30"/>
      <c r="E931" s="30"/>
      <c r="F931" s="30"/>
      <c r="G931" s="30"/>
      <c r="H931" s="30"/>
      <c r="I931" s="30"/>
      <c r="J931" s="30"/>
      <c r="K931" s="30"/>
      <c r="L931" s="30"/>
      <c r="M931" s="30"/>
      <c r="N931" s="30"/>
      <c r="O931" s="30"/>
      <c r="P931" s="30"/>
      <c r="Q931" s="30"/>
      <c r="R931" s="30"/>
      <c r="S931" s="30"/>
    </row>
    <row r="932" ht="15.75" customHeight="1">
      <c r="A932" s="30"/>
      <c r="B932" s="30"/>
      <c r="C932" s="30"/>
      <c r="D932" s="30"/>
      <c r="E932" s="30"/>
      <c r="F932" s="30"/>
      <c r="G932" s="30"/>
      <c r="H932" s="30"/>
      <c r="I932" s="30"/>
      <c r="J932" s="30"/>
      <c r="K932" s="30"/>
      <c r="L932" s="30"/>
      <c r="M932" s="30"/>
      <c r="N932" s="30"/>
      <c r="O932" s="30"/>
      <c r="P932" s="30"/>
      <c r="Q932" s="30"/>
      <c r="R932" s="30"/>
      <c r="S932" s="30"/>
    </row>
    <row r="933" ht="15.75" customHeight="1">
      <c r="A933" s="30"/>
      <c r="B933" s="30"/>
      <c r="C933" s="30"/>
      <c r="D933" s="30"/>
      <c r="E933" s="30"/>
      <c r="F933" s="30"/>
      <c r="G933" s="30"/>
      <c r="H933" s="30"/>
      <c r="I933" s="30"/>
      <c r="J933" s="30"/>
      <c r="K933" s="30"/>
      <c r="L933" s="30"/>
      <c r="M933" s="30"/>
      <c r="N933" s="30"/>
      <c r="O933" s="30"/>
      <c r="P933" s="30"/>
      <c r="Q933" s="30"/>
      <c r="R933" s="30"/>
      <c r="S933" s="30"/>
    </row>
    <row r="934" ht="15.75" customHeight="1">
      <c r="A934" s="30"/>
      <c r="B934" s="30"/>
      <c r="C934" s="30"/>
      <c r="D934" s="30"/>
      <c r="E934" s="30"/>
      <c r="F934" s="30"/>
      <c r="G934" s="30"/>
      <c r="H934" s="30"/>
      <c r="I934" s="30"/>
      <c r="J934" s="30"/>
      <c r="K934" s="30"/>
      <c r="L934" s="30"/>
      <c r="M934" s="30"/>
      <c r="N934" s="30"/>
      <c r="O934" s="30"/>
      <c r="P934" s="30"/>
      <c r="Q934" s="30"/>
      <c r="R934" s="30"/>
      <c r="S934" s="30"/>
    </row>
    <row r="935" ht="15.75" customHeight="1">
      <c r="A935" s="30"/>
      <c r="B935" s="30"/>
      <c r="C935" s="30"/>
      <c r="D935" s="30"/>
      <c r="E935" s="30"/>
      <c r="F935" s="30"/>
      <c r="G935" s="30"/>
      <c r="H935" s="30"/>
      <c r="I935" s="30"/>
      <c r="J935" s="30"/>
      <c r="K935" s="30"/>
      <c r="L935" s="30"/>
      <c r="M935" s="30"/>
      <c r="N935" s="30"/>
      <c r="O935" s="30"/>
      <c r="P935" s="30"/>
      <c r="Q935" s="30"/>
      <c r="R935" s="30"/>
      <c r="S935" s="30"/>
    </row>
    <row r="936" ht="15.75" customHeight="1">
      <c r="A936" s="30"/>
      <c r="B936" s="30"/>
      <c r="C936" s="30"/>
      <c r="D936" s="30"/>
      <c r="E936" s="30"/>
      <c r="F936" s="30"/>
      <c r="G936" s="30"/>
      <c r="H936" s="30"/>
      <c r="I936" s="30"/>
      <c r="J936" s="30"/>
      <c r="K936" s="30"/>
      <c r="L936" s="30"/>
      <c r="M936" s="30"/>
      <c r="N936" s="30"/>
      <c r="O936" s="30"/>
      <c r="P936" s="30"/>
      <c r="Q936" s="30"/>
      <c r="R936" s="30"/>
      <c r="S936" s="30"/>
    </row>
    <row r="937" ht="15.75" customHeight="1">
      <c r="A937" s="30"/>
      <c r="B937" s="30"/>
      <c r="C937" s="30"/>
      <c r="D937" s="30"/>
      <c r="E937" s="30"/>
      <c r="F937" s="30"/>
      <c r="G937" s="30"/>
      <c r="H937" s="30"/>
      <c r="I937" s="30"/>
      <c r="J937" s="30"/>
      <c r="K937" s="30"/>
      <c r="L937" s="30"/>
      <c r="M937" s="30"/>
      <c r="N937" s="30"/>
      <c r="O937" s="30"/>
      <c r="P937" s="30"/>
      <c r="Q937" s="30"/>
      <c r="R937" s="30"/>
      <c r="S937" s="30"/>
    </row>
    <row r="938" ht="15.75" customHeight="1">
      <c r="A938" s="30"/>
      <c r="B938" s="30"/>
      <c r="C938" s="30"/>
      <c r="D938" s="30"/>
      <c r="E938" s="30"/>
      <c r="F938" s="30"/>
      <c r="G938" s="30"/>
      <c r="H938" s="30"/>
      <c r="I938" s="30"/>
      <c r="J938" s="30"/>
      <c r="K938" s="30"/>
      <c r="L938" s="30"/>
      <c r="M938" s="30"/>
      <c r="N938" s="30"/>
      <c r="O938" s="30"/>
      <c r="P938" s="30"/>
      <c r="Q938" s="30"/>
      <c r="R938" s="30"/>
      <c r="S938" s="30"/>
    </row>
    <row r="939" ht="15.75" customHeight="1">
      <c r="A939" s="30"/>
      <c r="B939" s="30"/>
      <c r="C939" s="30"/>
      <c r="D939" s="30"/>
      <c r="E939" s="30"/>
      <c r="F939" s="30"/>
      <c r="G939" s="30"/>
      <c r="H939" s="30"/>
      <c r="I939" s="30"/>
      <c r="J939" s="30"/>
      <c r="K939" s="30"/>
      <c r="L939" s="30"/>
      <c r="M939" s="30"/>
      <c r="N939" s="30"/>
      <c r="O939" s="30"/>
      <c r="P939" s="30"/>
      <c r="Q939" s="30"/>
      <c r="R939" s="30"/>
      <c r="S939" s="30"/>
    </row>
    <row r="940" ht="15.75" customHeight="1">
      <c r="A940" s="30"/>
      <c r="B940" s="30"/>
      <c r="C940" s="30"/>
      <c r="D940" s="30"/>
      <c r="E940" s="30"/>
      <c r="F940" s="30"/>
      <c r="G940" s="30"/>
      <c r="H940" s="30"/>
      <c r="I940" s="30"/>
      <c r="J940" s="30"/>
      <c r="K940" s="30"/>
      <c r="L940" s="30"/>
      <c r="M940" s="30"/>
      <c r="N940" s="30"/>
      <c r="O940" s="30"/>
      <c r="P940" s="30"/>
      <c r="Q940" s="30"/>
      <c r="R940" s="30"/>
      <c r="S940" s="30"/>
    </row>
    <row r="941" ht="15.75" customHeight="1">
      <c r="A941" s="30"/>
      <c r="B941" s="30"/>
      <c r="C941" s="30"/>
      <c r="D941" s="30"/>
      <c r="E941" s="30"/>
      <c r="F941" s="30"/>
      <c r="G941" s="30"/>
      <c r="H941" s="30"/>
      <c r="I941" s="30"/>
      <c r="J941" s="30"/>
      <c r="K941" s="30"/>
      <c r="L941" s="30"/>
      <c r="M941" s="30"/>
      <c r="N941" s="30"/>
      <c r="O941" s="30"/>
      <c r="P941" s="30"/>
      <c r="Q941" s="30"/>
      <c r="R941" s="30"/>
      <c r="S941" s="30"/>
    </row>
    <row r="942" ht="15.75" customHeight="1">
      <c r="A942" s="30"/>
      <c r="B942" s="30"/>
      <c r="C942" s="30"/>
      <c r="D942" s="30"/>
      <c r="E942" s="30"/>
      <c r="F942" s="30"/>
      <c r="G942" s="30"/>
      <c r="H942" s="30"/>
      <c r="I942" s="30"/>
      <c r="J942" s="30"/>
      <c r="K942" s="30"/>
      <c r="L942" s="30"/>
      <c r="M942" s="30"/>
      <c r="N942" s="30"/>
      <c r="O942" s="30"/>
      <c r="P942" s="30"/>
      <c r="Q942" s="30"/>
      <c r="R942" s="30"/>
      <c r="S942" s="30"/>
    </row>
    <row r="943" ht="15.75" customHeight="1">
      <c r="A943" s="30"/>
      <c r="B943" s="30"/>
      <c r="C943" s="30"/>
      <c r="D943" s="30"/>
      <c r="E943" s="30"/>
      <c r="F943" s="30"/>
      <c r="G943" s="30"/>
      <c r="H943" s="30"/>
      <c r="I943" s="30"/>
      <c r="J943" s="30"/>
      <c r="K943" s="30"/>
      <c r="L943" s="30"/>
      <c r="M943" s="30"/>
      <c r="N943" s="30"/>
      <c r="O943" s="30"/>
      <c r="P943" s="30"/>
      <c r="Q943" s="30"/>
      <c r="R943" s="30"/>
      <c r="S943" s="30"/>
    </row>
    <row r="944" ht="15.75" customHeight="1">
      <c r="A944" s="30"/>
      <c r="B944" s="30"/>
      <c r="C944" s="30"/>
      <c r="D944" s="30"/>
      <c r="E944" s="30"/>
      <c r="F944" s="30"/>
      <c r="G944" s="30"/>
      <c r="H944" s="30"/>
      <c r="I944" s="30"/>
      <c r="J944" s="30"/>
      <c r="K944" s="30"/>
      <c r="L944" s="30"/>
      <c r="M944" s="30"/>
      <c r="N944" s="30"/>
      <c r="O944" s="30"/>
      <c r="P944" s="30"/>
      <c r="Q944" s="30"/>
      <c r="R944" s="30"/>
      <c r="S944" s="30"/>
    </row>
    <row r="945" ht="15.75" customHeight="1">
      <c r="A945" s="30"/>
      <c r="B945" s="30"/>
      <c r="C945" s="30"/>
      <c r="D945" s="30"/>
      <c r="E945" s="30"/>
      <c r="F945" s="30"/>
      <c r="G945" s="30"/>
      <c r="H945" s="30"/>
      <c r="I945" s="30"/>
      <c r="J945" s="30"/>
      <c r="K945" s="30"/>
      <c r="L945" s="30"/>
      <c r="M945" s="30"/>
      <c r="N945" s="30"/>
      <c r="O945" s="30"/>
      <c r="P945" s="30"/>
      <c r="Q945" s="30"/>
      <c r="R945" s="30"/>
      <c r="S945" s="30"/>
    </row>
    <row r="946" ht="15.75" customHeight="1">
      <c r="A946" s="30"/>
      <c r="B946" s="30"/>
      <c r="C946" s="30"/>
      <c r="D946" s="30"/>
      <c r="E946" s="30"/>
      <c r="F946" s="30"/>
      <c r="G946" s="30"/>
      <c r="H946" s="30"/>
      <c r="I946" s="30"/>
      <c r="J946" s="30"/>
      <c r="K946" s="30"/>
      <c r="L946" s="30"/>
      <c r="M946" s="30"/>
      <c r="N946" s="30"/>
      <c r="O946" s="30"/>
      <c r="P946" s="30"/>
      <c r="Q946" s="30"/>
      <c r="R946" s="30"/>
      <c r="S946" s="30"/>
    </row>
    <row r="947" ht="15.75" customHeight="1">
      <c r="A947" s="30"/>
      <c r="B947" s="30"/>
      <c r="C947" s="30"/>
      <c r="D947" s="30"/>
      <c r="E947" s="30"/>
      <c r="F947" s="30"/>
      <c r="G947" s="30"/>
      <c r="H947" s="30"/>
      <c r="I947" s="30"/>
      <c r="J947" s="30"/>
      <c r="K947" s="30"/>
      <c r="L947" s="30"/>
      <c r="M947" s="30"/>
      <c r="N947" s="30"/>
      <c r="O947" s="30"/>
      <c r="P947" s="30"/>
      <c r="Q947" s="30"/>
      <c r="R947" s="30"/>
      <c r="S947" s="30"/>
    </row>
    <row r="948" ht="15.75" customHeight="1">
      <c r="A948" s="30"/>
      <c r="B948" s="30"/>
      <c r="C948" s="30"/>
      <c r="D948" s="30"/>
      <c r="E948" s="30"/>
      <c r="F948" s="30"/>
      <c r="G948" s="30"/>
      <c r="H948" s="30"/>
      <c r="I948" s="30"/>
      <c r="J948" s="30"/>
      <c r="K948" s="30"/>
      <c r="L948" s="30"/>
      <c r="M948" s="30"/>
      <c r="N948" s="30"/>
      <c r="O948" s="30"/>
      <c r="P948" s="30"/>
      <c r="Q948" s="30"/>
      <c r="R948" s="30"/>
      <c r="S948" s="30"/>
    </row>
    <row r="949" ht="15.75" customHeight="1">
      <c r="A949" s="30"/>
      <c r="B949" s="30"/>
      <c r="C949" s="30"/>
      <c r="D949" s="30"/>
      <c r="E949" s="30"/>
      <c r="F949" s="30"/>
      <c r="G949" s="30"/>
      <c r="H949" s="30"/>
      <c r="I949" s="30"/>
      <c r="J949" s="30"/>
      <c r="K949" s="30"/>
      <c r="L949" s="30"/>
      <c r="M949" s="30"/>
      <c r="N949" s="30"/>
      <c r="O949" s="30"/>
      <c r="P949" s="30"/>
      <c r="Q949" s="30"/>
      <c r="R949" s="30"/>
      <c r="S949" s="30"/>
    </row>
    <row r="950" ht="15.75" customHeight="1">
      <c r="A950" s="30"/>
      <c r="B950" s="30"/>
      <c r="C950" s="30"/>
      <c r="D950" s="30"/>
      <c r="E950" s="30"/>
      <c r="F950" s="30"/>
      <c r="G950" s="30"/>
      <c r="H950" s="30"/>
      <c r="I950" s="30"/>
      <c r="J950" s="30"/>
      <c r="K950" s="30"/>
      <c r="L950" s="30"/>
      <c r="M950" s="30"/>
      <c r="N950" s="30"/>
      <c r="O950" s="30"/>
      <c r="P950" s="30"/>
      <c r="Q950" s="30"/>
      <c r="R950" s="30"/>
      <c r="S950" s="30"/>
    </row>
    <row r="951" ht="15.75" customHeight="1">
      <c r="A951" s="30"/>
      <c r="B951" s="30"/>
      <c r="C951" s="30"/>
      <c r="D951" s="30"/>
      <c r="E951" s="30"/>
      <c r="F951" s="30"/>
      <c r="G951" s="30"/>
      <c r="H951" s="30"/>
      <c r="I951" s="30"/>
      <c r="J951" s="30"/>
      <c r="K951" s="30"/>
      <c r="L951" s="30"/>
      <c r="M951" s="30"/>
      <c r="N951" s="30"/>
      <c r="O951" s="30"/>
      <c r="P951" s="30"/>
      <c r="Q951" s="30"/>
      <c r="R951" s="30"/>
      <c r="S951" s="30"/>
    </row>
    <row r="952" ht="15.75" customHeight="1">
      <c r="A952" s="30"/>
      <c r="B952" s="30"/>
      <c r="C952" s="30"/>
      <c r="D952" s="30"/>
      <c r="E952" s="30"/>
      <c r="F952" s="30"/>
      <c r="G952" s="30"/>
      <c r="H952" s="30"/>
      <c r="I952" s="30"/>
      <c r="J952" s="30"/>
      <c r="K952" s="30"/>
      <c r="L952" s="30"/>
      <c r="M952" s="30"/>
      <c r="N952" s="30"/>
      <c r="O952" s="30"/>
      <c r="P952" s="30"/>
      <c r="Q952" s="30"/>
      <c r="R952" s="30"/>
      <c r="S952" s="30"/>
    </row>
    <row r="953" ht="15.75" customHeight="1">
      <c r="A953" s="30"/>
      <c r="B953" s="30"/>
      <c r="C953" s="30"/>
      <c r="D953" s="30"/>
      <c r="E953" s="30"/>
      <c r="F953" s="30"/>
      <c r="G953" s="30"/>
      <c r="H953" s="30"/>
      <c r="I953" s="30"/>
      <c r="J953" s="30"/>
      <c r="K953" s="30"/>
      <c r="L953" s="30"/>
      <c r="M953" s="30"/>
      <c r="N953" s="30"/>
      <c r="O953" s="30"/>
      <c r="P953" s="30"/>
      <c r="Q953" s="30"/>
      <c r="R953" s="30"/>
      <c r="S953" s="30"/>
    </row>
    <row r="954" ht="15.75" customHeight="1">
      <c r="A954" s="30"/>
      <c r="B954" s="30"/>
      <c r="C954" s="30"/>
      <c r="D954" s="30"/>
      <c r="E954" s="30"/>
      <c r="F954" s="30"/>
      <c r="G954" s="30"/>
      <c r="H954" s="30"/>
      <c r="I954" s="30"/>
      <c r="J954" s="30"/>
      <c r="K954" s="30"/>
      <c r="L954" s="30"/>
      <c r="M954" s="30"/>
      <c r="N954" s="30"/>
      <c r="O954" s="30"/>
      <c r="P954" s="30"/>
      <c r="Q954" s="30"/>
      <c r="R954" s="30"/>
      <c r="S954" s="30"/>
    </row>
    <row r="955" ht="15.75" customHeight="1">
      <c r="A955" s="30"/>
      <c r="B955" s="30"/>
      <c r="C955" s="30"/>
      <c r="D955" s="30"/>
      <c r="E955" s="30"/>
      <c r="F955" s="30"/>
      <c r="G955" s="30"/>
      <c r="H955" s="30"/>
      <c r="I955" s="30"/>
      <c r="J955" s="30"/>
      <c r="K955" s="30"/>
      <c r="L955" s="30"/>
      <c r="M955" s="30"/>
      <c r="N955" s="30"/>
      <c r="O955" s="30"/>
      <c r="P955" s="30"/>
      <c r="Q955" s="30"/>
      <c r="R955" s="30"/>
      <c r="S955" s="30"/>
    </row>
    <row r="956" ht="15.75" customHeight="1">
      <c r="A956" s="30"/>
      <c r="B956" s="30"/>
      <c r="C956" s="30"/>
      <c r="D956" s="30"/>
      <c r="E956" s="30"/>
      <c r="F956" s="30"/>
      <c r="G956" s="30"/>
      <c r="H956" s="30"/>
      <c r="I956" s="30"/>
      <c r="J956" s="30"/>
      <c r="K956" s="30"/>
      <c r="L956" s="30"/>
      <c r="M956" s="30"/>
      <c r="N956" s="30"/>
      <c r="O956" s="30"/>
      <c r="P956" s="30"/>
      <c r="Q956" s="30"/>
      <c r="R956" s="30"/>
      <c r="S956" s="30"/>
    </row>
    <row r="957" ht="15.75" customHeight="1">
      <c r="A957" s="30"/>
      <c r="B957" s="30"/>
      <c r="C957" s="30"/>
      <c r="D957" s="30"/>
      <c r="E957" s="30"/>
      <c r="F957" s="30"/>
      <c r="G957" s="30"/>
      <c r="H957" s="30"/>
      <c r="I957" s="30"/>
      <c r="J957" s="30"/>
      <c r="K957" s="30"/>
      <c r="L957" s="30"/>
      <c r="M957" s="30"/>
      <c r="N957" s="30"/>
      <c r="O957" s="30"/>
      <c r="P957" s="30"/>
      <c r="Q957" s="30"/>
      <c r="R957" s="30"/>
      <c r="S957" s="30"/>
    </row>
    <row r="958" ht="15.75" customHeight="1">
      <c r="A958" s="30"/>
      <c r="B958" s="30"/>
      <c r="C958" s="30"/>
      <c r="D958" s="30"/>
      <c r="E958" s="30"/>
      <c r="F958" s="30"/>
      <c r="G958" s="30"/>
      <c r="H958" s="30"/>
      <c r="I958" s="30"/>
      <c r="J958" s="30"/>
      <c r="K958" s="30"/>
      <c r="L958" s="30"/>
      <c r="M958" s="30"/>
      <c r="N958" s="30"/>
      <c r="O958" s="30"/>
      <c r="P958" s="30"/>
      <c r="Q958" s="30"/>
      <c r="R958" s="30"/>
      <c r="S958" s="30"/>
    </row>
    <row r="959" ht="15.75" customHeight="1">
      <c r="A959" s="30"/>
      <c r="B959" s="30"/>
      <c r="C959" s="30"/>
      <c r="D959" s="30"/>
      <c r="E959" s="30"/>
      <c r="F959" s="30"/>
      <c r="G959" s="30"/>
      <c r="H959" s="30"/>
      <c r="I959" s="30"/>
      <c r="J959" s="30"/>
      <c r="K959" s="30"/>
      <c r="L959" s="30"/>
      <c r="M959" s="30"/>
      <c r="N959" s="30"/>
      <c r="O959" s="30"/>
      <c r="P959" s="30"/>
      <c r="Q959" s="30"/>
      <c r="R959" s="30"/>
      <c r="S959" s="30"/>
    </row>
    <row r="960" ht="15.75" customHeight="1">
      <c r="A960" s="30"/>
      <c r="B960" s="30"/>
      <c r="C960" s="30"/>
      <c r="D960" s="30"/>
      <c r="E960" s="30"/>
      <c r="F960" s="30"/>
      <c r="G960" s="30"/>
      <c r="H960" s="30"/>
      <c r="I960" s="30"/>
      <c r="J960" s="30"/>
      <c r="K960" s="30"/>
      <c r="L960" s="30"/>
      <c r="M960" s="30"/>
      <c r="N960" s="30"/>
      <c r="O960" s="30"/>
      <c r="P960" s="30"/>
      <c r="Q960" s="30"/>
      <c r="R960" s="30"/>
      <c r="S960" s="30"/>
    </row>
    <row r="961" ht="15.75" customHeight="1">
      <c r="A961" s="30"/>
      <c r="B961" s="30"/>
      <c r="C961" s="30"/>
      <c r="D961" s="30"/>
      <c r="E961" s="30"/>
      <c r="F961" s="30"/>
      <c r="G961" s="30"/>
      <c r="H961" s="30"/>
      <c r="I961" s="30"/>
      <c r="J961" s="30"/>
      <c r="K961" s="30"/>
      <c r="L961" s="30"/>
      <c r="M961" s="30"/>
      <c r="N961" s="30"/>
      <c r="O961" s="30"/>
      <c r="P961" s="30"/>
      <c r="Q961" s="30"/>
      <c r="R961" s="30"/>
      <c r="S961" s="30"/>
    </row>
    <row r="962" ht="15.75" customHeight="1">
      <c r="A962" s="30"/>
      <c r="B962" s="30"/>
      <c r="C962" s="30"/>
      <c r="D962" s="30"/>
      <c r="E962" s="30"/>
      <c r="F962" s="30"/>
      <c r="G962" s="30"/>
      <c r="H962" s="30"/>
      <c r="I962" s="30"/>
      <c r="J962" s="30"/>
      <c r="K962" s="30"/>
      <c r="L962" s="30"/>
      <c r="M962" s="30"/>
      <c r="N962" s="30"/>
      <c r="O962" s="30"/>
      <c r="P962" s="30"/>
      <c r="Q962" s="30"/>
      <c r="R962" s="30"/>
      <c r="S962" s="30"/>
    </row>
    <row r="963" ht="15.75" customHeight="1">
      <c r="A963" s="30"/>
      <c r="B963" s="30"/>
      <c r="C963" s="30"/>
      <c r="D963" s="30"/>
      <c r="E963" s="30"/>
      <c r="F963" s="30"/>
      <c r="G963" s="30"/>
      <c r="H963" s="30"/>
      <c r="I963" s="30"/>
      <c r="J963" s="30"/>
      <c r="K963" s="30"/>
      <c r="L963" s="30"/>
      <c r="M963" s="30"/>
      <c r="N963" s="30"/>
      <c r="O963" s="30"/>
      <c r="P963" s="30"/>
      <c r="Q963" s="30"/>
      <c r="R963" s="30"/>
      <c r="S963" s="30"/>
    </row>
    <row r="964" ht="15.75" customHeight="1">
      <c r="A964" s="30"/>
      <c r="B964" s="30"/>
      <c r="C964" s="30"/>
      <c r="D964" s="30"/>
      <c r="E964" s="30"/>
      <c r="F964" s="30"/>
      <c r="G964" s="30"/>
      <c r="H964" s="30"/>
      <c r="I964" s="30"/>
      <c r="J964" s="30"/>
      <c r="K964" s="30"/>
      <c r="L964" s="30"/>
      <c r="M964" s="30"/>
      <c r="N964" s="30"/>
      <c r="O964" s="30"/>
      <c r="P964" s="30"/>
      <c r="Q964" s="30"/>
      <c r="R964" s="30"/>
      <c r="S964" s="30"/>
    </row>
    <row r="965" ht="15.75" customHeight="1">
      <c r="A965" s="30"/>
      <c r="B965" s="30"/>
      <c r="C965" s="30"/>
      <c r="D965" s="30"/>
      <c r="E965" s="30"/>
      <c r="F965" s="30"/>
      <c r="G965" s="30"/>
      <c r="H965" s="30"/>
      <c r="I965" s="30"/>
      <c r="J965" s="30"/>
      <c r="K965" s="30"/>
      <c r="L965" s="30"/>
      <c r="M965" s="30"/>
      <c r="N965" s="30"/>
      <c r="O965" s="30"/>
      <c r="P965" s="30"/>
      <c r="Q965" s="30"/>
      <c r="R965" s="30"/>
      <c r="S965" s="30"/>
    </row>
    <row r="966" ht="15.75" customHeight="1">
      <c r="A966" s="30"/>
      <c r="B966" s="30"/>
      <c r="C966" s="30"/>
      <c r="D966" s="30"/>
      <c r="E966" s="30"/>
      <c r="F966" s="30"/>
      <c r="G966" s="30"/>
      <c r="H966" s="30"/>
      <c r="I966" s="30"/>
      <c r="J966" s="30"/>
      <c r="K966" s="30"/>
      <c r="L966" s="30"/>
      <c r="M966" s="30"/>
      <c r="N966" s="30"/>
      <c r="O966" s="30"/>
      <c r="P966" s="30"/>
      <c r="Q966" s="30"/>
      <c r="R966" s="30"/>
      <c r="S966" s="30"/>
    </row>
    <row r="967" ht="15.75" customHeight="1">
      <c r="A967" s="30"/>
      <c r="B967" s="30"/>
      <c r="C967" s="30"/>
      <c r="D967" s="30"/>
      <c r="E967" s="30"/>
      <c r="F967" s="30"/>
      <c r="G967" s="30"/>
      <c r="H967" s="30"/>
      <c r="I967" s="30"/>
      <c r="J967" s="30"/>
      <c r="K967" s="30"/>
      <c r="L967" s="30"/>
      <c r="M967" s="30"/>
      <c r="N967" s="30"/>
      <c r="O967" s="30"/>
      <c r="P967" s="30"/>
      <c r="Q967" s="30"/>
      <c r="R967" s="30"/>
      <c r="S967" s="30"/>
    </row>
    <row r="968" ht="15.75" customHeight="1">
      <c r="A968" s="30"/>
      <c r="B968" s="30"/>
      <c r="C968" s="30"/>
      <c r="D968" s="30"/>
      <c r="E968" s="30"/>
      <c r="F968" s="30"/>
      <c r="G968" s="30"/>
      <c r="H968" s="30"/>
      <c r="I968" s="30"/>
      <c r="J968" s="30"/>
      <c r="K968" s="30"/>
      <c r="L968" s="30"/>
      <c r="M968" s="30"/>
      <c r="N968" s="30"/>
      <c r="O968" s="30"/>
      <c r="P968" s="30"/>
      <c r="Q968" s="30"/>
      <c r="R968" s="30"/>
      <c r="S968" s="30"/>
    </row>
    <row r="969" ht="15.75" customHeight="1">
      <c r="A969" s="30"/>
      <c r="B969" s="30"/>
      <c r="C969" s="30"/>
      <c r="D969" s="30"/>
      <c r="E969" s="30"/>
      <c r="F969" s="30"/>
      <c r="G969" s="30"/>
      <c r="H969" s="30"/>
      <c r="I969" s="30"/>
      <c r="J969" s="30"/>
      <c r="K969" s="30"/>
      <c r="L969" s="30"/>
      <c r="M969" s="30"/>
      <c r="N969" s="30"/>
      <c r="O969" s="30"/>
      <c r="P969" s="30"/>
      <c r="Q969" s="30"/>
      <c r="R969" s="30"/>
      <c r="S969" s="30"/>
    </row>
    <row r="970" ht="15.75" customHeight="1">
      <c r="A970" s="30"/>
      <c r="B970" s="30"/>
      <c r="C970" s="30"/>
      <c r="D970" s="30"/>
      <c r="E970" s="30"/>
      <c r="F970" s="30"/>
      <c r="G970" s="30"/>
      <c r="H970" s="30"/>
      <c r="I970" s="30"/>
      <c r="J970" s="30"/>
      <c r="K970" s="30"/>
      <c r="L970" s="30"/>
      <c r="M970" s="30"/>
      <c r="N970" s="30"/>
      <c r="O970" s="30"/>
      <c r="P970" s="30"/>
      <c r="Q970" s="30"/>
      <c r="R970" s="30"/>
      <c r="S970" s="30"/>
    </row>
    <row r="971" ht="15.75" customHeight="1">
      <c r="A971" s="30"/>
      <c r="B971" s="30"/>
      <c r="C971" s="30"/>
      <c r="D971" s="30"/>
      <c r="E971" s="30"/>
      <c r="F971" s="30"/>
      <c r="G971" s="30"/>
      <c r="H971" s="30"/>
      <c r="I971" s="30"/>
      <c r="J971" s="30"/>
      <c r="K971" s="30"/>
      <c r="L971" s="30"/>
      <c r="M971" s="30"/>
      <c r="N971" s="30"/>
      <c r="O971" s="30"/>
      <c r="P971" s="30"/>
      <c r="Q971" s="30"/>
      <c r="R971" s="30"/>
      <c r="S971" s="30"/>
    </row>
    <row r="972" ht="15.75" customHeight="1">
      <c r="A972" s="30"/>
      <c r="B972" s="30"/>
      <c r="C972" s="30"/>
      <c r="D972" s="30"/>
      <c r="E972" s="30"/>
      <c r="F972" s="30"/>
      <c r="G972" s="30"/>
      <c r="H972" s="30"/>
      <c r="I972" s="30"/>
      <c r="J972" s="30"/>
      <c r="K972" s="30"/>
      <c r="L972" s="30"/>
      <c r="M972" s="30"/>
      <c r="N972" s="30"/>
      <c r="O972" s="30"/>
      <c r="P972" s="30"/>
      <c r="Q972" s="30"/>
      <c r="R972" s="30"/>
      <c r="S972" s="30"/>
    </row>
    <row r="973" ht="15.75" customHeight="1">
      <c r="A973" s="30"/>
      <c r="B973" s="30"/>
      <c r="C973" s="30"/>
      <c r="D973" s="30"/>
      <c r="E973" s="30"/>
      <c r="F973" s="30"/>
      <c r="G973" s="30"/>
      <c r="H973" s="30"/>
      <c r="I973" s="30"/>
      <c r="J973" s="30"/>
      <c r="K973" s="30"/>
      <c r="L973" s="30"/>
      <c r="M973" s="30"/>
      <c r="N973" s="30"/>
      <c r="O973" s="30"/>
      <c r="P973" s="30"/>
      <c r="Q973" s="30"/>
      <c r="R973" s="30"/>
      <c r="S973" s="30"/>
    </row>
    <row r="974" ht="15.75" customHeight="1">
      <c r="A974" s="30"/>
      <c r="B974" s="30"/>
      <c r="C974" s="30"/>
      <c r="D974" s="30"/>
      <c r="E974" s="30"/>
      <c r="F974" s="30"/>
      <c r="G974" s="30"/>
      <c r="H974" s="30"/>
      <c r="I974" s="30"/>
      <c r="J974" s="30"/>
      <c r="K974" s="30"/>
      <c r="L974" s="30"/>
      <c r="M974" s="30"/>
      <c r="N974" s="30"/>
      <c r="O974" s="30"/>
      <c r="P974" s="30"/>
      <c r="Q974" s="30"/>
      <c r="R974" s="30"/>
      <c r="S974" s="30"/>
    </row>
    <row r="975" ht="15.75" customHeight="1">
      <c r="A975" s="30"/>
      <c r="B975" s="30"/>
      <c r="C975" s="30"/>
      <c r="D975" s="30"/>
      <c r="E975" s="30"/>
      <c r="F975" s="30"/>
      <c r="G975" s="30"/>
      <c r="H975" s="30"/>
      <c r="I975" s="30"/>
      <c r="J975" s="30"/>
      <c r="K975" s="30"/>
      <c r="L975" s="30"/>
      <c r="M975" s="30"/>
      <c r="N975" s="30"/>
      <c r="O975" s="30"/>
      <c r="P975" s="30"/>
      <c r="Q975" s="30"/>
      <c r="R975" s="30"/>
      <c r="S975" s="30"/>
    </row>
    <row r="976" ht="15.75" customHeight="1">
      <c r="A976" s="30"/>
      <c r="B976" s="30"/>
      <c r="C976" s="30"/>
      <c r="D976" s="30"/>
      <c r="E976" s="30"/>
      <c r="F976" s="30"/>
      <c r="G976" s="30"/>
      <c r="H976" s="30"/>
      <c r="I976" s="30"/>
      <c r="J976" s="30"/>
      <c r="K976" s="30"/>
      <c r="L976" s="30"/>
      <c r="M976" s="30"/>
      <c r="N976" s="30"/>
      <c r="O976" s="30"/>
      <c r="P976" s="30"/>
      <c r="Q976" s="30"/>
      <c r="R976" s="30"/>
      <c r="S976" s="30"/>
    </row>
    <row r="977" ht="15.75" customHeight="1">
      <c r="A977" s="30"/>
      <c r="B977" s="30"/>
      <c r="C977" s="30"/>
      <c r="D977" s="30"/>
      <c r="E977" s="30"/>
      <c r="F977" s="30"/>
      <c r="G977" s="30"/>
      <c r="H977" s="30"/>
      <c r="I977" s="30"/>
      <c r="J977" s="30"/>
      <c r="K977" s="30"/>
      <c r="L977" s="30"/>
      <c r="M977" s="30"/>
      <c r="N977" s="30"/>
      <c r="O977" s="30"/>
      <c r="P977" s="30"/>
      <c r="Q977" s="30"/>
      <c r="R977" s="30"/>
      <c r="S977" s="30"/>
    </row>
    <row r="978" ht="15.75" customHeight="1">
      <c r="A978" s="30"/>
      <c r="B978" s="30"/>
      <c r="C978" s="30"/>
      <c r="D978" s="30"/>
      <c r="E978" s="30"/>
      <c r="F978" s="30"/>
      <c r="G978" s="30"/>
      <c r="H978" s="30"/>
      <c r="I978" s="30"/>
      <c r="J978" s="30"/>
      <c r="K978" s="30"/>
      <c r="L978" s="30"/>
      <c r="M978" s="30"/>
      <c r="N978" s="30"/>
      <c r="O978" s="30"/>
      <c r="P978" s="30"/>
      <c r="Q978" s="30"/>
      <c r="R978" s="30"/>
      <c r="S978" s="30"/>
    </row>
    <row r="979" ht="15.75" customHeight="1">
      <c r="A979" s="30"/>
      <c r="B979" s="30"/>
      <c r="C979" s="30"/>
      <c r="D979" s="30"/>
      <c r="E979" s="30"/>
      <c r="F979" s="30"/>
      <c r="G979" s="30"/>
      <c r="H979" s="30"/>
      <c r="I979" s="30"/>
      <c r="J979" s="30"/>
      <c r="K979" s="30"/>
      <c r="L979" s="30"/>
      <c r="M979" s="30"/>
      <c r="N979" s="30"/>
      <c r="O979" s="30"/>
      <c r="P979" s="30"/>
      <c r="Q979" s="30"/>
      <c r="R979" s="30"/>
      <c r="S979" s="30"/>
    </row>
    <row r="980" ht="15.75" customHeight="1">
      <c r="A980" s="30"/>
      <c r="B980" s="30"/>
      <c r="C980" s="30"/>
      <c r="D980" s="30"/>
      <c r="E980" s="30"/>
      <c r="F980" s="30"/>
      <c r="G980" s="30"/>
      <c r="H980" s="30"/>
      <c r="I980" s="30"/>
      <c r="J980" s="30"/>
      <c r="K980" s="30"/>
      <c r="L980" s="30"/>
      <c r="M980" s="30"/>
      <c r="N980" s="30"/>
      <c r="O980" s="30"/>
      <c r="P980" s="30"/>
      <c r="Q980" s="30"/>
      <c r="R980" s="30"/>
      <c r="S980" s="30"/>
    </row>
    <row r="981" ht="15.75" customHeight="1">
      <c r="A981" s="30"/>
      <c r="B981" s="30"/>
      <c r="C981" s="30"/>
      <c r="D981" s="30"/>
      <c r="E981" s="30"/>
      <c r="F981" s="30"/>
      <c r="G981" s="30"/>
      <c r="H981" s="30"/>
      <c r="I981" s="30"/>
      <c r="J981" s="30"/>
      <c r="K981" s="30"/>
      <c r="L981" s="30"/>
      <c r="M981" s="30"/>
      <c r="N981" s="30"/>
      <c r="O981" s="30"/>
      <c r="P981" s="30"/>
      <c r="Q981" s="30"/>
      <c r="R981" s="30"/>
      <c r="S981" s="30"/>
    </row>
    <row r="982" ht="15.75" customHeight="1">
      <c r="A982" s="30"/>
      <c r="B982" s="30"/>
      <c r="C982" s="30"/>
      <c r="D982" s="30"/>
      <c r="E982" s="30"/>
      <c r="F982" s="30"/>
      <c r="G982" s="30"/>
      <c r="H982" s="30"/>
      <c r="I982" s="30"/>
      <c r="J982" s="30"/>
      <c r="K982" s="30"/>
      <c r="L982" s="30"/>
      <c r="M982" s="30"/>
      <c r="N982" s="30"/>
      <c r="O982" s="30"/>
      <c r="P982" s="30"/>
      <c r="Q982" s="30"/>
      <c r="R982" s="30"/>
      <c r="S982" s="30"/>
    </row>
    <row r="983" ht="15.75" customHeight="1">
      <c r="A983" s="30"/>
      <c r="B983" s="30"/>
      <c r="C983" s="30"/>
      <c r="D983" s="30"/>
      <c r="E983" s="30"/>
      <c r="F983" s="30"/>
      <c r="G983" s="30"/>
      <c r="H983" s="30"/>
      <c r="I983" s="30"/>
      <c r="J983" s="30"/>
      <c r="K983" s="30"/>
      <c r="L983" s="30"/>
      <c r="M983" s="30"/>
      <c r="N983" s="30"/>
      <c r="O983" s="30"/>
      <c r="P983" s="30"/>
      <c r="Q983" s="30"/>
      <c r="R983" s="30"/>
      <c r="S983" s="30"/>
    </row>
    <row r="984" ht="15.75" customHeight="1">
      <c r="A984" s="30"/>
      <c r="B984" s="30"/>
      <c r="C984" s="30"/>
      <c r="D984" s="30"/>
      <c r="E984" s="30"/>
      <c r="F984" s="30"/>
      <c r="G984" s="30"/>
      <c r="H984" s="30"/>
      <c r="I984" s="30"/>
      <c r="J984" s="30"/>
      <c r="K984" s="30"/>
      <c r="L984" s="30"/>
      <c r="M984" s="30"/>
      <c r="N984" s="30"/>
      <c r="O984" s="30"/>
      <c r="P984" s="30"/>
      <c r="Q984" s="30"/>
      <c r="R984" s="30"/>
      <c r="S984" s="30"/>
    </row>
    <row r="985" ht="15.75" customHeight="1">
      <c r="A985" s="30"/>
      <c r="B985" s="30"/>
      <c r="C985" s="30"/>
      <c r="D985" s="30"/>
      <c r="E985" s="30"/>
      <c r="F985" s="30"/>
      <c r="G985" s="30"/>
      <c r="H985" s="30"/>
      <c r="I985" s="30"/>
      <c r="J985" s="30"/>
      <c r="K985" s="30"/>
      <c r="L985" s="30"/>
      <c r="M985" s="30"/>
      <c r="N985" s="30"/>
      <c r="O985" s="30"/>
      <c r="P985" s="30"/>
      <c r="Q985" s="30"/>
      <c r="R985" s="30"/>
      <c r="S985" s="30"/>
    </row>
    <row r="986" ht="15.75" customHeight="1">
      <c r="A986" s="30"/>
      <c r="B986" s="30"/>
      <c r="C986" s="30"/>
      <c r="D986" s="30"/>
      <c r="E986" s="30"/>
      <c r="F986" s="30"/>
      <c r="G986" s="30"/>
      <c r="H986" s="30"/>
      <c r="I986" s="30"/>
      <c r="J986" s="30"/>
      <c r="K986" s="30"/>
      <c r="L986" s="30"/>
      <c r="M986" s="30"/>
      <c r="N986" s="30"/>
      <c r="O986" s="30"/>
      <c r="P986" s="30"/>
      <c r="Q986" s="30"/>
      <c r="R986" s="30"/>
      <c r="S986" s="30"/>
    </row>
    <row r="987" ht="15.75" customHeight="1">
      <c r="A987" s="30"/>
      <c r="B987" s="30"/>
      <c r="C987" s="30"/>
      <c r="D987" s="30"/>
      <c r="E987" s="30"/>
      <c r="F987" s="30"/>
      <c r="G987" s="30"/>
      <c r="H987" s="30"/>
      <c r="I987" s="30"/>
      <c r="J987" s="30"/>
      <c r="K987" s="30"/>
      <c r="L987" s="30"/>
      <c r="M987" s="30"/>
      <c r="N987" s="30"/>
      <c r="O987" s="30"/>
      <c r="P987" s="30"/>
      <c r="Q987" s="30"/>
      <c r="R987" s="30"/>
      <c r="S987" s="30"/>
    </row>
    <row r="988" ht="15.75" customHeight="1">
      <c r="A988" s="30"/>
      <c r="B988" s="30"/>
      <c r="C988" s="30"/>
      <c r="D988" s="30"/>
      <c r="E988" s="30"/>
      <c r="F988" s="30"/>
      <c r="G988" s="30"/>
      <c r="H988" s="30"/>
      <c r="I988" s="30"/>
      <c r="J988" s="30"/>
      <c r="K988" s="30"/>
      <c r="L988" s="30"/>
      <c r="M988" s="30"/>
      <c r="N988" s="30"/>
      <c r="O988" s="30"/>
      <c r="P988" s="30"/>
      <c r="Q988" s="30"/>
      <c r="R988" s="30"/>
      <c r="S988" s="30"/>
    </row>
    <row r="989" ht="15.75" customHeight="1">
      <c r="A989" s="30"/>
      <c r="B989" s="30"/>
      <c r="C989" s="30"/>
      <c r="D989" s="30"/>
      <c r="E989" s="30"/>
      <c r="F989" s="30"/>
      <c r="G989" s="30"/>
      <c r="H989" s="30"/>
      <c r="I989" s="30"/>
      <c r="J989" s="30"/>
      <c r="K989" s="30"/>
      <c r="L989" s="30"/>
      <c r="M989" s="30"/>
      <c r="N989" s="30"/>
      <c r="O989" s="30"/>
      <c r="P989" s="30"/>
      <c r="Q989" s="30"/>
      <c r="R989" s="30"/>
      <c r="S989" s="30"/>
    </row>
    <row r="990" ht="15.75" customHeight="1">
      <c r="A990" s="30"/>
      <c r="B990" s="30"/>
      <c r="C990" s="30"/>
      <c r="D990" s="30"/>
      <c r="E990" s="30"/>
      <c r="F990" s="30"/>
      <c r="G990" s="30"/>
      <c r="H990" s="30"/>
      <c r="I990" s="30"/>
      <c r="J990" s="30"/>
      <c r="K990" s="30"/>
      <c r="L990" s="30"/>
      <c r="M990" s="30"/>
      <c r="N990" s="30"/>
      <c r="O990" s="30"/>
      <c r="P990" s="30"/>
      <c r="Q990" s="30"/>
      <c r="R990" s="30"/>
      <c r="S990" s="30"/>
    </row>
    <row r="991" ht="15.75" customHeight="1">
      <c r="A991" s="30"/>
      <c r="B991" s="30"/>
      <c r="C991" s="30"/>
      <c r="D991" s="30"/>
      <c r="E991" s="30"/>
      <c r="F991" s="30"/>
      <c r="G991" s="30"/>
      <c r="H991" s="30"/>
      <c r="I991" s="30"/>
      <c r="J991" s="30"/>
      <c r="K991" s="30"/>
      <c r="L991" s="30"/>
      <c r="M991" s="30"/>
      <c r="N991" s="30"/>
      <c r="O991" s="30"/>
      <c r="P991" s="30"/>
      <c r="Q991" s="30"/>
      <c r="R991" s="30"/>
      <c r="S991" s="30"/>
    </row>
    <row r="992" ht="15.75" customHeight="1">
      <c r="A992" s="30"/>
      <c r="B992" s="30"/>
      <c r="C992" s="30"/>
      <c r="D992" s="30"/>
      <c r="E992" s="30"/>
      <c r="F992" s="30"/>
      <c r="G992" s="30"/>
      <c r="H992" s="30"/>
      <c r="I992" s="30"/>
      <c r="J992" s="30"/>
      <c r="K992" s="30"/>
      <c r="L992" s="30"/>
      <c r="M992" s="30"/>
      <c r="N992" s="30"/>
      <c r="O992" s="30"/>
      <c r="P992" s="30"/>
      <c r="Q992" s="30"/>
      <c r="R992" s="30"/>
      <c r="S992" s="30"/>
    </row>
    <row r="993" ht="15.75" customHeight="1">
      <c r="A993" s="30"/>
      <c r="B993" s="30"/>
      <c r="C993" s="30"/>
      <c r="D993" s="30"/>
      <c r="E993" s="30"/>
      <c r="F993" s="30"/>
      <c r="G993" s="30"/>
      <c r="H993" s="30"/>
      <c r="I993" s="30"/>
      <c r="J993" s="30"/>
      <c r="K993" s="30"/>
      <c r="L993" s="30"/>
      <c r="M993" s="30"/>
      <c r="N993" s="30"/>
      <c r="O993" s="30"/>
      <c r="P993" s="30"/>
      <c r="Q993" s="30"/>
      <c r="R993" s="30"/>
      <c r="S993" s="30"/>
    </row>
    <row r="994" ht="15.75" customHeight="1">
      <c r="A994" s="30"/>
      <c r="B994" s="30"/>
      <c r="C994" s="30"/>
      <c r="D994" s="30"/>
      <c r="E994" s="30"/>
      <c r="F994" s="30"/>
      <c r="G994" s="30"/>
      <c r="H994" s="30"/>
      <c r="I994" s="30"/>
      <c r="J994" s="30"/>
      <c r="K994" s="30"/>
      <c r="L994" s="30"/>
      <c r="M994" s="30"/>
      <c r="N994" s="30"/>
      <c r="O994" s="30"/>
      <c r="P994" s="30"/>
      <c r="Q994" s="30"/>
      <c r="R994" s="30"/>
      <c r="S994" s="30"/>
    </row>
    <row r="995" ht="15.75" customHeight="1">
      <c r="A995" s="30"/>
      <c r="B995" s="30"/>
      <c r="C995" s="30"/>
      <c r="D995" s="30"/>
      <c r="E995" s="30"/>
      <c r="F995" s="30"/>
      <c r="G995" s="30"/>
      <c r="H995" s="30"/>
      <c r="I995" s="30"/>
      <c r="J995" s="30"/>
      <c r="K995" s="30"/>
      <c r="L995" s="30"/>
      <c r="M995" s="30"/>
      <c r="N995" s="30"/>
      <c r="O995" s="30"/>
      <c r="P995" s="30"/>
      <c r="Q995" s="30"/>
      <c r="R995" s="30"/>
      <c r="S995" s="30"/>
    </row>
    <row r="996" ht="15.75" customHeight="1">
      <c r="A996" s="30"/>
      <c r="B996" s="30"/>
      <c r="C996" s="30"/>
      <c r="D996" s="30"/>
      <c r="E996" s="30"/>
      <c r="F996" s="30"/>
      <c r="G996" s="30"/>
      <c r="H996" s="30"/>
      <c r="I996" s="30"/>
      <c r="J996" s="30"/>
      <c r="K996" s="30"/>
      <c r="L996" s="30"/>
      <c r="M996" s="30"/>
      <c r="N996" s="30"/>
      <c r="O996" s="30"/>
      <c r="P996" s="30"/>
      <c r="Q996" s="30"/>
      <c r="R996" s="30"/>
      <c r="S996" s="30"/>
    </row>
    <row r="997" ht="15.75" customHeight="1">
      <c r="A997" s="30"/>
      <c r="B997" s="30"/>
      <c r="C997" s="30"/>
      <c r="D997" s="30"/>
      <c r="E997" s="30"/>
      <c r="F997" s="30"/>
      <c r="G997" s="30"/>
      <c r="H997" s="30"/>
      <c r="I997" s="30"/>
      <c r="J997" s="30"/>
      <c r="K997" s="30"/>
      <c r="L997" s="30"/>
      <c r="M997" s="30"/>
      <c r="N997" s="30"/>
      <c r="O997" s="30"/>
      <c r="P997" s="30"/>
      <c r="Q997" s="30"/>
      <c r="R997" s="30"/>
      <c r="S997" s="30"/>
    </row>
    <row r="998" ht="15.75" customHeight="1">
      <c r="A998" s="30"/>
      <c r="B998" s="30"/>
      <c r="C998" s="30"/>
      <c r="D998" s="30"/>
      <c r="E998" s="30"/>
      <c r="F998" s="30"/>
      <c r="G998" s="30"/>
      <c r="H998" s="30"/>
      <c r="I998" s="30"/>
      <c r="J998" s="30"/>
      <c r="K998" s="30"/>
      <c r="L998" s="30"/>
      <c r="M998" s="30"/>
      <c r="N998" s="30"/>
      <c r="O998" s="30"/>
      <c r="P998" s="30"/>
      <c r="Q998" s="30"/>
      <c r="R998" s="30"/>
      <c r="S998" s="30"/>
    </row>
    <row r="999" ht="15.75" customHeight="1">
      <c r="A999" s="30"/>
      <c r="B999" s="30"/>
      <c r="C999" s="30"/>
      <c r="D999" s="30"/>
      <c r="E999" s="30"/>
      <c r="F999" s="30"/>
      <c r="G999" s="30"/>
      <c r="H999" s="30"/>
      <c r="I999" s="30"/>
      <c r="J999" s="30"/>
      <c r="K999" s="30"/>
      <c r="L999" s="30"/>
      <c r="M999" s="30"/>
      <c r="N999" s="30"/>
      <c r="O999" s="30"/>
      <c r="P999" s="30"/>
      <c r="Q999" s="30"/>
      <c r="R999" s="30"/>
      <c r="S999" s="30"/>
    </row>
    <row r="1000" ht="15.75" customHeight="1">
      <c r="A1000" s="30"/>
      <c r="B1000" s="30"/>
      <c r="C1000" s="30"/>
      <c r="D1000" s="30"/>
      <c r="E1000" s="30"/>
      <c r="F1000" s="30"/>
      <c r="G1000" s="30"/>
      <c r="H1000" s="30"/>
      <c r="I1000" s="30"/>
      <c r="J1000" s="30"/>
      <c r="K1000" s="30"/>
      <c r="L1000" s="30"/>
      <c r="M1000" s="30"/>
      <c r="N1000" s="30"/>
      <c r="O1000" s="30"/>
      <c r="P1000" s="30"/>
      <c r="Q1000" s="30"/>
      <c r="R1000" s="30"/>
      <c r="S1000" s="30"/>
    </row>
  </sheetData>
  <mergeCells count="14">
    <mergeCell ref="G3:H3"/>
    <mergeCell ref="I3:J3"/>
    <mergeCell ref="A9:C9"/>
    <mergeCell ref="A14:C14"/>
    <mergeCell ref="A18:C18"/>
    <mergeCell ref="K3:L3"/>
    <mergeCell ref="M3:N3"/>
    <mergeCell ref="A1:P1"/>
    <mergeCell ref="A2:P2"/>
    <mergeCell ref="A3:A4"/>
    <mergeCell ref="B3:B4"/>
    <mergeCell ref="C3:C4"/>
    <mergeCell ref="D3:D4"/>
    <mergeCell ref="E3:F3"/>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43"/>
    <col customWidth="1" min="2" max="2" width="42.0"/>
    <col customWidth="1" min="3" max="3" width="59.71"/>
    <col customWidth="1" min="4" max="4" width="42.29"/>
    <col customWidth="1" min="5" max="5" width="19.29"/>
    <col customWidth="1" min="6" max="6" width="10.0"/>
    <col customWidth="1" min="7" max="7" width="24.57"/>
    <col customWidth="1" min="8" max="8" width="33.14"/>
    <col customWidth="1" min="9" max="9" width="42.86"/>
    <col customWidth="1" min="10" max="10" width="31.29"/>
    <col customWidth="1" min="11" max="11" width="24.0"/>
    <col customWidth="1" min="12" max="12" width="26.0"/>
    <col customWidth="1" min="13" max="13" width="27.71"/>
    <col customWidth="1" min="14" max="14" width="10.0"/>
    <col customWidth="1" min="15" max="15" width="21.57"/>
    <col customWidth="1" min="16" max="16" width="45.0"/>
    <col customWidth="1" min="17" max="18" width="54.29"/>
  </cols>
  <sheetData>
    <row r="1" ht="17.25" customHeight="1">
      <c r="A1" s="31" t="s">
        <v>35</v>
      </c>
      <c r="B1" s="2"/>
      <c r="C1" s="2"/>
      <c r="D1" s="2"/>
      <c r="E1" s="2"/>
      <c r="F1" s="2"/>
      <c r="G1" s="2"/>
      <c r="H1" s="2"/>
      <c r="I1" s="2"/>
      <c r="J1" s="2"/>
      <c r="K1" s="2"/>
      <c r="L1" s="2"/>
      <c r="M1" s="2"/>
      <c r="N1" s="2"/>
      <c r="O1" s="2"/>
      <c r="P1" s="2"/>
      <c r="Q1" s="2"/>
      <c r="R1" s="2"/>
      <c r="S1" s="3"/>
      <c r="T1" s="32"/>
      <c r="U1" s="32"/>
      <c r="V1" s="32"/>
      <c r="W1" s="32"/>
      <c r="X1" s="32"/>
      <c r="Y1" s="32"/>
      <c r="Z1" s="32"/>
      <c r="AA1" s="32"/>
      <c r="AB1" s="32"/>
      <c r="AC1" s="32"/>
      <c r="AD1" s="32"/>
      <c r="AE1" s="32"/>
      <c r="AF1" s="32"/>
      <c r="AG1" s="32"/>
      <c r="AH1" s="32"/>
      <c r="AI1" s="32"/>
      <c r="AJ1" s="32"/>
      <c r="AK1" s="32"/>
      <c r="AL1" s="32"/>
      <c r="AM1" s="32"/>
      <c r="AN1" s="32"/>
      <c r="AO1" s="32"/>
      <c r="AP1" s="32"/>
    </row>
    <row r="2" ht="17.25" customHeight="1">
      <c r="A2" s="33" t="s">
        <v>36</v>
      </c>
      <c r="B2" s="33" t="s">
        <v>37</v>
      </c>
      <c r="C2" s="33" t="s">
        <v>38</v>
      </c>
      <c r="D2" s="33" t="s">
        <v>39</v>
      </c>
      <c r="E2" s="33" t="s">
        <v>27</v>
      </c>
      <c r="F2" s="34"/>
      <c r="G2" s="34"/>
      <c r="H2" s="34"/>
      <c r="I2" s="34"/>
      <c r="J2" s="34"/>
      <c r="K2" s="34"/>
      <c r="L2" s="34"/>
      <c r="M2" s="34"/>
      <c r="N2" s="34"/>
      <c r="O2" s="34"/>
      <c r="P2" s="35"/>
      <c r="Q2" s="35"/>
      <c r="R2" s="35"/>
      <c r="S2" s="34"/>
      <c r="T2" s="32"/>
      <c r="U2" s="32"/>
      <c r="V2" s="32"/>
      <c r="W2" s="32"/>
      <c r="X2" s="32"/>
      <c r="Y2" s="32"/>
      <c r="Z2" s="32"/>
      <c r="AA2" s="32"/>
      <c r="AB2" s="32"/>
      <c r="AC2" s="32"/>
      <c r="AD2" s="32"/>
      <c r="AE2" s="32"/>
      <c r="AF2" s="32"/>
      <c r="AG2" s="32"/>
      <c r="AH2" s="32"/>
      <c r="AI2" s="32"/>
      <c r="AJ2" s="32"/>
      <c r="AK2" s="32"/>
      <c r="AL2" s="32"/>
      <c r="AM2" s="32"/>
      <c r="AN2" s="32"/>
      <c r="AO2" s="32"/>
      <c r="AP2" s="32"/>
    </row>
    <row r="3" ht="17.25" customHeight="1">
      <c r="A3" s="36" t="s">
        <v>4</v>
      </c>
      <c r="B3" s="37" t="s">
        <v>40</v>
      </c>
      <c r="C3" s="38">
        <f t="shared" ref="C3:E3" si="1">SUM(C4:C8)</f>
        <v>164</v>
      </c>
      <c r="D3" s="38">
        <f t="shared" si="1"/>
        <v>164</v>
      </c>
      <c r="E3" s="38">
        <f t="shared" si="1"/>
        <v>22</v>
      </c>
      <c r="F3" s="34"/>
      <c r="G3" s="34"/>
      <c r="H3" s="34"/>
      <c r="I3" s="34"/>
      <c r="J3" s="34"/>
      <c r="K3" s="34"/>
      <c r="L3" s="34"/>
      <c r="M3" s="34"/>
      <c r="N3" s="34"/>
      <c r="O3" s="34"/>
      <c r="P3" s="35"/>
      <c r="Q3" s="35"/>
      <c r="R3" s="35"/>
      <c r="S3" s="34"/>
      <c r="T3" s="32"/>
      <c r="U3" s="32"/>
      <c r="V3" s="32"/>
      <c r="W3" s="32"/>
      <c r="X3" s="32"/>
      <c r="Y3" s="32"/>
      <c r="Z3" s="32"/>
      <c r="AA3" s="32"/>
      <c r="AB3" s="32"/>
      <c r="AC3" s="32"/>
      <c r="AD3" s="32"/>
      <c r="AE3" s="32"/>
      <c r="AF3" s="32"/>
      <c r="AG3" s="32"/>
      <c r="AH3" s="32"/>
      <c r="AI3" s="32"/>
      <c r="AJ3" s="32"/>
      <c r="AK3" s="32"/>
      <c r="AL3" s="32"/>
      <c r="AM3" s="32"/>
      <c r="AN3" s="32"/>
      <c r="AO3" s="32"/>
      <c r="AP3" s="32"/>
    </row>
    <row r="4" ht="17.25" customHeight="1">
      <c r="A4" s="39" t="s">
        <v>6</v>
      </c>
      <c r="B4" s="40" t="s">
        <v>41</v>
      </c>
      <c r="C4" s="41">
        <f>COUNTIF('Partner Platform'!H79:H1130,"PASSED")</f>
        <v>18</v>
      </c>
      <c r="D4" s="41">
        <f>COUNTIF('Partner Platform'!I79:I1130,"PASSED")</f>
        <v>0</v>
      </c>
      <c r="E4" s="41">
        <f>COUNTIFS('Partner Platform'!K79:K1130,"PASSED",'Partner Platform'!J79:J1130,"YES")</f>
        <v>18</v>
      </c>
      <c r="F4" s="34"/>
      <c r="G4" s="34"/>
      <c r="H4" s="34"/>
      <c r="I4" s="34"/>
      <c r="J4" s="34"/>
      <c r="K4" s="34"/>
      <c r="L4" s="34"/>
      <c r="M4" s="34"/>
      <c r="N4" s="34"/>
      <c r="O4" s="34"/>
      <c r="P4" s="35"/>
      <c r="Q4" s="35"/>
      <c r="R4" s="35"/>
      <c r="S4" s="34"/>
      <c r="T4" s="32"/>
      <c r="U4" s="32"/>
      <c r="V4" s="32"/>
      <c r="W4" s="32"/>
      <c r="X4" s="32"/>
      <c r="Y4" s="32"/>
      <c r="Z4" s="32"/>
      <c r="AA4" s="32"/>
      <c r="AB4" s="32"/>
      <c r="AC4" s="32"/>
      <c r="AD4" s="32"/>
      <c r="AE4" s="32"/>
      <c r="AF4" s="32"/>
      <c r="AG4" s="32"/>
      <c r="AH4" s="32"/>
      <c r="AI4" s="32"/>
      <c r="AJ4" s="32"/>
      <c r="AK4" s="32"/>
      <c r="AL4" s="32"/>
      <c r="AM4" s="32"/>
      <c r="AN4" s="32"/>
      <c r="AO4" s="32"/>
      <c r="AP4" s="32"/>
    </row>
    <row r="5" ht="17.25" customHeight="1">
      <c r="A5" s="42" t="s">
        <v>7</v>
      </c>
      <c r="B5" s="43" t="s">
        <v>42</v>
      </c>
      <c r="C5" s="44">
        <f>COUNTIF('Partner Platform'!H79:H1130,"FAILED")</f>
        <v>4</v>
      </c>
      <c r="D5" s="44">
        <f>COUNTIF('Partner Platform'!I79:I1130,"FAILED")</f>
        <v>0</v>
      </c>
      <c r="E5" s="44">
        <f>COUNTIFS('Partner Platform'!K79:K1130,"FAILED",'Partner Platform'!J79:J1130,"YES")</f>
        <v>4</v>
      </c>
      <c r="F5" s="34"/>
      <c r="G5" s="34"/>
      <c r="H5" s="34"/>
      <c r="I5" s="34"/>
      <c r="J5" s="34"/>
      <c r="K5" s="34"/>
      <c r="L5" s="34"/>
      <c r="M5" s="34"/>
      <c r="N5" s="34"/>
      <c r="O5" s="34"/>
      <c r="P5" s="35"/>
      <c r="Q5" s="35"/>
      <c r="R5" s="35"/>
      <c r="S5" s="34"/>
      <c r="T5" s="32"/>
      <c r="U5" s="32"/>
      <c r="V5" s="32"/>
      <c r="W5" s="32"/>
      <c r="X5" s="32"/>
      <c r="Y5" s="32"/>
      <c r="Z5" s="32"/>
      <c r="AA5" s="32"/>
      <c r="AB5" s="32"/>
      <c r="AC5" s="32"/>
      <c r="AD5" s="32"/>
      <c r="AE5" s="32"/>
      <c r="AF5" s="32"/>
      <c r="AG5" s="32"/>
      <c r="AH5" s="32"/>
      <c r="AI5" s="32"/>
      <c r="AJ5" s="32"/>
      <c r="AK5" s="32"/>
      <c r="AL5" s="32"/>
      <c r="AM5" s="32"/>
      <c r="AN5" s="32"/>
      <c r="AO5" s="32"/>
      <c r="AP5" s="32"/>
    </row>
    <row r="6" ht="17.25" customHeight="1">
      <c r="A6" s="45" t="s">
        <v>43</v>
      </c>
      <c r="B6" s="46" t="s">
        <v>44</v>
      </c>
      <c r="C6" s="47">
        <f>COUNTIF('Partner Platform'!H79:H1130,"NOT_STARTED")</f>
        <v>126</v>
      </c>
      <c r="D6" s="47">
        <f>COUNTIF('Partner Platform'!I79:I1130,"NOT_STARTED")</f>
        <v>148</v>
      </c>
      <c r="E6" s="47">
        <f>COUNTIFS('Partner Platform'!K79:K1130,"NOT_STARTED",'Partner Platform'!J79:J1130,"YES")</f>
        <v>0</v>
      </c>
      <c r="F6" s="34"/>
      <c r="G6" s="34"/>
      <c r="H6" s="34"/>
      <c r="I6" s="34"/>
      <c r="J6" s="34"/>
      <c r="K6" s="34"/>
      <c r="L6" s="34"/>
      <c r="M6" s="34"/>
      <c r="N6" s="34"/>
      <c r="O6" s="34"/>
      <c r="P6" s="35"/>
      <c r="Q6" s="35"/>
      <c r="R6" s="35"/>
      <c r="S6" s="34"/>
      <c r="T6" s="32"/>
      <c r="U6" s="32"/>
      <c r="V6" s="32"/>
      <c r="W6" s="32"/>
      <c r="X6" s="32"/>
      <c r="Y6" s="32"/>
      <c r="Z6" s="32"/>
      <c r="AA6" s="32"/>
      <c r="AB6" s="32"/>
      <c r="AC6" s="32"/>
      <c r="AD6" s="32"/>
      <c r="AE6" s="32"/>
      <c r="AF6" s="32"/>
      <c r="AG6" s="32"/>
      <c r="AH6" s="32"/>
      <c r="AI6" s="32"/>
      <c r="AJ6" s="32"/>
      <c r="AK6" s="32"/>
      <c r="AL6" s="32"/>
      <c r="AM6" s="32"/>
      <c r="AN6" s="32"/>
      <c r="AO6" s="32"/>
      <c r="AP6" s="32"/>
    </row>
    <row r="7" ht="17.25" customHeight="1">
      <c r="A7" s="48" t="s">
        <v>45</v>
      </c>
      <c r="B7" s="49" t="s">
        <v>46</v>
      </c>
      <c r="C7" s="50">
        <f>COUNTIF('Partner Platform'!H79:H1130,"IN_PROGRESS")</f>
        <v>0</v>
      </c>
      <c r="D7" s="50">
        <f>COUNTIF('Partner Platform'!I79:I1130,"IN_PROGRESS")</f>
        <v>0</v>
      </c>
      <c r="E7" s="50">
        <f>COUNTIFS('Partner Platform'!K79:K1130,"IN_PROGRESS",'Partner Platform'!J79:J1130,"YES")</f>
        <v>0</v>
      </c>
      <c r="F7" s="34"/>
      <c r="G7" s="34"/>
      <c r="H7" s="34"/>
      <c r="I7" s="34"/>
      <c r="J7" s="34"/>
      <c r="K7" s="34"/>
      <c r="L7" s="34"/>
      <c r="M7" s="34"/>
      <c r="N7" s="34"/>
      <c r="O7" s="34"/>
      <c r="P7" s="35"/>
      <c r="Q7" s="35"/>
      <c r="R7" s="35"/>
      <c r="S7" s="34"/>
      <c r="T7" s="32"/>
      <c r="U7" s="32"/>
      <c r="V7" s="32"/>
      <c r="W7" s="32"/>
      <c r="X7" s="32"/>
      <c r="Y7" s="32"/>
      <c r="Z7" s="32"/>
      <c r="AA7" s="32"/>
      <c r="AB7" s="32"/>
      <c r="AC7" s="32"/>
      <c r="AD7" s="32"/>
      <c r="AE7" s="32"/>
      <c r="AF7" s="32"/>
      <c r="AG7" s="32"/>
      <c r="AH7" s="32"/>
      <c r="AI7" s="32"/>
      <c r="AJ7" s="32"/>
      <c r="AK7" s="32"/>
      <c r="AL7" s="32"/>
      <c r="AM7" s="32"/>
      <c r="AN7" s="32"/>
      <c r="AO7" s="32"/>
      <c r="AP7" s="32"/>
    </row>
    <row r="8" ht="17.25" customHeight="1">
      <c r="A8" s="51" t="s">
        <v>10</v>
      </c>
      <c r="B8" s="52" t="s">
        <v>47</v>
      </c>
      <c r="C8" s="53">
        <f>COUNTIF('Partner Platform'!H79:H1130,"BLOCKED")</f>
        <v>16</v>
      </c>
      <c r="D8" s="53">
        <f>COUNTIF('Partner Platform'!I79:I1130,"BLOCKED")</f>
        <v>16</v>
      </c>
      <c r="E8" s="53">
        <f>COUNTIFS('Partner Platform'!K79:K1130,"BLOCKED",'Partner Platform'!J79:J1130,"YES")</f>
        <v>0</v>
      </c>
      <c r="F8" s="34"/>
      <c r="G8" s="34"/>
      <c r="H8" s="34"/>
      <c r="I8" s="34"/>
      <c r="J8" s="34"/>
      <c r="K8" s="34"/>
      <c r="L8" s="34"/>
      <c r="M8" s="34"/>
      <c r="N8" s="34"/>
      <c r="O8" s="34"/>
      <c r="P8" s="35"/>
      <c r="Q8" s="35"/>
      <c r="R8" s="35"/>
      <c r="S8" s="34"/>
      <c r="T8" s="32"/>
      <c r="U8" s="32"/>
      <c r="V8" s="32"/>
      <c r="W8" s="32"/>
      <c r="X8" s="32"/>
      <c r="Y8" s="32"/>
      <c r="Z8" s="32"/>
      <c r="AA8" s="32"/>
      <c r="AB8" s="32"/>
      <c r="AC8" s="32"/>
      <c r="AD8" s="32"/>
      <c r="AE8" s="32"/>
      <c r="AF8" s="32"/>
      <c r="AG8" s="32"/>
      <c r="AH8" s="32"/>
      <c r="AI8" s="32"/>
      <c r="AJ8" s="32"/>
      <c r="AK8" s="32"/>
      <c r="AL8" s="32"/>
      <c r="AM8" s="32"/>
      <c r="AN8" s="32"/>
      <c r="AO8" s="32"/>
      <c r="AP8" s="32"/>
    </row>
    <row r="9" ht="17.25" customHeight="1">
      <c r="A9" s="35"/>
      <c r="B9" s="35"/>
      <c r="C9" s="35"/>
      <c r="D9" s="35"/>
      <c r="E9" s="35"/>
      <c r="F9" s="34"/>
      <c r="G9" s="34"/>
      <c r="H9" s="34"/>
      <c r="I9" s="34"/>
      <c r="J9" s="34"/>
      <c r="K9" s="34"/>
      <c r="L9" s="34"/>
      <c r="M9" s="34"/>
      <c r="N9" s="34"/>
      <c r="O9" s="34"/>
      <c r="P9" s="35"/>
      <c r="Q9" s="35"/>
      <c r="R9" s="35"/>
      <c r="S9" s="34"/>
      <c r="T9" s="32"/>
      <c r="U9" s="32"/>
      <c r="V9" s="32"/>
      <c r="W9" s="32"/>
      <c r="X9" s="32"/>
      <c r="Y9" s="32"/>
      <c r="Z9" s="32"/>
      <c r="AA9" s="32"/>
      <c r="AB9" s="32"/>
      <c r="AC9" s="32"/>
      <c r="AD9" s="32"/>
      <c r="AE9" s="32"/>
      <c r="AF9" s="32"/>
      <c r="AG9" s="32"/>
      <c r="AH9" s="32"/>
      <c r="AI9" s="32"/>
      <c r="AJ9" s="32"/>
      <c r="AK9" s="32"/>
      <c r="AL9" s="32"/>
      <c r="AM9" s="32"/>
      <c r="AN9" s="32"/>
      <c r="AO9" s="32"/>
      <c r="AP9" s="32"/>
    </row>
    <row r="10" ht="17.25" customHeight="1">
      <c r="A10" s="35"/>
      <c r="B10" s="35"/>
      <c r="C10" s="35"/>
      <c r="D10" s="35"/>
      <c r="E10" s="35"/>
      <c r="F10" s="34"/>
      <c r="G10" s="34"/>
      <c r="H10" s="34"/>
      <c r="I10" s="34"/>
      <c r="J10" s="34"/>
      <c r="K10" s="34"/>
      <c r="L10" s="34"/>
      <c r="M10" s="34"/>
      <c r="N10" s="34"/>
      <c r="O10" s="34"/>
      <c r="P10" s="35"/>
      <c r="Q10" s="35"/>
      <c r="R10" s="35"/>
      <c r="S10" s="34"/>
      <c r="T10" s="32"/>
      <c r="U10" s="32"/>
      <c r="V10" s="32"/>
      <c r="W10" s="32"/>
      <c r="X10" s="32"/>
      <c r="Y10" s="32"/>
      <c r="Z10" s="32"/>
      <c r="AA10" s="32"/>
      <c r="AB10" s="32"/>
      <c r="AC10" s="32"/>
      <c r="AD10" s="32"/>
      <c r="AE10" s="32"/>
      <c r="AF10" s="32"/>
      <c r="AG10" s="32"/>
      <c r="AH10" s="32"/>
      <c r="AI10" s="32"/>
      <c r="AJ10" s="32"/>
      <c r="AK10" s="32"/>
      <c r="AL10" s="32"/>
      <c r="AM10" s="32"/>
      <c r="AN10" s="32"/>
      <c r="AO10" s="32"/>
      <c r="AP10" s="32"/>
    </row>
    <row r="11" ht="17.25" customHeight="1">
      <c r="A11" s="54" t="s">
        <v>48</v>
      </c>
      <c r="B11" s="55"/>
      <c r="C11" s="55"/>
      <c r="D11" s="55"/>
      <c r="E11" s="55"/>
      <c r="F11" s="56"/>
      <c r="G11" s="56"/>
      <c r="H11" s="56"/>
      <c r="I11" s="56"/>
      <c r="J11" s="56"/>
      <c r="K11" s="56"/>
      <c r="L11" s="56"/>
      <c r="M11" s="56"/>
      <c r="N11" s="56"/>
      <c r="O11" s="56"/>
      <c r="P11" s="55"/>
      <c r="Q11" s="55"/>
      <c r="R11" s="55"/>
      <c r="S11" s="34"/>
      <c r="T11" s="32"/>
      <c r="U11" s="32"/>
      <c r="V11" s="32"/>
      <c r="W11" s="32"/>
      <c r="X11" s="32"/>
      <c r="Y11" s="32"/>
      <c r="Z11" s="32"/>
      <c r="AA11" s="32"/>
      <c r="AB11" s="32"/>
      <c r="AC11" s="32"/>
      <c r="AD11" s="32"/>
      <c r="AE11" s="32"/>
      <c r="AF11" s="32"/>
      <c r="AG11" s="32"/>
      <c r="AH11" s="32"/>
      <c r="AI11" s="32"/>
      <c r="AJ11" s="32"/>
      <c r="AK11" s="32"/>
      <c r="AL11" s="32"/>
      <c r="AM11" s="32"/>
      <c r="AN11" s="32"/>
      <c r="AO11" s="32"/>
      <c r="AP11" s="32"/>
    </row>
    <row r="12" ht="36.0" customHeight="1">
      <c r="A12" s="57" t="s">
        <v>49</v>
      </c>
      <c r="B12" s="57" t="s">
        <v>50</v>
      </c>
      <c r="C12" s="58" t="s">
        <v>51</v>
      </c>
      <c r="D12" s="57" t="s">
        <v>52</v>
      </c>
      <c r="E12" s="57" t="s">
        <v>53</v>
      </c>
      <c r="F12" s="59" t="s">
        <v>30</v>
      </c>
      <c r="G12" s="59" t="s">
        <v>54</v>
      </c>
      <c r="H12" s="59" t="s">
        <v>17</v>
      </c>
      <c r="I12" s="59" t="s">
        <v>55</v>
      </c>
      <c r="J12" s="59" t="s">
        <v>56</v>
      </c>
      <c r="K12" s="59" t="s">
        <v>57</v>
      </c>
      <c r="L12" s="59" t="s">
        <v>58</v>
      </c>
      <c r="M12" s="59" t="s">
        <v>59</v>
      </c>
      <c r="N12" s="59" t="s">
        <v>60</v>
      </c>
      <c r="O12" s="59" t="s">
        <v>61</v>
      </c>
      <c r="P12" s="57" t="s">
        <v>62</v>
      </c>
      <c r="Q12" s="60" t="s">
        <v>63</v>
      </c>
      <c r="R12" s="60" t="s">
        <v>64</v>
      </c>
      <c r="S12" s="61" t="s">
        <v>65</v>
      </c>
      <c r="T12" s="32"/>
      <c r="U12" s="32"/>
      <c r="V12" s="32"/>
      <c r="W12" s="32"/>
      <c r="X12" s="32"/>
      <c r="Y12" s="32"/>
      <c r="Z12" s="32"/>
      <c r="AA12" s="32"/>
      <c r="AB12" s="32"/>
      <c r="AC12" s="32"/>
      <c r="AD12" s="32"/>
      <c r="AE12" s="32"/>
      <c r="AF12" s="32"/>
      <c r="AG12" s="32"/>
      <c r="AH12" s="32"/>
      <c r="AI12" s="32"/>
      <c r="AJ12" s="32"/>
      <c r="AK12" s="32"/>
      <c r="AL12" s="32"/>
      <c r="AM12" s="32"/>
      <c r="AN12" s="32"/>
      <c r="AO12" s="32"/>
      <c r="AP12" s="32"/>
    </row>
    <row r="13" ht="17.25" customHeight="1">
      <c r="A13" s="62" t="s">
        <v>66</v>
      </c>
      <c r="B13" s="63" t="s">
        <v>67</v>
      </c>
      <c r="C13" s="64" t="s">
        <v>68</v>
      </c>
      <c r="D13" s="64" t="s">
        <v>69</v>
      </c>
      <c r="E13" s="64" t="s">
        <v>70</v>
      </c>
      <c r="F13" s="65" t="s">
        <v>31</v>
      </c>
      <c r="G13" s="65" t="s">
        <v>71</v>
      </c>
      <c r="H13" s="65" t="str">
        <f t="shared" ref="H13:H108" si="2">IF(J13="No",I13,IF(OR(I13="FAILED",K13="FAILED"),"FAILED",IF(OR(I13="PASSED",K13="PASSED"),"PASSED",IF(OR(I13="IN_PROGRESS",K13="IN_PROGRESS"),"IN_PROGRESS",IF(OR(I13="BLOCKED",K13="BLOCKED"),"BLOCKED","NOT_STARTED")))))</f>
        <v>NOT_STARTED</v>
      </c>
      <c r="I13" s="65" t="s">
        <v>43</v>
      </c>
      <c r="J13" s="65" t="s">
        <v>72</v>
      </c>
      <c r="K13" s="65" t="s">
        <v>43</v>
      </c>
      <c r="L13" s="66" t="s">
        <v>73</v>
      </c>
      <c r="M13" s="66" t="s">
        <v>74</v>
      </c>
      <c r="N13" s="66"/>
      <c r="O13" s="66" t="s">
        <v>16</v>
      </c>
      <c r="P13" s="67"/>
      <c r="Q13" s="68" t="s">
        <v>75</v>
      </c>
      <c r="R13" s="68" t="s">
        <v>76</v>
      </c>
      <c r="S13" s="69" t="s">
        <v>77</v>
      </c>
      <c r="T13" s="32"/>
      <c r="U13" s="32"/>
      <c r="V13" s="32"/>
      <c r="W13" s="32"/>
      <c r="X13" s="32"/>
      <c r="Y13" s="32"/>
      <c r="Z13" s="32"/>
      <c r="AA13" s="32"/>
      <c r="AB13" s="32"/>
      <c r="AC13" s="32"/>
      <c r="AD13" s="32"/>
      <c r="AE13" s="32"/>
      <c r="AF13" s="32"/>
      <c r="AG13" s="32"/>
      <c r="AH13" s="32"/>
      <c r="AI13" s="32"/>
      <c r="AJ13" s="32"/>
      <c r="AK13" s="32"/>
      <c r="AL13" s="32"/>
      <c r="AM13" s="32"/>
      <c r="AN13" s="32"/>
      <c r="AO13" s="32"/>
      <c r="AP13" s="32"/>
    </row>
    <row r="14" ht="17.25" customHeight="1">
      <c r="A14" s="70"/>
      <c r="B14" s="70"/>
      <c r="C14" s="64" t="s">
        <v>78</v>
      </c>
      <c r="D14" s="64" t="s">
        <v>79</v>
      </c>
      <c r="E14" s="64" t="s">
        <v>70</v>
      </c>
      <c r="F14" s="65" t="s">
        <v>31</v>
      </c>
      <c r="G14" s="65" t="s">
        <v>80</v>
      </c>
      <c r="H14" s="65" t="str">
        <f t="shared" si="2"/>
        <v>NOT_STARTED</v>
      </c>
      <c r="I14" s="65" t="s">
        <v>43</v>
      </c>
      <c r="J14" s="65" t="s">
        <v>72</v>
      </c>
      <c r="K14" s="65" t="s">
        <v>43</v>
      </c>
      <c r="L14" s="66" t="s">
        <v>81</v>
      </c>
      <c r="M14" s="66" t="s">
        <v>74</v>
      </c>
      <c r="N14" s="66"/>
      <c r="O14" s="66" t="s">
        <v>16</v>
      </c>
      <c r="P14" s="67"/>
      <c r="Q14" s="68" t="s">
        <v>82</v>
      </c>
      <c r="R14" s="68" t="s">
        <v>83</v>
      </c>
      <c r="S14" s="69" t="s">
        <v>84</v>
      </c>
      <c r="T14" s="32"/>
      <c r="U14" s="32"/>
      <c r="V14" s="32"/>
      <c r="W14" s="32"/>
      <c r="X14" s="32"/>
      <c r="Y14" s="32"/>
      <c r="Z14" s="32"/>
      <c r="AA14" s="32"/>
      <c r="AB14" s="32"/>
      <c r="AC14" s="32"/>
      <c r="AD14" s="32"/>
      <c r="AE14" s="32"/>
      <c r="AF14" s="32"/>
      <c r="AG14" s="32"/>
      <c r="AH14" s="32"/>
      <c r="AI14" s="32"/>
      <c r="AJ14" s="32"/>
      <c r="AK14" s="32"/>
      <c r="AL14" s="32"/>
      <c r="AM14" s="32"/>
      <c r="AN14" s="32"/>
      <c r="AO14" s="32"/>
      <c r="AP14" s="32"/>
    </row>
    <row r="15" ht="17.25" customHeight="1">
      <c r="A15" s="70"/>
      <c r="B15" s="70"/>
      <c r="C15" s="64" t="s">
        <v>85</v>
      </c>
      <c r="D15" s="64" t="s">
        <v>86</v>
      </c>
      <c r="E15" s="64" t="s">
        <v>70</v>
      </c>
      <c r="F15" s="65" t="s">
        <v>31</v>
      </c>
      <c r="G15" s="65" t="s">
        <v>80</v>
      </c>
      <c r="H15" s="65" t="str">
        <f t="shared" si="2"/>
        <v>NOT_STARTED</v>
      </c>
      <c r="I15" s="65" t="s">
        <v>43</v>
      </c>
      <c r="J15" s="65" t="s">
        <v>72</v>
      </c>
      <c r="K15" s="65" t="s">
        <v>43</v>
      </c>
      <c r="L15" s="66" t="s">
        <v>87</v>
      </c>
      <c r="M15" s="66" t="s">
        <v>74</v>
      </c>
      <c r="N15" s="66"/>
      <c r="O15" s="66" t="s">
        <v>16</v>
      </c>
      <c r="P15" s="67"/>
      <c r="Q15" s="68" t="s">
        <v>88</v>
      </c>
      <c r="R15" s="68" t="s">
        <v>83</v>
      </c>
      <c r="S15" s="69" t="s">
        <v>84</v>
      </c>
      <c r="T15" s="32"/>
      <c r="U15" s="32"/>
      <c r="V15" s="32"/>
      <c r="W15" s="32"/>
      <c r="X15" s="32"/>
      <c r="Y15" s="32"/>
      <c r="Z15" s="32"/>
      <c r="AA15" s="32"/>
      <c r="AB15" s="32"/>
      <c r="AC15" s="32"/>
      <c r="AD15" s="32"/>
      <c r="AE15" s="32"/>
      <c r="AF15" s="32"/>
      <c r="AG15" s="32"/>
      <c r="AH15" s="32"/>
      <c r="AI15" s="32"/>
      <c r="AJ15" s="32"/>
      <c r="AK15" s="32"/>
      <c r="AL15" s="32"/>
      <c r="AM15" s="32"/>
      <c r="AN15" s="32"/>
      <c r="AO15" s="32"/>
      <c r="AP15" s="32"/>
    </row>
    <row r="16" ht="17.25" customHeight="1">
      <c r="A16" s="70"/>
      <c r="B16" s="70"/>
      <c r="C16" s="64" t="s">
        <v>89</v>
      </c>
      <c r="D16" s="64" t="s">
        <v>90</v>
      </c>
      <c r="E16" s="64" t="s">
        <v>70</v>
      </c>
      <c r="F16" s="65" t="s">
        <v>31</v>
      </c>
      <c r="G16" s="65" t="s">
        <v>80</v>
      </c>
      <c r="H16" s="65" t="str">
        <f t="shared" si="2"/>
        <v>NOT_STARTED</v>
      </c>
      <c r="I16" s="65" t="s">
        <v>43</v>
      </c>
      <c r="J16" s="65" t="s">
        <v>72</v>
      </c>
      <c r="K16" s="65" t="s">
        <v>43</v>
      </c>
      <c r="L16" s="66" t="s">
        <v>81</v>
      </c>
      <c r="M16" s="66" t="s">
        <v>74</v>
      </c>
      <c r="N16" s="66"/>
      <c r="O16" s="66" t="s">
        <v>16</v>
      </c>
      <c r="P16" s="67"/>
      <c r="Q16" s="68" t="s">
        <v>91</v>
      </c>
      <c r="R16" s="68" t="s">
        <v>92</v>
      </c>
      <c r="S16" s="69" t="s">
        <v>84</v>
      </c>
      <c r="T16" s="32"/>
      <c r="U16" s="32"/>
      <c r="V16" s="32"/>
      <c r="W16" s="32"/>
      <c r="X16" s="32"/>
      <c r="Y16" s="32"/>
      <c r="Z16" s="32"/>
      <c r="AA16" s="32"/>
      <c r="AB16" s="32"/>
      <c r="AC16" s="32"/>
      <c r="AD16" s="32"/>
      <c r="AE16" s="32"/>
      <c r="AF16" s="32"/>
      <c r="AG16" s="32"/>
      <c r="AH16" s="32"/>
      <c r="AI16" s="32"/>
      <c r="AJ16" s="32"/>
      <c r="AK16" s="32"/>
      <c r="AL16" s="32"/>
      <c r="AM16" s="32"/>
      <c r="AN16" s="32"/>
      <c r="AO16" s="32"/>
      <c r="AP16" s="32"/>
    </row>
    <row r="17" ht="17.25" customHeight="1">
      <c r="A17" s="70"/>
      <c r="B17" s="70"/>
      <c r="C17" s="64" t="s">
        <v>93</v>
      </c>
      <c r="D17" s="64" t="s">
        <v>94</v>
      </c>
      <c r="E17" s="64" t="s">
        <v>70</v>
      </c>
      <c r="F17" s="65" t="s">
        <v>31</v>
      </c>
      <c r="G17" s="65" t="s">
        <v>71</v>
      </c>
      <c r="H17" s="65" t="str">
        <f t="shared" si="2"/>
        <v>NOT_STARTED</v>
      </c>
      <c r="I17" s="65" t="s">
        <v>43</v>
      </c>
      <c r="J17" s="65" t="s">
        <v>72</v>
      </c>
      <c r="K17" s="65" t="s">
        <v>43</v>
      </c>
      <c r="L17" s="66" t="s">
        <v>95</v>
      </c>
      <c r="M17" s="66" t="s">
        <v>74</v>
      </c>
      <c r="N17" s="66"/>
      <c r="O17" s="66" t="s">
        <v>16</v>
      </c>
      <c r="P17" s="67"/>
      <c r="Q17" s="68" t="s">
        <v>96</v>
      </c>
      <c r="R17" s="68" t="s">
        <v>97</v>
      </c>
      <c r="S17" s="69" t="s">
        <v>84</v>
      </c>
      <c r="T17" s="32"/>
      <c r="U17" s="32"/>
      <c r="V17" s="32"/>
      <c r="W17" s="32"/>
      <c r="X17" s="32"/>
      <c r="Y17" s="32"/>
      <c r="Z17" s="32"/>
      <c r="AA17" s="32"/>
      <c r="AB17" s="32"/>
      <c r="AC17" s="32"/>
      <c r="AD17" s="32"/>
      <c r="AE17" s="32"/>
      <c r="AF17" s="32"/>
      <c r="AG17" s="32"/>
      <c r="AH17" s="32"/>
      <c r="AI17" s="32"/>
      <c r="AJ17" s="32"/>
      <c r="AK17" s="32"/>
      <c r="AL17" s="32"/>
      <c r="AM17" s="32"/>
      <c r="AN17" s="32"/>
      <c r="AO17" s="32"/>
      <c r="AP17" s="32"/>
    </row>
    <row r="18" ht="17.25" customHeight="1">
      <c r="A18" s="70"/>
      <c r="B18" s="70"/>
      <c r="C18" s="64" t="s">
        <v>98</v>
      </c>
      <c r="D18" s="64" t="s">
        <v>99</v>
      </c>
      <c r="E18" s="64" t="s">
        <v>100</v>
      </c>
      <c r="F18" s="65" t="s">
        <v>31</v>
      </c>
      <c r="G18" s="65" t="s">
        <v>71</v>
      </c>
      <c r="H18" s="65" t="str">
        <f t="shared" si="2"/>
        <v>NOT_STARTED</v>
      </c>
      <c r="I18" s="65" t="s">
        <v>43</v>
      </c>
      <c r="J18" s="65" t="s">
        <v>72</v>
      </c>
      <c r="K18" s="65" t="s">
        <v>43</v>
      </c>
      <c r="L18" s="66" t="s">
        <v>101</v>
      </c>
      <c r="M18" s="66" t="s">
        <v>74</v>
      </c>
      <c r="N18" s="66"/>
      <c r="O18" s="66" t="s">
        <v>16</v>
      </c>
      <c r="P18" s="67"/>
      <c r="Q18" s="68" t="s">
        <v>102</v>
      </c>
      <c r="R18" s="68" t="s">
        <v>103</v>
      </c>
      <c r="S18" s="69" t="s">
        <v>104</v>
      </c>
      <c r="T18" s="32"/>
      <c r="U18" s="32"/>
      <c r="V18" s="32"/>
      <c r="W18" s="32"/>
      <c r="X18" s="32"/>
      <c r="Y18" s="32"/>
      <c r="Z18" s="32"/>
      <c r="AA18" s="32"/>
      <c r="AB18" s="32"/>
      <c r="AC18" s="32"/>
      <c r="AD18" s="32"/>
      <c r="AE18" s="32"/>
      <c r="AF18" s="32"/>
      <c r="AG18" s="32"/>
      <c r="AH18" s="32"/>
      <c r="AI18" s="32"/>
      <c r="AJ18" s="32"/>
      <c r="AK18" s="32"/>
      <c r="AL18" s="32"/>
      <c r="AM18" s="32"/>
      <c r="AN18" s="32"/>
      <c r="AO18" s="32"/>
      <c r="AP18" s="32"/>
    </row>
    <row r="19" ht="17.25" customHeight="1">
      <c r="A19" s="70"/>
      <c r="B19" s="70"/>
      <c r="C19" s="64" t="s">
        <v>105</v>
      </c>
      <c r="D19" s="64" t="s">
        <v>106</v>
      </c>
      <c r="E19" s="64" t="s">
        <v>70</v>
      </c>
      <c r="F19" s="65" t="s">
        <v>31</v>
      </c>
      <c r="G19" s="65" t="s">
        <v>80</v>
      </c>
      <c r="H19" s="65" t="str">
        <f t="shared" si="2"/>
        <v>NOT_STARTED</v>
      </c>
      <c r="I19" s="65" t="s">
        <v>43</v>
      </c>
      <c r="J19" s="65" t="s">
        <v>72</v>
      </c>
      <c r="K19" s="65" t="s">
        <v>43</v>
      </c>
      <c r="L19" s="66" t="s">
        <v>95</v>
      </c>
      <c r="M19" s="66" t="s">
        <v>74</v>
      </c>
      <c r="N19" s="66"/>
      <c r="O19" s="66" t="s">
        <v>16</v>
      </c>
      <c r="P19" s="67" t="s">
        <v>107</v>
      </c>
      <c r="Q19" s="68" t="s">
        <v>108</v>
      </c>
      <c r="R19" s="68" t="s">
        <v>109</v>
      </c>
      <c r="S19" s="69" t="s">
        <v>84</v>
      </c>
      <c r="T19" s="32"/>
      <c r="U19" s="32"/>
      <c r="V19" s="32"/>
      <c r="W19" s="32"/>
      <c r="X19" s="32"/>
      <c r="Y19" s="32"/>
      <c r="Z19" s="32"/>
      <c r="AA19" s="32"/>
      <c r="AB19" s="32"/>
      <c r="AC19" s="32"/>
      <c r="AD19" s="32"/>
      <c r="AE19" s="32"/>
      <c r="AF19" s="32"/>
      <c r="AG19" s="32"/>
      <c r="AH19" s="32"/>
      <c r="AI19" s="32"/>
      <c r="AJ19" s="32"/>
      <c r="AK19" s="32"/>
      <c r="AL19" s="32"/>
      <c r="AM19" s="32"/>
      <c r="AN19" s="32"/>
      <c r="AO19" s="32"/>
      <c r="AP19" s="32"/>
    </row>
    <row r="20" ht="17.25" customHeight="1">
      <c r="A20" s="70"/>
      <c r="B20" s="70"/>
      <c r="C20" s="64" t="s">
        <v>110</v>
      </c>
      <c r="D20" s="64" t="s">
        <v>111</v>
      </c>
      <c r="E20" s="64" t="s">
        <v>70</v>
      </c>
      <c r="F20" s="65" t="s">
        <v>32</v>
      </c>
      <c r="G20" s="65" t="s">
        <v>80</v>
      </c>
      <c r="H20" s="65" t="str">
        <f t="shared" si="2"/>
        <v>NOT_STARTED</v>
      </c>
      <c r="I20" s="65" t="s">
        <v>43</v>
      </c>
      <c r="J20" s="65" t="s">
        <v>72</v>
      </c>
      <c r="K20" s="65" t="s">
        <v>43</v>
      </c>
      <c r="L20" s="66" t="s">
        <v>112</v>
      </c>
      <c r="M20" s="66" t="s">
        <v>74</v>
      </c>
      <c r="N20" s="66"/>
      <c r="O20" s="66" t="s">
        <v>16</v>
      </c>
      <c r="P20" s="67" t="s">
        <v>113</v>
      </c>
      <c r="Q20" s="68" t="s">
        <v>114</v>
      </c>
      <c r="R20" s="68" t="s">
        <v>115</v>
      </c>
      <c r="S20" s="71">
        <v>46305.0</v>
      </c>
      <c r="T20" s="32"/>
      <c r="U20" s="32"/>
      <c r="V20" s="32"/>
      <c r="W20" s="32"/>
      <c r="X20" s="32"/>
      <c r="Y20" s="32"/>
      <c r="Z20" s="32"/>
      <c r="AA20" s="32"/>
      <c r="AB20" s="32"/>
      <c r="AC20" s="32"/>
      <c r="AD20" s="32"/>
      <c r="AE20" s="32"/>
      <c r="AF20" s="32"/>
      <c r="AG20" s="32"/>
      <c r="AH20" s="32"/>
      <c r="AI20" s="32"/>
      <c r="AJ20" s="32"/>
      <c r="AK20" s="32"/>
      <c r="AL20" s="32"/>
      <c r="AM20" s="32"/>
      <c r="AN20" s="32"/>
      <c r="AO20" s="32"/>
      <c r="AP20" s="32"/>
    </row>
    <row r="21" ht="17.25" customHeight="1">
      <c r="A21" s="70"/>
      <c r="B21" s="15"/>
      <c r="C21" s="64" t="s">
        <v>116</v>
      </c>
      <c r="D21" s="64" t="s">
        <v>117</v>
      </c>
      <c r="E21" s="64" t="s">
        <v>100</v>
      </c>
      <c r="F21" s="65" t="s">
        <v>32</v>
      </c>
      <c r="G21" s="65" t="s">
        <v>80</v>
      </c>
      <c r="H21" s="65" t="str">
        <f t="shared" si="2"/>
        <v>NOT_STARTED</v>
      </c>
      <c r="I21" s="65" t="s">
        <v>43</v>
      </c>
      <c r="J21" s="65" t="s">
        <v>72</v>
      </c>
      <c r="K21" s="65" t="s">
        <v>43</v>
      </c>
      <c r="L21" s="66" t="s">
        <v>81</v>
      </c>
      <c r="M21" s="66" t="s">
        <v>74</v>
      </c>
      <c r="N21" s="66"/>
      <c r="O21" s="66" t="s">
        <v>16</v>
      </c>
      <c r="P21" s="67" t="s">
        <v>118</v>
      </c>
      <c r="Q21" s="68" t="s">
        <v>119</v>
      </c>
      <c r="R21" s="68" t="s">
        <v>120</v>
      </c>
      <c r="S21" s="69" t="s">
        <v>84</v>
      </c>
      <c r="T21" s="32"/>
      <c r="U21" s="32"/>
      <c r="V21" s="32"/>
      <c r="W21" s="32"/>
      <c r="X21" s="32"/>
      <c r="Y21" s="32"/>
      <c r="Z21" s="32"/>
      <c r="AA21" s="32"/>
      <c r="AB21" s="32"/>
      <c r="AC21" s="32"/>
      <c r="AD21" s="32"/>
      <c r="AE21" s="32"/>
      <c r="AF21" s="32"/>
      <c r="AG21" s="32"/>
      <c r="AH21" s="32"/>
      <c r="AI21" s="32"/>
      <c r="AJ21" s="32"/>
      <c r="AK21" s="32"/>
      <c r="AL21" s="32"/>
      <c r="AM21" s="32"/>
      <c r="AN21" s="32"/>
      <c r="AO21" s="32"/>
      <c r="AP21" s="32"/>
    </row>
    <row r="22" ht="17.25" customHeight="1">
      <c r="A22" s="70"/>
      <c r="B22" s="72" t="s">
        <v>121</v>
      </c>
      <c r="C22" s="73" t="s">
        <v>122</v>
      </c>
      <c r="D22" s="73" t="s">
        <v>123</v>
      </c>
      <c r="E22" s="64" t="s">
        <v>70</v>
      </c>
      <c r="F22" s="74" t="s">
        <v>31</v>
      </c>
      <c r="G22" s="74" t="s">
        <v>80</v>
      </c>
      <c r="H22" s="65" t="str">
        <f t="shared" si="2"/>
        <v>NOT_STARTED</v>
      </c>
      <c r="I22" s="65" t="s">
        <v>43</v>
      </c>
      <c r="J22" s="65" t="s">
        <v>72</v>
      </c>
      <c r="K22" s="75" t="s">
        <v>43</v>
      </c>
      <c r="L22" s="76" t="s">
        <v>124</v>
      </c>
      <c r="M22" s="66" t="s">
        <v>74</v>
      </c>
      <c r="N22" s="66"/>
      <c r="O22" s="66" t="s">
        <v>16</v>
      </c>
      <c r="P22" s="77" t="s">
        <v>125</v>
      </c>
      <c r="Q22" s="78" t="s">
        <v>126</v>
      </c>
      <c r="R22" s="78" t="s">
        <v>127</v>
      </c>
      <c r="S22" s="79">
        <v>46207.0</v>
      </c>
      <c r="T22" s="32"/>
      <c r="U22" s="32"/>
      <c r="V22" s="32"/>
      <c r="W22" s="32"/>
      <c r="X22" s="32"/>
      <c r="Y22" s="32"/>
      <c r="Z22" s="32"/>
      <c r="AA22" s="32"/>
      <c r="AB22" s="32"/>
      <c r="AC22" s="32"/>
      <c r="AD22" s="32"/>
      <c r="AE22" s="32"/>
      <c r="AF22" s="32"/>
      <c r="AG22" s="32"/>
      <c r="AH22" s="32"/>
      <c r="AI22" s="32"/>
      <c r="AJ22" s="32"/>
      <c r="AK22" s="32"/>
      <c r="AL22" s="32"/>
      <c r="AM22" s="32"/>
      <c r="AN22" s="32"/>
      <c r="AO22" s="32"/>
      <c r="AP22" s="32"/>
    </row>
    <row r="23" ht="17.25" customHeight="1">
      <c r="A23" s="15"/>
      <c r="B23" s="72" t="s">
        <v>128</v>
      </c>
      <c r="C23" s="73" t="s">
        <v>129</v>
      </c>
      <c r="D23" s="73" t="s">
        <v>130</v>
      </c>
      <c r="E23" s="64" t="s">
        <v>70</v>
      </c>
      <c r="F23" s="74" t="s">
        <v>31</v>
      </c>
      <c r="G23" s="74" t="s">
        <v>71</v>
      </c>
      <c r="H23" s="65" t="str">
        <f t="shared" si="2"/>
        <v>NOT_STARTED</v>
      </c>
      <c r="I23" s="65" t="s">
        <v>43</v>
      </c>
      <c r="J23" s="65" t="s">
        <v>72</v>
      </c>
      <c r="K23" s="75" t="s">
        <v>43</v>
      </c>
      <c r="L23" s="76" t="s">
        <v>131</v>
      </c>
      <c r="M23" s="66" t="s">
        <v>74</v>
      </c>
      <c r="N23" s="66"/>
      <c r="O23" s="66" t="s">
        <v>16</v>
      </c>
      <c r="P23" s="77" t="s">
        <v>132</v>
      </c>
      <c r="Q23" s="78" t="s">
        <v>133</v>
      </c>
      <c r="R23" s="78" t="s">
        <v>134</v>
      </c>
      <c r="S23" s="80" t="s">
        <v>135</v>
      </c>
      <c r="T23" s="32"/>
      <c r="U23" s="32"/>
      <c r="V23" s="32"/>
      <c r="W23" s="32"/>
      <c r="X23" s="32"/>
      <c r="Y23" s="32"/>
      <c r="Z23" s="32"/>
      <c r="AA23" s="32"/>
      <c r="AB23" s="32"/>
      <c r="AC23" s="32"/>
      <c r="AD23" s="32"/>
      <c r="AE23" s="32"/>
      <c r="AF23" s="32"/>
      <c r="AG23" s="32"/>
      <c r="AH23" s="32"/>
      <c r="AI23" s="32"/>
      <c r="AJ23" s="32"/>
      <c r="AK23" s="32"/>
      <c r="AL23" s="32"/>
      <c r="AM23" s="32"/>
      <c r="AN23" s="32"/>
      <c r="AO23" s="32"/>
      <c r="AP23" s="32"/>
    </row>
    <row r="24" ht="16.5" customHeight="1">
      <c r="A24" s="62" t="s">
        <v>136</v>
      </c>
      <c r="B24" s="63" t="s">
        <v>137</v>
      </c>
      <c r="C24" s="64" t="s">
        <v>138</v>
      </c>
      <c r="D24" s="64" t="s">
        <v>139</v>
      </c>
      <c r="E24" s="81" t="s">
        <v>70</v>
      </c>
      <c r="F24" s="65" t="s">
        <v>31</v>
      </c>
      <c r="G24" s="65" t="s">
        <v>71</v>
      </c>
      <c r="H24" s="65" t="str">
        <f t="shared" si="2"/>
        <v>NOT_STARTED</v>
      </c>
      <c r="I24" s="65" t="s">
        <v>43</v>
      </c>
      <c r="J24" s="65" t="s">
        <v>72</v>
      </c>
      <c r="K24" s="65" t="s">
        <v>43</v>
      </c>
      <c r="L24" s="66" t="s">
        <v>140</v>
      </c>
      <c r="M24" s="66" t="s">
        <v>74</v>
      </c>
      <c r="N24" s="66"/>
      <c r="O24" s="66" t="s">
        <v>16</v>
      </c>
      <c r="P24" s="67" t="s">
        <v>141</v>
      </c>
      <c r="Q24" s="68" t="s">
        <v>142</v>
      </c>
      <c r="R24" s="68" t="s">
        <v>143</v>
      </c>
      <c r="S24" s="71">
        <v>46057.0</v>
      </c>
      <c r="T24" s="32"/>
      <c r="U24" s="32"/>
      <c r="V24" s="32"/>
      <c r="W24" s="32"/>
      <c r="X24" s="32"/>
      <c r="Y24" s="32"/>
      <c r="Z24" s="32"/>
      <c r="AA24" s="32"/>
      <c r="AB24" s="32"/>
      <c r="AC24" s="32"/>
      <c r="AD24" s="32"/>
      <c r="AE24" s="32"/>
      <c r="AF24" s="32"/>
      <c r="AG24" s="32"/>
      <c r="AH24" s="32"/>
      <c r="AI24" s="32"/>
      <c r="AJ24" s="32"/>
      <c r="AK24" s="32"/>
      <c r="AL24" s="32"/>
      <c r="AM24" s="32"/>
      <c r="AN24" s="32"/>
      <c r="AO24" s="32"/>
      <c r="AP24" s="32"/>
    </row>
    <row r="25" ht="17.25" customHeight="1">
      <c r="A25" s="70"/>
      <c r="B25" s="70"/>
      <c r="C25" s="64" t="s">
        <v>144</v>
      </c>
      <c r="D25" s="64" t="s">
        <v>145</v>
      </c>
      <c r="E25" s="64" t="s">
        <v>70</v>
      </c>
      <c r="F25" s="65" t="s">
        <v>31</v>
      </c>
      <c r="G25" s="65" t="s">
        <v>80</v>
      </c>
      <c r="H25" s="65" t="str">
        <f t="shared" si="2"/>
        <v>NOT_STARTED</v>
      </c>
      <c r="I25" s="65" t="s">
        <v>43</v>
      </c>
      <c r="J25" s="65" t="s">
        <v>72</v>
      </c>
      <c r="K25" s="65" t="s">
        <v>43</v>
      </c>
      <c r="L25" s="66" t="s">
        <v>146</v>
      </c>
      <c r="M25" s="66" t="s">
        <v>74</v>
      </c>
      <c r="N25" s="66"/>
      <c r="O25" s="66" t="s">
        <v>16</v>
      </c>
      <c r="P25" s="67" t="s">
        <v>147</v>
      </c>
      <c r="Q25" s="68" t="s">
        <v>148</v>
      </c>
      <c r="R25" s="68" t="s">
        <v>149</v>
      </c>
      <c r="S25" s="69" t="s">
        <v>150</v>
      </c>
      <c r="T25" s="32"/>
      <c r="U25" s="32"/>
      <c r="V25" s="32"/>
      <c r="W25" s="32"/>
      <c r="X25" s="32"/>
      <c r="Y25" s="32"/>
      <c r="Z25" s="32"/>
      <c r="AA25" s="32"/>
      <c r="AB25" s="32"/>
      <c r="AC25" s="32"/>
      <c r="AD25" s="32"/>
      <c r="AE25" s="32"/>
      <c r="AF25" s="32"/>
      <c r="AG25" s="32"/>
      <c r="AH25" s="32"/>
      <c r="AI25" s="32"/>
      <c r="AJ25" s="32"/>
      <c r="AK25" s="32"/>
      <c r="AL25" s="32"/>
      <c r="AM25" s="32"/>
      <c r="AN25" s="32"/>
      <c r="AO25" s="32"/>
      <c r="AP25" s="32"/>
    </row>
    <row r="26" ht="17.25" customHeight="1">
      <c r="A26" s="70"/>
      <c r="B26" s="70"/>
      <c r="C26" s="64" t="s">
        <v>151</v>
      </c>
      <c r="D26" s="64" t="s">
        <v>152</v>
      </c>
      <c r="E26" s="64" t="s">
        <v>70</v>
      </c>
      <c r="F26" s="65" t="s">
        <v>31</v>
      </c>
      <c r="G26" s="65" t="s">
        <v>80</v>
      </c>
      <c r="H26" s="65" t="str">
        <f t="shared" si="2"/>
        <v>NOT_STARTED</v>
      </c>
      <c r="I26" s="65" t="s">
        <v>43</v>
      </c>
      <c r="J26" s="65" t="s">
        <v>72</v>
      </c>
      <c r="K26" s="65" t="s">
        <v>43</v>
      </c>
      <c r="L26" s="66" t="s">
        <v>153</v>
      </c>
      <c r="M26" s="66" t="s">
        <v>74</v>
      </c>
      <c r="N26" s="66"/>
      <c r="O26" s="66" t="s">
        <v>16</v>
      </c>
      <c r="P26" s="67"/>
      <c r="Q26" s="68" t="s">
        <v>154</v>
      </c>
      <c r="R26" s="68" t="s">
        <v>155</v>
      </c>
      <c r="S26" s="69" t="s">
        <v>150</v>
      </c>
      <c r="T26" s="32"/>
      <c r="U26" s="32"/>
      <c r="V26" s="32"/>
      <c r="W26" s="32"/>
      <c r="X26" s="32"/>
      <c r="Y26" s="32"/>
      <c r="Z26" s="32"/>
      <c r="AA26" s="32"/>
      <c r="AB26" s="32"/>
      <c r="AC26" s="32"/>
      <c r="AD26" s="32"/>
      <c r="AE26" s="32"/>
      <c r="AF26" s="32"/>
      <c r="AG26" s="32"/>
      <c r="AH26" s="32"/>
      <c r="AI26" s="32"/>
      <c r="AJ26" s="32"/>
      <c r="AK26" s="32"/>
      <c r="AL26" s="32"/>
      <c r="AM26" s="32"/>
      <c r="AN26" s="32"/>
      <c r="AO26" s="32"/>
      <c r="AP26" s="32"/>
    </row>
    <row r="27" ht="17.25" customHeight="1">
      <c r="A27" s="70"/>
      <c r="B27" s="70"/>
      <c r="C27" s="64" t="s">
        <v>156</v>
      </c>
      <c r="D27" s="64" t="s">
        <v>157</v>
      </c>
      <c r="E27" s="64" t="s">
        <v>70</v>
      </c>
      <c r="F27" s="65" t="s">
        <v>31</v>
      </c>
      <c r="G27" s="65" t="s">
        <v>80</v>
      </c>
      <c r="H27" s="65" t="str">
        <f t="shared" si="2"/>
        <v>NOT_STARTED</v>
      </c>
      <c r="I27" s="65" t="s">
        <v>43</v>
      </c>
      <c r="J27" s="65" t="s">
        <v>72</v>
      </c>
      <c r="K27" s="65" t="s">
        <v>43</v>
      </c>
      <c r="L27" s="66" t="s">
        <v>146</v>
      </c>
      <c r="M27" s="66" t="s">
        <v>74</v>
      </c>
      <c r="N27" s="66"/>
      <c r="O27" s="66" t="s">
        <v>16</v>
      </c>
      <c r="P27" s="67"/>
      <c r="Q27" s="68" t="s">
        <v>158</v>
      </c>
      <c r="R27" s="68" t="s">
        <v>159</v>
      </c>
      <c r="S27" s="69" t="s">
        <v>150</v>
      </c>
      <c r="T27" s="32"/>
      <c r="U27" s="32"/>
      <c r="V27" s="32"/>
      <c r="W27" s="32"/>
      <c r="X27" s="32"/>
      <c r="Y27" s="32"/>
      <c r="Z27" s="32"/>
      <c r="AA27" s="32"/>
      <c r="AB27" s="32"/>
      <c r="AC27" s="32"/>
      <c r="AD27" s="32"/>
      <c r="AE27" s="32"/>
      <c r="AF27" s="32"/>
      <c r="AG27" s="32"/>
      <c r="AH27" s="32"/>
      <c r="AI27" s="32"/>
      <c r="AJ27" s="32"/>
      <c r="AK27" s="32"/>
      <c r="AL27" s="32"/>
      <c r="AM27" s="32"/>
      <c r="AN27" s="32"/>
      <c r="AO27" s="32"/>
      <c r="AP27" s="32"/>
    </row>
    <row r="28" ht="17.25" customHeight="1">
      <c r="A28" s="70"/>
      <c r="B28" s="15"/>
      <c r="C28" s="64" t="s">
        <v>160</v>
      </c>
      <c r="D28" s="64" t="s">
        <v>161</v>
      </c>
      <c r="E28" s="64" t="s">
        <v>70</v>
      </c>
      <c r="F28" s="65" t="s">
        <v>31</v>
      </c>
      <c r="G28" s="65" t="s">
        <v>80</v>
      </c>
      <c r="H28" s="65" t="str">
        <f t="shared" si="2"/>
        <v>NOT_STARTED</v>
      </c>
      <c r="I28" s="65" t="s">
        <v>43</v>
      </c>
      <c r="J28" s="65" t="s">
        <v>72</v>
      </c>
      <c r="K28" s="65" t="s">
        <v>43</v>
      </c>
      <c r="L28" s="66" t="s">
        <v>153</v>
      </c>
      <c r="M28" s="66" t="s">
        <v>74</v>
      </c>
      <c r="N28" s="66"/>
      <c r="O28" s="66" t="s">
        <v>16</v>
      </c>
      <c r="P28" s="67" t="s">
        <v>162</v>
      </c>
      <c r="Q28" s="68" t="s">
        <v>163</v>
      </c>
      <c r="R28" s="68" t="s">
        <v>155</v>
      </c>
      <c r="S28" s="69" t="s">
        <v>150</v>
      </c>
      <c r="T28" s="32"/>
      <c r="U28" s="32"/>
      <c r="V28" s="32"/>
      <c r="W28" s="32"/>
      <c r="X28" s="32"/>
      <c r="Y28" s="32"/>
      <c r="Z28" s="32"/>
      <c r="AA28" s="32"/>
      <c r="AB28" s="32"/>
      <c r="AC28" s="32"/>
      <c r="AD28" s="32"/>
      <c r="AE28" s="32"/>
      <c r="AF28" s="32"/>
      <c r="AG28" s="32"/>
      <c r="AH28" s="32"/>
      <c r="AI28" s="32"/>
      <c r="AJ28" s="32"/>
      <c r="AK28" s="32"/>
      <c r="AL28" s="32"/>
      <c r="AM28" s="32"/>
      <c r="AN28" s="32"/>
      <c r="AO28" s="32"/>
      <c r="AP28" s="32"/>
    </row>
    <row r="29" ht="17.25" customHeight="1">
      <c r="A29" s="70"/>
      <c r="B29" s="82" t="s">
        <v>164</v>
      </c>
      <c r="C29" s="64" t="s">
        <v>165</v>
      </c>
      <c r="D29" s="64" t="s">
        <v>166</v>
      </c>
      <c r="E29" s="64" t="s">
        <v>70</v>
      </c>
      <c r="F29" s="65" t="s">
        <v>31</v>
      </c>
      <c r="G29" s="65" t="s">
        <v>80</v>
      </c>
      <c r="H29" s="65" t="str">
        <f t="shared" si="2"/>
        <v>NOT_STARTED</v>
      </c>
      <c r="I29" s="65" t="s">
        <v>43</v>
      </c>
      <c r="J29" s="65" t="s">
        <v>72</v>
      </c>
      <c r="K29" s="65" t="s">
        <v>43</v>
      </c>
      <c r="L29" s="66" t="s">
        <v>167</v>
      </c>
      <c r="M29" s="66" t="s">
        <v>74</v>
      </c>
      <c r="N29" s="66"/>
      <c r="O29" s="66" t="s">
        <v>16</v>
      </c>
      <c r="P29" s="67" t="s">
        <v>168</v>
      </c>
      <c r="Q29" s="68" t="s">
        <v>169</v>
      </c>
      <c r="R29" s="68" t="s">
        <v>170</v>
      </c>
      <c r="S29" s="69" t="s">
        <v>171</v>
      </c>
      <c r="T29" s="32"/>
      <c r="U29" s="32"/>
      <c r="V29" s="32"/>
      <c r="W29" s="32"/>
      <c r="X29" s="32"/>
      <c r="Y29" s="32"/>
      <c r="Z29" s="32"/>
      <c r="AA29" s="32"/>
      <c r="AB29" s="32"/>
      <c r="AC29" s="32"/>
      <c r="AD29" s="32"/>
      <c r="AE29" s="32"/>
      <c r="AF29" s="32"/>
      <c r="AG29" s="32"/>
      <c r="AH29" s="32"/>
      <c r="AI29" s="32"/>
      <c r="AJ29" s="32"/>
      <c r="AK29" s="32"/>
      <c r="AL29" s="32"/>
      <c r="AM29" s="32"/>
      <c r="AN29" s="32"/>
      <c r="AO29" s="32"/>
      <c r="AP29" s="32"/>
    </row>
    <row r="30" ht="17.25" customHeight="1">
      <c r="A30" s="70"/>
      <c r="B30" s="82" t="s">
        <v>137</v>
      </c>
      <c r="C30" s="64" t="s">
        <v>172</v>
      </c>
      <c r="D30" s="64" t="s">
        <v>173</v>
      </c>
      <c r="E30" s="73" t="s">
        <v>174</v>
      </c>
      <c r="F30" s="65" t="s">
        <v>33</v>
      </c>
      <c r="G30" s="65" t="s">
        <v>175</v>
      </c>
      <c r="H30" s="65" t="str">
        <f t="shared" si="2"/>
        <v>NOT_STARTED</v>
      </c>
      <c r="I30" s="65" t="s">
        <v>43</v>
      </c>
      <c r="J30" s="65" t="s">
        <v>72</v>
      </c>
      <c r="K30" s="65" t="s">
        <v>43</v>
      </c>
      <c r="L30" s="66" t="s">
        <v>146</v>
      </c>
      <c r="M30" s="66" t="s">
        <v>74</v>
      </c>
      <c r="N30" s="66"/>
      <c r="O30" s="66" t="s">
        <v>16</v>
      </c>
      <c r="P30" s="67"/>
      <c r="Q30" s="68" t="s">
        <v>176</v>
      </c>
      <c r="R30" s="68" t="s">
        <v>177</v>
      </c>
      <c r="S30" s="69" t="s">
        <v>150</v>
      </c>
      <c r="T30" s="32"/>
      <c r="U30" s="32"/>
      <c r="V30" s="32"/>
      <c r="W30" s="32"/>
      <c r="X30" s="32"/>
      <c r="Y30" s="32"/>
      <c r="Z30" s="32"/>
      <c r="AA30" s="32"/>
      <c r="AB30" s="32"/>
      <c r="AC30" s="32"/>
      <c r="AD30" s="32"/>
      <c r="AE30" s="32"/>
      <c r="AF30" s="32"/>
      <c r="AG30" s="32"/>
      <c r="AH30" s="32"/>
      <c r="AI30" s="32"/>
      <c r="AJ30" s="32"/>
      <c r="AK30" s="32"/>
      <c r="AL30" s="32"/>
      <c r="AM30" s="32"/>
      <c r="AN30" s="32"/>
      <c r="AO30" s="32"/>
      <c r="AP30" s="32"/>
    </row>
    <row r="31" ht="17.25" customHeight="1">
      <c r="A31" s="70"/>
      <c r="B31" s="83" t="s">
        <v>178</v>
      </c>
      <c r="C31" s="81" t="s">
        <v>179</v>
      </c>
      <c r="D31" s="81" t="s">
        <v>180</v>
      </c>
      <c r="E31" s="81" t="s">
        <v>70</v>
      </c>
      <c r="F31" s="65" t="s">
        <v>32</v>
      </c>
      <c r="G31" s="65" t="s">
        <v>80</v>
      </c>
      <c r="H31" s="65" t="str">
        <f t="shared" si="2"/>
        <v>NOT_STARTED</v>
      </c>
      <c r="I31" s="65" t="s">
        <v>43</v>
      </c>
      <c r="J31" s="65" t="s">
        <v>72</v>
      </c>
      <c r="K31" s="65" t="s">
        <v>43</v>
      </c>
      <c r="L31" s="84" t="s">
        <v>181</v>
      </c>
      <c r="M31" s="84" t="s">
        <v>74</v>
      </c>
      <c r="N31" s="85"/>
      <c r="O31" s="84" t="s">
        <v>16</v>
      </c>
      <c r="P31" s="81" t="s">
        <v>182</v>
      </c>
      <c r="Q31" s="86" t="s">
        <v>183</v>
      </c>
      <c r="R31" s="86" t="s">
        <v>184</v>
      </c>
      <c r="S31" s="69" t="s">
        <v>150</v>
      </c>
      <c r="T31" s="4"/>
      <c r="U31" s="4"/>
      <c r="V31" s="4"/>
      <c r="W31" s="4"/>
      <c r="X31" s="4"/>
      <c r="Y31" s="4"/>
      <c r="Z31" s="4"/>
      <c r="AA31" s="4"/>
      <c r="AB31" s="4"/>
      <c r="AC31" s="4"/>
      <c r="AD31" s="4"/>
      <c r="AE31" s="4"/>
      <c r="AF31" s="4"/>
      <c r="AG31" s="4"/>
      <c r="AH31" s="4"/>
      <c r="AI31" s="4"/>
      <c r="AJ31" s="4"/>
      <c r="AK31" s="4"/>
      <c r="AL31" s="4"/>
      <c r="AM31" s="4"/>
      <c r="AN31" s="4"/>
      <c r="AO31" s="4"/>
      <c r="AP31" s="4"/>
    </row>
    <row r="32" ht="17.25" customHeight="1">
      <c r="A32" s="15"/>
      <c r="B32" s="15"/>
      <c r="C32" s="81" t="s">
        <v>185</v>
      </c>
      <c r="D32" s="81" t="s">
        <v>186</v>
      </c>
      <c r="E32" s="81" t="s">
        <v>70</v>
      </c>
      <c r="F32" s="65" t="s">
        <v>32</v>
      </c>
      <c r="G32" s="87" t="s">
        <v>80</v>
      </c>
      <c r="H32" s="65" t="str">
        <f t="shared" si="2"/>
        <v>NOT_STARTED</v>
      </c>
      <c r="I32" s="65" t="s">
        <v>43</v>
      </c>
      <c r="J32" s="65" t="s">
        <v>72</v>
      </c>
      <c r="K32" s="65" t="s">
        <v>43</v>
      </c>
      <c r="L32" s="84" t="s">
        <v>181</v>
      </c>
      <c r="M32" s="84" t="s">
        <v>74</v>
      </c>
      <c r="N32" s="85"/>
      <c r="O32" s="84" t="s">
        <v>16</v>
      </c>
      <c r="P32" s="81" t="s">
        <v>187</v>
      </c>
      <c r="Q32" s="86" t="s">
        <v>188</v>
      </c>
      <c r="R32" s="86" t="s">
        <v>189</v>
      </c>
      <c r="S32" s="69" t="s">
        <v>150</v>
      </c>
      <c r="T32" s="4"/>
      <c r="U32" s="4"/>
      <c r="V32" s="4"/>
      <c r="W32" s="4"/>
      <c r="X32" s="4"/>
      <c r="Y32" s="4"/>
      <c r="Z32" s="4"/>
      <c r="AA32" s="4"/>
      <c r="AB32" s="4"/>
      <c r="AC32" s="4"/>
      <c r="AD32" s="4"/>
      <c r="AE32" s="4"/>
      <c r="AF32" s="4"/>
      <c r="AG32" s="4"/>
      <c r="AH32" s="4"/>
      <c r="AI32" s="4"/>
      <c r="AJ32" s="4"/>
      <c r="AK32" s="4"/>
      <c r="AL32" s="4"/>
      <c r="AM32" s="4"/>
      <c r="AN32" s="4"/>
      <c r="AO32" s="4"/>
      <c r="AP32" s="4"/>
    </row>
    <row r="33" ht="17.25" customHeight="1">
      <c r="A33" s="62" t="s">
        <v>190</v>
      </c>
      <c r="B33" s="63" t="s">
        <v>191</v>
      </c>
      <c r="C33" s="64" t="s">
        <v>192</v>
      </c>
      <c r="D33" s="64" t="s">
        <v>193</v>
      </c>
      <c r="E33" s="64" t="s">
        <v>70</v>
      </c>
      <c r="F33" s="65" t="s">
        <v>31</v>
      </c>
      <c r="G33" s="65" t="s">
        <v>80</v>
      </c>
      <c r="H33" s="65" t="str">
        <f t="shared" si="2"/>
        <v>NOT_STARTED</v>
      </c>
      <c r="I33" s="65" t="s">
        <v>43</v>
      </c>
      <c r="J33" s="65" t="s">
        <v>72</v>
      </c>
      <c r="K33" s="65" t="s">
        <v>43</v>
      </c>
      <c r="L33" s="66" t="s">
        <v>194</v>
      </c>
      <c r="M33" s="66" t="s">
        <v>74</v>
      </c>
      <c r="N33" s="66"/>
      <c r="O33" s="66" t="s">
        <v>16</v>
      </c>
      <c r="P33" s="67"/>
      <c r="Q33" s="68" t="s">
        <v>195</v>
      </c>
      <c r="R33" s="68" t="s">
        <v>196</v>
      </c>
      <c r="S33" s="69" t="s">
        <v>197</v>
      </c>
      <c r="T33" s="32"/>
      <c r="U33" s="32"/>
      <c r="V33" s="32"/>
      <c r="W33" s="32"/>
      <c r="X33" s="32"/>
      <c r="Y33" s="32"/>
      <c r="Z33" s="32"/>
      <c r="AA33" s="32"/>
      <c r="AB33" s="32"/>
      <c r="AC33" s="32"/>
      <c r="AD33" s="32"/>
      <c r="AE33" s="32"/>
      <c r="AF33" s="32"/>
      <c r="AG33" s="32"/>
      <c r="AH33" s="32"/>
      <c r="AI33" s="32"/>
      <c r="AJ33" s="32"/>
      <c r="AK33" s="32"/>
      <c r="AL33" s="32"/>
      <c r="AM33" s="32"/>
      <c r="AN33" s="32"/>
      <c r="AO33" s="32"/>
      <c r="AP33" s="32"/>
    </row>
    <row r="34" ht="17.25" customHeight="1">
      <c r="A34" s="70"/>
      <c r="B34" s="70"/>
      <c r="C34" s="64" t="s">
        <v>198</v>
      </c>
      <c r="D34" s="64" t="s">
        <v>199</v>
      </c>
      <c r="E34" s="64" t="s">
        <v>70</v>
      </c>
      <c r="F34" s="65" t="s">
        <v>31</v>
      </c>
      <c r="G34" s="65" t="s">
        <v>80</v>
      </c>
      <c r="H34" s="65" t="str">
        <f t="shared" si="2"/>
        <v>NOT_STARTED</v>
      </c>
      <c r="I34" s="65" t="s">
        <v>43</v>
      </c>
      <c r="J34" s="65" t="s">
        <v>72</v>
      </c>
      <c r="K34" s="65" t="s">
        <v>43</v>
      </c>
      <c r="L34" s="66" t="s">
        <v>200</v>
      </c>
      <c r="M34" s="66" t="s">
        <v>74</v>
      </c>
      <c r="N34" s="66"/>
      <c r="O34" s="66" t="s">
        <v>16</v>
      </c>
      <c r="P34" s="67"/>
      <c r="Q34" s="68" t="s">
        <v>201</v>
      </c>
      <c r="R34" s="68" t="s">
        <v>202</v>
      </c>
      <c r="S34" s="69" t="s">
        <v>197</v>
      </c>
      <c r="T34" s="32"/>
      <c r="U34" s="32"/>
      <c r="V34" s="32"/>
      <c r="W34" s="32"/>
      <c r="X34" s="32"/>
      <c r="Y34" s="32"/>
      <c r="Z34" s="32"/>
      <c r="AA34" s="32"/>
      <c r="AB34" s="32"/>
      <c r="AC34" s="32"/>
      <c r="AD34" s="32"/>
      <c r="AE34" s="32"/>
      <c r="AF34" s="32"/>
      <c r="AG34" s="32"/>
      <c r="AH34" s="32"/>
      <c r="AI34" s="32"/>
      <c r="AJ34" s="32"/>
      <c r="AK34" s="32"/>
      <c r="AL34" s="32"/>
      <c r="AM34" s="32"/>
      <c r="AN34" s="32"/>
      <c r="AO34" s="32"/>
      <c r="AP34" s="32"/>
    </row>
    <row r="35" ht="17.25" customHeight="1">
      <c r="A35" s="70"/>
      <c r="B35" s="70"/>
      <c r="C35" s="64" t="s">
        <v>203</v>
      </c>
      <c r="D35" s="64" t="s">
        <v>204</v>
      </c>
      <c r="E35" s="64" t="s">
        <v>70</v>
      </c>
      <c r="F35" s="65" t="s">
        <v>31</v>
      </c>
      <c r="G35" s="65" t="s">
        <v>71</v>
      </c>
      <c r="H35" s="65" t="str">
        <f t="shared" si="2"/>
        <v>NOT_STARTED</v>
      </c>
      <c r="I35" s="65" t="s">
        <v>43</v>
      </c>
      <c r="J35" s="65" t="s">
        <v>72</v>
      </c>
      <c r="K35" s="65" t="s">
        <v>43</v>
      </c>
      <c r="L35" s="66" t="s">
        <v>205</v>
      </c>
      <c r="M35" s="66" t="s">
        <v>74</v>
      </c>
      <c r="N35" s="66"/>
      <c r="O35" s="66" t="s">
        <v>16</v>
      </c>
      <c r="P35" s="67"/>
      <c r="Q35" s="68" t="s">
        <v>206</v>
      </c>
      <c r="R35" s="68" t="s">
        <v>207</v>
      </c>
      <c r="S35" s="69" t="s">
        <v>197</v>
      </c>
      <c r="T35" s="32"/>
      <c r="U35" s="32"/>
      <c r="V35" s="32"/>
      <c r="W35" s="32"/>
      <c r="X35" s="32"/>
      <c r="Y35" s="32"/>
      <c r="Z35" s="32"/>
      <c r="AA35" s="32"/>
      <c r="AB35" s="32"/>
      <c r="AC35" s="32"/>
      <c r="AD35" s="32"/>
      <c r="AE35" s="32"/>
      <c r="AF35" s="32"/>
      <c r="AG35" s="32"/>
      <c r="AH35" s="32"/>
      <c r="AI35" s="32"/>
      <c r="AJ35" s="32"/>
      <c r="AK35" s="32"/>
      <c r="AL35" s="32"/>
      <c r="AM35" s="32"/>
      <c r="AN35" s="32"/>
      <c r="AO35" s="32"/>
      <c r="AP35" s="32"/>
    </row>
    <row r="36" ht="17.25" customHeight="1">
      <c r="A36" s="70"/>
      <c r="B36" s="70"/>
      <c r="C36" s="64" t="s">
        <v>208</v>
      </c>
      <c r="D36" s="64" t="s">
        <v>209</v>
      </c>
      <c r="E36" s="64" t="s">
        <v>70</v>
      </c>
      <c r="F36" s="65" t="s">
        <v>31</v>
      </c>
      <c r="G36" s="65" t="s">
        <v>80</v>
      </c>
      <c r="H36" s="65" t="str">
        <f t="shared" si="2"/>
        <v>NOT_STARTED</v>
      </c>
      <c r="I36" s="65" t="s">
        <v>43</v>
      </c>
      <c r="J36" s="65" t="s">
        <v>72</v>
      </c>
      <c r="K36" s="65" t="s">
        <v>43</v>
      </c>
      <c r="L36" s="66" t="s">
        <v>210</v>
      </c>
      <c r="M36" s="66" t="s">
        <v>74</v>
      </c>
      <c r="N36" s="66"/>
      <c r="O36" s="66" t="s">
        <v>16</v>
      </c>
      <c r="P36" s="67"/>
      <c r="Q36" s="68" t="s">
        <v>211</v>
      </c>
      <c r="R36" s="68" t="s">
        <v>212</v>
      </c>
      <c r="S36" s="69" t="s">
        <v>197</v>
      </c>
      <c r="T36" s="32"/>
      <c r="U36" s="32"/>
      <c r="V36" s="32"/>
      <c r="W36" s="32"/>
      <c r="X36" s="32"/>
      <c r="Y36" s="32"/>
      <c r="Z36" s="32"/>
      <c r="AA36" s="32"/>
      <c r="AB36" s="32"/>
      <c r="AC36" s="32"/>
      <c r="AD36" s="32"/>
      <c r="AE36" s="32"/>
      <c r="AF36" s="32"/>
      <c r="AG36" s="32"/>
      <c r="AH36" s="32"/>
      <c r="AI36" s="32"/>
      <c r="AJ36" s="32"/>
      <c r="AK36" s="32"/>
      <c r="AL36" s="32"/>
      <c r="AM36" s="32"/>
      <c r="AN36" s="32"/>
      <c r="AO36" s="32"/>
      <c r="AP36" s="32"/>
    </row>
    <row r="37" ht="17.25" customHeight="1">
      <c r="A37" s="70"/>
      <c r="B37" s="70"/>
      <c r="C37" s="64" t="s">
        <v>213</v>
      </c>
      <c r="D37" s="64" t="s">
        <v>214</v>
      </c>
      <c r="E37" s="64" t="s">
        <v>70</v>
      </c>
      <c r="F37" s="65" t="s">
        <v>31</v>
      </c>
      <c r="G37" s="65" t="s">
        <v>71</v>
      </c>
      <c r="H37" s="65" t="str">
        <f t="shared" si="2"/>
        <v>NOT_STARTED</v>
      </c>
      <c r="I37" s="65" t="s">
        <v>43</v>
      </c>
      <c r="J37" s="65" t="s">
        <v>72</v>
      </c>
      <c r="K37" s="65" t="s">
        <v>43</v>
      </c>
      <c r="L37" s="66" t="s">
        <v>215</v>
      </c>
      <c r="M37" s="66" t="s">
        <v>74</v>
      </c>
      <c r="N37" s="66"/>
      <c r="O37" s="66" t="s">
        <v>16</v>
      </c>
      <c r="P37" s="67"/>
      <c r="Q37" s="68" t="s">
        <v>216</v>
      </c>
      <c r="R37" s="68" t="s">
        <v>217</v>
      </c>
      <c r="S37" s="69" t="s">
        <v>218</v>
      </c>
      <c r="T37" s="32"/>
      <c r="U37" s="32"/>
      <c r="V37" s="32"/>
      <c r="W37" s="32"/>
      <c r="X37" s="32"/>
      <c r="Y37" s="32"/>
      <c r="Z37" s="32"/>
      <c r="AA37" s="32"/>
      <c r="AB37" s="32"/>
      <c r="AC37" s="32"/>
      <c r="AD37" s="32"/>
      <c r="AE37" s="32"/>
      <c r="AF37" s="32"/>
      <c r="AG37" s="32"/>
      <c r="AH37" s="32"/>
      <c r="AI37" s="32"/>
      <c r="AJ37" s="32"/>
      <c r="AK37" s="32"/>
      <c r="AL37" s="32"/>
      <c r="AM37" s="32"/>
      <c r="AN37" s="32"/>
      <c r="AO37" s="32"/>
      <c r="AP37" s="32"/>
    </row>
    <row r="38" ht="17.25" customHeight="1">
      <c r="A38" s="70"/>
      <c r="B38" s="70"/>
      <c r="C38" s="64" t="s">
        <v>219</v>
      </c>
      <c r="D38" s="64" t="s">
        <v>220</v>
      </c>
      <c r="E38" s="64" t="s">
        <v>100</v>
      </c>
      <c r="F38" s="65" t="s">
        <v>31</v>
      </c>
      <c r="G38" s="65" t="s">
        <v>80</v>
      </c>
      <c r="H38" s="65" t="str">
        <f t="shared" si="2"/>
        <v>NOT_STARTED</v>
      </c>
      <c r="I38" s="65" t="s">
        <v>43</v>
      </c>
      <c r="J38" s="65" t="s">
        <v>72</v>
      </c>
      <c r="K38" s="65" t="s">
        <v>43</v>
      </c>
      <c r="L38" s="66" t="s">
        <v>221</v>
      </c>
      <c r="M38" s="66" t="s">
        <v>74</v>
      </c>
      <c r="N38" s="66"/>
      <c r="O38" s="66" t="s">
        <v>16</v>
      </c>
      <c r="P38" s="67"/>
      <c r="Q38" s="68" t="s">
        <v>222</v>
      </c>
      <c r="R38" s="68" t="s">
        <v>223</v>
      </c>
      <c r="S38" s="69" t="s">
        <v>218</v>
      </c>
      <c r="T38" s="32"/>
      <c r="U38" s="32"/>
      <c r="V38" s="32"/>
      <c r="W38" s="32"/>
      <c r="X38" s="32"/>
      <c r="Y38" s="32"/>
      <c r="Z38" s="32"/>
      <c r="AA38" s="32"/>
      <c r="AB38" s="32"/>
      <c r="AC38" s="32"/>
      <c r="AD38" s="32"/>
      <c r="AE38" s="32"/>
      <c r="AF38" s="32"/>
      <c r="AG38" s="32"/>
      <c r="AH38" s="32"/>
      <c r="AI38" s="32"/>
      <c r="AJ38" s="32"/>
      <c r="AK38" s="32"/>
      <c r="AL38" s="32"/>
      <c r="AM38" s="32"/>
      <c r="AN38" s="32"/>
      <c r="AO38" s="32"/>
      <c r="AP38" s="32"/>
    </row>
    <row r="39" ht="17.25" customHeight="1">
      <c r="A39" s="70"/>
      <c r="B39" s="70"/>
      <c r="C39" s="64" t="s">
        <v>224</v>
      </c>
      <c r="D39" s="64" t="s">
        <v>225</v>
      </c>
      <c r="E39" s="64" t="s">
        <v>70</v>
      </c>
      <c r="F39" s="65" t="s">
        <v>32</v>
      </c>
      <c r="G39" s="65" t="s">
        <v>80</v>
      </c>
      <c r="H39" s="65" t="str">
        <f t="shared" si="2"/>
        <v>NOT_STARTED</v>
      </c>
      <c r="I39" s="65" t="s">
        <v>43</v>
      </c>
      <c r="J39" s="65" t="s">
        <v>72</v>
      </c>
      <c r="K39" s="65" t="s">
        <v>43</v>
      </c>
      <c r="L39" s="66" t="s">
        <v>200</v>
      </c>
      <c r="M39" s="66" t="s">
        <v>74</v>
      </c>
      <c r="N39" s="66"/>
      <c r="O39" s="66" t="s">
        <v>16</v>
      </c>
      <c r="P39" s="67"/>
      <c r="Q39" s="68" t="s">
        <v>226</v>
      </c>
      <c r="R39" s="68" t="s">
        <v>227</v>
      </c>
      <c r="S39" s="69" t="s">
        <v>197</v>
      </c>
      <c r="T39" s="32"/>
      <c r="U39" s="32"/>
      <c r="V39" s="32"/>
      <c r="W39" s="32"/>
      <c r="X39" s="32"/>
      <c r="Y39" s="32"/>
      <c r="Z39" s="32"/>
      <c r="AA39" s="32"/>
      <c r="AB39" s="32"/>
      <c r="AC39" s="32"/>
      <c r="AD39" s="32"/>
      <c r="AE39" s="32"/>
      <c r="AF39" s="32"/>
      <c r="AG39" s="32"/>
      <c r="AH39" s="32"/>
      <c r="AI39" s="32"/>
      <c r="AJ39" s="32"/>
      <c r="AK39" s="32"/>
      <c r="AL39" s="32"/>
      <c r="AM39" s="32"/>
      <c r="AN39" s="32"/>
      <c r="AO39" s="32"/>
      <c r="AP39" s="32"/>
    </row>
    <row r="40" ht="17.25" customHeight="1">
      <c r="A40" s="70"/>
      <c r="B40" s="70"/>
      <c r="C40" s="64" t="s">
        <v>228</v>
      </c>
      <c r="D40" s="64" t="s">
        <v>229</v>
      </c>
      <c r="E40" s="64" t="s">
        <v>70</v>
      </c>
      <c r="F40" s="65" t="s">
        <v>32</v>
      </c>
      <c r="G40" s="65" t="s">
        <v>80</v>
      </c>
      <c r="H40" s="65" t="str">
        <f t="shared" si="2"/>
        <v>NOT_STARTED</v>
      </c>
      <c r="I40" s="65" t="s">
        <v>43</v>
      </c>
      <c r="J40" s="65" t="s">
        <v>72</v>
      </c>
      <c r="K40" s="65" t="s">
        <v>43</v>
      </c>
      <c r="L40" s="66" t="s">
        <v>205</v>
      </c>
      <c r="M40" s="66" t="s">
        <v>74</v>
      </c>
      <c r="N40" s="66"/>
      <c r="O40" s="66" t="s">
        <v>16</v>
      </c>
      <c r="P40" s="67"/>
      <c r="Q40" s="68" t="s">
        <v>230</v>
      </c>
      <c r="R40" s="68" t="s">
        <v>231</v>
      </c>
      <c r="S40" s="69" t="s">
        <v>197</v>
      </c>
      <c r="T40" s="32"/>
      <c r="U40" s="32"/>
      <c r="V40" s="32"/>
      <c r="W40" s="32"/>
      <c r="X40" s="32"/>
      <c r="Y40" s="32"/>
      <c r="Z40" s="32"/>
      <c r="AA40" s="32"/>
      <c r="AB40" s="32"/>
      <c r="AC40" s="32"/>
      <c r="AD40" s="32"/>
      <c r="AE40" s="32"/>
      <c r="AF40" s="32"/>
      <c r="AG40" s="32"/>
      <c r="AH40" s="32"/>
      <c r="AI40" s="32"/>
      <c r="AJ40" s="32"/>
      <c r="AK40" s="32"/>
      <c r="AL40" s="32"/>
      <c r="AM40" s="32"/>
      <c r="AN40" s="32"/>
      <c r="AO40" s="32"/>
      <c r="AP40" s="32"/>
    </row>
    <row r="41" ht="17.25" customHeight="1">
      <c r="A41" s="70"/>
      <c r="B41" s="70"/>
      <c r="C41" s="64" t="s">
        <v>232</v>
      </c>
      <c r="D41" s="64" t="s">
        <v>233</v>
      </c>
      <c r="E41" s="64" t="s">
        <v>70</v>
      </c>
      <c r="F41" s="65" t="s">
        <v>32</v>
      </c>
      <c r="G41" s="65" t="s">
        <v>80</v>
      </c>
      <c r="H41" s="65" t="str">
        <f t="shared" si="2"/>
        <v>NOT_STARTED</v>
      </c>
      <c r="I41" s="65" t="s">
        <v>43</v>
      </c>
      <c r="J41" s="65" t="s">
        <v>72</v>
      </c>
      <c r="K41" s="65" t="s">
        <v>43</v>
      </c>
      <c r="L41" s="66" t="s">
        <v>200</v>
      </c>
      <c r="M41" s="66" t="s">
        <v>74</v>
      </c>
      <c r="N41" s="66"/>
      <c r="O41" s="66" t="s">
        <v>16</v>
      </c>
      <c r="P41" s="67"/>
      <c r="Q41" s="68" t="s">
        <v>234</v>
      </c>
      <c r="R41" s="68" t="s">
        <v>235</v>
      </c>
      <c r="S41" s="69" t="s">
        <v>197</v>
      </c>
      <c r="T41" s="32"/>
      <c r="U41" s="32"/>
      <c r="V41" s="32"/>
      <c r="W41" s="32"/>
      <c r="X41" s="32"/>
      <c r="Y41" s="32"/>
      <c r="Z41" s="32"/>
      <c r="AA41" s="32"/>
      <c r="AB41" s="32"/>
      <c r="AC41" s="32"/>
      <c r="AD41" s="32"/>
      <c r="AE41" s="32"/>
      <c r="AF41" s="32"/>
      <c r="AG41" s="32"/>
      <c r="AH41" s="32"/>
      <c r="AI41" s="32"/>
      <c r="AJ41" s="32"/>
      <c r="AK41" s="32"/>
      <c r="AL41" s="32"/>
      <c r="AM41" s="32"/>
      <c r="AN41" s="32"/>
      <c r="AO41" s="32"/>
      <c r="AP41" s="32"/>
    </row>
    <row r="42" ht="17.25" customHeight="1">
      <c r="A42" s="70"/>
      <c r="B42" s="15"/>
      <c r="C42" s="64" t="s">
        <v>236</v>
      </c>
      <c r="D42" s="64" t="s">
        <v>237</v>
      </c>
      <c r="E42" s="64" t="s">
        <v>70</v>
      </c>
      <c r="F42" s="65" t="s">
        <v>32</v>
      </c>
      <c r="G42" s="65" t="s">
        <v>80</v>
      </c>
      <c r="H42" s="65" t="str">
        <f t="shared" si="2"/>
        <v>NOT_STARTED</v>
      </c>
      <c r="I42" s="65" t="s">
        <v>43</v>
      </c>
      <c r="J42" s="65" t="s">
        <v>72</v>
      </c>
      <c r="K42" s="65" t="s">
        <v>43</v>
      </c>
      <c r="L42" s="66" t="s">
        <v>205</v>
      </c>
      <c r="M42" s="66" t="s">
        <v>74</v>
      </c>
      <c r="N42" s="66"/>
      <c r="O42" s="66" t="s">
        <v>16</v>
      </c>
      <c r="P42" s="67"/>
      <c r="Q42" s="68" t="s">
        <v>238</v>
      </c>
      <c r="R42" s="68" t="s">
        <v>207</v>
      </c>
      <c r="S42" s="69" t="s">
        <v>197</v>
      </c>
      <c r="T42" s="32"/>
      <c r="U42" s="32"/>
      <c r="V42" s="32"/>
      <c r="W42" s="32"/>
      <c r="X42" s="32"/>
      <c r="Y42" s="32"/>
      <c r="Z42" s="32"/>
      <c r="AA42" s="32"/>
      <c r="AB42" s="32"/>
      <c r="AC42" s="32"/>
      <c r="AD42" s="32"/>
      <c r="AE42" s="32"/>
      <c r="AF42" s="32"/>
      <c r="AG42" s="32"/>
      <c r="AH42" s="32"/>
      <c r="AI42" s="32"/>
      <c r="AJ42" s="32"/>
      <c r="AK42" s="32"/>
      <c r="AL42" s="32"/>
      <c r="AM42" s="32"/>
      <c r="AN42" s="32"/>
      <c r="AO42" s="32"/>
      <c r="AP42" s="32"/>
    </row>
    <row r="43" ht="17.25" customHeight="1">
      <c r="A43" s="70"/>
      <c r="B43" s="88" t="s">
        <v>239</v>
      </c>
      <c r="C43" s="73" t="s">
        <v>240</v>
      </c>
      <c r="D43" s="73" t="s">
        <v>241</v>
      </c>
      <c r="E43" s="64" t="s">
        <v>70</v>
      </c>
      <c r="F43" s="74" t="s">
        <v>31</v>
      </c>
      <c r="G43" s="74" t="s">
        <v>71</v>
      </c>
      <c r="H43" s="65" t="str">
        <f t="shared" si="2"/>
        <v>NOT_STARTED</v>
      </c>
      <c r="I43" s="65" t="s">
        <v>43</v>
      </c>
      <c r="J43" s="65" t="s">
        <v>72</v>
      </c>
      <c r="K43" s="65" t="s">
        <v>43</v>
      </c>
      <c r="L43" s="76" t="s">
        <v>242</v>
      </c>
      <c r="M43" s="66" t="s">
        <v>74</v>
      </c>
      <c r="N43" s="66"/>
      <c r="O43" s="66" t="s">
        <v>16</v>
      </c>
      <c r="P43" s="89" t="s">
        <v>243</v>
      </c>
      <c r="Q43" s="78" t="s">
        <v>244</v>
      </c>
      <c r="R43" s="78" t="s">
        <v>245</v>
      </c>
      <c r="S43" s="90" t="s">
        <v>246</v>
      </c>
      <c r="T43" s="32"/>
      <c r="U43" s="32"/>
      <c r="V43" s="32"/>
      <c r="W43" s="32"/>
      <c r="X43" s="32"/>
      <c r="Y43" s="32"/>
      <c r="Z43" s="32"/>
      <c r="AA43" s="32"/>
      <c r="AB43" s="32"/>
      <c r="AC43" s="32"/>
      <c r="AD43" s="32"/>
      <c r="AE43" s="32"/>
      <c r="AF43" s="32"/>
      <c r="AG43" s="32"/>
      <c r="AH43" s="32"/>
      <c r="AI43" s="32"/>
      <c r="AJ43" s="32"/>
      <c r="AK43" s="32"/>
      <c r="AL43" s="32"/>
      <c r="AM43" s="32"/>
      <c r="AN43" s="32"/>
      <c r="AO43" s="32"/>
      <c r="AP43" s="32"/>
    </row>
    <row r="44" ht="17.25" customHeight="1">
      <c r="A44" s="70"/>
      <c r="B44" s="70"/>
      <c r="C44" s="73" t="s">
        <v>247</v>
      </c>
      <c r="D44" s="64" t="s">
        <v>237</v>
      </c>
      <c r="E44" s="64" t="s">
        <v>70</v>
      </c>
      <c r="F44" s="74" t="s">
        <v>31</v>
      </c>
      <c r="G44" s="74" t="s">
        <v>71</v>
      </c>
      <c r="H44" s="65" t="str">
        <f t="shared" si="2"/>
        <v>NOT_STARTED</v>
      </c>
      <c r="I44" s="65" t="s">
        <v>43</v>
      </c>
      <c r="J44" s="65" t="s">
        <v>72</v>
      </c>
      <c r="K44" s="65" t="s">
        <v>43</v>
      </c>
      <c r="L44" s="76" t="s">
        <v>248</v>
      </c>
      <c r="M44" s="66" t="s">
        <v>74</v>
      </c>
      <c r="N44" s="66"/>
      <c r="O44" s="66" t="s">
        <v>16</v>
      </c>
      <c r="P44" s="77" t="s">
        <v>249</v>
      </c>
      <c r="Q44" s="78" t="s">
        <v>250</v>
      </c>
      <c r="R44" s="78" t="s">
        <v>251</v>
      </c>
      <c r="S44" s="90" t="s">
        <v>246</v>
      </c>
      <c r="T44" s="32"/>
      <c r="U44" s="32"/>
      <c r="V44" s="32"/>
      <c r="W44" s="32"/>
      <c r="X44" s="32"/>
      <c r="Y44" s="32"/>
      <c r="Z44" s="32"/>
      <c r="AA44" s="32"/>
      <c r="AB44" s="32"/>
      <c r="AC44" s="32"/>
      <c r="AD44" s="32"/>
      <c r="AE44" s="32"/>
      <c r="AF44" s="32"/>
      <c r="AG44" s="32"/>
      <c r="AH44" s="32"/>
      <c r="AI44" s="32"/>
      <c r="AJ44" s="32"/>
      <c r="AK44" s="32"/>
      <c r="AL44" s="32"/>
      <c r="AM44" s="32"/>
      <c r="AN44" s="32"/>
      <c r="AO44" s="32"/>
      <c r="AP44" s="32"/>
    </row>
    <row r="45" ht="17.25" customHeight="1">
      <c r="A45" s="15"/>
      <c r="B45" s="15"/>
      <c r="C45" s="73" t="s">
        <v>252</v>
      </c>
      <c r="D45" s="64" t="s">
        <v>237</v>
      </c>
      <c r="E45" s="64" t="s">
        <v>70</v>
      </c>
      <c r="F45" s="74" t="s">
        <v>31</v>
      </c>
      <c r="G45" s="65" t="s">
        <v>80</v>
      </c>
      <c r="H45" s="65" t="str">
        <f t="shared" si="2"/>
        <v>NOT_STARTED</v>
      </c>
      <c r="I45" s="65" t="s">
        <v>43</v>
      </c>
      <c r="J45" s="65" t="s">
        <v>72</v>
      </c>
      <c r="K45" s="65" t="s">
        <v>43</v>
      </c>
      <c r="L45" s="76" t="s">
        <v>253</v>
      </c>
      <c r="M45" s="66" t="s">
        <v>74</v>
      </c>
      <c r="N45" s="66"/>
      <c r="O45" s="66" t="s">
        <v>16</v>
      </c>
      <c r="P45" s="77" t="s">
        <v>254</v>
      </c>
      <c r="Q45" s="78" t="s">
        <v>255</v>
      </c>
      <c r="R45" s="78" t="s">
        <v>256</v>
      </c>
      <c r="S45" s="90" t="s">
        <v>246</v>
      </c>
      <c r="T45" s="32"/>
      <c r="U45" s="32"/>
      <c r="V45" s="32"/>
      <c r="W45" s="32"/>
      <c r="X45" s="32"/>
      <c r="Y45" s="32"/>
      <c r="Z45" s="32"/>
      <c r="AA45" s="32"/>
      <c r="AB45" s="32"/>
      <c r="AC45" s="32"/>
      <c r="AD45" s="32"/>
      <c r="AE45" s="32"/>
      <c r="AF45" s="32"/>
      <c r="AG45" s="32"/>
      <c r="AH45" s="32"/>
      <c r="AI45" s="32"/>
      <c r="AJ45" s="32"/>
      <c r="AK45" s="32"/>
      <c r="AL45" s="32"/>
      <c r="AM45" s="32"/>
      <c r="AN45" s="32"/>
      <c r="AO45" s="32"/>
      <c r="AP45" s="32"/>
    </row>
    <row r="46" ht="17.25" customHeight="1">
      <c r="A46" s="62" t="s">
        <v>257</v>
      </c>
      <c r="B46" s="63" t="s">
        <v>258</v>
      </c>
      <c r="C46" s="64" t="s">
        <v>259</v>
      </c>
      <c r="D46" s="64" t="s">
        <v>260</v>
      </c>
      <c r="E46" s="64" t="s">
        <v>70</v>
      </c>
      <c r="F46" s="65" t="s">
        <v>31</v>
      </c>
      <c r="G46" s="65" t="s">
        <v>71</v>
      </c>
      <c r="H46" s="65" t="str">
        <f t="shared" si="2"/>
        <v>NOT_STARTED</v>
      </c>
      <c r="I46" s="65" t="s">
        <v>43</v>
      </c>
      <c r="J46" s="65" t="s">
        <v>72</v>
      </c>
      <c r="K46" s="65" t="s">
        <v>43</v>
      </c>
      <c r="L46" s="66" t="s">
        <v>261</v>
      </c>
      <c r="M46" s="66" t="s">
        <v>74</v>
      </c>
      <c r="N46" s="66"/>
      <c r="O46" s="66" t="s">
        <v>16</v>
      </c>
      <c r="P46" s="67"/>
      <c r="Q46" s="68" t="s">
        <v>262</v>
      </c>
      <c r="R46" s="68" t="s">
        <v>263</v>
      </c>
      <c r="S46" s="69" t="s">
        <v>77</v>
      </c>
      <c r="T46" s="32"/>
      <c r="U46" s="32"/>
      <c r="V46" s="32"/>
      <c r="W46" s="32"/>
      <c r="X46" s="32"/>
      <c r="Y46" s="32"/>
      <c r="Z46" s="32"/>
      <c r="AA46" s="32"/>
      <c r="AB46" s="32"/>
      <c r="AC46" s="32"/>
      <c r="AD46" s="32"/>
      <c r="AE46" s="32"/>
      <c r="AF46" s="32"/>
      <c r="AG46" s="32"/>
      <c r="AH46" s="32"/>
      <c r="AI46" s="32"/>
      <c r="AJ46" s="32"/>
      <c r="AK46" s="32"/>
      <c r="AL46" s="32"/>
      <c r="AM46" s="32"/>
      <c r="AN46" s="32"/>
      <c r="AO46" s="32"/>
      <c r="AP46" s="32"/>
    </row>
    <row r="47" ht="17.25" customHeight="1">
      <c r="A47" s="70"/>
      <c r="B47" s="70"/>
      <c r="C47" s="64" t="s">
        <v>264</v>
      </c>
      <c r="D47" s="64" t="s">
        <v>265</v>
      </c>
      <c r="E47" s="73" t="s">
        <v>174</v>
      </c>
      <c r="F47" s="65" t="s">
        <v>31</v>
      </c>
      <c r="G47" s="65" t="s">
        <v>80</v>
      </c>
      <c r="H47" s="65" t="str">
        <f t="shared" si="2"/>
        <v>NOT_STARTED</v>
      </c>
      <c r="I47" s="65" t="s">
        <v>43</v>
      </c>
      <c r="J47" s="65" t="s">
        <v>72</v>
      </c>
      <c r="K47" s="65" t="s">
        <v>43</v>
      </c>
      <c r="L47" s="66" t="s">
        <v>261</v>
      </c>
      <c r="M47" s="66" t="s">
        <v>74</v>
      </c>
      <c r="N47" s="66"/>
      <c r="O47" s="66" t="s">
        <v>16</v>
      </c>
      <c r="P47" s="67"/>
      <c r="Q47" s="68" t="s">
        <v>266</v>
      </c>
      <c r="R47" s="68" t="s">
        <v>267</v>
      </c>
      <c r="S47" s="69" t="s">
        <v>77</v>
      </c>
      <c r="T47" s="32"/>
      <c r="U47" s="32"/>
      <c r="V47" s="32"/>
      <c r="W47" s="32"/>
      <c r="X47" s="32"/>
      <c r="Y47" s="32"/>
      <c r="Z47" s="32"/>
      <c r="AA47" s="32"/>
      <c r="AB47" s="32"/>
      <c r="AC47" s="32"/>
      <c r="AD47" s="32"/>
      <c r="AE47" s="32"/>
      <c r="AF47" s="32"/>
      <c r="AG47" s="32"/>
      <c r="AH47" s="32"/>
      <c r="AI47" s="32"/>
      <c r="AJ47" s="32"/>
      <c r="AK47" s="32"/>
      <c r="AL47" s="32"/>
      <c r="AM47" s="32"/>
      <c r="AN47" s="32"/>
      <c r="AO47" s="32"/>
      <c r="AP47" s="32"/>
    </row>
    <row r="48" ht="17.25" customHeight="1">
      <c r="A48" s="70"/>
      <c r="B48" s="70"/>
      <c r="C48" s="64" t="s">
        <v>268</v>
      </c>
      <c r="D48" s="64" t="s">
        <v>269</v>
      </c>
      <c r="E48" s="73" t="s">
        <v>174</v>
      </c>
      <c r="F48" s="65" t="s">
        <v>31</v>
      </c>
      <c r="G48" s="65" t="s">
        <v>80</v>
      </c>
      <c r="H48" s="65" t="str">
        <f t="shared" si="2"/>
        <v>NOT_STARTED</v>
      </c>
      <c r="I48" s="65" t="s">
        <v>43</v>
      </c>
      <c r="J48" s="65" t="s">
        <v>72</v>
      </c>
      <c r="K48" s="65" t="s">
        <v>43</v>
      </c>
      <c r="L48" s="66" t="s">
        <v>261</v>
      </c>
      <c r="M48" s="66" t="s">
        <v>74</v>
      </c>
      <c r="N48" s="66"/>
      <c r="O48" s="66" t="s">
        <v>16</v>
      </c>
      <c r="P48" s="67"/>
      <c r="Q48" s="68" t="s">
        <v>270</v>
      </c>
      <c r="R48" s="68" t="s">
        <v>271</v>
      </c>
      <c r="S48" s="69" t="s">
        <v>77</v>
      </c>
      <c r="T48" s="32"/>
      <c r="U48" s="32"/>
      <c r="V48" s="32"/>
      <c r="W48" s="32"/>
      <c r="X48" s="32"/>
      <c r="Y48" s="32"/>
      <c r="Z48" s="32"/>
      <c r="AA48" s="32"/>
      <c r="AB48" s="32"/>
      <c r="AC48" s="32"/>
      <c r="AD48" s="32"/>
      <c r="AE48" s="32"/>
      <c r="AF48" s="32"/>
      <c r="AG48" s="32"/>
      <c r="AH48" s="32"/>
      <c r="AI48" s="32"/>
      <c r="AJ48" s="32"/>
      <c r="AK48" s="32"/>
      <c r="AL48" s="32"/>
      <c r="AM48" s="32"/>
      <c r="AN48" s="32"/>
      <c r="AO48" s="32"/>
      <c r="AP48" s="32"/>
    </row>
    <row r="49" ht="17.25" customHeight="1">
      <c r="A49" s="70"/>
      <c r="B49" s="70"/>
      <c r="C49" s="64" t="s">
        <v>272</v>
      </c>
      <c r="D49" s="64" t="s">
        <v>273</v>
      </c>
      <c r="E49" s="64" t="s">
        <v>70</v>
      </c>
      <c r="F49" s="65" t="s">
        <v>31</v>
      </c>
      <c r="G49" s="65" t="s">
        <v>71</v>
      </c>
      <c r="H49" s="65" t="str">
        <f t="shared" si="2"/>
        <v>NOT_STARTED</v>
      </c>
      <c r="I49" s="65" t="s">
        <v>43</v>
      </c>
      <c r="J49" s="65" t="s">
        <v>72</v>
      </c>
      <c r="K49" s="65" t="s">
        <v>43</v>
      </c>
      <c r="L49" s="66" t="s">
        <v>274</v>
      </c>
      <c r="M49" s="66" t="s">
        <v>74</v>
      </c>
      <c r="N49" s="66"/>
      <c r="O49" s="66" t="s">
        <v>16</v>
      </c>
      <c r="P49" s="67"/>
      <c r="Q49" s="68" t="s">
        <v>275</v>
      </c>
      <c r="R49" s="68" t="s">
        <v>276</v>
      </c>
      <c r="S49" s="69" t="s">
        <v>77</v>
      </c>
      <c r="T49" s="32"/>
      <c r="U49" s="32"/>
      <c r="V49" s="32"/>
      <c r="W49" s="32"/>
      <c r="X49" s="32"/>
      <c r="Y49" s="32"/>
      <c r="Z49" s="32"/>
      <c r="AA49" s="32"/>
      <c r="AB49" s="32"/>
      <c r="AC49" s="32"/>
      <c r="AD49" s="32"/>
      <c r="AE49" s="32"/>
      <c r="AF49" s="32"/>
      <c r="AG49" s="32"/>
      <c r="AH49" s="32"/>
      <c r="AI49" s="32"/>
      <c r="AJ49" s="32"/>
      <c r="AK49" s="32"/>
      <c r="AL49" s="32"/>
      <c r="AM49" s="32"/>
      <c r="AN49" s="32"/>
      <c r="AO49" s="32"/>
      <c r="AP49" s="32"/>
    </row>
    <row r="50" ht="17.25" customHeight="1">
      <c r="A50" s="70"/>
      <c r="B50" s="70"/>
      <c r="C50" s="64" t="s">
        <v>277</v>
      </c>
      <c r="D50" s="64" t="s">
        <v>278</v>
      </c>
      <c r="E50" s="64" t="s">
        <v>70</v>
      </c>
      <c r="F50" s="65" t="s">
        <v>31</v>
      </c>
      <c r="G50" s="65" t="s">
        <v>71</v>
      </c>
      <c r="H50" s="65" t="str">
        <f t="shared" si="2"/>
        <v>NOT_STARTED</v>
      </c>
      <c r="I50" s="65" t="s">
        <v>43</v>
      </c>
      <c r="J50" s="65" t="s">
        <v>72</v>
      </c>
      <c r="K50" s="65" t="s">
        <v>43</v>
      </c>
      <c r="L50" s="66" t="s">
        <v>279</v>
      </c>
      <c r="M50" s="66" t="s">
        <v>74</v>
      </c>
      <c r="N50" s="66"/>
      <c r="O50" s="66" t="s">
        <v>16</v>
      </c>
      <c r="P50" s="67"/>
      <c r="Q50" s="68" t="s">
        <v>280</v>
      </c>
      <c r="R50" s="68" t="s">
        <v>276</v>
      </c>
      <c r="S50" s="69" t="s">
        <v>281</v>
      </c>
      <c r="T50" s="32"/>
      <c r="U50" s="32"/>
      <c r="V50" s="32"/>
      <c r="W50" s="32"/>
      <c r="X50" s="32"/>
      <c r="Y50" s="32"/>
      <c r="Z50" s="32"/>
      <c r="AA50" s="32"/>
      <c r="AB50" s="32"/>
      <c r="AC50" s="32"/>
      <c r="AD50" s="32"/>
      <c r="AE50" s="32"/>
      <c r="AF50" s="32"/>
      <c r="AG50" s="32"/>
      <c r="AH50" s="32"/>
      <c r="AI50" s="32"/>
      <c r="AJ50" s="32"/>
      <c r="AK50" s="32"/>
      <c r="AL50" s="32"/>
      <c r="AM50" s="32"/>
      <c r="AN50" s="32"/>
      <c r="AO50" s="32"/>
      <c r="AP50" s="32"/>
    </row>
    <row r="51" ht="17.25" customHeight="1">
      <c r="A51" s="70"/>
      <c r="B51" s="70"/>
      <c r="C51" s="64" t="s">
        <v>282</v>
      </c>
      <c r="D51" s="64" t="s">
        <v>283</v>
      </c>
      <c r="E51" s="73" t="s">
        <v>174</v>
      </c>
      <c r="F51" s="65" t="s">
        <v>31</v>
      </c>
      <c r="G51" s="65" t="s">
        <v>80</v>
      </c>
      <c r="H51" s="65" t="str">
        <f t="shared" si="2"/>
        <v>NOT_STARTED</v>
      </c>
      <c r="I51" s="65" t="s">
        <v>43</v>
      </c>
      <c r="J51" s="65" t="s">
        <v>72</v>
      </c>
      <c r="K51" s="65" t="s">
        <v>43</v>
      </c>
      <c r="L51" s="66" t="s">
        <v>261</v>
      </c>
      <c r="M51" s="66" t="s">
        <v>74</v>
      </c>
      <c r="N51" s="66"/>
      <c r="O51" s="66" t="s">
        <v>16</v>
      </c>
      <c r="P51" s="67"/>
      <c r="Q51" s="68" t="s">
        <v>284</v>
      </c>
      <c r="R51" s="68" t="s">
        <v>285</v>
      </c>
      <c r="S51" s="69" t="s">
        <v>77</v>
      </c>
      <c r="T51" s="32"/>
      <c r="U51" s="32"/>
      <c r="V51" s="32"/>
      <c r="W51" s="32"/>
      <c r="X51" s="32"/>
      <c r="Y51" s="32"/>
      <c r="Z51" s="32"/>
      <c r="AA51" s="32"/>
      <c r="AB51" s="32"/>
      <c r="AC51" s="32"/>
      <c r="AD51" s="32"/>
      <c r="AE51" s="32"/>
      <c r="AF51" s="32"/>
      <c r="AG51" s="32"/>
      <c r="AH51" s="32"/>
      <c r="AI51" s="32"/>
      <c r="AJ51" s="32"/>
      <c r="AK51" s="32"/>
      <c r="AL51" s="32"/>
      <c r="AM51" s="32"/>
      <c r="AN51" s="32"/>
      <c r="AO51" s="32"/>
      <c r="AP51" s="32"/>
    </row>
    <row r="52" ht="17.25" customHeight="1">
      <c r="A52" s="70"/>
      <c r="B52" s="70"/>
      <c r="C52" s="64" t="s">
        <v>286</v>
      </c>
      <c r="D52" s="64" t="s">
        <v>287</v>
      </c>
      <c r="E52" s="73" t="s">
        <v>174</v>
      </c>
      <c r="F52" s="65" t="s">
        <v>31</v>
      </c>
      <c r="G52" s="65" t="s">
        <v>80</v>
      </c>
      <c r="H52" s="65" t="str">
        <f t="shared" si="2"/>
        <v>NOT_STARTED</v>
      </c>
      <c r="I52" s="65" t="s">
        <v>43</v>
      </c>
      <c r="J52" s="65" t="s">
        <v>72</v>
      </c>
      <c r="K52" s="65" t="s">
        <v>43</v>
      </c>
      <c r="L52" s="66" t="s">
        <v>261</v>
      </c>
      <c r="M52" s="66" t="s">
        <v>74</v>
      </c>
      <c r="N52" s="66"/>
      <c r="O52" s="66" t="s">
        <v>16</v>
      </c>
      <c r="P52" s="67"/>
      <c r="Q52" s="68" t="s">
        <v>288</v>
      </c>
      <c r="R52" s="68" t="s">
        <v>289</v>
      </c>
      <c r="S52" s="69" t="s">
        <v>77</v>
      </c>
      <c r="T52" s="32"/>
      <c r="U52" s="32"/>
      <c r="V52" s="32"/>
      <c r="W52" s="32"/>
      <c r="X52" s="32"/>
      <c r="Y52" s="32"/>
      <c r="Z52" s="32"/>
      <c r="AA52" s="32"/>
      <c r="AB52" s="32"/>
      <c r="AC52" s="32"/>
      <c r="AD52" s="32"/>
      <c r="AE52" s="32"/>
      <c r="AF52" s="32"/>
      <c r="AG52" s="32"/>
      <c r="AH52" s="32"/>
      <c r="AI52" s="32"/>
      <c r="AJ52" s="32"/>
      <c r="AK52" s="32"/>
      <c r="AL52" s="32"/>
      <c r="AM52" s="32"/>
      <c r="AN52" s="32"/>
      <c r="AO52" s="32"/>
      <c r="AP52" s="32"/>
    </row>
    <row r="53" ht="17.25" customHeight="1">
      <c r="A53" s="70"/>
      <c r="B53" s="70"/>
      <c r="C53" s="64" t="s">
        <v>290</v>
      </c>
      <c r="D53" s="64" t="s">
        <v>291</v>
      </c>
      <c r="E53" s="64" t="s">
        <v>70</v>
      </c>
      <c r="F53" s="65" t="s">
        <v>31</v>
      </c>
      <c r="G53" s="65" t="s">
        <v>80</v>
      </c>
      <c r="H53" s="65" t="str">
        <f t="shared" si="2"/>
        <v>NOT_STARTED</v>
      </c>
      <c r="I53" s="65" t="s">
        <v>43</v>
      </c>
      <c r="J53" s="65" t="s">
        <v>72</v>
      </c>
      <c r="K53" s="65" t="s">
        <v>43</v>
      </c>
      <c r="L53" s="66" t="s">
        <v>292</v>
      </c>
      <c r="M53" s="66" t="s">
        <v>74</v>
      </c>
      <c r="N53" s="66"/>
      <c r="O53" s="66" t="s">
        <v>16</v>
      </c>
      <c r="P53" s="67"/>
      <c r="Q53" s="68" t="s">
        <v>293</v>
      </c>
      <c r="R53" s="68" t="s">
        <v>294</v>
      </c>
      <c r="S53" s="69" t="s">
        <v>77</v>
      </c>
      <c r="T53" s="32"/>
      <c r="U53" s="32"/>
      <c r="V53" s="32"/>
      <c r="W53" s="32"/>
      <c r="X53" s="32"/>
      <c r="Y53" s="32"/>
      <c r="Z53" s="32"/>
      <c r="AA53" s="32"/>
      <c r="AB53" s="32"/>
      <c r="AC53" s="32"/>
      <c r="AD53" s="32"/>
      <c r="AE53" s="32"/>
      <c r="AF53" s="32"/>
      <c r="AG53" s="32"/>
      <c r="AH53" s="32"/>
      <c r="AI53" s="32"/>
      <c r="AJ53" s="32"/>
      <c r="AK53" s="32"/>
      <c r="AL53" s="32"/>
      <c r="AM53" s="32"/>
      <c r="AN53" s="32"/>
      <c r="AO53" s="32"/>
      <c r="AP53" s="32"/>
    </row>
    <row r="54" ht="17.25" customHeight="1">
      <c r="A54" s="70"/>
      <c r="B54" s="70"/>
      <c r="C54" s="64" t="s">
        <v>295</v>
      </c>
      <c r="D54" s="64" t="s">
        <v>296</v>
      </c>
      <c r="E54" s="64" t="s">
        <v>70</v>
      </c>
      <c r="F54" s="65" t="s">
        <v>31</v>
      </c>
      <c r="G54" s="65" t="s">
        <v>80</v>
      </c>
      <c r="H54" s="65" t="str">
        <f t="shared" si="2"/>
        <v>NOT_STARTED</v>
      </c>
      <c r="I54" s="65" t="s">
        <v>43</v>
      </c>
      <c r="J54" s="65" t="s">
        <v>72</v>
      </c>
      <c r="K54" s="65" t="s">
        <v>43</v>
      </c>
      <c r="L54" s="66" t="s">
        <v>297</v>
      </c>
      <c r="M54" s="66" t="s">
        <v>74</v>
      </c>
      <c r="N54" s="66"/>
      <c r="O54" s="66" t="s">
        <v>16</v>
      </c>
      <c r="P54" s="67"/>
      <c r="Q54" s="68" t="s">
        <v>298</v>
      </c>
      <c r="R54" s="68" t="s">
        <v>299</v>
      </c>
      <c r="S54" s="69" t="s">
        <v>77</v>
      </c>
      <c r="T54" s="32"/>
      <c r="U54" s="32"/>
      <c r="V54" s="32"/>
      <c r="W54" s="32"/>
      <c r="X54" s="32"/>
      <c r="Y54" s="32"/>
      <c r="Z54" s="32"/>
      <c r="AA54" s="32"/>
      <c r="AB54" s="32"/>
      <c r="AC54" s="32"/>
      <c r="AD54" s="32"/>
      <c r="AE54" s="32"/>
      <c r="AF54" s="32"/>
      <c r="AG54" s="32"/>
      <c r="AH54" s="32"/>
      <c r="AI54" s="32"/>
      <c r="AJ54" s="32"/>
      <c r="AK54" s="32"/>
      <c r="AL54" s="32"/>
      <c r="AM54" s="32"/>
      <c r="AN54" s="32"/>
      <c r="AO54" s="32"/>
      <c r="AP54" s="32"/>
    </row>
    <row r="55" ht="17.25" customHeight="1">
      <c r="A55" s="70"/>
      <c r="B55" s="70"/>
      <c r="C55" s="64" t="s">
        <v>300</v>
      </c>
      <c r="D55" s="64" t="s">
        <v>301</v>
      </c>
      <c r="E55" s="64" t="s">
        <v>70</v>
      </c>
      <c r="F55" s="65" t="s">
        <v>31</v>
      </c>
      <c r="G55" s="65" t="s">
        <v>80</v>
      </c>
      <c r="H55" s="65" t="str">
        <f t="shared" si="2"/>
        <v>NOT_STARTED</v>
      </c>
      <c r="I55" s="65" t="s">
        <v>43</v>
      </c>
      <c r="J55" s="65" t="s">
        <v>72</v>
      </c>
      <c r="K55" s="65" t="s">
        <v>43</v>
      </c>
      <c r="L55" s="66" t="s">
        <v>302</v>
      </c>
      <c r="M55" s="66" t="s">
        <v>74</v>
      </c>
      <c r="N55" s="66"/>
      <c r="O55" s="66" t="s">
        <v>16</v>
      </c>
      <c r="P55" s="67"/>
      <c r="Q55" s="68" t="s">
        <v>303</v>
      </c>
      <c r="R55" s="68" t="s">
        <v>304</v>
      </c>
      <c r="S55" s="69" t="s">
        <v>77</v>
      </c>
      <c r="T55" s="32"/>
      <c r="U55" s="32"/>
      <c r="V55" s="32"/>
      <c r="W55" s="32"/>
      <c r="X55" s="32"/>
      <c r="Y55" s="32"/>
      <c r="Z55" s="32"/>
      <c r="AA55" s="32"/>
      <c r="AB55" s="32"/>
      <c r="AC55" s="32"/>
      <c r="AD55" s="32"/>
      <c r="AE55" s="32"/>
      <c r="AF55" s="32"/>
      <c r="AG55" s="32"/>
      <c r="AH55" s="32"/>
      <c r="AI55" s="32"/>
      <c r="AJ55" s="32"/>
      <c r="AK55" s="32"/>
      <c r="AL55" s="32"/>
      <c r="AM55" s="32"/>
      <c r="AN55" s="32"/>
      <c r="AO55" s="32"/>
      <c r="AP55" s="32"/>
    </row>
    <row r="56" ht="17.25" customHeight="1">
      <c r="A56" s="70"/>
      <c r="B56" s="70"/>
      <c r="C56" s="64" t="s">
        <v>305</v>
      </c>
      <c r="D56" s="64" t="s">
        <v>306</v>
      </c>
      <c r="E56" s="64" t="s">
        <v>70</v>
      </c>
      <c r="F56" s="65" t="s">
        <v>31</v>
      </c>
      <c r="G56" s="65" t="s">
        <v>80</v>
      </c>
      <c r="H56" s="65" t="str">
        <f t="shared" si="2"/>
        <v>NOT_STARTED</v>
      </c>
      <c r="I56" s="65" t="s">
        <v>43</v>
      </c>
      <c r="J56" s="65" t="s">
        <v>72</v>
      </c>
      <c r="K56" s="65" t="s">
        <v>43</v>
      </c>
      <c r="L56" s="66" t="s">
        <v>261</v>
      </c>
      <c r="M56" s="66" t="s">
        <v>74</v>
      </c>
      <c r="N56" s="66"/>
      <c r="O56" s="66" t="s">
        <v>16</v>
      </c>
      <c r="P56" s="67"/>
      <c r="Q56" s="68" t="s">
        <v>307</v>
      </c>
      <c r="R56" s="68" t="s">
        <v>308</v>
      </c>
      <c r="S56" s="69" t="s">
        <v>77</v>
      </c>
      <c r="T56" s="32"/>
      <c r="U56" s="32"/>
      <c r="V56" s="32"/>
      <c r="W56" s="32"/>
      <c r="X56" s="32"/>
      <c r="Y56" s="32"/>
      <c r="Z56" s="32"/>
      <c r="AA56" s="32"/>
      <c r="AB56" s="32"/>
      <c r="AC56" s="32"/>
      <c r="AD56" s="32"/>
      <c r="AE56" s="32"/>
      <c r="AF56" s="32"/>
      <c r="AG56" s="32"/>
      <c r="AH56" s="32"/>
      <c r="AI56" s="32"/>
      <c r="AJ56" s="32"/>
      <c r="AK56" s="32"/>
      <c r="AL56" s="32"/>
      <c r="AM56" s="32"/>
      <c r="AN56" s="32"/>
      <c r="AO56" s="32"/>
      <c r="AP56" s="32"/>
    </row>
    <row r="57" ht="17.25" customHeight="1">
      <c r="A57" s="70"/>
      <c r="B57" s="70"/>
      <c r="C57" s="64" t="s">
        <v>309</v>
      </c>
      <c r="D57" s="64" t="s">
        <v>310</v>
      </c>
      <c r="E57" s="64" t="s">
        <v>311</v>
      </c>
      <c r="F57" s="65" t="s">
        <v>31</v>
      </c>
      <c r="G57" s="65" t="s">
        <v>71</v>
      </c>
      <c r="H57" s="65" t="str">
        <f t="shared" si="2"/>
        <v>NOT_STARTED</v>
      </c>
      <c r="I57" s="65" t="s">
        <v>43</v>
      </c>
      <c r="J57" s="65" t="s">
        <v>72</v>
      </c>
      <c r="K57" s="65" t="s">
        <v>43</v>
      </c>
      <c r="L57" s="66" t="s">
        <v>261</v>
      </c>
      <c r="M57" s="66" t="s">
        <v>74</v>
      </c>
      <c r="N57" s="66"/>
      <c r="O57" s="66" t="s">
        <v>16</v>
      </c>
      <c r="P57" s="67" t="s">
        <v>312</v>
      </c>
      <c r="Q57" s="68" t="s">
        <v>313</v>
      </c>
      <c r="R57" s="68" t="s">
        <v>314</v>
      </c>
      <c r="S57" s="69" t="s">
        <v>77</v>
      </c>
      <c r="T57" s="32"/>
      <c r="U57" s="32"/>
      <c r="V57" s="32"/>
      <c r="W57" s="32"/>
      <c r="X57" s="32"/>
      <c r="Y57" s="32"/>
      <c r="Z57" s="32"/>
      <c r="AA57" s="32"/>
      <c r="AB57" s="32"/>
      <c r="AC57" s="32"/>
      <c r="AD57" s="32"/>
      <c r="AE57" s="32"/>
      <c r="AF57" s="32"/>
      <c r="AG57" s="32"/>
      <c r="AH57" s="32"/>
      <c r="AI57" s="32"/>
      <c r="AJ57" s="32"/>
      <c r="AK57" s="32"/>
      <c r="AL57" s="32"/>
      <c r="AM57" s="32"/>
      <c r="AN57" s="32"/>
      <c r="AO57" s="32"/>
      <c r="AP57" s="32"/>
    </row>
    <row r="58" ht="17.25" customHeight="1">
      <c r="A58" s="70"/>
      <c r="B58" s="15"/>
      <c r="C58" s="64" t="s">
        <v>315</v>
      </c>
      <c r="D58" s="64" t="s">
        <v>316</v>
      </c>
      <c r="E58" s="64" t="s">
        <v>311</v>
      </c>
      <c r="F58" s="65" t="s">
        <v>31</v>
      </c>
      <c r="G58" s="65" t="s">
        <v>71</v>
      </c>
      <c r="H58" s="65" t="str">
        <f t="shared" si="2"/>
        <v>NOT_STARTED</v>
      </c>
      <c r="I58" s="65" t="s">
        <v>43</v>
      </c>
      <c r="J58" s="65" t="s">
        <v>72</v>
      </c>
      <c r="K58" s="65" t="s">
        <v>43</v>
      </c>
      <c r="L58" s="66" t="s">
        <v>261</v>
      </c>
      <c r="M58" s="66" t="s">
        <v>74</v>
      </c>
      <c r="N58" s="66"/>
      <c r="O58" s="66" t="s">
        <v>16</v>
      </c>
      <c r="P58" s="67" t="s">
        <v>317</v>
      </c>
      <c r="Q58" s="68" t="s">
        <v>318</v>
      </c>
      <c r="R58" s="68" t="s">
        <v>319</v>
      </c>
      <c r="S58" s="69" t="s">
        <v>77</v>
      </c>
      <c r="T58" s="32"/>
      <c r="U58" s="32"/>
      <c r="V58" s="32"/>
      <c r="W58" s="32"/>
      <c r="X58" s="32"/>
      <c r="Y58" s="32"/>
      <c r="Z58" s="32"/>
      <c r="AA58" s="32"/>
      <c r="AB58" s="32"/>
      <c r="AC58" s="32"/>
      <c r="AD58" s="32"/>
      <c r="AE58" s="32"/>
      <c r="AF58" s="32"/>
      <c r="AG58" s="32"/>
      <c r="AH58" s="32"/>
      <c r="AI58" s="32"/>
      <c r="AJ58" s="32"/>
      <c r="AK58" s="32"/>
      <c r="AL58" s="32"/>
      <c r="AM58" s="32"/>
      <c r="AN58" s="32"/>
      <c r="AO58" s="32"/>
      <c r="AP58" s="32"/>
    </row>
    <row r="59" ht="17.25" customHeight="1">
      <c r="A59" s="70"/>
      <c r="B59" s="63" t="s">
        <v>320</v>
      </c>
      <c r="C59" s="64" t="s">
        <v>321</v>
      </c>
      <c r="D59" s="64" t="s">
        <v>322</v>
      </c>
      <c r="E59" s="64" t="s">
        <v>70</v>
      </c>
      <c r="F59" s="65" t="s">
        <v>31</v>
      </c>
      <c r="G59" s="65" t="s">
        <v>80</v>
      </c>
      <c r="H59" s="65" t="str">
        <f t="shared" si="2"/>
        <v>NOT_STARTED</v>
      </c>
      <c r="I59" s="65" t="s">
        <v>43</v>
      </c>
      <c r="J59" s="65" t="s">
        <v>72</v>
      </c>
      <c r="K59" s="65" t="s">
        <v>43</v>
      </c>
      <c r="L59" s="66" t="s">
        <v>323</v>
      </c>
      <c r="M59" s="66" t="s">
        <v>74</v>
      </c>
      <c r="N59" s="66"/>
      <c r="O59" s="66" t="s">
        <v>16</v>
      </c>
      <c r="P59" s="67"/>
      <c r="Q59" s="68" t="s">
        <v>324</v>
      </c>
      <c r="R59" s="68" t="s">
        <v>325</v>
      </c>
      <c r="S59" s="69" t="s">
        <v>326</v>
      </c>
      <c r="T59" s="32"/>
      <c r="U59" s="32"/>
      <c r="V59" s="32"/>
      <c r="W59" s="32"/>
      <c r="X59" s="32"/>
      <c r="Y59" s="32"/>
      <c r="Z59" s="32"/>
      <c r="AA59" s="32"/>
      <c r="AB59" s="32"/>
      <c r="AC59" s="32"/>
      <c r="AD59" s="32"/>
      <c r="AE59" s="32"/>
      <c r="AF59" s="32"/>
      <c r="AG59" s="32"/>
      <c r="AH59" s="32"/>
      <c r="AI59" s="32"/>
      <c r="AJ59" s="32"/>
      <c r="AK59" s="32"/>
      <c r="AL59" s="32"/>
      <c r="AM59" s="32"/>
      <c r="AN59" s="32"/>
      <c r="AO59" s="32"/>
      <c r="AP59" s="32"/>
    </row>
    <row r="60" ht="17.25" customHeight="1">
      <c r="A60" s="70"/>
      <c r="B60" s="70"/>
      <c r="C60" s="64" t="s">
        <v>327</v>
      </c>
      <c r="D60" s="64" t="s">
        <v>328</v>
      </c>
      <c r="E60" s="64" t="s">
        <v>70</v>
      </c>
      <c r="F60" s="65" t="s">
        <v>31</v>
      </c>
      <c r="G60" s="65" t="s">
        <v>80</v>
      </c>
      <c r="H60" s="65" t="str">
        <f t="shared" si="2"/>
        <v>NOT_STARTED</v>
      </c>
      <c r="I60" s="65" t="s">
        <v>43</v>
      </c>
      <c r="J60" s="65" t="s">
        <v>72</v>
      </c>
      <c r="K60" s="65" t="s">
        <v>43</v>
      </c>
      <c r="L60" s="66" t="s">
        <v>329</v>
      </c>
      <c r="M60" s="66" t="s">
        <v>74</v>
      </c>
      <c r="N60" s="66"/>
      <c r="O60" s="66" t="s">
        <v>16</v>
      </c>
      <c r="P60" s="67"/>
      <c r="Q60" s="68" t="s">
        <v>330</v>
      </c>
      <c r="R60" s="68" t="s">
        <v>331</v>
      </c>
      <c r="S60" s="69" t="s">
        <v>326</v>
      </c>
      <c r="T60" s="32"/>
      <c r="U60" s="32"/>
      <c r="V60" s="32"/>
      <c r="W60" s="32"/>
      <c r="X60" s="32"/>
      <c r="Y60" s="32"/>
      <c r="Z60" s="32"/>
      <c r="AA60" s="32"/>
      <c r="AB60" s="32"/>
      <c r="AC60" s="32"/>
      <c r="AD60" s="32"/>
      <c r="AE60" s="32"/>
      <c r="AF60" s="32"/>
      <c r="AG60" s="32"/>
      <c r="AH60" s="32"/>
      <c r="AI60" s="32"/>
      <c r="AJ60" s="32"/>
      <c r="AK60" s="32"/>
      <c r="AL60" s="32"/>
      <c r="AM60" s="32"/>
      <c r="AN60" s="32"/>
      <c r="AO60" s="32"/>
      <c r="AP60" s="32"/>
    </row>
    <row r="61" ht="17.25" customHeight="1">
      <c r="A61" s="70"/>
      <c r="B61" s="70"/>
      <c r="C61" s="64" t="s">
        <v>332</v>
      </c>
      <c r="D61" s="64" t="s">
        <v>333</v>
      </c>
      <c r="E61" s="64" t="s">
        <v>70</v>
      </c>
      <c r="F61" s="65" t="s">
        <v>31</v>
      </c>
      <c r="G61" s="65" t="s">
        <v>71</v>
      </c>
      <c r="H61" s="65" t="str">
        <f t="shared" si="2"/>
        <v>NOT_STARTED</v>
      </c>
      <c r="I61" s="65" t="s">
        <v>43</v>
      </c>
      <c r="J61" s="65" t="s">
        <v>72</v>
      </c>
      <c r="K61" s="65" t="s">
        <v>43</v>
      </c>
      <c r="L61" s="66" t="s">
        <v>334</v>
      </c>
      <c r="M61" s="66" t="s">
        <v>74</v>
      </c>
      <c r="N61" s="66"/>
      <c r="O61" s="66" t="s">
        <v>16</v>
      </c>
      <c r="P61" s="67"/>
      <c r="Q61" s="68" t="s">
        <v>335</v>
      </c>
      <c r="R61" s="68" t="s">
        <v>336</v>
      </c>
      <c r="S61" s="69" t="s">
        <v>337</v>
      </c>
      <c r="T61" s="32"/>
      <c r="U61" s="32"/>
      <c r="V61" s="32"/>
      <c r="W61" s="32"/>
      <c r="X61" s="32"/>
      <c r="Y61" s="32"/>
      <c r="Z61" s="32"/>
      <c r="AA61" s="32"/>
      <c r="AB61" s="32"/>
      <c r="AC61" s="32"/>
      <c r="AD61" s="32"/>
      <c r="AE61" s="32"/>
      <c r="AF61" s="32"/>
      <c r="AG61" s="32"/>
      <c r="AH61" s="32"/>
      <c r="AI61" s="32"/>
      <c r="AJ61" s="32"/>
      <c r="AK61" s="32"/>
      <c r="AL61" s="32"/>
      <c r="AM61" s="32"/>
      <c r="AN61" s="32"/>
      <c r="AO61" s="32"/>
      <c r="AP61" s="32"/>
    </row>
    <row r="62" ht="17.25" customHeight="1">
      <c r="A62" s="70"/>
      <c r="B62" s="70"/>
      <c r="C62" s="64" t="s">
        <v>338</v>
      </c>
      <c r="D62" s="64" t="s">
        <v>339</v>
      </c>
      <c r="E62" s="73" t="s">
        <v>174</v>
      </c>
      <c r="F62" s="65" t="s">
        <v>31</v>
      </c>
      <c r="G62" s="65" t="s">
        <v>80</v>
      </c>
      <c r="H62" s="65" t="str">
        <f t="shared" si="2"/>
        <v>NOT_STARTED</v>
      </c>
      <c r="I62" s="65" t="s">
        <v>43</v>
      </c>
      <c r="J62" s="65" t="s">
        <v>72</v>
      </c>
      <c r="K62" s="65" t="s">
        <v>43</v>
      </c>
      <c r="L62" s="66" t="s">
        <v>340</v>
      </c>
      <c r="M62" s="66" t="s">
        <v>74</v>
      </c>
      <c r="N62" s="66"/>
      <c r="O62" s="66" t="s">
        <v>16</v>
      </c>
      <c r="P62" s="67" t="s">
        <v>341</v>
      </c>
      <c r="Q62" s="68" t="s">
        <v>342</v>
      </c>
      <c r="R62" s="68" t="s">
        <v>336</v>
      </c>
      <c r="S62" s="69" t="s">
        <v>337</v>
      </c>
      <c r="T62" s="32"/>
      <c r="U62" s="32"/>
      <c r="V62" s="32"/>
      <c r="W62" s="32"/>
      <c r="X62" s="32"/>
      <c r="Y62" s="32"/>
      <c r="Z62" s="32"/>
      <c r="AA62" s="32"/>
      <c r="AB62" s="32"/>
      <c r="AC62" s="32"/>
      <c r="AD62" s="32"/>
      <c r="AE62" s="32"/>
      <c r="AF62" s="32"/>
      <c r="AG62" s="32"/>
      <c r="AH62" s="32"/>
      <c r="AI62" s="32"/>
      <c r="AJ62" s="32"/>
      <c r="AK62" s="32"/>
      <c r="AL62" s="32"/>
      <c r="AM62" s="32"/>
      <c r="AN62" s="32"/>
      <c r="AO62" s="32"/>
      <c r="AP62" s="32"/>
    </row>
    <row r="63" ht="17.25" customHeight="1">
      <c r="A63" s="70"/>
      <c r="B63" s="15"/>
      <c r="C63" s="64" t="s">
        <v>343</v>
      </c>
      <c r="D63" s="64" t="s">
        <v>344</v>
      </c>
      <c r="E63" s="64" t="s">
        <v>70</v>
      </c>
      <c r="F63" s="65" t="s">
        <v>31</v>
      </c>
      <c r="G63" s="65" t="s">
        <v>71</v>
      </c>
      <c r="H63" s="65" t="str">
        <f t="shared" si="2"/>
        <v>NOT_STARTED</v>
      </c>
      <c r="I63" s="65" t="s">
        <v>43</v>
      </c>
      <c r="J63" s="65" t="s">
        <v>72</v>
      </c>
      <c r="K63" s="65" t="s">
        <v>43</v>
      </c>
      <c r="L63" s="66" t="s">
        <v>340</v>
      </c>
      <c r="M63" s="66" t="s">
        <v>74</v>
      </c>
      <c r="N63" s="66"/>
      <c r="O63" s="66" t="s">
        <v>16</v>
      </c>
      <c r="P63" s="67" t="s">
        <v>345</v>
      </c>
      <c r="Q63" s="68" t="s">
        <v>346</v>
      </c>
      <c r="R63" s="68" t="s">
        <v>336</v>
      </c>
      <c r="S63" s="69" t="s">
        <v>337</v>
      </c>
      <c r="T63" s="32"/>
      <c r="U63" s="32"/>
      <c r="V63" s="32"/>
      <c r="W63" s="32"/>
      <c r="X63" s="32"/>
      <c r="Y63" s="32"/>
      <c r="Z63" s="32"/>
      <c r="AA63" s="32"/>
      <c r="AB63" s="32"/>
      <c r="AC63" s="32"/>
      <c r="AD63" s="32"/>
      <c r="AE63" s="32"/>
      <c r="AF63" s="32"/>
      <c r="AG63" s="32"/>
      <c r="AH63" s="32"/>
      <c r="AI63" s="32"/>
      <c r="AJ63" s="32"/>
      <c r="AK63" s="32"/>
      <c r="AL63" s="32"/>
      <c r="AM63" s="32"/>
      <c r="AN63" s="32"/>
      <c r="AO63" s="32"/>
      <c r="AP63" s="32"/>
    </row>
    <row r="64" ht="17.25" customHeight="1">
      <c r="A64" s="70"/>
      <c r="B64" s="63" t="s">
        <v>258</v>
      </c>
      <c r="C64" s="64" t="s">
        <v>347</v>
      </c>
      <c r="D64" s="64" t="s">
        <v>348</v>
      </c>
      <c r="E64" s="64" t="s">
        <v>70</v>
      </c>
      <c r="F64" s="65" t="s">
        <v>32</v>
      </c>
      <c r="G64" s="65" t="s">
        <v>80</v>
      </c>
      <c r="H64" s="65" t="str">
        <f t="shared" si="2"/>
        <v>NOT_STARTED</v>
      </c>
      <c r="I64" s="65" t="s">
        <v>43</v>
      </c>
      <c r="J64" s="65" t="s">
        <v>72</v>
      </c>
      <c r="K64" s="65" t="s">
        <v>43</v>
      </c>
      <c r="L64" s="66" t="s">
        <v>349</v>
      </c>
      <c r="M64" s="66" t="s">
        <v>74</v>
      </c>
      <c r="N64" s="66"/>
      <c r="O64" s="66" t="s">
        <v>16</v>
      </c>
      <c r="P64" s="67"/>
      <c r="Q64" s="68" t="s">
        <v>350</v>
      </c>
      <c r="R64" s="68" t="s">
        <v>351</v>
      </c>
      <c r="S64" s="69" t="s">
        <v>77</v>
      </c>
      <c r="T64" s="32"/>
      <c r="U64" s="32"/>
      <c r="V64" s="32"/>
      <c r="W64" s="32"/>
      <c r="X64" s="32"/>
      <c r="Y64" s="32"/>
      <c r="Z64" s="32"/>
      <c r="AA64" s="32"/>
      <c r="AB64" s="32"/>
      <c r="AC64" s="32"/>
      <c r="AD64" s="32"/>
      <c r="AE64" s="32"/>
      <c r="AF64" s="32"/>
      <c r="AG64" s="32"/>
      <c r="AH64" s="32"/>
      <c r="AI64" s="32"/>
      <c r="AJ64" s="32"/>
      <c r="AK64" s="32"/>
      <c r="AL64" s="32"/>
      <c r="AM64" s="32"/>
      <c r="AN64" s="32"/>
      <c r="AO64" s="32"/>
      <c r="AP64" s="32"/>
    </row>
    <row r="65" ht="17.25" customHeight="1">
      <c r="A65" s="70"/>
      <c r="B65" s="70"/>
      <c r="C65" s="64" t="s">
        <v>352</v>
      </c>
      <c r="D65" s="64" t="s">
        <v>353</v>
      </c>
      <c r="E65" s="64" t="s">
        <v>70</v>
      </c>
      <c r="F65" s="65" t="s">
        <v>32</v>
      </c>
      <c r="G65" s="65" t="s">
        <v>80</v>
      </c>
      <c r="H65" s="65" t="str">
        <f t="shared" si="2"/>
        <v>NOT_STARTED</v>
      </c>
      <c r="I65" s="65" t="s">
        <v>43</v>
      </c>
      <c r="J65" s="65" t="s">
        <v>72</v>
      </c>
      <c r="K65" s="65" t="s">
        <v>43</v>
      </c>
      <c r="L65" s="66" t="s">
        <v>261</v>
      </c>
      <c r="M65" s="66" t="s">
        <v>74</v>
      </c>
      <c r="N65" s="66"/>
      <c r="O65" s="66" t="s">
        <v>16</v>
      </c>
      <c r="P65" s="67"/>
      <c r="Q65" s="68" t="s">
        <v>354</v>
      </c>
      <c r="R65" s="68" t="s">
        <v>355</v>
      </c>
      <c r="S65" s="69" t="s">
        <v>77</v>
      </c>
      <c r="T65" s="32"/>
      <c r="U65" s="32"/>
      <c r="V65" s="32"/>
      <c r="W65" s="32"/>
      <c r="X65" s="32"/>
      <c r="Y65" s="32"/>
      <c r="Z65" s="32"/>
      <c r="AA65" s="32"/>
      <c r="AB65" s="32"/>
      <c r="AC65" s="32"/>
      <c r="AD65" s="32"/>
      <c r="AE65" s="32"/>
      <c r="AF65" s="32"/>
      <c r="AG65" s="32"/>
      <c r="AH65" s="32"/>
      <c r="AI65" s="32"/>
      <c r="AJ65" s="32"/>
      <c r="AK65" s="32"/>
      <c r="AL65" s="32"/>
      <c r="AM65" s="32"/>
      <c r="AN65" s="32"/>
      <c r="AO65" s="32"/>
      <c r="AP65" s="32"/>
    </row>
    <row r="66" ht="17.25" customHeight="1">
      <c r="A66" s="70"/>
      <c r="B66" s="70"/>
      <c r="C66" s="64" t="s">
        <v>356</v>
      </c>
      <c r="D66" s="64" t="s">
        <v>357</v>
      </c>
      <c r="E66" s="64" t="s">
        <v>70</v>
      </c>
      <c r="F66" s="65" t="s">
        <v>32</v>
      </c>
      <c r="G66" s="65" t="s">
        <v>80</v>
      </c>
      <c r="H66" s="65" t="str">
        <f t="shared" si="2"/>
        <v>NOT_STARTED</v>
      </c>
      <c r="I66" s="65" t="s">
        <v>43</v>
      </c>
      <c r="J66" s="65" t="s">
        <v>72</v>
      </c>
      <c r="K66" s="65" t="s">
        <v>43</v>
      </c>
      <c r="L66" s="66" t="s">
        <v>274</v>
      </c>
      <c r="M66" s="66" t="s">
        <v>74</v>
      </c>
      <c r="N66" s="66"/>
      <c r="O66" s="66" t="s">
        <v>16</v>
      </c>
      <c r="P66" s="67" t="s">
        <v>358</v>
      </c>
      <c r="Q66" s="68" t="s">
        <v>359</v>
      </c>
      <c r="R66" s="68" t="s">
        <v>360</v>
      </c>
      <c r="S66" s="69" t="s">
        <v>77</v>
      </c>
      <c r="T66" s="32"/>
      <c r="U66" s="32"/>
      <c r="V66" s="32"/>
      <c r="W66" s="32"/>
      <c r="X66" s="32"/>
      <c r="Y66" s="32"/>
      <c r="Z66" s="32"/>
      <c r="AA66" s="32"/>
      <c r="AB66" s="32"/>
      <c r="AC66" s="32"/>
      <c r="AD66" s="32"/>
      <c r="AE66" s="32"/>
      <c r="AF66" s="32"/>
      <c r="AG66" s="32"/>
      <c r="AH66" s="32"/>
      <c r="AI66" s="32"/>
      <c r="AJ66" s="32"/>
      <c r="AK66" s="32"/>
      <c r="AL66" s="32"/>
      <c r="AM66" s="32"/>
      <c r="AN66" s="32"/>
      <c r="AO66" s="32"/>
      <c r="AP66" s="32"/>
    </row>
    <row r="67" ht="17.25" customHeight="1">
      <c r="A67" s="70"/>
      <c r="B67" s="70"/>
      <c r="C67" s="64" t="s">
        <v>361</v>
      </c>
      <c r="D67" s="64" t="s">
        <v>362</v>
      </c>
      <c r="E67" s="73" t="s">
        <v>174</v>
      </c>
      <c r="F67" s="65" t="s">
        <v>32</v>
      </c>
      <c r="G67" s="65" t="s">
        <v>80</v>
      </c>
      <c r="H67" s="65" t="str">
        <f t="shared" si="2"/>
        <v>NOT_STARTED</v>
      </c>
      <c r="I67" s="65" t="s">
        <v>43</v>
      </c>
      <c r="J67" s="65" t="s">
        <v>72</v>
      </c>
      <c r="K67" s="65" t="s">
        <v>43</v>
      </c>
      <c r="L67" s="66" t="s">
        <v>363</v>
      </c>
      <c r="M67" s="66" t="s">
        <v>74</v>
      </c>
      <c r="N67" s="66"/>
      <c r="O67" s="66" t="s">
        <v>16</v>
      </c>
      <c r="P67" s="67" t="s">
        <v>364</v>
      </c>
      <c r="Q67" s="68" t="s">
        <v>365</v>
      </c>
      <c r="R67" s="68" t="s">
        <v>366</v>
      </c>
      <c r="S67" s="69" t="s">
        <v>367</v>
      </c>
      <c r="T67" s="32"/>
      <c r="U67" s="32"/>
      <c r="V67" s="32"/>
      <c r="W67" s="32"/>
      <c r="X67" s="32"/>
      <c r="Y67" s="32"/>
      <c r="Z67" s="32"/>
      <c r="AA67" s="32"/>
      <c r="AB67" s="32"/>
      <c r="AC67" s="32"/>
      <c r="AD67" s="32"/>
      <c r="AE67" s="32"/>
      <c r="AF67" s="32"/>
      <c r="AG67" s="32"/>
      <c r="AH67" s="32"/>
      <c r="AI67" s="32"/>
      <c r="AJ67" s="32"/>
      <c r="AK67" s="32"/>
      <c r="AL67" s="32"/>
      <c r="AM67" s="32"/>
      <c r="AN67" s="32"/>
      <c r="AO67" s="32"/>
      <c r="AP67" s="32"/>
    </row>
    <row r="68" ht="17.25" customHeight="1">
      <c r="A68" s="70"/>
      <c r="B68" s="15"/>
      <c r="C68" s="73" t="s">
        <v>368</v>
      </c>
      <c r="D68" s="73" t="s">
        <v>369</v>
      </c>
      <c r="E68" s="64" t="s">
        <v>70</v>
      </c>
      <c r="F68" s="74" t="s">
        <v>31</v>
      </c>
      <c r="G68" s="74" t="s">
        <v>71</v>
      </c>
      <c r="H68" s="65" t="str">
        <f t="shared" si="2"/>
        <v>NOT_STARTED</v>
      </c>
      <c r="I68" s="65" t="s">
        <v>43</v>
      </c>
      <c r="J68" s="65" t="s">
        <v>72</v>
      </c>
      <c r="K68" s="75" t="s">
        <v>43</v>
      </c>
      <c r="L68" s="76" t="s">
        <v>370</v>
      </c>
      <c r="M68" s="66" t="s">
        <v>74</v>
      </c>
      <c r="N68" s="66"/>
      <c r="O68" s="66" t="s">
        <v>16</v>
      </c>
      <c r="P68" s="77" t="s">
        <v>371</v>
      </c>
      <c r="Q68" s="78" t="s">
        <v>372</v>
      </c>
      <c r="R68" s="78" t="s">
        <v>373</v>
      </c>
      <c r="S68" s="90" t="s">
        <v>135</v>
      </c>
      <c r="T68" s="32"/>
      <c r="U68" s="32"/>
      <c r="V68" s="32"/>
      <c r="W68" s="32"/>
      <c r="X68" s="32"/>
      <c r="Y68" s="32"/>
      <c r="Z68" s="32"/>
      <c r="AA68" s="32"/>
      <c r="AB68" s="32"/>
      <c r="AC68" s="32"/>
      <c r="AD68" s="32"/>
      <c r="AE68" s="32"/>
      <c r="AF68" s="32"/>
      <c r="AG68" s="32"/>
      <c r="AH68" s="32"/>
      <c r="AI68" s="32"/>
      <c r="AJ68" s="32"/>
      <c r="AK68" s="32"/>
      <c r="AL68" s="32"/>
      <c r="AM68" s="32"/>
      <c r="AN68" s="32"/>
      <c r="AO68" s="32"/>
      <c r="AP68" s="32"/>
    </row>
    <row r="69" ht="17.25" customHeight="1">
      <c r="A69" s="70"/>
      <c r="B69" s="63" t="s">
        <v>320</v>
      </c>
      <c r="C69" s="73" t="s">
        <v>374</v>
      </c>
      <c r="D69" s="64" t="s">
        <v>375</v>
      </c>
      <c r="E69" s="64" t="s">
        <v>70</v>
      </c>
      <c r="F69" s="65" t="s">
        <v>32</v>
      </c>
      <c r="G69" s="65" t="s">
        <v>80</v>
      </c>
      <c r="H69" s="65" t="str">
        <f t="shared" si="2"/>
        <v>NOT_STARTED</v>
      </c>
      <c r="I69" s="65" t="s">
        <v>43</v>
      </c>
      <c r="J69" s="65" t="s">
        <v>72</v>
      </c>
      <c r="K69" s="65" t="s">
        <v>43</v>
      </c>
      <c r="L69" s="66" t="s">
        <v>376</v>
      </c>
      <c r="M69" s="66" t="s">
        <v>74</v>
      </c>
      <c r="N69" s="66"/>
      <c r="O69" s="66" t="s">
        <v>16</v>
      </c>
      <c r="P69" s="67"/>
      <c r="Q69" s="68" t="s">
        <v>377</v>
      </c>
      <c r="R69" s="68" t="s">
        <v>378</v>
      </c>
      <c r="S69" s="69" t="s">
        <v>150</v>
      </c>
      <c r="T69" s="32"/>
      <c r="U69" s="32"/>
      <c r="V69" s="32"/>
      <c r="W69" s="32"/>
      <c r="X69" s="32"/>
      <c r="Y69" s="32"/>
      <c r="Z69" s="32"/>
      <c r="AA69" s="32"/>
      <c r="AB69" s="32"/>
      <c r="AC69" s="32"/>
      <c r="AD69" s="32"/>
      <c r="AE69" s="32"/>
      <c r="AF69" s="32"/>
      <c r="AG69" s="32"/>
      <c r="AH69" s="32"/>
      <c r="AI69" s="32"/>
      <c r="AJ69" s="32"/>
      <c r="AK69" s="32"/>
      <c r="AL69" s="32"/>
      <c r="AM69" s="32"/>
      <c r="AN69" s="32"/>
      <c r="AO69" s="32"/>
      <c r="AP69" s="32"/>
    </row>
    <row r="70" ht="17.25" customHeight="1">
      <c r="A70" s="70"/>
      <c r="B70" s="70"/>
      <c r="C70" s="73" t="s">
        <v>379</v>
      </c>
      <c r="D70" s="64" t="s">
        <v>380</v>
      </c>
      <c r="E70" s="64" t="s">
        <v>70</v>
      </c>
      <c r="F70" s="65" t="s">
        <v>32</v>
      </c>
      <c r="G70" s="65" t="s">
        <v>80</v>
      </c>
      <c r="H70" s="65" t="str">
        <f t="shared" si="2"/>
        <v>NOT_STARTED</v>
      </c>
      <c r="I70" s="65" t="s">
        <v>43</v>
      </c>
      <c r="J70" s="65" t="s">
        <v>72</v>
      </c>
      <c r="K70" s="65" t="s">
        <v>43</v>
      </c>
      <c r="L70" s="66" t="s">
        <v>323</v>
      </c>
      <c r="M70" s="66" t="s">
        <v>74</v>
      </c>
      <c r="N70" s="66"/>
      <c r="O70" s="66" t="s">
        <v>16</v>
      </c>
      <c r="P70" s="67"/>
      <c r="Q70" s="68" t="s">
        <v>381</v>
      </c>
      <c r="R70" s="68" t="s">
        <v>382</v>
      </c>
      <c r="S70" s="69" t="s">
        <v>326</v>
      </c>
      <c r="T70" s="32"/>
      <c r="U70" s="32"/>
      <c r="V70" s="32"/>
      <c r="W70" s="32"/>
      <c r="X70" s="32"/>
      <c r="Y70" s="32"/>
      <c r="Z70" s="32"/>
      <c r="AA70" s="32"/>
      <c r="AB70" s="32"/>
      <c r="AC70" s="32"/>
      <c r="AD70" s="32"/>
      <c r="AE70" s="32"/>
      <c r="AF70" s="32"/>
      <c r="AG70" s="32"/>
      <c r="AH70" s="32"/>
      <c r="AI70" s="32"/>
      <c r="AJ70" s="32"/>
      <c r="AK70" s="32"/>
      <c r="AL70" s="32"/>
      <c r="AM70" s="32"/>
      <c r="AN70" s="32"/>
      <c r="AO70" s="32"/>
      <c r="AP70" s="32"/>
    </row>
    <row r="71" ht="17.25" customHeight="1">
      <c r="A71" s="70"/>
      <c r="B71" s="70"/>
      <c r="C71" s="73" t="s">
        <v>383</v>
      </c>
      <c r="D71" s="64" t="s">
        <v>384</v>
      </c>
      <c r="E71" s="64" t="s">
        <v>70</v>
      </c>
      <c r="F71" s="65" t="s">
        <v>32</v>
      </c>
      <c r="G71" s="65" t="s">
        <v>80</v>
      </c>
      <c r="H71" s="65" t="str">
        <f t="shared" si="2"/>
        <v>NOT_STARTED</v>
      </c>
      <c r="I71" s="65" t="s">
        <v>43</v>
      </c>
      <c r="J71" s="65" t="s">
        <v>72</v>
      </c>
      <c r="K71" s="65" t="s">
        <v>43</v>
      </c>
      <c r="L71" s="66" t="s">
        <v>323</v>
      </c>
      <c r="M71" s="66" t="s">
        <v>74</v>
      </c>
      <c r="N71" s="66"/>
      <c r="O71" s="66" t="s">
        <v>16</v>
      </c>
      <c r="P71" s="67"/>
      <c r="Q71" s="68" t="s">
        <v>385</v>
      </c>
      <c r="R71" s="68" t="s">
        <v>386</v>
      </c>
      <c r="S71" s="69" t="s">
        <v>326</v>
      </c>
      <c r="T71" s="32"/>
      <c r="U71" s="32"/>
      <c r="V71" s="32"/>
      <c r="W71" s="32"/>
      <c r="X71" s="32"/>
      <c r="Y71" s="32"/>
      <c r="Z71" s="32"/>
      <c r="AA71" s="32"/>
      <c r="AB71" s="32"/>
      <c r="AC71" s="32"/>
      <c r="AD71" s="32"/>
      <c r="AE71" s="32"/>
      <c r="AF71" s="32"/>
      <c r="AG71" s="32"/>
      <c r="AH71" s="32"/>
      <c r="AI71" s="32"/>
      <c r="AJ71" s="32"/>
      <c r="AK71" s="32"/>
      <c r="AL71" s="32"/>
      <c r="AM71" s="32"/>
      <c r="AN71" s="32"/>
      <c r="AO71" s="32"/>
      <c r="AP71" s="32"/>
    </row>
    <row r="72" ht="17.25" customHeight="1">
      <c r="A72" s="70"/>
      <c r="B72" s="70"/>
      <c r="C72" s="73" t="s">
        <v>387</v>
      </c>
      <c r="D72" s="64" t="s">
        <v>388</v>
      </c>
      <c r="E72" s="64" t="s">
        <v>70</v>
      </c>
      <c r="F72" s="65" t="s">
        <v>32</v>
      </c>
      <c r="G72" s="65" t="s">
        <v>80</v>
      </c>
      <c r="H72" s="65" t="str">
        <f t="shared" si="2"/>
        <v>NOT_STARTED</v>
      </c>
      <c r="I72" s="65" t="s">
        <v>43</v>
      </c>
      <c r="J72" s="65" t="s">
        <v>72</v>
      </c>
      <c r="K72" s="65" t="s">
        <v>43</v>
      </c>
      <c r="L72" s="66" t="s">
        <v>323</v>
      </c>
      <c r="M72" s="66" t="s">
        <v>74</v>
      </c>
      <c r="N72" s="66"/>
      <c r="O72" s="66" t="s">
        <v>16</v>
      </c>
      <c r="P72" s="67"/>
      <c r="Q72" s="68" t="s">
        <v>389</v>
      </c>
      <c r="R72" s="68" t="s">
        <v>390</v>
      </c>
      <c r="S72" s="69" t="s">
        <v>326</v>
      </c>
      <c r="T72" s="32"/>
      <c r="U72" s="32"/>
      <c r="V72" s="32"/>
      <c r="W72" s="32"/>
      <c r="X72" s="32"/>
      <c r="Y72" s="32"/>
      <c r="Z72" s="32"/>
      <c r="AA72" s="32"/>
      <c r="AB72" s="32"/>
      <c r="AC72" s="32"/>
      <c r="AD72" s="32"/>
      <c r="AE72" s="32"/>
      <c r="AF72" s="32"/>
      <c r="AG72" s="32"/>
      <c r="AH72" s="32"/>
      <c r="AI72" s="32"/>
      <c r="AJ72" s="32"/>
      <c r="AK72" s="32"/>
      <c r="AL72" s="32"/>
      <c r="AM72" s="32"/>
      <c r="AN72" s="32"/>
      <c r="AO72" s="32"/>
      <c r="AP72" s="32"/>
    </row>
    <row r="73" ht="17.25" customHeight="1">
      <c r="A73" s="70"/>
      <c r="B73" s="70"/>
      <c r="C73" s="73" t="s">
        <v>391</v>
      </c>
      <c r="D73" s="64" t="s">
        <v>392</v>
      </c>
      <c r="E73" s="64" t="s">
        <v>70</v>
      </c>
      <c r="F73" s="65" t="s">
        <v>32</v>
      </c>
      <c r="G73" s="65" t="s">
        <v>80</v>
      </c>
      <c r="H73" s="65" t="str">
        <f t="shared" si="2"/>
        <v>NOT_STARTED</v>
      </c>
      <c r="I73" s="65" t="s">
        <v>43</v>
      </c>
      <c r="J73" s="65" t="s">
        <v>72</v>
      </c>
      <c r="K73" s="65" t="s">
        <v>43</v>
      </c>
      <c r="L73" s="66" t="s">
        <v>393</v>
      </c>
      <c r="M73" s="66" t="s">
        <v>74</v>
      </c>
      <c r="N73" s="66"/>
      <c r="O73" s="66" t="s">
        <v>16</v>
      </c>
      <c r="P73" s="67"/>
      <c r="Q73" s="68" t="s">
        <v>394</v>
      </c>
      <c r="R73" s="68" t="s">
        <v>395</v>
      </c>
      <c r="S73" s="69" t="s">
        <v>337</v>
      </c>
      <c r="T73" s="32"/>
      <c r="U73" s="32"/>
      <c r="V73" s="32"/>
      <c r="W73" s="32"/>
      <c r="X73" s="32"/>
      <c r="Y73" s="32"/>
      <c r="Z73" s="32"/>
      <c r="AA73" s="32"/>
      <c r="AB73" s="32"/>
      <c r="AC73" s="32"/>
      <c r="AD73" s="32"/>
      <c r="AE73" s="32"/>
      <c r="AF73" s="32"/>
      <c r="AG73" s="32"/>
      <c r="AH73" s="32"/>
      <c r="AI73" s="32"/>
      <c r="AJ73" s="32"/>
      <c r="AK73" s="32"/>
      <c r="AL73" s="32"/>
      <c r="AM73" s="32"/>
      <c r="AN73" s="32"/>
      <c r="AO73" s="32"/>
      <c r="AP73" s="32"/>
    </row>
    <row r="74" ht="17.25" customHeight="1">
      <c r="A74" s="70"/>
      <c r="B74" s="70"/>
      <c r="C74" s="73" t="s">
        <v>396</v>
      </c>
      <c r="D74" s="64" t="s">
        <v>397</v>
      </c>
      <c r="E74" s="64" t="s">
        <v>70</v>
      </c>
      <c r="F74" s="65" t="s">
        <v>32</v>
      </c>
      <c r="G74" s="65" t="s">
        <v>80</v>
      </c>
      <c r="H74" s="65" t="str">
        <f t="shared" si="2"/>
        <v>NOT_STARTED</v>
      </c>
      <c r="I74" s="65" t="s">
        <v>43</v>
      </c>
      <c r="J74" s="65" t="s">
        <v>72</v>
      </c>
      <c r="K74" s="65" t="s">
        <v>43</v>
      </c>
      <c r="L74" s="66" t="s">
        <v>323</v>
      </c>
      <c r="M74" s="66" t="s">
        <v>74</v>
      </c>
      <c r="N74" s="66"/>
      <c r="O74" s="66" t="s">
        <v>16</v>
      </c>
      <c r="P74" s="67"/>
      <c r="Q74" s="68" t="s">
        <v>398</v>
      </c>
      <c r="R74" s="68" t="s">
        <v>399</v>
      </c>
      <c r="S74" s="69" t="s">
        <v>326</v>
      </c>
      <c r="T74" s="32"/>
      <c r="U74" s="32"/>
      <c r="V74" s="32"/>
      <c r="W74" s="32"/>
      <c r="X74" s="32"/>
      <c r="Y74" s="32"/>
      <c r="Z74" s="32"/>
      <c r="AA74" s="32"/>
      <c r="AB74" s="32"/>
      <c r="AC74" s="32"/>
      <c r="AD74" s="32"/>
      <c r="AE74" s="32"/>
      <c r="AF74" s="32"/>
      <c r="AG74" s="32"/>
      <c r="AH74" s="32"/>
      <c r="AI74" s="32"/>
      <c r="AJ74" s="32"/>
      <c r="AK74" s="32"/>
      <c r="AL74" s="32"/>
      <c r="AM74" s="32"/>
      <c r="AN74" s="32"/>
      <c r="AO74" s="32"/>
      <c r="AP74" s="32"/>
    </row>
    <row r="75" ht="17.25" customHeight="1">
      <c r="A75" s="70"/>
      <c r="B75" s="70"/>
      <c r="C75" s="73" t="s">
        <v>400</v>
      </c>
      <c r="D75" s="64" t="s">
        <v>401</v>
      </c>
      <c r="E75" s="64" t="s">
        <v>70</v>
      </c>
      <c r="F75" s="65" t="s">
        <v>32</v>
      </c>
      <c r="G75" s="65" t="s">
        <v>80</v>
      </c>
      <c r="H75" s="65" t="str">
        <f t="shared" si="2"/>
        <v>NOT_STARTED</v>
      </c>
      <c r="I75" s="65" t="s">
        <v>43</v>
      </c>
      <c r="J75" s="65" t="s">
        <v>72</v>
      </c>
      <c r="K75" s="65" t="s">
        <v>43</v>
      </c>
      <c r="L75" s="66" t="s">
        <v>402</v>
      </c>
      <c r="M75" s="66" t="s">
        <v>74</v>
      </c>
      <c r="N75" s="66"/>
      <c r="O75" s="66" t="s">
        <v>16</v>
      </c>
      <c r="P75" s="67"/>
      <c r="Q75" s="68" t="s">
        <v>403</v>
      </c>
      <c r="R75" s="68" t="s">
        <v>404</v>
      </c>
      <c r="S75" s="69" t="s">
        <v>405</v>
      </c>
      <c r="T75" s="32"/>
      <c r="U75" s="32"/>
      <c r="V75" s="32"/>
      <c r="W75" s="32"/>
      <c r="X75" s="32"/>
      <c r="Y75" s="32"/>
      <c r="Z75" s="32"/>
      <c r="AA75" s="32"/>
      <c r="AB75" s="32"/>
      <c r="AC75" s="32"/>
      <c r="AD75" s="32"/>
      <c r="AE75" s="32"/>
      <c r="AF75" s="32"/>
      <c r="AG75" s="32"/>
      <c r="AH75" s="32"/>
      <c r="AI75" s="32"/>
      <c r="AJ75" s="32"/>
      <c r="AK75" s="32"/>
      <c r="AL75" s="32"/>
      <c r="AM75" s="32"/>
      <c r="AN75" s="32"/>
      <c r="AO75" s="32"/>
      <c r="AP75" s="32"/>
    </row>
    <row r="76" ht="17.25" customHeight="1">
      <c r="A76" s="70"/>
      <c r="B76" s="15"/>
      <c r="C76" s="73" t="s">
        <v>406</v>
      </c>
      <c r="D76" s="64" t="s">
        <v>407</v>
      </c>
      <c r="E76" s="64" t="s">
        <v>70</v>
      </c>
      <c r="F76" s="65" t="s">
        <v>32</v>
      </c>
      <c r="G76" s="65" t="s">
        <v>80</v>
      </c>
      <c r="H76" s="65" t="str">
        <f t="shared" si="2"/>
        <v>NOT_STARTED</v>
      </c>
      <c r="I76" s="65" t="s">
        <v>43</v>
      </c>
      <c r="J76" s="65" t="s">
        <v>72</v>
      </c>
      <c r="K76" s="75" t="s">
        <v>43</v>
      </c>
      <c r="L76" s="66" t="s">
        <v>408</v>
      </c>
      <c r="M76" s="66" t="s">
        <v>74</v>
      </c>
      <c r="N76" s="66"/>
      <c r="O76" s="66" t="s">
        <v>16</v>
      </c>
      <c r="P76" s="67"/>
      <c r="Q76" s="68" t="s">
        <v>409</v>
      </c>
      <c r="R76" s="68" t="s">
        <v>410</v>
      </c>
      <c r="S76" s="69" t="s">
        <v>411</v>
      </c>
      <c r="T76" s="32"/>
      <c r="U76" s="32"/>
      <c r="V76" s="32"/>
      <c r="W76" s="32"/>
      <c r="X76" s="32"/>
      <c r="Y76" s="32"/>
      <c r="Z76" s="32"/>
      <c r="AA76" s="32"/>
      <c r="AB76" s="32"/>
      <c r="AC76" s="32"/>
      <c r="AD76" s="32"/>
      <c r="AE76" s="32"/>
      <c r="AF76" s="32"/>
      <c r="AG76" s="32"/>
      <c r="AH76" s="32"/>
      <c r="AI76" s="32"/>
      <c r="AJ76" s="32"/>
      <c r="AK76" s="32"/>
      <c r="AL76" s="32"/>
      <c r="AM76" s="32"/>
      <c r="AN76" s="32"/>
      <c r="AO76" s="32"/>
      <c r="AP76" s="32"/>
    </row>
    <row r="77" ht="17.25" customHeight="1">
      <c r="A77" s="70"/>
      <c r="B77" s="72" t="s">
        <v>412</v>
      </c>
      <c r="C77" s="73" t="s">
        <v>413</v>
      </c>
      <c r="D77" s="89" t="s">
        <v>414</v>
      </c>
      <c r="E77" s="64" t="s">
        <v>70</v>
      </c>
      <c r="F77" s="74" t="s">
        <v>31</v>
      </c>
      <c r="G77" s="74" t="s">
        <v>71</v>
      </c>
      <c r="H77" s="65" t="str">
        <f t="shared" si="2"/>
        <v>NOT_STARTED</v>
      </c>
      <c r="I77" s="65" t="s">
        <v>43</v>
      </c>
      <c r="J77" s="65" t="s">
        <v>72</v>
      </c>
      <c r="K77" s="75" t="s">
        <v>43</v>
      </c>
      <c r="L77" s="76" t="s">
        <v>415</v>
      </c>
      <c r="M77" s="66" t="s">
        <v>74</v>
      </c>
      <c r="N77" s="66"/>
      <c r="O77" s="66" t="s">
        <v>16</v>
      </c>
      <c r="P77" s="77" t="s">
        <v>416</v>
      </c>
      <c r="Q77" s="78" t="s">
        <v>417</v>
      </c>
      <c r="R77" s="78" t="s">
        <v>418</v>
      </c>
      <c r="S77" s="90" t="s">
        <v>135</v>
      </c>
      <c r="T77" s="32"/>
      <c r="U77" s="32"/>
      <c r="V77" s="32"/>
      <c r="W77" s="32"/>
      <c r="X77" s="32"/>
      <c r="Y77" s="32"/>
      <c r="Z77" s="32"/>
      <c r="AA77" s="32"/>
      <c r="AB77" s="32"/>
      <c r="AC77" s="32"/>
      <c r="AD77" s="32"/>
      <c r="AE77" s="32"/>
      <c r="AF77" s="32"/>
      <c r="AG77" s="32"/>
      <c r="AH77" s="32"/>
      <c r="AI77" s="32"/>
      <c r="AJ77" s="32"/>
      <c r="AK77" s="32"/>
      <c r="AL77" s="32"/>
      <c r="AM77" s="32"/>
      <c r="AN77" s="32"/>
      <c r="AO77" s="32"/>
      <c r="AP77" s="32"/>
    </row>
    <row r="78" ht="17.25" customHeight="1">
      <c r="A78" s="15"/>
      <c r="B78" s="72" t="s">
        <v>419</v>
      </c>
      <c r="C78" s="73" t="s">
        <v>420</v>
      </c>
      <c r="D78" s="73" t="s">
        <v>421</v>
      </c>
      <c r="E78" s="64" t="s">
        <v>70</v>
      </c>
      <c r="F78" s="74" t="s">
        <v>31</v>
      </c>
      <c r="G78" s="74" t="s">
        <v>80</v>
      </c>
      <c r="H78" s="65" t="str">
        <f t="shared" si="2"/>
        <v>NOT_STARTED</v>
      </c>
      <c r="I78" s="65" t="s">
        <v>43</v>
      </c>
      <c r="J78" s="65" t="s">
        <v>72</v>
      </c>
      <c r="K78" s="75" t="s">
        <v>43</v>
      </c>
      <c r="L78" s="76" t="s">
        <v>422</v>
      </c>
      <c r="M78" s="66" t="s">
        <v>74</v>
      </c>
      <c r="N78" s="66"/>
      <c r="O78" s="66" t="s">
        <v>16</v>
      </c>
      <c r="P78" s="77" t="s">
        <v>423</v>
      </c>
      <c r="Q78" s="78" t="s">
        <v>423</v>
      </c>
      <c r="R78" s="78" t="s">
        <v>424</v>
      </c>
      <c r="S78" s="90" t="s">
        <v>135</v>
      </c>
      <c r="T78" s="32"/>
      <c r="U78" s="32"/>
      <c r="V78" s="32"/>
      <c r="W78" s="32"/>
      <c r="X78" s="32"/>
      <c r="Y78" s="32"/>
      <c r="Z78" s="32"/>
      <c r="AA78" s="32"/>
      <c r="AB78" s="32"/>
      <c r="AC78" s="32"/>
      <c r="AD78" s="32"/>
      <c r="AE78" s="32"/>
      <c r="AF78" s="32"/>
      <c r="AG78" s="32"/>
      <c r="AH78" s="32"/>
      <c r="AI78" s="32"/>
      <c r="AJ78" s="32"/>
      <c r="AK78" s="32"/>
      <c r="AL78" s="32"/>
      <c r="AM78" s="32"/>
      <c r="AN78" s="32"/>
      <c r="AO78" s="32"/>
      <c r="AP78" s="32"/>
    </row>
    <row r="79" ht="16.5" customHeight="1">
      <c r="A79" s="62" t="s">
        <v>425</v>
      </c>
      <c r="B79" s="82" t="s">
        <v>426</v>
      </c>
      <c r="C79" s="64" t="s">
        <v>427</v>
      </c>
      <c r="D79" s="64" t="s">
        <v>428</v>
      </c>
      <c r="E79" s="64" t="s">
        <v>70</v>
      </c>
      <c r="F79" s="65" t="s">
        <v>31</v>
      </c>
      <c r="G79" s="65" t="s">
        <v>80</v>
      </c>
      <c r="H79" s="65" t="str">
        <f t="shared" si="2"/>
        <v>NOT_STARTED</v>
      </c>
      <c r="I79" s="65" t="s">
        <v>43</v>
      </c>
      <c r="J79" s="65" t="s">
        <v>72</v>
      </c>
      <c r="K79" s="65" t="s">
        <v>43</v>
      </c>
      <c r="L79" s="66" t="s">
        <v>429</v>
      </c>
      <c r="M79" s="66" t="s">
        <v>74</v>
      </c>
      <c r="N79" s="66"/>
      <c r="O79" s="66" t="s">
        <v>16</v>
      </c>
      <c r="P79" s="67" t="s">
        <v>430</v>
      </c>
      <c r="Q79" s="68" t="s">
        <v>431</v>
      </c>
      <c r="R79" s="68" t="s">
        <v>432</v>
      </c>
      <c r="S79" s="69" t="s">
        <v>433</v>
      </c>
      <c r="T79" s="32"/>
      <c r="U79" s="32"/>
      <c r="V79" s="32"/>
      <c r="W79" s="32"/>
      <c r="X79" s="32"/>
      <c r="Y79" s="32"/>
      <c r="Z79" s="32"/>
      <c r="AA79" s="32"/>
      <c r="AB79" s="32"/>
      <c r="AC79" s="32"/>
      <c r="AD79" s="32"/>
      <c r="AE79" s="32"/>
      <c r="AF79" s="32"/>
      <c r="AG79" s="32"/>
      <c r="AH79" s="32"/>
      <c r="AI79" s="32"/>
      <c r="AJ79" s="32"/>
      <c r="AK79" s="32"/>
      <c r="AL79" s="32"/>
      <c r="AM79" s="32"/>
      <c r="AN79" s="32"/>
      <c r="AO79" s="32"/>
      <c r="AP79" s="32"/>
    </row>
    <row r="80" ht="16.5" customHeight="1">
      <c r="A80" s="70"/>
      <c r="B80" s="82" t="s">
        <v>434</v>
      </c>
      <c r="C80" s="64" t="s">
        <v>435</v>
      </c>
      <c r="D80" s="64" t="s">
        <v>436</v>
      </c>
      <c r="E80" s="81" t="s">
        <v>70</v>
      </c>
      <c r="F80" s="65" t="s">
        <v>32</v>
      </c>
      <c r="G80" s="65" t="s">
        <v>80</v>
      </c>
      <c r="H80" s="65" t="str">
        <f t="shared" si="2"/>
        <v>NOT_STARTED</v>
      </c>
      <c r="I80" s="65" t="s">
        <v>43</v>
      </c>
      <c r="J80" s="65" t="s">
        <v>72</v>
      </c>
      <c r="K80" s="65" t="s">
        <v>43</v>
      </c>
      <c r="L80" s="66" t="s">
        <v>437</v>
      </c>
      <c r="M80" s="66" t="s">
        <v>74</v>
      </c>
      <c r="N80" s="66"/>
      <c r="O80" s="66" t="s">
        <v>16</v>
      </c>
      <c r="P80" s="67"/>
      <c r="Q80" s="68" t="s">
        <v>438</v>
      </c>
      <c r="R80" s="68" t="s">
        <v>439</v>
      </c>
      <c r="S80" s="69" t="s">
        <v>440</v>
      </c>
      <c r="T80" s="32"/>
      <c r="U80" s="32"/>
      <c r="V80" s="32"/>
      <c r="W80" s="32"/>
      <c r="X80" s="32"/>
      <c r="Y80" s="32"/>
      <c r="Z80" s="32"/>
      <c r="AA80" s="32"/>
      <c r="AB80" s="32"/>
      <c r="AC80" s="32"/>
      <c r="AD80" s="32"/>
      <c r="AE80" s="32"/>
      <c r="AF80" s="32"/>
      <c r="AG80" s="32"/>
      <c r="AH80" s="32"/>
      <c r="AI80" s="32"/>
      <c r="AJ80" s="32"/>
      <c r="AK80" s="32"/>
      <c r="AL80" s="32"/>
      <c r="AM80" s="32"/>
      <c r="AN80" s="32"/>
      <c r="AO80" s="32"/>
      <c r="AP80" s="32"/>
    </row>
    <row r="81" ht="16.5" customHeight="1">
      <c r="A81" s="15"/>
      <c r="B81" s="91" t="s">
        <v>441</v>
      </c>
      <c r="C81" s="81" t="s">
        <v>442</v>
      </c>
      <c r="D81" s="81" t="s">
        <v>443</v>
      </c>
      <c r="E81" s="81" t="s">
        <v>70</v>
      </c>
      <c r="F81" s="65" t="s">
        <v>32</v>
      </c>
      <c r="G81" s="65" t="s">
        <v>80</v>
      </c>
      <c r="H81" s="65" t="str">
        <f t="shared" si="2"/>
        <v>NOT_STARTED</v>
      </c>
      <c r="I81" s="65" t="s">
        <v>43</v>
      </c>
      <c r="J81" s="65" t="s">
        <v>72</v>
      </c>
      <c r="K81" s="87" t="s">
        <v>43</v>
      </c>
      <c r="L81" s="84" t="s">
        <v>444</v>
      </c>
      <c r="M81" s="84" t="s">
        <v>74</v>
      </c>
      <c r="N81" s="85"/>
      <c r="O81" s="84" t="s">
        <v>16</v>
      </c>
      <c r="P81" s="81" t="s">
        <v>445</v>
      </c>
      <c r="Q81" s="86" t="s">
        <v>446</v>
      </c>
      <c r="R81" s="86" t="s">
        <v>447</v>
      </c>
      <c r="S81" s="69" t="s">
        <v>448</v>
      </c>
      <c r="T81" s="4"/>
      <c r="U81" s="4"/>
      <c r="V81" s="4"/>
      <c r="W81" s="4"/>
      <c r="X81" s="4"/>
      <c r="Y81" s="4"/>
      <c r="Z81" s="4"/>
      <c r="AA81" s="4"/>
      <c r="AB81" s="4"/>
      <c r="AC81" s="4"/>
      <c r="AD81" s="4"/>
      <c r="AE81" s="4"/>
      <c r="AF81" s="4"/>
      <c r="AG81" s="4"/>
      <c r="AH81" s="4"/>
      <c r="AI81" s="4"/>
      <c r="AJ81" s="4"/>
      <c r="AK81" s="4"/>
      <c r="AL81" s="4"/>
      <c r="AM81" s="4"/>
      <c r="AN81" s="4"/>
      <c r="AO81" s="4"/>
      <c r="AP81" s="4"/>
    </row>
    <row r="82" ht="17.25" customHeight="1">
      <c r="A82" s="62" t="s">
        <v>449</v>
      </c>
      <c r="B82" s="63" t="s">
        <v>450</v>
      </c>
      <c r="C82" s="64" t="s">
        <v>451</v>
      </c>
      <c r="D82" s="64" t="s">
        <v>452</v>
      </c>
      <c r="E82" s="64" t="s">
        <v>70</v>
      </c>
      <c r="F82" s="65" t="s">
        <v>32</v>
      </c>
      <c r="G82" s="65" t="s">
        <v>80</v>
      </c>
      <c r="H82" s="65" t="str">
        <f t="shared" si="2"/>
        <v>NOT_STARTED</v>
      </c>
      <c r="I82" s="65" t="s">
        <v>43</v>
      </c>
      <c r="J82" s="65" t="s">
        <v>72</v>
      </c>
      <c r="K82" s="65" t="s">
        <v>43</v>
      </c>
      <c r="L82" s="66" t="s">
        <v>453</v>
      </c>
      <c r="M82" s="66" t="s">
        <v>74</v>
      </c>
      <c r="N82" s="66"/>
      <c r="O82" s="66" t="s">
        <v>16</v>
      </c>
      <c r="P82" s="67"/>
      <c r="Q82" s="68" t="s">
        <v>454</v>
      </c>
      <c r="R82" s="68" t="s">
        <v>455</v>
      </c>
      <c r="S82" s="69" t="s">
        <v>456</v>
      </c>
      <c r="T82" s="32"/>
      <c r="U82" s="32"/>
      <c r="V82" s="32"/>
      <c r="W82" s="32"/>
      <c r="X82" s="32"/>
      <c r="Y82" s="32"/>
      <c r="Z82" s="32"/>
      <c r="AA82" s="32"/>
      <c r="AB82" s="32"/>
      <c r="AC82" s="32"/>
      <c r="AD82" s="32"/>
      <c r="AE82" s="32"/>
      <c r="AF82" s="32"/>
      <c r="AG82" s="32"/>
      <c r="AH82" s="32"/>
      <c r="AI82" s="32"/>
      <c r="AJ82" s="32"/>
      <c r="AK82" s="32"/>
      <c r="AL82" s="32"/>
      <c r="AM82" s="32"/>
      <c r="AN82" s="32"/>
      <c r="AO82" s="32"/>
      <c r="AP82" s="32"/>
    </row>
    <row r="83" ht="17.25" customHeight="1">
      <c r="A83" s="70"/>
      <c r="B83" s="70"/>
      <c r="C83" s="64" t="s">
        <v>457</v>
      </c>
      <c r="D83" s="64" t="s">
        <v>458</v>
      </c>
      <c r="E83" s="64" t="s">
        <v>70</v>
      </c>
      <c r="F83" s="65" t="s">
        <v>32</v>
      </c>
      <c r="G83" s="65" t="s">
        <v>80</v>
      </c>
      <c r="H83" s="65" t="str">
        <f t="shared" si="2"/>
        <v>NOT_STARTED</v>
      </c>
      <c r="I83" s="74" t="s">
        <v>43</v>
      </c>
      <c r="J83" s="65" t="s">
        <v>72</v>
      </c>
      <c r="K83" s="65" t="s">
        <v>43</v>
      </c>
      <c r="L83" s="66" t="s">
        <v>459</v>
      </c>
      <c r="M83" s="66" t="s">
        <v>74</v>
      </c>
      <c r="N83" s="66"/>
      <c r="O83" s="66" t="s">
        <v>16</v>
      </c>
      <c r="P83" s="67"/>
      <c r="Q83" s="68" t="s">
        <v>460</v>
      </c>
      <c r="R83" s="68" t="s">
        <v>461</v>
      </c>
      <c r="S83" s="69" t="s">
        <v>456</v>
      </c>
      <c r="T83" s="32"/>
      <c r="U83" s="32"/>
      <c r="V83" s="32"/>
      <c r="W83" s="32"/>
      <c r="X83" s="32"/>
      <c r="Y83" s="32"/>
      <c r="Z83" s="32"/>
      <c r="AA83" s="32"/>
      <c r="AB83" s="32"/>
      <c r="AC83" s="32"/>
      <c r="AD83" s="32"/>
      <c r="AE83" s="32"/>
      <c r="AF83" s="32"/>
      <c r="AG83" s="32"/>
      <c r="AH83" s="32"/>
      <c r="AI83" s="32"/>
      <c r="AJ83" s="32"/>
      <c r="AK83" s="32"/>
      <c r="AL83" s="32"/>
      <c r="AM83" s="32"/>
      <c r="AN83" s="32"/>
      <c r="AO83" s="32"/>
      <c r="AP83" s="32"/>
    </row>
    <row r="84" ht="17.25" customHeight="1">
      <c r="A84" s="15"/>
      <c r="B84" s="15"/>
      <c r="C84" s="64" t="s">
        <v>462</v>
      </c>
      <c r="D84" s="64" t="s">
        <v>463</v>
      </c>
      <c r="E84" s="64" t="s">
        <v>70</v>
      </c>
      <c r="F84" s="65" t="s">
        <v>33</v>
      </c>
      <c r="G84" s="65" t="s">
        <v>175</v>
      </c>
      <c r="H84" s="65" t="str">
        <f t="shared" si="2"/>
        <v>NOT_STARTED</v>
      </c>
      <c r="I84" s="65" t="s">
        <v>43</v>
      </c>
      <c r="J84" s="65" t="s">
        <v>72</v>
      </c>
      <c r="K84" s="65" t="s">
        <v>43</v>
      </c>
      <c r="L84" s="66" t="s">
        <v>453</v>
      </c>
      <c r="M84" s="66" t="s">
        <v>74</v>
      </c>
      <c r="N84" s="66"/>
      <c r="O84" s="66" t="s">
        <v>16</v>
      </c>
      <c r="P84" s="67"/>
      <c r="Q84" s="68" t="s">
        <v>464</v>
      </c>
      <c r="R84" s="68" t="s">
        <v>465</v>
      </c>
      <c r="S84" s="69" t="s">
        <v>456</v>
      </c>
      <c r="T84" s="32"/>
      <c r="U84" s="32"/>
      <c r="V84" s="32"/>
      <c r="W84" s="32"/>
      <c r="X84" s="32"/>
      <c r="Y84" s="32"/>
      <c r="Z84" s="32"/>
      <c r="AA84" s="32"/>
      <c r="AB84" s="32"/>
      <c r="AC84" s="32"/>
      <c r="AD84" s="32"/>
      <c r="AE84" s="32"/>
      <c r="AF84" s="32"/>
      <c r="AG84" s="32"/>
      <c r="AH84" s="32"/>
      <c r="AI84" s="32"/>
      <c r="AJ84" s="32"/>
      <c r="AK84" s="32"/>
      <c r="AL84" s="32"/>
      <c r="AM84" s="32"/>
      <c r="AN84" s="32"/>
      <c r="AO84" s="32"/>
      <c r="AP84" s="32"/>
    </row>
    <row r="85" ht="17.25" customHeight="1">
      <c r="A85" s="62" t="s">
        <v>466</v>
      </c>
      <c r="B85" s="63" t="s">
        <v>467</v>
      </c>
      <c r="C85" s="64" t="s">
        <v>468</v>
      </c>
      <c r="D85" s="64" t="s">
        <v>469</v>
      </c>
      <c r="E85" s="64" t="s">
        <v>70</v>
      </c>
      <c r="F85" s="65" t="s">
        <v>32</v>
      </c>
      <c r="G85" s="65" t="s">
        <v>80</v>
      </c>
      <c r="H85" s="65" t="str">
        <f t="shared" si="2"/>
        <v>NOT_STARTED</v>
      </c>
      <c r="I85" s="65" t="s">
        <v>43</v>
      </c>
      <c r="J85" s="65" t="s">
        <v>72</v>
      </c>
      <c r="K85" s="65" t="s">
        <v>43</v>
      </c>
      <c r="L85" s="66" t="s">
        <v>470</v>
      </c>
      <c r="M85" s="66" t="s">
        <v>74</v>
      </c>
      <c r="N85" s="66"/>
      <c r="O85" s="66" t="s">
        <v>16</v>
      </c>
      <c r="P85" s="67"/>
      <c r="Q85" s="68" t="s">
        <v>471</v>
      </c>
      <c r="R85" s="68" t="s">
        <v>472</v>
      </c>
      <c r="S85" s="69" t="s">
        <v>473</v>
      </c>
      <c r="T85" s="32"/>
      <c r="U85" s="32"/>
      <c r="V85" s="32"/>
      <c r="W85" s="32"/>
      <c r="X85" s="32"/>
      <c r="Y85" s="32"/>
      <c r="Z85" s="32"/>
      <c r="AA85" s="32"/>
      <c r="AB85" s="32"/>
      <c r="AC85" s="32"/>
      <c r="AD85" s="32"/>
      <c r="AE85" s="32"/>
      <c r="AF85" s="32"/>
      <c r="AG85" s="32"/>
      <c r="AH85" s="32"/>
      <c r="AI85" s="32"/>
      <c r="AJ85" s="32"/>
      <c r="AK85" s="32"/>
      <c r="AL85" s="32"/>
      <c r="AM85" s="32"/>
      <c r="AN85" s="32"/>
      <c r="AO85" s="32"/>
      <c r="AP85" s="32"/>
    </row>
    <row r="86" ht="17.25" customHeight="1">
      <c r="A86" s="70"/>
      <c r="B86" s="70"/>
      <c r="C86" s="64" t="s">
        <v>474</v>
      </c>
      <c r="D86" s="64" t="s">
        <v>475</v>
      </c>
      <c r="E86" s="64" t="s">
        <v>70</v>
      </c>
      <c r="F86" s="65" t="s">
        <v>32</v>
      </c>
      <c r="G86" s="65" t="s">
        <v>80</v>
      </c>
      <c r="H86" s="65" t="str">
        <f t="shared" si="2"/>
        <v>NOT_STARTED</v>
      </c>
      <c r="I86" s="65" t="s">
        <v>43</v>
      </c>
      <c r="J86" s="65" t="s">
        <v>72</v>
      </c>
      <c r="K86" s="65" t="s">
        <v>43</v>
      </c>
      <c r="L86" s="66" t="s">
        <v>470</v>
      </c>
      <c r="M86" s="66" t="s">
        <v>74</v>
      </c>
      <c r="N86" s="66"/>
      <c r="O86" s="66" t="s">
        <v>16</v>
      </c>
      <c r="P86" s="67" t="s">
        <v>476</v>
      </c>
      <c r="Q86" s="68" t="s">
        <v>477</v>
      </c>
      <c r="R86" s="68" t="s">
        <v>478</v>
      </c>
      <c r="S86" s="69" t="s">
        <v>473</v>
      </c>
      <c r="T86" s="32"/>
      <c r="U86" s="32"/>
      <c r="V86" s="32"/>
      <c r="W86" s="32"/>
      <c r="X86" s="32"/>
      <c r="Y86" s="32"/>
      <c r="Z86" s="32"/>
      <c r="AA86" s="32"/>
      <c r="AB86" s="32"/>
      <c r="AC86" s="32"/>
      <c r="AD86" s="32"/>
      <c r="AE86" s="32"/>
      <c r="AF86" s="32"/>
      <c r="AG86" s="32"/>
      <c r="AH86" s="32"/>
      <c r="AI86" s="32"/>
      <c r="AJ86" s="32"/>
      <c r="AK86" s="32"/>
      <c r="AL86" s="32"/>
      <c r="AM86" s="32"/>
      <c r="AN86" s="32"/>
      <c r="AO86" s="32"/>
      <c r="AP86" s="32"/>
    </row>
    <row r="87" ht="17.25" customHeight="1">
      <c r="A87" s="70"/>
      <c r="B87" s="70"/>
      <c r="C87" s="64" t="s">
        <v>479</v>
      </c>
      <c r="D87" s="64" t="s">
        <v>480</v>
      </c>
      <c r="E87" s="64" t="s">
        <v>70</v>
      </c>
      <c r="F87" s="65" t="s">
        <v>33</v>
      </c>
      <c r="G87" s="65" t="s">
        <v>175</v>
      </c>
      <c r="H87" s="65" t="str">
        <f t="shared" si="2"/>
        <v>NOT_STARTED</v>
      </c>
      <c r="I87" s="65" t="s">
        <v>43</v>
      </c>
      <c r="J87" s="65" t="s">
        <v>72</v>
      </c>
      <c r="K87" s="65" t="s">
        <v>43</v>
      </c>
      <c r="L87" s="66" t="s">
        <v>481</v>
      </c>
      <c r="M87" s="66" t="s">
        <v>74</v>
      </c>
      <c r="N87" s="66"/>
      <c r="O87" s="66" t="s">
        <v>16</v>
      </c>
      <c r="P87" s="67"/>
      <c r="Q87" s="68" t="s">
        <v>482</v>
      </c>
      <c r="R87" s="68" t="s">
        <v>483</v>
      </c>
      <c r="S87" s="69" t="s">
        <v>473</v>
      </c>
      <c r="T87" s="32"/>
      <c r="U87" s="32"/>
      <c r="V87" s="32"/>
      <c r="W87" s="32"/>
      <c r="X87" s="32"/>
      <c r="Y87" s="32"/>
      <c r="Z87" s="32"/>
      <c r="AA87" s="32"/>
      <c r="AB87" s="32"/>
      <c r="AC87" s="32"/>
      <c r="AD87" s="32"/>
      <c r="AE87" s="32"/>
      <c r="AF87" s="32"/>
      <c r="AG87" s="32"/>
      <c r="AH87" s="32"/>
      <c r="AI87" s="32"/>
      <c r="AJ87" s="32"/>
      <c r="AK87" s="32"/>
      <c r="AL87" s="32"/>
      <c r="AM87" s="32"/>
      <c r="AN87" s="32"/>
      <c r="AO87" s="32"/>
      <c r="AP87" s="32"/>
    </row>
    <row r="88" ht="17.25" customHeight="1">
      <c r="A88" s="70"/>
      <c r="B88" s="70"/>
      <c r="C88" s="64" t="s">
        <v>484</v>
      </c>
      <c r="D88" s="64" t="s">
        <v>485</v>
      </c>
      <c r="E88" s="64" t="s">
        <v>70</v>
      </c>
      <c r="F88" s="65" t="s">
        <v>33</v>
      </c>
      <c r="G88" s="65" t="s">
        <v>175</v>
      </c>
      <c r="H88" s="65" t="str">
        <f t="shared" si="2"/>
        <v>NOT_STARTED</v>
      </c>
      <c r="I88" s="65" t="s">
        <v>43</v>
      </c>
      <c r="J88" s="65" t="s">
        <v>72</v>
      </c>
      <c r="K88" s="65" t="s">
        <v>43</v>
      </c>
      <c r="L88" s="66" t="s">
        <v>481</v>
      </c>
      <c r="M88" s="66" t="s">
        <v>74</v>
      </c>
      <c r="N88" s="66"/>
      <c r="O88" s="66" t="s">
        <v>16</v>
      </c>
      <c r="P88" s="67"/>
      <c r="Q88" s="68" t="s">
        <v>486</v>
      </c>
      <c r="R88" s="68" t="s">
        <v>487</v>
      </c>
      <c r="S88" s="69" t="s">
        <v>473</v>
      </c>
      <c r="T88" s="32"/>
      <c r="U88" s="32"/>
      <c r="V88" s="32"/>
      <c r="W88" s="32"/>
      <c r="X88" s="32"/>
      <c r="Y88" s="32"/>
      <c r="Z88" s="32"/>
      <c r="AA88" s="32"/>
      <c r="AB88" s="32"/>
      <c r="AC88" s="32"/>
      <c r="AD88" s="32"/>
      <c r="AE88" s="32"/>
      <c r="AF88" s="32"/>
      <c r="AG88" s="32"/>
      <c r="AH88" s="32"/>
      <c r="AI88" s="32"/>
      <c r="AJ88" s="32"/>
      <c r="AK88" s="32"/>
      <c r="AL88" s="32"/>
      <c r="AM88" s="32"/>
      <c r="AN88" s="32"/>
      <c r="AO88" s="32"/>
      <c r="AP88" s="32"/>
    </row>
    <row r="89" ht="17.25" customHeight="1">
      <c r="A89" s="15"/>
      <c r="B89" s="15"/>
      <c r="C89" s="64" t="s">
        <v>488</v>
      </c>
      <c r="D89" s="64" t="s">
        <v>489</v>
      </c>
      <c r="E89" s="64" t="s">
        <v>70</v>
      </c>
      <c r="F89" s="65" t="s">
        <v>33</v>
      </c>
      <c r="G89" s="65" t="s">
        <v>175</v>
      </c>
      <c r="H89" s="65" t="str">
        <f t="shared" si="2"/>
        <v>NOT_STARTED</v>
      </c>
      <c r="I89" s="65" t="s">
        <v>43</v>
      </c>
      <c r="J89" s="65" t="s">
        <v>72</v>
      </c>
      <c r="K89" s="65" t="s">
        <v>43</v>
      </c>
      <c r="L89" s="66" t="s">
        <v>481</v>
      </c>
      <c r="M89" s="66" t="s">
        <v>74</v>
      </c>
      <c r="N89" s="66"/>
      <c r="O89" s="66" t="s">
        <v>16</v>
      </c>
      <c r="P89" s="67"/>
      <c r="Q89" s="68" t="s">
        <v>490</v>
      </c>
      <c r="R89" s="68" t="s">
        <v>491</v>
      </c>
      <c r="S89" s="69" t="s">
        <v>473</v>
      </c>
      <c r="T89" s="32"/>
      <c r="U89" s="32"/>
      <c r="V89" s="32"/>
      <c r="W89" s="32"/>
      <c r="X89" s="32"/>
      <c r="Y89" s="32"/>
      <c r="Z89" s="32"/>
      <c r="AA89" s="32"/>
      <c r="AB89" s="32"/>
      <c r="AC89" s="32"/>
      <c r="AD89" s="32"/>
      <c r="AE89" s="32"/>
      <c r="AF89" s="32"/>
      <c r="AG89" s="32"/>
      <c r="AH89" s="32"/>
      <c r="AI89" s="32"/>
      <c r="AJ89" s="32"/>
      <c r="AK89" s="32"/>
      <c r="AL89" s="32"/>
      <c r="AM89" s="32"/>
      <c r="AN89" s="32"/>
      <c r="AO89" s="32"/>
      <c r="AP89" s="32"/>
    </row>
    <row r="90" ht="17.25" customHeight="1">
      <c r="A90" s="62" t="s">
        <v>492</v>
      </c>
      <c r="B90" s="63" t="s">
        <v>493</v>
      </c>
      <c r="C90" s="64" t="s">
        <v>494</v>
      </c>
      <c r="D90" s="64" t="s">
        <v>495</v>
      </c>
      <c r="E90" s="64" t="s">
        <v>70</v>
      </c>
      <c r="F90" s="65" t="s">
        <v>31</v>
      </c>
      <c r="G90" s="65" t="s">
        <v>71</v>
      </c>
      <c r="H90" s="65" t="str">
        <f t="shared" si="2"/>
        <v>NOT_STARTED</v>
      </c>
      <c r="I90" s="65" t="s">
        <v>43</v>
      </c>
      <c r="J90" s="65" t="s">
        <v>72</v>
      </c>
      <c r="K90" s="65" t="s">
        <v>43</v>
      </c>
      <c r="L90" s="66" t="s">
        <v>496</v>
      </c>
      <c r="M90" s="66" t="s">
        <v>74</v>
      </c>
      <c r="N90" s="66"/>
      <c r="O90" s="66" t="s">
        <v>16</v>
      </c>
      <c r="P90" s="67"/>
      <c r="Q90" s="68" t="s">
        <v>497</v>
      </c>
      <c r="R90" s="68" t="s">
        <v>498</v>
      </c>
      <c r="S90" s="69" t="s">
        <v>411</v>
      </c>
      <c r="T90" s="32"/>
      <c r="U90" s="32"/>
      <c r="V90" s="32"/>
      <c r="W90" s="32"/>
      <c r="X90" s="32"/>
      <c r="Y90" s="32"/>
      <c r="Z90" s="32"/>
      <c r="AA90" s="32"/>
      <c r="AB90" s="32"/>
      <c r="AC90" s="32"/>
      <c r="AD90" s="32"/>
      <c r="AE90" s="32"/>
      <c r="AF90" s="32"/>
      <c r="AG90" s="32"/>
      <c r="AH90" s="32"/>
      <c r="AI90" s="32"/>
      <c r="AJ90" s="32"/>
      <c r="AK90" s="32"/>
      <c r="AL90" s="32"/>
      <c r="AM90" s="32"/>
      <c r="AN90" s="32"/>
      <c r="AO90" s="32"/>
      <c r="AP90" s="32"/>
    </row>
    <row r="91" ht="17.25" customHeight="1">
      <c r="A91" s="70"/>
      <c r="B91" s="15"/>
      <c r="C91" s="64" t="s">
        <v>499</v>
      </c>
      <c r="D91" s="64" t="s">
        <v>500</v>
      </c>
      <c r="E91" s="64" t="s">
        <v>70</v>
      </c>
      <c r="F91" s="65" t="s">
        <v>31</v>
      </c>
      <c r="G91" s="65" t="s">
        <v>71</v>
      </c>
      <c r="H91" s="65" t="str">
        <f t="shared" si="2"/>
        <v>NOT_STARTED</v>
      </c>
      <c r="I91" s="65" t="s">
        <v>43</v>
      </c>
      <c r="J91" s="65" t="s">
        <v>72</v>
      </c>
      <c r="K91" s="65" t="s">
        <v>43</v>
      </c>
      <c r="L91" s="66" t="s">
        <v>496</v>
      </c>
      <c r="M91" s="66" t="s">
        <v>74</v>
      </c>
      <c r="N91" s="66"/>
      <c r="O91" s="66" t="s">
        <v>16</v>
      </c>
      <c r="P91" s="67" t="s">
        <v>501</v>
      </c>
      <c r="Q91" s="68" t="s">
        <v>502</v>
      </c>
      <c r="R91" s="68" t="s">
        <v>503</v>
      </c>
      <c r="S91" s="69" t="s">
        <v>411</v>
      </c>
      <c r="T91" s="32"/>
      <c r="U91" s="32"/>
      <c r="V91" s="32"/>
      <c r="W91" s="32"/>
      <c r="X91" s="32"/>
      <c r="Y91" s="32"/>
      <c r="Z91" s="32"/>
      <c r="AA91" s="32"/>
      <c r="AB91" s="32"/>
      <c r="AC91" s="32"/>
      <c r="AD91" s="32"/>
      <c r="AE91" s="32"/>
      <c r="AF91" s="32"/>
      <c r="AG91" s="32"/>
      <c r="AH91" s="32"/>
      <c r="AI91" s="32"/>
      <c r="AJ91" s="32"/>
      <c r="AK91" s="32"/>
      <c r="AL91" s="32"/>
      <c r="AM91" s="32"/>
      <c r="AN91" s="32"/>
      <c r="AO91" s="32"/>
      <c r="AP91" s="32"/>
    </row>
    <row r="92" ht="17.25" customHeight="1">
      <c r="A92" s="70"/>
      <c r="B92" s="82" t="s">
        <v>504</v>
      </c>
      <c r="C92" s="64" t="s">
        <v>505</v>
      </c>
      <c r="D92" s="64" t="s">
        <v>506</v>
      </c>
      <c r="E92" s="64" t="s">
        <v>70</v>
      </c>
      <c r="F92" s="65" t="s">
        <v>31</v>
      </c>
      <c r="G92" s="65" t="s">
        <v>71</v>
      </c>
      <c r="H92" s="65" t="str">
        <f t="shared" si="2"/>
        <v>NOT_STARTED</v>
      </c>
      <c r="I92" s="65" t="s">
        <v>43</v>
      </c>
      <c r="J92" s="65" t="s">
        <v>72</v>
      </c>
      <c r="K92" s="65" t="s">
        <v>43</v>
      </c>
      <c r="L92" s="66" t="s">
        <v>507</v>
      </c>
      <c r="M92" s="66" t="s">
        <v>74</v>
      </c>
      <c r="N92" s="66"/>
      <c r="O92" s="66" t="s">
        <v>16</v>
      </c>
      <c r="P92" s="67"/>
      <c r="Q92" s="68" t="s">
        <v>508</v>
      </c>
      <c r="R92" s="68" t="s">
        <v>509</v>
      </c>
      <c r="S92" s="69" t="s">
        <v>510</v>
      </c>
      <c r="T92" s="32"/>
      <c r="U92" s="32"/>
      <c r="V92" s="32"/>
      <c r="W92" s="32"/>
      <c r="X92" s="32"/>
      <c r="Y92" s="32"/>
      <c r="Z92" s="32"/>
      <c r="AA92" s="32"/>
      <c r="AB92" s="32"/>
      <c r="AC92" s="32"/>
      <c r="AD92" s="32"/>
      <c r="AE92" s="32"/>
      <c r="AF92" s="32"/>
      <c r="AG92" s="32"/>
      <c r="AH92" s="32"/>
      <c r="AI92" s="32"/>
      <c r="AJ92" s="32"/>
      <c r="AK92" s="32"/>
      <c r="AL92" s="32"/>
      <c r="AM92" s="32"/>
      <c r="AN92" s="32"/>
      <c r="AO92" s="32"/>
      <c r="AP92" s="32"/>
    </row>
    <row r="93" ht="17.25" customHeight="1">
      <c r="A93" s="70"/>
      <c r="B93" s="63" t="s">
        <v>511</v>
      </c>
      <c r="C93" s="64" t="s">
        <v>512</v>
      </c>
      <c r="D93" s="64" t="s">
        <v>513</v>
      </c>
      <c r="E93" s="64" t="s">
        <v>70</v>
      </c>
      <c r="F93" s="65" t="s">
        <v>31</v>
      </c>
      <c r="G93" s="65" t="s">
        <v>71</v>
      </c>
      <c r="H93" s="65" t="str">
        <f t="shared" si="2"/>
        <v>NOT_STARTED</v>
      </c>
      <c r="I93" s="65" t="s">
        <v>43</v>
      </c>
      <c r="J93" s="65" t="s">
        <v>72</v>
      </c>
      <c r="K93" s="65" t="s">
        <v>43</v>
      </c>
      <c r="L93" s="66" t="s">
        <v>514</v>
      </c>
      <c r="M93" s="66" t="s">
        <v>74</v>
      </c>
      <c r="N93" s="66"/>
      <c r="O93" s="66" t="s">
        <v>16</v>
      </c>
      <c r="P93" s="67"/>
      <c r="Q93" s="68" t="s">
        <v>515</v>
      </c>
      <c r="R93" s="68" t="s">
        <v>516</v>
      </c>
      <c r="S93" s="90" t="s">
        <v>517</v>
      </c>
      <c r="T93" s="32"/>
      <c r="U93" s="32"/>
      <c r="V93" s="32"/>
      <c r="W93" s="32"/>
      <c r="X93" s="32"/>
      <c r="Y93" s="32"/>
      <c r="Z93" s="32"/>
      <c r="AA93" s="32"/>
      <c r="AB93" s="32"/>
      <c r="AC93" s="32"/>
      <c r="AD93" s="32"/>
      <c r="AE93" s="32"/>
      <c r="AF93" s="32"/>
      <c r="AG93" s="32"/>
      <c r="AH93" s="32"/>
      <c r="AI93" s="32"/>
      <c r="AJ93" s="32"/>
      <c r="AK93" s="32"/>
      <c r="AL93" s="32"/>
      <c r="AM93" s="32"/>
      <c r="AN93" s="32"/>
      <c r="AO93" s="32"/>
      <c r="AP93" s="32"/>
    </row>
    <row r="94" ht="17.25" customHeight="1">
      <c r="A94" s="70"/>
      <c r="B94" s="70"/>
      <c r="C94" s="64" t="s">
        <v>518</v>
      </c>
      <c r="D94" s="64" t="s">
        <v>519</v>
      </c>
      <c r="E94" s="73" t="s">
        <v>174</v>
      </c>
      <c r="F94" s="65" t="s">
        <v>31</v>
      </c>
      <c r="G94" s="65" t="s">
        <v>71</v>
      </c>
      <c r="H94" s="65" t="str">
        <f t="shared" si="2"/>
        <v>NOT_STARTED</v>
      </c>
      <c r="I94" s="65" t="s">
        <v>43</v>
      </c>
      <c r="J94" s="65" t="s">
        <v>72</v>
      </c>
      <c r="K94" s="65" t="s">
        <v>43</v>
      </c>
      <c r="L94" s="66" t="s">
        <v>514</v>
      </c>
      <c r="M94" s="66" t="s">
        <v>74</v>
      </c>
      <c r="N94" s="66"/>
      <c r="O94" s="66" t="s">
        <v>16</v>
      </c>
      <c r="P94" s="67"/>
      <c r="Q94" s="68" t="s">
        <v>520</v>
      </c>
      <c r="R94" s="68" t="s">
        <v>521</v>
      </c>
      <c r="S94" s="69" t="s">
        <v>510</v>
      </c>
      <c r="T94" s="32"/>
      <c r="U94" s="32"/>
      <c r="V94" s="32"/>
      <c r="W94" s="32"/>
      <c r="X94" s="32"/>
      <c r="Y94" s="32"/>
      <c r="Z94" s="32"/>
      <c r="AA94" s="32"/>
      <c r="AB94" s="32"/>
      <c r="AC94" s="32"/>
      <c r="AD94" s="32"/>
      <c r="AE94" s="32"/>
      <c r="AF94" s="32"/>
      <c r="AG94" s="32"/>
      <c r="AH94" s="32"/>
      <c r="AI94" s="32"/>
      <c r="AJ94" s="32"/>
      <c r="AK94" s="32"/>
      <c r="AL94" s="32"/>
      <c r="AM94" s="32"/>
      <c r="AN94" s="32"/>
      <c r="AO94" s="32"/>
      <c r="AP94" s="32"/>
    </row>
    <row r="95" ht="17.25" customHeight="1">
      <c r="A95" s="70"/>
      <c r="B95" s="70"/>
      <c r="C95" s="64" t="s">
        <v>522</v>
      </c>
      <c r="D95" s="64" t="s">
        <v>523</v>
      </c>
      <c r="E95" s="64" t="s">
        <v>70</v>
      </c>
      <c r="F95" s="65" t="s">
        <v>31</v>
      </c>
      <c r="G95" s="65" t="s">
        <v>71</v>
      </c>
      <c r="H95" s="65" t="str">
        <f t="shared" si="2"/>
        <v>NOT_STARTED</v>
      </c>
      <c r="I95" s="65" t="s">
        <v>43</v>
      </c>
      <c r="J95" s="65" t="s">
        <v>72</v>
      </c>
      <c r="K95" s="65" t="s">
        <v>43</v>
      </c>
      <c r="L95" s="66" t="s">
        <v>524</v>
      </c>
      <c r="M95" s="66" t="s">
        <v>74</v>
      </c>
      <c r="N95" s="66"/>
      <c r="O95" s="66" t="s">
        <v>16</v>
      </c>
      <c r="P95" s="67" t="s">
        <v>525</v>
      </c>
      <c r="Q95" s="68" t="s">
        <v>526</v>
      </c>
      <c r="R95" s="68" t="s">
        <v>527</v>
      </c>
      <c r="S95" s="69" t="s">
        <v>510</v>
      </c>
      <c r="T95" s="32"/>
      <c r="U95" s="32"/>
      <c r="V95" s="32"/>
      <c r="W95" s="32"/>
      <c r="X95" s="32"/>
      <c r="Y95" s="32"/>
      <c r="Z95" s="32"/>
      <c r="AA95" s="32"/>
      <c r="AB95" s="32"/>
      <c r="AC95" s="32"/>
      <c r="AD95" s="32"/>
      <c r="AE95" s="32"/>
      <c r="AF95" s="32"/>
      <c r="AG95" s="32"/>
      <c r="AH95" s="32"/>
      <c r="AI95" s="32"/>
      <c r="AJ95" s="32"/>
      <c r="AK95" s="32"/>
      <c r="AL95" s="32"/>
      <c r="AM95" s="32"/>
      <c r="AN95" s="32"/>
      <c r="AO95" s="32"/>
      <c r="AP95" s="32"/>
    </row>
    <row r="96" ht="17.25" customHeight="1">
      <c r="A96" s="70"/>
      <c r="B96" s="70"/>
      <c r="C96" s="64" t="s">
        <v>528</v>
      </c>
      <c r="D96" s="64" t="s">
        <v>529</v>
      </c>
      <c r="E96" s="64" t="s">
        <v>70</v>
      </c>
      <c r="F96" s="65" t="s">
        <v>31</v>
      </c>
      <c r="G96" s="65" t="s">
        <v>71</v>
      </c>
      <c r="H96" s="65" t="str">
        <f t="shared" si="2"/>
        <v>NOT_STARTED</v>
      </c>
      <c r="I96" s="65" t="s">
        <v>43</v>
      </c>
      <c r="J96" s="65" t="s">
        <v>72</v>
      </c>
      <c r="K96" s="65" t="s">
        <v>43</v>
      </c>
      <c r="L96" s="66" t="s">
        <v>530</v>
      </c>
      <c r="M96" s="66" t="s">
        <v>74</v>
      </c>
      <c r="N96" s="66"/>
      <c r="O96" s="66" t="s">
        <v>16</v>
      </c>
      <c r="P96" s="67"/>
      <c r="Q96" s="68" t="s">
        <v>531</v>
      </c>
      <c r="R96" s="68" t="s">
        <v>532</v>
      </c>
      <c r="S96" s="69" t="s">
        <v>411</v>
      </c>
      <c r="T96" s="32"/>
      <c r="U96" s="32"/>
      <c r="V96" s="32"/>
      <c r="W96" s="32"/>
      <c r="X96" s="32"/>
      <c r="Y96" s="32"/>
      <c r="Z96" s="32"/>
      <c r="AA96" s="32"/>
      <c r="AB96" s="32"/>
      <c r="AC96" s="32"/>
      <c r="AD96" s="32"/>
      <c r="AE96" s="32"/>
      <c r="AF96" s="32"/>
      <c r="AG96" s="32"/>
      <c r="AH96" s="32"/>
      <c r="AI96" s="32"/>
      <c r="AJ96" s="32"/>
      <c r="AK96" s="32"/>
      <c r="AL96" s="32"/>
      <c r="AM96" s="32"/>
      <c r="AN96" s="32"/>
      <c r="AO96" s="32"/>
      <c r="AP96" s="32"/>
    </row>
    <row r="97" ht="17.25" customHeight="1">
      <c r="A97" s="70"/>
      <c r="B97" s="70"/>
      <c r="C97" s="64" t="s">
        <v>533</v>
      </c>
      <c r="D97" s="64" t="s">
        <v>534</v>
      </c>
      <c r="E97" s="64" t="s">
        <v>70</v>
      </c>
      <c r="F97" s="65" t="s">
        <v>31</v>
      </c>
      <c r="G97" s="65" t="s">
        <v>71</v>
      </c>
      <c r="H97" s="65" t="str">
        <f t="shared" si="2"/>
        <v>NOT_STARTED</v>
      </c>
      <c r="I97" s="65" t="s">
        <v>43</v>
      </c>
      <c r="J97" s="65" t="s">
        <v>72</v>
      </c>
      <c r="K97" s="65" t="s">
        <v>43</v>
      </c>
      <c r="L97" s="66" t="s">
        <v>535</v>
      </c>
      <c r="M97" s="66" t="s">
        <v>74</v>
      </c>
      <c r="N97" s="66"/>
      <c r="O97" s="66" t="s">
        <v>16</v>
      </c>
      <c r="P97" s="67"/>
      <c r="Q97" s="68" t="s">
        <v>536</v>
      </c>
      <c r="R97" s="68" t="s">
        <v>537</v>
      </c>
      <c r="S97" s="69" t="s">
        <v>411</v>
      </c>
      <c r="T97" s="32"/>
      <c r="U97" s="32"/>
      <c r="V97" s="32"/>
      <c r="W97" s="32"/>
      <c r="X97" s="32"/>
      <c r="Y97" s="32"/>
      <c r="Z97" s="32"/>
      <c r="AA97" s="32"/>
      <c r="AB97" s="32"/>
      <c r="AC97" s="32"/>
      <c r="AD97" s="32"/>
      <c r="AE97" s="32"/>
      <c r="AF97" s="32"/>
      <c r="AG97" s="32"/>
      <c r="AH97" s="32"/>
      <c r="AI97" s="32"/>
      <c r="AJ97" s="32"/>
      <c r="AK97" s="32"/>
      <c r="AL97" s="32"/>
      <c r="AM97" s="32"/>
      <c r="AN97" s="32"/>
      <c r="AO97" s="32"/>
      <c r="AP97" s="32"/>
    </row>
    <row r="98" ht="17.25" customHeight="1">
      <c r="A98" s="70"/>
      <c r="B98" s="70"/>
      <c r="C98" s="64" t="s">
        <v>538</v>
      </c>
      <c r="D98" s="64" t="s">
        <v>539</v>
      </c>
      <c r="E98" s="64" t="s">
        <v>70</v>
      </c>
      <c r="F98" s="65" t="s">
        <v>31</v>
      </c>
      <c r="G98" s="65" t="s">
        <v>71</v>
      </c>
      <c r="H98" s="65" t="str">
        <f t="shared" si="2"/>
        <v>NOT_STARTED</v>
      </c>
      <c r="I98" s="65" t="s">
        <v>43</v>
      </c>
      <c r="J98" s="65" t="s">
        <v>72</v>
      </c>
      <c r="K98" s="65" t="s">
        <v>43</v>
      </c>
      <c r="L98" s="66" t="s">
        <v>540</v>
      </c>
      <c r="M98" s="66" t="s">
        <v>74</v>
      </c>
      <c r="N98" s="66"/>
      <c r="O98" s="66" t="s">
        <v>16</v>
      </c>
      <c r="P98" s="67"/>
      <c r="Q98" s="68" t="s">
        <v>541</v>
      </c>
      <c r="R98" s="68" t="s">
        <v>542</v>
      </c>
      <c r="S98" s="69" t="s">
        <v>543</v>
      </c>
      <c r="T98" s="32"/>
      <c r="U98" s="32"/>
      <c r="V98" s="32"/>
      <c r="W98" s="32"/>
      <c r="X98" s="32"/>
      <c r="Y98" s="32"/>
      <c r="Z98" s="32"/>
      <c r="AA98" s="32"/>
      <c r="AB98" s="32"/>
      <c r="AC98" s="32"/>
      <c r="AD98" s="32"/>
      <c r="AE98" s="32"/>
      <c r="AF98" s="32"/>
      <c r="AG98" s="32"/>
      <c r="AH98" s="32"/>
      <c r="AI98" s="32"/>
      <c r="AJ98" s="32"/>
      <c r="AK98" s="32"/>
      <c r="AL98" s="32"/>
      <c r="AM98" s="32"/>
      <c r="AN98" s="32"/>
      <c r="AO98" s="32"/>
      <c r="AP98" s="32"/>
    </row>
    <row r="99" ht="17.25" customHeight="1">
      <c r="A99" s="70"/>
      <c r="B99" s="70"/>
      <c r="C99" s="64" t="s">
        <v>544</v>
      </c>
      <c r="D99" s="64" t="s">
        <v>545</v>
      </c>
      <c r="E99" s="64" t="s">
        <v>70</v>
      </c>
      <c r="F99" s="65" t="s">
        <v>32</v>
      </c>
      <c r="G99" s="65" t="s">
        <v>80</v>
      </c>
      <c r="H99" s="65" t="str">
        <f t="shared" si="2"/>
        <v>NOT_STARTED</v>
      </c>
      <c r="I99" s="65" t="s">
        <v>43</v>
      </c>
      <c r="J99" s="65" t="s">
        <v>72</v>
      </c>
      <c r="K99" s="65" t="s">
        <v>43</v>
      </c>
      <c r="L99" s="66" t="s">
        <v>546</v>
      </c>
      <c r="M99" s="66" t="s">
        <v>74</v>
      </c>
      <c r="N99" s="66"/>
      <c r="O99" s="66" t="s">
        <v>16</v>
      </c>
      <c r="P99" s="67"/>
      <c r="Q99" s="68" t="s">
        <v>547</v>
      </c>
      <c r="R99" s="68" t="s">
        <v>548</v>
      </c>
      <c r="S99" s="69" t="s">
        <v>543</v>
      </c>
      <c r="T99" s="32"/>
      <c r="U99" s="32"/>
      <c r="V99" s="32"/>
      <c r="W99" s="32"/>
      <c r="X99" s="32"/>
      <c r="Y99" s="32"/>
      <c r="Z99" s="32"/>
      <c r="AA99" s="32"/>
      <c r="AB99" s="32"/>
      <c r="AC99" s="32"/>
      <c r="AD99" s="32"/>
      <c r="AE99" s="32"/>
      <c r="AF99" s="32"/>
      <c r="AG99" s="32"/>
      <c r="AH99" s="32"/>
      <c r="AI99" s="32"/>
      <c r="AJ99" s="32"/>
      <c r="AK99" s="32"/>
      <c r="AL99" s="32"/>
      <c r="AM99" s="32"/>
      <c r="AN99" s="32"/>
      <c r="AO99" s="32"/>
      <c r="AP99" s="32"/>
    </row>
    <row r="100" ht="17.25" customHeight="1">
      <c r="A100" s="70"/>
      <c r="B100" s="70"/>
      <c r="C100" s="64" t="s">
        <v>549</v>
      </c>
      <c r="D100" s="64" t="s">
        <v>550</v>
      </c>
      <c r="E100" s="64" t="s">
        <v>70</v>
      </c>
      <c r="F100" s="65" t="s">
        <v>32</v>
      </c>
      <c r="G100" s="65" t="s">
        <v>80</v>
      </c>
      <c r="H100" s="65" t="str">
        <f t="shared" si="2"/>
        <v>NOT_STARTED</v>
      </c>
      <c r="I100" s="65" t="s">
        <v>43</v>
      </c>
      <c r="J100" s="65" t="s">
        <v>72</v>
      </c>
      <c r="K100" s="65" t="s">
        <v>43</v>
      </c>
      <c r="L100" s="66" t="s">
        <v>551</v>
      </c>
      <c r="M100" s="66" t="s">
        <v>74</v>
      </c>
      <c r="N100" s="66"/>
      <c r="O100" s="66" t="s">
        <v>16</v>
      </c>
      <c r="P100" s="67"/>
      <c r="Q100" s="68" t="s">
        <v>552</v>
      </c>
      <c r="R100" s="68" t="s">
        <v>553</v>
      </c>
      <c r="S100" s="69" t="s">
        <v>171</v>
      </c>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row>
    <row r="101" ht="17.25" customHeight="1">
      <c r="A101" s="15"/>
      <c r="B101" s="15"/>
      <c r="C101" s="64" t="s">
        <v>554</v>
      </c>
      <c r="D101" s="64" t="s">
        <v>555</v>
      </c>
      <c r="E101" s="64" t="s">
        <v>70</v>
      </c>
      <c r="F101" s="65" t="s">
        <v>32</v>
      </c>
      <c r="G101" s="65" t="s">
        <v>80</v>
      </c>
      <c r="H101" s="65" t="str">
        <f t="shared" si="2"/>
        <v>NOT_STARTED</v>
      </c>
      <c r="I101" s="65" t="s">
        <v>43</v>
      </c>
      <c r="J101" s="65" t="s">
        <v>72</v>
      </c>
      <c r="K101" s="65" t="s">
        <v>43</v>
      </c>
      <c r="L101" s="66" t="s">
        <v>556</v>
      </c>
      <c r="M101" s="66" t="s">
        <v>74</v>
      </c>
      <c r="N101" s="66"/>
      <c r="O101" s="66" t="s">
        <v>16</v>
      </c>
      <c r="P101" s="67"/>
      <c r="Q101" s="68" t="s">
        <v>557</v>
      </c>
      <c r="R101" s="68" t="s">
        <v>558</v>
      </c>
      <c r="S101" s="69" t="s">
        <v>559</v>
      </c>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row>
    <row r="102" ht="17.25" customHeight="1">
      <c r="A102" s="62" t="s">
        <v>560</v>
      </c>
      <c r="B102" s="63" t="s">
        <v>561</v>
      </c>
      <c r="C102" s="64" t="s">
        <v>562</v>
      </c>
      <c r="D102" s="64" t="s">
        <v>563</v>
      </c>
      <c r="E102" s="64" t="s">
        <v>100</v>
      </c>
      <c r="F102" s="65" t="s">
        <v>31</v>
      </c>
      <c r="G102" s="65" t="s">
        <v>71</v>
      </c>
      <c r="H102" s="65" t="str">
        <f t="shared" si="2"/>
        <v>NOT_STARTED</v>
      </c>
      <c r="I102" s="65" t="s">
        <v>43</v>
      </c>
      <c r="J102" s="65" t="s">
        <v>72</v>
      </c>
      <c r="K102" s="65" t="s">
        <v>43</v>
      </c>
      <c r="L102" s="66" t="s">
        <v>564</v>
      </c>
      <c r="M102" s="66" t="s">
        <v>74</v>
      </c>
      <c r="N102" s="66"/>
      <c r="O102" s="66" t="s">
        <v>16</v>
      </c>
      <c r="P102" s="67"/>
      <c r="Q102" s="68" t="s">
        <v>565</v>
      </c>
      <c r="R102" s="68" t="s">
        <v>566</v>
      </c>
      <c r="S102" s="69" t="s">
        <v>567</v>
      </c>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row>
    <row r="103" ht="17.25" customHeight="1">
      <c r="A103" s="70"/>
      <c r="B103" s="70"/>
      <c r="C103" s="64" t="s">
        <v>568</v>
      </c>
      <c r="D103" s="64" t="s">
        <v>569</v>
      </c>
      <c r="E103" s="64" t="s">
        <v>100</v>
      </c>
      <c r="F103" s="65" t="s">
        <v>31</v>
      </c>
      <c r="G103" s="65" t="s">
        <v>71</v>
      </c>
      <c r="H103" s="65" t="str">
        <f t="shared" si="2"/>
        <v>NOT_STARTED</v>
      </c>
      <c r="I103" s="65" t="s">
        <v>43</v>
      </c>
      <c r="J103" s="65" t="s">
        <v>72</v>
      </c>
      <c r="K103" s="65" t="s">
        <v>43</v>
      </c>
      <c r="L103" s="66" t="s">
        <v>570</v>
      </c>
      <c r="M103" s="66" t="s">
        <v>74</v>
      </c>
      <c r="N103" s="66"/>
      <c r="O103" s="66" t="s">
        <v>16</v>
      </c>
      <c r="P103" s="67"/>
      <c r="Q103" s="68" t="s">
        <v>571</v>
      </c>
      <c r="R103" s="68" t="s">
        <v>572</v>
      </c>
      <c r="S103" s="69" t="s">
        <v>573</v>
      </c>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row>
    <row r="104" ht="17.25" customHeight="1">
      <c r="A104" s="70"/>
      <c r="B104" s="70"/>
      <c r="C104" s="64" t="s">
        <v>574</v>
      </c>
      <c r="D104" s="64" t="s">
        <v>575</v>
      </c>
      <c r="E104" s="64" t="s">
        <v>100</v>
      </c>
      <c r="F104" s="65" t="s">
        <v>31</v>
      </c>
      <c r="G104" s="65" t="s">
        <v>80</v>
      </c>
      <c r="H104" s="65" t="str">
        <f t="shared" si="2"/>
        <v>NOT_STARTED</v>
      </c>
      <c r="I104" s="65" t="s">
        <v>43</v>
      </c>
      <c r="J104" s="65" t="s">
        <v>72</v>
      </c>
      <c r="K104" s="65" t="s">
        <v>43</v>
      </c>
      <c r="L104" s="66" t="s">
        <v>576</v>
      </c>
      <c r="M104" s="66" t="s">
        <v>74</v>
      </c>
      <c r="N104" s="66"/>
      <c r="O104" s="66" t="s">
        <v>16</v>
      </c>
      <c r="P104" s="67" t="s">
        <v>577</v>
      </c>
      <c r="Q104" s="68" t="s">
        <v>578</v>
      </c>
      <c r="R104" s="68" t="s">
        <v>579</v>
      </c>
      <c r="S104" s="69" t="s">
        <v>580</v>
      </c>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row>
    <row r="105" ht="17.25" customHeight="1">
      <c r="A105" s="15"/>
      <c r="B105" s="15"/>
      <c r="C105" s="64" t="s">
        <v>581</v>
      </c>
      <c r="D105" s="64" t="s">
        <v>582</v>
      </c>
      <c r="E105" s="64" t="s">
        <v>583</v>
      </c>
      <c r="F105" s="65" t="s">
        <v>33</v>
      </c>
      <c r="G105" s="65" t="s">
        <v>175</v>
      </c>
      <c r="H105" s="65" t="str">
        <f t="shared" si="2"/>
        <v>NOT_STARTED</v>
      </c>
      <c r="I105" s="65" t="s">
        <v>43</v>
      </c>
      <c r="J105" s="65" t="s">
        <v>72</v>
      </c>
      <c r="K105" s="65" t="s">
        <v>43</v>
      </c>
      <c r="L105" s="66" t="s">
        <v>584</v>
      </c>
      <c r="M105" s="66" t="s">
        <v>74</v>
      </c>
      <c r="N105" s="66"/>
      <c r="O105" s="66" t="s">
        <v>16</v>
      </c>
      <c r="P105" s="67" t="s">
        <v>585</v>
      </c>
      <c r="Q105" s="68" t="s">
        <v>586</v>
      </c>
      <c r="R105" s="68" t="s">
        <v>587</v>
      </c>
      <c r="S105" s="69" t="s">
        <v>573</v>
      </c>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row>
    <row r="106" ht="17.25" customHeight="1">
      <c r="A106" s="62" t="s">
        <v>588</v>
      </c>
      <c r="B106" s="63" t="s">
        <v>589</v>
      </c>
      <c r="C106" s="64" t="s">
        <v>590</v>
      </c>
      <c r="D106" s="64" t="s">
        <v>591</v>
      </c>
      <c r="E106" s="64" t="s">
        <v>70</v>
      </c>
      <c r="F106" s="65" t="s">
        <v>32</v>
      </c>
      <c r="G106" s="65" t="s">
        <v>80</v>
      </c>
      <c r="H106" s="65" t="str">
        <f t="shared" si="2"/>
        <v>NOT_STARTED</v>
      </c>
      <c r="I106" s="65" t="s">
        <v>43</v>
      </c>
      <c r="J106" s="65" t="s">
        <v>72</v>
      </c>
      <c r="K106" s="65" t="s">
        <v>43</v>
      </c>
      <c r="L106" s="66" t="s">
        <v>592</v>
      </c>
      <c r="M106" s="66" t="s">
        <v>74</v>
      </c>
      <c r="N106" s="66"/>
      <c r="O106" s="66" t="s">
        <v>16</v>
      </c>
      <c r="P106" s="67"/>
      <c r="Q106" s="68" t="s">
        <v>593</v>
      </c>
      <c r="R106" s="68" t="s">
        <v>594</v>
      </c>
      <c r="S106" s="69" t="s">
        <v>595</v>
      </c>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row>
    <row r="107" ht="17.25" customHeight="1">
      <c r="A107" s="70"/>
      <c r="B107" s="70"/>
      <c r="C107" s="64" t="s">
        <v>596</v>
      </c>
      <c r="D107" s="64" t="s">
        <v>597</v>
      </c>
      <c r="E107" s="64" t="s">
        <v>70</v>
      </c>
      <c r="F107" s="65" t="s">
        <v>32</v>
      </c>
      <c r="G107" s="65" t="s">
        <v>80</v>
      </c>
      <c r="H107" s="65" t="str">
        <f t="shared" si="2"/>
        <v>NOT_STARTED</v>
      </c>
      <c r="I107" s="65" t="s">
        <v>43</v>
      </c>
      <c r="J107" s="65" t="s">
        <v>72</v>
      </c>
      <c r="K107" s="65" t="s">
        <v>43</v>
      </c>
      <c r="L107" s="66" t="s">
        <v>598</v>
      </c>
      <c r="M107" s="66" t="s">
        <v>74</v>
      </c>
      <c r="N107" s="66"/>
      <c r="O107" s="66" t="s">
        <v>16</v>
      </c>
      <c r="P107" s="67"/>
      <c r="Q107" s="68" t="s">
        <v>599</v>
      </c>
      <c r="R107" s="68" t="s">
        <v>600</v>
      </c>
      <c r="S107" s="69" t="s">
        <v>595</v>
      </c>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row>
    <row r="108" ht="17.25" customHeight="1">
      <c r="A108" s="15"/>
      <c r="B108" s="15"/>
      <c r="C108" s="64" t="s">
        <v>601</v>
      </c>
      <c r="D108" s="64" t="s">
        <v>602</v>
      </c>
      <c r="E108" s="64" t="s">
        <v>70</v>
      </c>
      <c r="F108" s="65" t="s">
        <v>33</v>
      </c>
      <c r="G108" s="65" t="s">
        <v>175</v>
      </c>
      <c r="H108" s="65" t="str">
        <f t="shared" si="2"/>
        <v>NOT_STARTED</v>
      </c>
      <c r="I108" s="65" t="s">
        <v>43</v>
      </c>
      <c r="J108" s="65" t="s">
        <v>72</v>
      </c>
      <c r="K108" s="65" t="s">
        <v>43</v>
      </c>
      <c r="L108" s="66" t="s">
        <v>603</v>
      </c>
      <c r="M108" s="66" t="s">
        <v>74</v>
      </c>
      <c r="N108" s="66"/>
      <c r="O108" s="66" t="s">
        <v>16</v>
      </c>
      <c r="P108" s="67"/>
      <c r="Q108" s="68" t="s">
        <v>604</v>
      </c>
      <c r="R108" s="68" t="s">
        <v>605</v>
      </c>
      <c r="S108" s="69" t="s">
        <v>595</v>
      </c>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row>
    <row r="109" ht="17.25" customHeight="1">
      <c r="A109" s="54" t="s">
        <v>606</v>
      </c>
      <c r="B109" s="92"/>
      <c r="C109" s="92"/>
      <c r="D109" s="92"/>
      <c r="E109" s="92"/>
      <c r="F109" s="92"/>
      <c r="G109" s="92"/>
      <c r="H109" s="92"/>
      <c r="I109" s="92"/>
      <c r="J109" s="92"/>
      <c r="K109" s="92"/>
      <c r="L109" s="92"/>
      <c r="M109" s="92"/>
      <c r="N109" s="92"/>
      <c r="O109" s="92"/>
      <c r="P109" s="92"/>
      <c r="Q109" s="92"/>
      <c r="R109" s="92"/>
      <c r="S109" s="69"/>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row>
    <row r="110" ht="17.25" customHeight="1">
      <c r="A110" s="93" t="s">
        <v>607</v>
      </c>
      <c r="B110" s="63" t="s">
        <v>608</v>
      </c>
      <c r="C110" s="64" t="s">
        <v>609</v>
      </c>
      <c r="D110" s="64" t="s">
        <v>610</v>
      </c>
      <c r="E110" s="64" t="s">
        <v>100</v>
      </c>
      <c r="F110" s="65" t="s">
        <v>31</v>
      </c>
      <c r="G110" s="65" t="s">
        <v>71</v>
      </c>
      <c r="H110" s="65" t="str">
        <f t="shared" ref="H110:H243" si="3">IF(J110="No",I110,IF(OR(I110="FAILED",K110="FAILED"),"FAILED",IF(OR(I110="PASSED",K110="PASSED"),"PASSED",IF(OR(I110="IN_PROGRESS",K110="IN_PROGRESS"),"IN_PROGRESS",IF(OR(I110="BLOCKED",K110="BLOCKED"),"BLOCKED","NOT_STARTED")))))</f>
        <v>NOT_STARTED</v>
      </c>
      <c r="I110" s="65" t="s">
        <v>43</v>
      </c>
      <c r="J110" s="65" t="s">
        <v>72</v>
      </c>
      <c r="K110" s="65" t="s">
        <v>43</v>
      </c>
      <c r="L110" s="66" t="s">
        <v>611</v>
      </c>
      <c r="M110" s="84" t="s">
        <v>612</v>
      </c>
      <c r="N110" s="66"/>
      <c r="O110" s="66" t="s">
        <v>16</v>
      </c>
      <c r="P110" s="94"/>
      <c r="Q110" s="68" t="s">
        <v>613</v>
      </c>
      <c r="R110" s="81" t="s">
        <v>614</v>
      </c>
      <c r="S110" s="95" t="s">
        <v>567</v>
      </c>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row>
    <row r="111" ht="17.25" customHeight="1">
      <c r="A111" s="70"/>
      <c r="B111" s="70"/>
      <c r="C111" s="64" t="s">
        <v>615</v>
      </c>
      <c r="D111" s="64" t="s">
        <v>616</v>
      </c>
      <c r="E111" s="64" t="s">
        <v>100</v>
      </c>
      <c r="F111" s="65" t="s">
        <v>31</v>
      </c>
      <c r="G111" s="65" t="s">
        <v>71</v>
      </c>
      <c r="H111" s="65" t="str">
        <f t="shared" si="3"/>
        <v>NOT_STARTED</v>
      </c>
      <c r="I111" s="65" t="s">
        <v>43</v>
      </c>
      <c r="J111" s="65" t="s">
        <v>72</v>
      </c>
      <c r="K111" s="65" t="s">
        <v>43</v>
      </c>
      <c r="L111" s="66" t="s">
        <v>611</v>
      </c>
      <c r="M111" s="84" t="s">
        <v>612</v>
      </c>
      <c r="N111" s="66"/>
      <c r="O111" s="66" t="s">
        <v>16</v>
      </c>
      <c r="P111" s="94"/>
      <c r="Q111" s="68" t="s">
        <v>617</v>
      </c>
      <c r="R111" s="81" t="s">
        <v>618</v>
      </c>
      <c r="S111" s="95" t="s">
        <v>567</v>
      </c>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row>
    <row r="112" ht="17.25" customHeight="1">
      <c r="A112" s="70"/>
      <c r="B112" s="70"/>
      <c r="C112" s="64" t="s">
        <v>619</v>
      </c>
      <c r="D112" s="64" t="s">
        <v>620</v>
      </c>
      <c r="E112" s="64" t="s">
        <v>100</v>
      </c>
      <c r="F112" s="65" t="s">
        <v>31</v>
      </c>
      <c r="G112" s="65" t="s">
        <v>71</v>
      </c>
      <c r="H112" s="65" t="str">
        <f t="shared" si="3"/>
        <v>NOT_STARTED</v>
      </c>
      <c r="I112" s="65" t="s">
        <v>43</v>
      </c>
      <c r="J112" s="65" t="s">
        <v>72</v>
      </c>
      <c r="K112" s="65" t="s">
        <v>43</v>
      </c>
      <c r="L112" s="66" t="s">
        <v>564</v>
      </c>
      <c r="M112" s="84" t="s">
        <v>612</v>
      </c>
      <c r="N112" s="66"/>
      <c r="O112" s="66" t="s">
        <v>16</v>
      </c>
      <c r="P112" s="94"/>
      <c r="Q112" s="68" t="s">
        <v>621</v>
      </c>
      <c r="R112" s="81" t="s">
        <v>622</v>
      </c>
      <c r="S112" s="95" t="s">
        <v>567</v>
      </c>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row>
    <row r="113" ht="17.25" customHeight="1">
      <c r="A113" s="70"/>
      <c r="B113" s="70"/>
      <c r="C113" s="64" t="s">
        <v>623</v>
      </c>
      <c r="D113" s="64" t="s">
        <v>624</v>
      </c>
      <c r="E113" s="64" t="s">
        <v>100</v>
      </c>
      <c r="F113" s="65" t="s">
        <v>31</v>
      </c>
      <c r="G113" s="65" t="s">
        <v>71</v>
      </c>
      <c r="H113" s="65" t="str">
        <f t="shared" si="3"/>
        <v>NOT_STARTED</v>
      </c>
      <c r="I113" s="65" t="s">
        <v>43</v>
      </c>
      <c r="J113" s="65" t="s">
        <v>72</v>
      </c>
      <c r="K113" s="65" t="s">
        <v>43</v>
      </c>
      <c r="L113" s="66" t="s">
        <v>625</v>
      </c>
      <c r="M113" s="84" t="s">
        <v>612</v>
      </c>
      <c r="N113" s="66"/>
      <c r="O113" s="66" t="s">
        <v>16</v>
      </c>
      <c r="P113" s="81" t="s">
        <v>626</v>
      </c>
      <c r="Q113" s="68" t="s">
        <v>627</v>
      </c>
      <c r="R113" s="81" t="s">
        <v>628</v>
      </c>
      <c r="S113" s="95" t="s">
        <v>567</v>
      </c>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row>
    <row r="114" ht="17.25" customHeight="1">
      <c r="A114" s="70"/>
      <c r="B114" s="70"/>
      <c r="C114" s="64" t="s">
        <v>629</v>
      </c>
      <c r="D114" s="64" t="s">
        <v>630</v>
      </c>
      <c r="E114" s="64" t="s">
        <v>100</v>
      </c>
      <c r="F114" s="65" t="s">
        <v>31</v>
      </c>
      <c r="G114" s="65" t="s">
        <v>71</v>
      </c>
      <c r="H114" s="65" t="str">
        <f t="shared" si="3"/>
        <v>NOT_STARTED</v>
      </c>
      <c r="I114" s="65" t="s">
        <v>43</v>
      </c>
      <c r="J114" s="65" t="s">
        <v>72</v>
      </c>
      <c r="K114" s="65" t="s">
        <v>43</v>
      </c>
      <c r="L114" s="66" t="s">
        <v>631</v>
      </c>
      <c r="M114" s="84" t="s">
        <v>612</v>
      </c>
      <c r="N114" s="66"/>
      <c r="O114" s="66" t="s">
        <v>16</v>
      </c>
      <c r="P114" s="94"/>
      <c r="Q114" s="68" t="s">
        <v>632</v>
      </c>
      <c r="R114" s="81" t="s">
        <v>633</v>
      </c>
      <c r="S114" s="95" t="s">
        <v>634</v>
      </c>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row>
    <row r="115" ht="17.25" customHeight="1">
      <c r="A115" s="70"/>
      <c r="B115" s="70"/>
      <c r="C115" s="64" t="s">
        <v>635</v>
      </c>
      <c r="D115" s="64" t="s">
        <v>636</v>
      </c>
      <c r="E115" s="64" t="s">
        <v>100</v>
      </c>
      <c r="F115" s="65" t="s">
        <v>31</v>
      </c>
      <c r="G115" s="65" t="s">
        <v>71</v>
      </c>
      <c r="H115" s="65" t="str">
        <f t="shared" si="3"/>
        <v>NOT_STARTED</v>
      </c>
      <c r="I115" s="65" t="s">
        <v>43</v>
      </c>
      <c r="J115" s="65" t="s">
        <v>72</v>
      </c>
      <c r="K115" s="65" t="s">
        <v>43</v>
      </c>
      <c r="L115" s="66" t="s">
        <v>637</v>
      </c>
      <c r="M115" s="84" t="s">
        <v>612</v>
      </c>
      <c r="N115" s="66"/>
      <c r="O115" s="66" t="s">
        <v>16</v>
      </c>
      <c r="P115" s="94"/>
      <c r="Q115" s="68" t="s">
        <v>638</v>
      </c>
      <c r="R115" s="81" t="s">
        <v>639</v>
      </c>
      <c r="S115" s="95" t="s">
        <v>634</v>
      </c>
      <c r="U115" s="32"/>
      <c r="V115" s="32"/>
      <c r="W115" s="32"/>
      <c r="X115" s="32"/>
      <c r="Y115" s="32"/>
      <c r="Z115" s="32"/>
      <c r="AA115" s="32"/>
      <c r="AB115" s="32"/>
      <c r="AC115" s="32"/>
      <c r="AD115" s="32"/>
      <c r="AE115" s="32"/>
      <c r="AF115" s="32"/>
      <c r="AG115" s="32"/>
      <c r="AH115" s="32"/>
      <c r="AI115" s="32"/>
      <c r="AJ115" s="32"/>
      <c r="AK115" s="32"/>
      <c r="AL115" s="32"/>
      <c r="AM115" s="32"/>
      <c r="AN115" s="32"/>
      <c r="AO115" s="32"/>
      <c r="AP115" s="32"/>
    </row>
    <row r="116" ht="17.25" customHeight="1">
      <c r="A116" s="70"/>
      <c r="B116" s="70"/>
      <c r="C116" s="81" t="s">
        <v>640</v>
      </c>
      <c r="D116" s="81" t="s">
        <v>641</v>
      </c>
      <c r="E116" s="81" t="s">
        <v>70</v>
      </c>
      <c r="F116" s="87" t="s">
        <v>31</v>
      </c>
      <c r="G116" s="65" t="s">
        <v>71</v>
      </c>
      <c r="H116" s="65" t="str">
        <f t="shared" si="3"/>
        <v>NOT_STARTED</v>
      </c>
      <c r="I116" s="65" t="s">
        <v>43</v>
      </c>
      <c r="J116" s="65" t="s">
        <v>72</v>
      </c>
      <c r="K116" s="65" t="s">
        <v>43</v>
      </c>
      <c r="L116" s="84" t="s">
        <v>564</v>
      </c>
      <c r="M116" s="84" t="s">
        <v>612</v>
      </c>
      <c r="N116" s="85"/>
      <c r="O116" s="84" t="s">
        <v>16</v>
      </c>
      <c r="P116" s="81" t="s">
        <v>642</v>
      </c>
      <c r="Q116" s="81" t="s">
        <v>643</v>
      </c>
      <c r="R116" s="81" t="s">
        <v>644</v>
      </c>
      <c r="S116" s="95" t="s">
        <v>567</v>
      </c>
      <c r="U116" s="4"/>
      <c r="V116" s="4"/>
      <c r="W116" s="4"/>
      <c r="X116" s="4"/>
      <c r="Y116" s="4"/>
      <c r="Z116" s="4"/>
      <c r="AA116" s="4"/>
      <c r="AB116" s="4"/>
      <c r="AC116" s="4"/>
      <c r="AD116" s="4"/>
      <c r="AE116" s="4"/>
      <c r="AF116" s="4"/>
      <c r="AG116" s="4"/>
      <c r="AH116" s="4"/>
      <c r="AI116" s="4"/>
      <c r="AJ116" s="4"/>
      <c r="AK116" s="4"/>
      <c r="AL116" s="4"/>
      <c r="AM116" s="4"/>
      <c r="AN116" s="4"/>
      <c r="AO116" s="4"/>
      <c r="AP116" s="4"/>
    </row>
    <row r="117" ht="17.25" customHeight="1">
      <c r="A117" s="70"/>
      <c r="B117" s="70"/>
      <c r="C117" s="81" t="s">
        <v>645</v>
      </c>
      <c r="D117" s="81" t="s">
        <v>646</v>
      </c>
      <c r="E117" s="81" t="s">
        <v>70</v>
      </c>
      <c r="F117" s="65" t="s">
        <v>31</v>
      </c>
      <c r="G117" s="65" t="s">
        <v>71</v>
      </c>
      <c r="H117" s="65" t="str">
        <f t="shared" si="3"/>
        <v>NOT_STARTED</v>
      </c>
      <c r="I117" s="65" t="s">
        <v>43</v>
      </c>
      <c r="J117" s="65" t="s">
        <v>72</v>
      </c>
      <c r="K117" s="65" t="s">
        <v>43</v>
      </c>
      <c r="L117" s="84" t="s">
        <v>564</v>
      </c>
      <c r="M117" s="84" t="s">
        <v>612</v>
      </c>
      <c r="N117" s="85"/>
      <c r="O117" s="84" t="s">
        <v>16</v>
      </c>
      <c r="P117" s="81" t="s">
        <v>647</v>
      </c>
      <c r="Q117" s="81" t="s">
        <v>648</v>
      </c>
      <c r="R117" s="81" t="s">
        <v>649</v>
      </c>
      <c r="S117" s="95" t="s">
        <v>567</v>
      </c>
      <c r="U117" s="4"/>
      <c r="V117" s="4"/>
      <c r="W117" s="4"/>
      <c r="X117" s="4"/>
      <c r="Y117" s="4"/>
      <c r="Z117" s="4"/>
      <c r="AA117" s="4"/>
      <c r="AB117" s="4"/>
      <c r="AC117" s="4"/>
      <c r="AD117" s="4"/>
      <c r="AE117" s="4"/>
      <c r="AF117" s="4"/>
      <c r="AG117" s="4"/>
      <c r="AH117" s="4"/>
      <c r="AI117" s="4"/>
      <c r="AJ117" s="4"/>
      <c r="AK117" s="4"/>
      <c r="AL117" s="4"/>
      <c r="AM117" s="4"/>
      <c r="AN117" s="4"/>
      <c r="AO117" s="4"/>
      <c r="AP117" s="4"/>
    </row>
    <row r="118" ht="17.25" customHeight="1">
      <c r="A118" s="15"/>
      <c r="B118" s="15"/>
      <c r="C118" s="81" t="s">
        <v>650</v>
      </c>
      <c r="D118" s="81" t="s">
        <v>651</v>
      </c>
      <c r="E118" s="81" t="s">
        <v>70</v>
      </c>
      <c r="F118" s="87" t="s">
        <v>32</v>
      </c>
      <c r="G118" s="74" t="s">
        <v>80</v>
      </c>
      <c r="H118" s="65" t="str">
        <f t="shared" si="3"/>
        <v>NOT_STARTED</v>
      </c>
      <c r="I118" s="65" t="s">
        <v>43</v>
      </c>
      <c r="J118" s="65" t="s">
        <v>72</v>
      </c>
      <c r="K118" s="65" t="s">
        <v>43</v>
      </c>
      <c r="L118" s="84" t="s">
        <v>564</v>
      </c>
      <c r="M118" s="84" t="s">
        <v>612</v>
      </c>
      <c r="N118" s="85"/>
      <c r="O118" s="84" t="s">
        <v>16</v>
      </c>
      <c r="P118" s="81" t="s">
        <v>652</v>
      </c>
      <c r="Q118" s="81" t="s">
        <v>653</v>
      </c>
      <c r="R118" s="81" t="s">
        <v>654</v>
      </c>
      <c r="S118" s="95" t="s">
        <v>567</v>
      </c>
      <c r="U118" s="4"/>
      <c r="V118" s="4"/>
      <c r="W118" s="4"/>
      <c r="X118" s="4"/>
      <c r="Y118" s="4"/>
      <c r="Z118" s="4"/>
      <c r="AA118" s="4"/>
      <c r="AB118" s="4"/>
      <c r="AC118" s="4"/>
      <c r="AD118" s="4"/>
      <c r="AE118" s="4"/>
      <c r="AF118" s="4"/>
      <c r="AG118" s="4"/>
      <c r="AH118" s="4"/>
      <c r="AI118" s="4"/>
      <c r="AJ118" s="4"/>
      <c r="AK118" s="4"/>
      <c r="AL118" s="4"/>
      <c r="AM118" s="4"/>
      <c r="AN118" s="4"/>
      <c r="AO118" s="4"/>
      <c r="AP118" s="4"/>
    </row>
    <row r="119" ht="17.25" customHeight="1">
      <c r="A119" s="96" t="s">
        <v>655</v>
      </c>
      <c r="B119" s="82" t="s">
        <v>258</v>
      </c>
      <c r="C119" s="64" t="s">
        <v>656</v>
      </c>
      <c r="D119" s="64" t="s">
        <v>657</v>
      </c>
      <c r="E119" s="73" t="s">
        <v>174</v>
      </c>
      <c r="F119" s="65" t="s">
        <v>31</v>
      </c>
      <c r="G119" s="65" t="s">
        <v>80</v>
      </c>
      <c r="H119" s="65" t="str">
        <f t="shared" si="3"/>
        <v>NOT_STARTED</v>
      </c>
      <c r="I119" s="65" t="s">
        <v>43</v>
      </c>
      <c r="J119" s="65" t="s">
        <v>72</v>
      </c>
      <c r="K119" s="65" t="s">
        <v>43</v>
      </c>
      <c r="L119" s="66" t="s">
        <v>349</v>
      </c>
      <c r="M119" s="84" t="s">
        <v>612</v>
      </c>
      <c r="N119" s="66"/>
      <c r="O119" s="66" t="s">
        <v>16</v>
      </c>
      <c r="P119" s="94"/>
      <c r="Q119" s="68" t="s">
        <v>658</v>
      </c>
      <c r="R119" s="81" t="s">
        <v>659</v>
      </c>
      <c r="S119" s="95" t="s">
        <v>77</v>
      </c>
      <c r="U119" s="32"/>
      <c r="V119" s="32"/>
      <c r="W119" s="32"/>
      <c r="X119" s="32"/>
      <c r="Y119" s="32"/>
      <c r="Z119" s="32"/>
      <c r="AA119" s="32"/>
      <c r="AB119" s="32"/>
      <c r="AC119" s="32"/>
      <c r="AD119" s="32"/>
      <c r="AE119" s="32"/>
      <c r="AF119" s="32"/>
      <c r="AG119" s="32"/>
      <c r="AH119" s="32"/>
      <c r="AI119" s="32"/>
      <c r="AJ119" s="32"/>
      <c r="AK119" s="32"/>
      <c r="AL119" s="32"/>
      <c r="AM119" s="32"/>
      <c r="AN119" s="32"/>
      <c r="AO119" s="32"/>
      <c r="AP119" s="32"/>
    </row>
    <row r="120" ht="17.25" customHeight="1">
      <c r="A120" s="70"/>
      <c r="B120" s="63" t="s">
        <v>660</v>
      </c>
      <c r="C120" s="64" t="s">
        <v>661</v>
      </c>
      <c r="D120" s="73" t="s">
        <v>662</v>
      </c>
      <c r="E120" s="64" t="s">
        <v>70</v>
      </c>
      <c r="F120" s="65" t="s">
        <v>31</v>
      </c>
      <c r="G120" s="65" t="s">
        <v>71</v>
      </c>
      <c r="H120" s="65" t="str">
        <f t="shared" si="3"/>
        <v>PASSED</v>
      </c>
      <c r="I120" s="65" t="s">
        <v>43</v>
      </c>
      <c r="J120" s="74" t="s">
        <v>663</v>
      </c>
      <c r="K120" s="74" t="s">
        <v>6</v>
      </c>
      <c r="L120" s="66" t="s">
        <v>664</v>
      </c>
      <c r="M120" s="84" t="s">
        <v>612</v>
      </c>
      <c r="N120" s="66"/>
      <c r="O120" s="66" t="s">
        <v>16</v>
      </c>
      <c r="P120" s="97" t="s">
        <v>665</v>
      </c>
      <c r="Q120" s="78" t="s">
        <v>666</v>
      </c>
      <c r="R120" s="97" t="s">
        <v>667</v>
      </c>
      <c r="S120" s="95" t="s">
        <v>405</v>
      </c>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row>
    <row r="121" ht="17.25" customHeight="1">
      <c r="A121" s="70"/>
      <c r="B121" s="70"/>
      <c r="C121" s="64" t="s">
        <v>668</v>
      </c>
      <c r="D121" s="64" t="s">
        <v>669</v>
      </c>
      <c r="E121" s="64" t="s">
        <v>70</v>
      </c>
      <c r="F121" s="65" t="s">
        <v>31</v>
      </c>
      <c r="G121" s="65" t="s">
        <v>71</v>
      </c>
      <c r="H121" s="65" t="str">
        <f t="shared" si="3"/>
        <v>PASSED</v>
      </c>
      <c r="I121" s="65" t="s">
        <v>43</v>
      </c>
      <c r="J121" s="74" t="s">
        <v>663</v>
      </c>
      <c r="K121" s="74" t="s">
        <v>6</v>
      </c>
      <c r="L121" s="66" t="s">
        <v>670</v>
      </c>
      <c r="M121" s="84" t="s">
        <v>612</v>
      </c>
      <c r="N121" s="66"/>
      <c r="O121" s="66" t="s">
        <v>16</v>
      </c>
      <c r="P121" s="97" t="s">
        <v>671</v>
      </c>
      <c r="Q121" s="78" t="s">
        <v>672</v>
      </c>
      <c r="R121" s="97" t="s">
        <v>673</v>
      </c>
      <c r="S121" s="95" t="s">
        <v>135</v>
      </c>
      <c r="U121" s="32"/>
      <c r="V121" s="32"/>
      <c r="W121" s="32"/>
      <c r="X121" s="32"/>
      <c r="Y121" s="32"/>
      <c r="Z121" s="32"/>
      <c r="AA121" s="32"/>
      <c r="AB121" s="32"/>
      <c r="AC121" s="32"/>
      <c r="AD121" s="32"/>
      <c r="AE121" s="32"/>
      <c r="AF121" s="32"/>
      <c r="AG121" s="32"/>
      <c r="AH121" s="32"/>
      <c r="AI121" s="32"/>
      <c r="AJ121" s="32"/>
      <c r="AK121" s="32"/>
      <c r="AL121" s="32"/>
      <c r="AM121" s="32"/>
      <c r="AN121" s="32"/>
      <c r="AO121" s="32"/>
      <c r="AP121" s="32"/>
    </row>
    <row r="122" ht="17.25" customHeight="1">
      <c r="A122" s="70"/>
      <c r="B122" s="70"/>
      <c r="C122" s="64" t="s">
        <v>674</v>
      </c>
      <c r="D122" s="64" t="s">
        <v>675</v>
      </c>
      <c r="E122" s="64" t="s">
        <v>70</v>
      </c>
      <c r="F122" s="65" t="s">
        <v>31</v>
      </c>
      <c r="G122" s="65" t="s">
        <v>71</v>
      </c>
      <c r="H122" s="65" t="str">
        <f t="shared" si="3"/>
        <v>PASSED</v>
      </c>
      <c r="I122" s="65" t="s">
        <v>43</v>
      </c>
      <c r="J122" s="74" t="s">
        <v>663</v>
      </c>
      <c r="K122" s="74" t="s">
        <v>6</v>
      </c>
      <c r="L122" s="66" t="s">
        <v>676</v>
      </c>
      <c r="M122" s="84" t="s">
        <v>612</v>
      </c>
      <c r="N122" s="66"/>
      <c r="O122" s="66" t="s">
        <v>16</v>
      </c>
      <c r="P122" s="97" t="s">
        <v>677</v>
      </c>
      <c r="Q122" s="78" t="s">
        <v>678</v>
      </c>
      <c r="R122" s="97" t="s">
        <v>679</v>
      </c>
      <c r="S122" s="95" t="s">
        <v>337</v>
      </c>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row>
    <row r="123" ht="17.25" customHeight="1">
      <c r="A123" s="70"/>
      <c r="B123" s="70"/>
      <c r="C123" s="64" t="s">
        <v>680</v>
      </c>
      <c r="D123" s="64" t="s">
        <v>681</v>
      </c>
      <c r="E123" s="64" t="s">
        <v>70</v>
      </c>
      <c r="F123" s="65" t="s">
        <v>31</v>
      </c>
      <c r="G123" s="65" t="s">
        <v>71</v>
      </c>
      <c r="H123" s="65" t="str">
        <f t="shared" si="3"/>
        <v>PASSED</v>
      </c>
      <c r="I123" s="65" t="s">
        <v>43</v>
      </c>
      <c r="J123" s="74" t="s">
        <v>663</v>
      </c>
      <c r="K123" s="74" t="s">
        <v>6</v>
      </c>
      <c r="L123" s="66" t="s">
        <v>279</v>
      </c>
      <c r="M123" s="84" t="s">
        <v>612</v>
      </c>
      <c r="N123" s="66"/>
      <c r="O123" s="66" t="s">
        <v>16</v>
      </c>
      <c r="P123" s="97" t="s">
        <v>682</v>
      </c>
      <c r="Q123" s="78" t="s">
        <v>683</v>
      </c>
      <c r="R123" s="97" t="s">
        <v>684</v>
      </c>
      <c r="S123" s="95" t="s">
        <v>281</v>
      </c>
      <c r="U123" s="32"/>
      <c r="V123" s="32"/>
      <c r="W123" s="32"/>
      <c r="X123" s="32"/>
      <c r="Y123" s="32"/>
      <c r="Z123" s="32"/>
      <c r="AA123" s="32"/>
      <c r="AB123" s="32"/>
      <c r="AC123" s="32"/>
      <c r="AD123" s="32"/>
      <c r="AE123" s="32"/>
      <c r="AF123" s="32"/>
      <c r="AG123" s="32"/>
      <c r="AH123" s="32"/>
      <c r="AI123" s="32"/>
      <c r="AJ123" s="32"/>
      <c r="AK123" s="32"/>
      <c r="AL123" s="32"/>
      <c r="AM123" s="32"/>
      <c r="AN123" s="32"/>
      <c r="AO123" s="32"/>
      <c r="AP123" s="32"/>
    </row>
    <row r="124" ht="17.25" customHeight="1">
      <c r="A124" s="70"/>
      <c r="B124" s="70"/>
      <c r="C124" s="64" t="s">
        <v>685</v>
      </c>
      <c r="D124" s="64" t="s">
        <v>686</v>
      </c>
      <c r="E124" s="64" t="s">
        <v>70</v>
      </c>
      <c r="F124" s="65" t="s">
        <v>31</v>
      </c>
      <c r="G124" s="65" t="s">
        <v>71</v>
      </c>
      <c r="H124" s="65" t="str">
        <f t="shared" si="3"/>
        <v>BLOCKED</v>
      </c>
      <c r="I124" s="74" t="s">
        <v>10</v>
      </c>
      <c r="J124" s="65" t="s">
        <v>72</v>
      </c>
      <c r="K124" s="74" t="s">
        <v>43</v>
      </c>
      <c r="L124" s="66" t="s">
        <v>687</v>
      </c>
      <c r="M124" s="84" t="s">
        <v>612</v>
      </c>
      <c r="N124" s="66"/>
      <c r="O124" s="66" t="s">
        <v>16</v>
      </c>
      <c r="P124" s="81" t="s">
        <v>688</v>
      </c>
      <c r="Q124" s="68" t="s">
        <v>689</v>
      </c>
      <c r="R124" s="81" t="s">
        <v>690</v>
      </c>
      <c r="S124" s="95" t="s">
        <v>411</v>
      </c>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row>
    <row r="125" ht="17.25" customHeight="1">
      <c r="A125" s="70"/>
      <c r="B125" s="70"/>
      <c r="C125" s="64" t="s">
        <v>691</v>
      </c>
      <c r="D125" s="64" t="s">
        <v>692</v>
      </c>
      <c r="E125" s="64" t="s">
        <v>70</v>
      </c>
      <c r="F125" s="65" t="s">
        <v>31</v>
      </c>
      <c r="G125" s="65" t="s">
        <v>71</v>
      </c>
      <c r="H125" s="65" t="str">
        <f t="shared" si="3"/>
        <v>BLOCKED</v>
      </c>
      <c r="I125" s="74" t="s">
        <v>10</v>
      </c>
      <c r="J125" s="65" t="s">
        <v>72</v>
      </c>
      <c r="K125" s="65" t="s">
        <v>43</v>
      </c>
      <c r="L125" s="66" t="s">
        <v>693</v>
      </c>
      <c r="M125" s="84" t="s">
        <v>612</v>
      </c>
      <c r="N125" s="66"/>
      <c r="O125" s="66" t="s">
        <v>16</v>
      </c>
      <c r="P125" s="81" t="s">
        <v>688</v>
      </c>
      <c r="Q125" s="68" t="s">
        <v>694</v>
      </c>
      <c r="R125" s="81" t="s">
        <v>695</v>
      </c>
      <c r="S125" s="95" t="s">
        <v>411</v>
      </c>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row>
    <row r="126" ht="17.25" customHeight="1">
      <c r="A126" s="70"/>
      <c r="B126" s="70"/>
      <c r="C126" s="64" t="s">
        <v>696</v>
      </c>
      <c r="D126" s="64" t="s">
        <v>697</v>
      </c>
      <c r="E126" s="64" t="s">
        <v>70</v>
      </c>
      <c r="F126" s="65" t="s">
        <v>31</v>
      </c>
      <c r="G126" s="65" t="s">
        <v>71</v>
      </c>
      <c r="H126" s="65" t="str">
        <f t="shared" si="3"/>
        <v>BLOCKED</v>
      </c>
      <c r="I126" s="74" t="s">
        <v>10</v>
      </c>
      <c r="J126" s="65" t="s">
        <v>72</v>
      </c>
      <c r="K126" s="65" t="s">
        <v>43</v>
      </c>
      <c r="L126" s="66" t="s">
        <v>698</v>
      </c>
      <c r="M126" s="84" t="s">
        <v>612</v>
      </c>
      <c r="N126" s="66"/>
      <c r="O126" s="66" t="s">
        <v>16</v>
      </c>
      <c r="P126" s="81" t="s">
        <v>688</v>
      </c>
      <c r="Q126" s="68" t="s">
        <v>699</v>
      </c>
      <c r="R126" s="81" t="s">
        <v>700</v>
      </c>
      <c r="S126" s="95" t="s">
        <v>411</v>
      </c>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row>
    <row r="127" ht="17.25" customHeight="1">
      <c r="A127" s="70"/>
      <c r="B127" s="70"/>
      <c r="C127" s="64" t="s">
        <v>701</v>
      </c>
      <c r="D127" s="64" t="s">
        <v>702</v>
      </c>
      <c r="E127" s="64" t="s">
        <v>70</v>
      </c>
      <c r="F127" s="65" t="s">
        <v>31</v>
      </c>
      <c r="G127" s="65" t="s">
        <v>71</v>
      </c>
      <c r="H127" s="65" t="str">
        <f t="shared" si="3"/>
        <v>FAILED</v>
      </c>
      <c r="I127" s="65" t="s">
        <v>43</v>
      </c>
      <c r="J127" s="74" t="s">
        <v>663</v>
      </c>
      <c r="K127" s="74" t="s">
        <v>7</v>
      </c>
      <c r="L127" s="66" t="s">
        <v>703</v>
      </c>
      <c r="M127" s="84" t="s">
        <v>612</v>
      </c>
      <c r="N127" s="66"/>
      <c r="O127" s="66" t="s">
        <v>16</v>
      </c>
      <c r="P127" s="97" t="s">
        <v>704</v>
      </c>
      <c r="Q127" s="78" t="s">
        <v>705</v>
      </c>
      <c r="R127" s="97" t="s">
        <v>706</v>
      </c>
      <c r="S127" s="95" t="s">
        <v>411</v>
      </c>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row>
    <row r="128" ht="17.25" customHeight="1">
      <c r="A128" s="70"/>
      <c r="B128" s="70"/>
      <c r="C128" s="64" t="s">
        <v>707</v>
      </c>
      <c r="D128" s="64" t="s">
        <v>708</v>
      </c>
      <c r="E128" s="64" t="s">
        <v>70</v>
      </c>
      <c r="F128" s="65" t="s">
        <v>31</v>
      </c>
      <c r="G128" s="65" t="s">
        <v>71</v>
      </c>
      <c r="H128" s="65" t="str">
        <f t="shared" si="3"/>
        <v>PASSED</v>
      </c>
      <c r="I128" s="65" t="s">
        <v>43</v>
      </c>
      <c r="J128" s="74" t="s">
        <v>663</v>
      </c>
      <c r="K128" s="74" t="s">
        <v>6</v>
      </c>
      <c r="L128" s="66" t="s">
        <v>496</v>
      </c>
      <c r="M128" s="84" t="s">
        <v>612</v>
      </c>
      <c r="N128" s="66"/>
      <c r="O128" s="66" t="s">
        <v>16</v>
      </c>
      <c r="P128" s="97" t="s">
        <v>709</v>
      </c>
      <c r="R128" s="81" t="s">
        <v>710</v>
      </c>
      <c r="S128" s="95" t="s">
        <v>281</v>
      </c>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row>
    <row r="129" ht="17.25" customHeight="1">
      <c r="A129" s="70"/>
      <c r="B129" s="70"/>
      <c r="C129" s="64" t="s">
        <v>711</v>
      </c>
      <c r="D129" s="64" t="s">
        <v>712</v>
      </c>
      <c r="E129" s="64" t="s">
        <v>70</v>
      </c>
      <c r="F129" s="65" t="s">
        <v>31</v>
      </c>
      <c r="G129" s="65" t="s">
        <v>71</v>
      </c>
      <c r="H129" s="65" t="str">
        <f t="shared" si="3"/>
        <v>PASSED</v>
      </c>
      <c r="I129" s="65" t="s">
        <v>43</v>
      </c>
      <c r="J129" s="74" t="s">
        <v>663</v>
      </c>
      <c r="K129" s="74" t="s">
        <v>6</v>
      </c>
      <c r="L129" s="66" t="s">
        <v>713</v>
      </c>
      <c r="M129" s="84" t="s">
        <v>612</v>
      </c>
      <c r="N129" s="66"/>
      <c r="O129" s="66" t="s">
        <v>16</v>
      </c>
      <c r="P129" s="97" t="s">
        <v>714</v>
      </c>
      <c r="Q129" s="78" t="s">
        <v>715</v>
      </c>
      <c r="R129" s="97" t="s">
        <v>716</v>
      </c>
      <c r="S129" s="95" t="s">
        <v>717</v>
      </c>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row>
    <row r="130" ht="17.25" customHeight="1">
      <c r="A130" s="70"/>
      <c r="B130" s="70"/>
      <c r="C130" s="64" t="s">
        <v>718</v>
      </c>
      <c r="D130" s="64" t="s">
        <v>719</v>
      </c>
      <c r="E130" s="64" t="s">
        <v>70</v>
      </c>
      <c r="F130" s="65" t="s">
        <v>31</v>
      </c>
      <c r="G130" s="65" t="s">
        <v>80</v>
      </c>
      <c r="H130" s="65" t="str">
        <f t="shared" si="3"/>
        <v>BLOCKED</v>
      </c>
      <c r="I130" s="74" t="s">
        <v>10</v>
      </c>
      <c r="J130" s="74" t="s">
        <v>72</v>
      </c>
      <c r="K130" s="74" t="s">
        <v>6</v>
      </c>
      <c r="L130" s="66" t="s">
        <v>720</v>
      </c>
      <c r="M130" s="84" t="s">
        <v>612</v>
      </c>
      <c r="N130" s="66"/>
      <c r="O130" s="66" t="s">
        <v>16</v>
      </c>
      <c r="P130" s="81" t="s">
        <v>721</v>
      </c>
      <c r="Q130" s="68" t="s">
        <v>722</v>
      </c>
      <c r="R130" s="81" t="s">
        <v>723</v>
      </c>
      <c r="S130" s="95" t="s">
        <v>337</v>
      </c>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row>
    <row r="131" ht="17.25" customHeight="1">
      <c r="A131" s="70"/>
      <c r="B131" s="70"/>
      <c r="C131" s="64" t="s">
        <v>724</v>
      </c>
      <c r="D131" s="64" t="s">
        <v>725</v>
      </c>
      <c r="E131" s="73" t="s">
        <v>174</v>
      </c>
      <c r="F131" s="65" t="s">
        <v>31</v>
      </c>
      <c r="G131" s="65" t="s">
        <v>80</v>
      </c>
      <c r="H131" s="65" t="str">
        <f t="shared" si="3"/>
        <v>BLOCKED</v>
      </c>
      <c r="I131" s="74" t="s">
        <v>10</v>
      </c>
      <c r="J131" s="65" t="s">
        <v>72</v>
      </c>
      <c r="K131" s="65" t="s">
        <v>43</v>
      </c>
      <c r="L131" s="66" t="s">
        <v>340</v>
      </c>
      <c r="M131" s="84" t="s">
        <v>612</v>
      </c>
      <c r="N131" s="66"/>
      <c r="O131" s="66" t="s">
        <v>16</v>
      </c>
      <c r="P131" s="81" t="s">
        <v>726</v>
      </c>
      <c r="Q131" s="68" t="s">
        <v>727</v>
      </c>
      <c r="R131" s="81" t="s">
        <v>728</v>
      </c>
      <c r="S131" s="95" t="s">
        <v>337</v>
      </c>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row>
    <row r="132" ht="17.25" customHeight="1">
      <c r="A132" s="70"/>
      <c r="B132" s="70"/>
      <c r="C132" s="64" t="s">
        <v>729</v>
      </c>
      <c r="D132" s="64" t="s">
        <v>730</v>
      </c>
      <c r="E132" s="64" t="s">
        <v>70</v>
      </c>
      <c r="F132" s="65" t="s">
        <v>31</v>
      </c>
      <c r="G132" s="65" t="s">
        <v>71</v>
      </c>
      <c r="H132" s="65" t="str">
        <f t="shared" si="3"/>
        <v>NOT_STARTED</v>
      </c>
      <c r="I132" s="65" t="s">
        <v>43</v>
      </c>
      <c r="J132" s="65" t="s">
        <v>72</v>
      </c>
      <c r="K132" s="65" t="s">
        <v>43</v>
      </c>
      <c r="L132" s="66" t="s">
        <v>279</v>
      </c>
      <c r="M132" s="84" t="s">
        <v>612</v>
      </c>
      <c r="N132" s="66"/>
      <c r="O132" s="66" t="s">
        <v>16</v>
      </c>
      <c r="P132" s="81" t="s">
        <v>731</v>
      </c>
      <c r="Q132" s="68" t="s">
        <v>732</v>
      </c>
      <c r="R132" s="81" t="s">
        <v>733</v>
      </c>
      <c r="S132" s="95" t="s">
        <v>281</v>
      </c>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row>
    <row r="133" ht="17.25" customHeight="1">
      <c r="A133" s="70"/>
      <c r="B133" s="70"/>
      <c r="C133" s="64" t="s">
        <v>734</v>
      </c>
      <c r="D133" s="64" t="s">
        <v>735</v>
      </c>
      <c r="E133" s="64" t="s">
        <v>70</v>
      </c>
      <c r="F133" s="65" t="s">
        <v>31</v>
      </c>
      <c r="G133" s="65" t="s">
        <v>71</v>
      </c>
      <c r="H133" s="65" t="str">
        <f t="shared" si="3"/>
        <v>NOT_STARTED</v>
      </c>
      <c r="I133" s="65" t="s">
        <v>43</v>
      </c>
      <c r="J133" s="65" t="s">
        <v>72</v>
      </c>
      <c r="K133" s="65" t="s">
        <v>43</v>
      </c>
      <c r="L133" s="66" t="s">
        <v>279</v>
      </c>
      <c r="M133" s="84" t="s">
        <v>612</v>
      </c>
      <c r="N133" s="66"/>
      <c r="O133" s="66" t="s">
        <v>16</v>
      </c>
      <c r="P133" s="81" t="s">
        <v>736</v>
      </c>
      <c r="Q133" s="68" t="s">
        <v>737</v>
      </c>
      <c r="R133" s="81" t="s">
        <v>738</v>
      </c>
      <c r="S133" s="95" t="s">
        <v>281</v>
      </c>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row>
    <row r="134" ht="17.25" customHeight="1">
      <c r="A134" s="70"/>
      <c r="B134" s="70"/>
      <c r="C134" s="64" t="s">
        <v>739</v>
      </c>
      <c r="D134" s="64" t="s">
        <v>740</v>
      </c>
      <c r="E134" s="64" t="s">
        <v>70</v>
      </c>
      <c r="F134" s="65" t="s">
        <v>31</v>
      </c>
      <c r="G134" s="65" t="s">
        <v>71</v>
      </c>
      <c r="H134" s="65" t="str">
        <f t="shared" si="3"/>
        <v>NOT_STARTED</v>
      </c>
      <c r="I134" s="65" t="s">
        <v>43</v>
      </c>
      <c r="J134" s="65" t="s">
        <v>72</v>
      </c>
      <c r="K134" s="65" t="s">
        <v>43</v>
      </c>
      <c r="L134" s="66" t="s">
        <v>741</v>
      </c>
      <c r="M134" s="84" t="s">
        <v>612</v>
      </c>
      <c r="N134" s="66"/>
      <c r="O134" s="66" t="s">
        <v>16</v>
      </c>
      <c r="P134" s="81" t="s">
        <v>742</v>
      </c>
      <c r="Q134" s="68" t="s">
        <v>743</v>
      </c>
      <c r="R134" s="81" t="s">
        <v>744</v>
      </c>
      <c r="S134" s="95" t="s">
        <v>367</v>
      </c>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row>
    <row r="135" ht="17.25" customHeight="1">
      <c r="A135" s="70"/>
      <c r="B135" s="70"/>
      <c r="C135" s="64" t="s">
        <v>745</v>
      </c>
      <c r="D135" s="64" t="s">
        <v>746</v>
      </c>
      <c r="E135" s="64" t="s">
        <v>70</v>
      </c>
      <c r="F135" s="65" t="s">
        <v>32</v>
      </c>
      <c r="G135" s="65" t="s">
        <v>80</v>
      </c>
      <c r="H135" s="65" t="str">
        <f t="shared" si="3"/>
        <v>NOT_STARTED</v>
      </c>
      <c r="I135" s="65" t="s">
        <v>43</v>
      </c>
      <c r="J135" s="65" t="s">
        <v>72</v>
      </c>
      <c r="K135" s="65" t="s">
        <v>43</v>
      </c>
      <c r="L135" s="66" t="s">
        <v>408</v>
      </c>
      <c r="M135" s="84" t="s">
        <v>612</v>
      </c>
      <c r="N135" s="66"/>
      <c r="O135" s="66" t="s">
        <v>16</v>
      </c>
      <c r="P135" s="81" t="s">
        <v>747</v>
      </c>
      <c r="Q135" s="68" t="s">
        <v>748</v>
      </c>
      <c r="R135" s="81" t="s">
        <v>749</v>
      </c>
      <c r="S135" s="95" t="s">
        <v>411</v>
      </c>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row>
    <row r="136" ht="17.25" customHeight="1">
      <c r="A136" s="70"/>
      <c r="B136" s="70"/>
      <c r="C136" s="64" t="s">
        <v>750</v>
      </c>
      <c r="D136" s="64" t="s">
        <v>751</v>
      </c>
      <c r="E136" s="64" t="s">
        <v>70</v>
      </c>
      <c r="F136" s="65" t="s">
        <v>32</v>
      </c>
      <c r="G136" s="65" t="s">
        <v>80</v>
      </c>
      <c r="H136" s="65" t="str">
        <f t="shared" si="3"/>
        <v>NOT_STARTED</v>
      </c>
      <c r="I136" s="65" t="s">
        <v>43</v>
      </c>
      <c r="J136" s="65" t="s">
        <v>72</v>
      </c>
      <c r="K136" s="65" t="s">
        <v>43</v>
      </c>
      <c r="L136" s="66" t="s">
        <v>752</v>
      </c>
      <c r="M136" s="84" t="s">
        <v>612</v>
      </c>
      <c r="N136" s="66"/>
      <c r="O136" s="66" t="s">
        <v>16</v>
      </c>
      <c r="P136" s="81" t="s">
        <v>753</v>
      </c>
      <c r="Q136" s="68" t="s">
        <v>754</v>
      </c>
      <c r="R136" s="81" t="s">
        <v>755</v>
      </c>
      <c r="S136" s="95" t="s">
        <v>281</v>
      </c>
      <c r="U136" s="32"/>
      <c r="V136" s="32"/>
      <c r="W136" s="32"/>
      <c r="X136" s="32"/>
      <c r="Y136" s="32"/>
      <c r="Z136" s="32"/>
      <c r="AA136" s="32"/>
      <c r="AB136" s="32"/>
      <c r="AC136" s="32"/>
      <c r="AD136" s="32"/>
      <c r="AE136" s="32"/>
      <c r="AF136" s="32"/>
      <c r="AG136" s="32"/>
      <c r="AH136" s="32"/>
      <c r="AI136" s="32"/>
      <c r="AJ136" s="32"/>
      <c r="AK136" s="32"/>
      <c r="AL136" s="32"/>
      <c r="AM136" s="32"/>
      <c r="AN136" s="32"/>
      <c r="AO136" s="32"/>
      <c r="AP136" s="32"/>
    </row>
    <row r="137" ht="17.25" customHeight="1">
      <c r="A137" s="70"/>
      <c r="B137" s="70"/>
      <c r="C137" s="81" t="s">
        <v>756</v>
      </c>
      <c r="D137" s="81" t="s">
        <v>757</v>
      </c>
      <c r="E137" s="81" t="s">
        <v>70</v>
      </c>
      <c r="F137" s="87" t="s">
        <v>31</v>
      </c>
      <c r="G137" s="87" t="s">
        <v>71</v>
      </c>
      <c r="H137" s="65" t="str">
        <f t="shared" si="3"/>
        <v>NOT_STARTED</v>
      </c>
      <c r="I137" s="87" t="s">
        <v>43</v>
      </c>
      <c r="J137" s="87" t="s">
        <v>72</v>
      </c>
      <c r="K137" s="87" t="s">
        <v>43</v>
      </c>
      <c r="L137" s="84" t="s">
        <v>758</v>
      </c>
      <c r="M137" s="84" t="s">
        <v>612</v>
      </c>
      <c r="N137" s="85"/>
      <c r="O137" s="84" t="s">
        <v>16</v>
      </c>
      <c r="P137" s="81" t="s">
        <v>759</v>
      </c>
      <c r="Q137" s="81" t="s">
        <v>760</v>
      </c>
      <c r="R137" s="81" t="s">
        <v>761</v>
      </c>
      <c r="S137" s="98" t="s">
        <v>762</v>
      </c>
      <c r="U137" s="99"/>
      <c r="V137" s="99"/>
      <c r="W137" s="99"/>
      <c r="X137" s="99"/>
      <c r="Y137" s="99"/>
      <c r="Z137" s="99"/>
      <c r="AA137" s="99"/>
      <c r="AB137" s="99"/>
      <c r="AC137" s="99"/>
      <c r="AD137" s="99"/>
      <c r="AE137" s="99"/>
      <c r="AF137" s="99"/>
      <c r="AG137" s="99"/>
      <c r="AH137" s="99"/>
      <c r="AI137" s="99"/>
      <c r="AJ137" s="99"/>
      <c r="AK137" s="99"/>
      <c r="AL137" s="99"/>
      <c r="AM137" s="99"/>
      <c r="AN137" s="99"/>
      <c r="AO137" s="99"/>
      <c r="AP137" s="99"/>
    </row>
    <row r="138" ht="17.25" customHeight="1">
      <c r="A138" s="70"/>
      <c r="B138" s="70"/>
      <c r="C138" s="81" t="s">
        <v>763</v>
      </c>
      <c r="D138" s="81" t="s">
        <v>764</v>
      </c>
      <c r="E138" s="81" t="s">
        <v>70</v>
      </c>
      <c r="F138" s="87" t="s">
        <v>31</v>
      </c>
      <c r="G138" s="87" t="s">
        <v>80</v>
      </c>
      <c r="H138" s="65" t="str">
        <f t="shared" si="3"/>
        <v>NOT_STARTED</v>
      </c>
      <c r="I138" s="87" t="s">
        <v>43</v>
      </c>
      <c r="J138" s="87" t="s">
        <v>72</v>
      </c>
      <c r="K138" s="87" t="s">
        <v>43</v>
      </c>
      <c r="L138" s="100" t="s">
        <v>765</v>
      </c>
      <c r="M138" s="84" t="s">
        <v>612</v>
      </c>
      <c r="N138" s="85"/>
      <c r="O138" s="84" t="s">
        <v>16</v>
      </c>
      <c r="P138" s="81" t="s">
        <v>766</v>
      </c>
      <c r="Q138" s="81" t="s">
        <v>767</v>
      </c>
      <c r="R138" s="81" t="s">
        <v>768</v>
      </c>
      <c r="S138" s="95" t="s">
        <v>411</v>
      </c>
      <c r="U138" s="99"/>
      <c r="V138" s="99"/>
      <c r="W138" s="99"/>
      <c r="X138" s="99"/>
      <c r="Y138" s="99"/>
      <c r="Z138" s="99"/>
      <c r="AA138" s="99"/>
      <c r="AB138" s="99"/>
      <c r="AC138" s="99"/>
      <c r="AD138" s="99"/>
      <c r="AE138" s="99"/>
      <c r="AF138" s="99"/>
      <c r="AG138" s="99"/>
      <c r="AH138" s="99"/>
      <c r="AI138" s="99"/>
      <c r="AJ138" s="99"/>
      <c r="AK138" s="99"/>
      <c r="AL138" s="99"/>
      <c r="AM138" s="99"/>
      <c r="AN138" s="99"/>
      <c r="AO138" s="99"/>
      <c r="AP138" s="99"/>
    </row>
    <row r="139" ht="17.25" customHeight="1">
      <c r="A139" s="70"/>
      <c r="B139" s="70"/>
      <c r="C139" s="81" t="s">
        <v>769</v>
      </c>
      <c r="D139" s="81" t="s">
        <v>770</v>
      </c>
      <c r="E139" s="81" t="s">
        <v>70</v>
      </c>
      <c r="F139" s="87" t="s">
        <v>32</v>
      </c>
      <c r="G139" s="87" t="s">
        <v>80</v>
      </c>
      <c r="H139" s="65" t="str">
        <f t="shared" si="3"/>
        <v>NOT_STARTED</v>
      </c>
      <c r="I139" s="87" t="s">
        <v>43</v>
      </c>
      <c r="J139" s="87" t="s">
        <v>72</v>
      </c>
      <c r="K139" s="87" t="s">
        <v>43</v>
      </c>
      <c r="L139" s="84"/>
      <c r="M139" s="84" t="s">
        <v>612</v>
      </c>
      <c r="N139" s="85"/>
      <c r="O139" s="84" t="s">
        <v>16</v>
      </c>
      <c r="P139" s="81" t="s">
        <v>771</v>
      </c>
      <c r="Q139" s="81" t="s">
        <v>772</v>
      </c>
      <c r="R139" s="81" t="s">
        <v>773</v>
      </c>
      <c r="S139" s="98" t="s">
        <v>411</v>
      </c>
      <c r="U139" s="99"/>
      <c r="V139" s="99"/>
      <c r="W139" s="99"/>
      <c r="X139" s="99"/>
      <c r="Y139" s="99"/>
      <c r="Z139" s="99"/>
      <c r="AA139" s="99"/>
      <c r="AB139" s="99"/>
      <c r="AC139" s="99"/>
      <c r="AD139" s="99"/>
      <c r="AE139" s="99"/>
      <c r="AF139" s="99"/>
      <c r="AG139" s="99"/>
      <c r="AH139" s="99"/>
      <c r="AI139" s="99"/>
      <c r="AJ139" s="99"/>
      <c r="AK139" s="99"/>
      <c r="AL139" s="99"/>
      <c r="AM139" s="99"/>
      <c r="AN139" s="99"/>
      <c r="AO139" s="99"/>
      <c r="AP139" s="99"/>
    </row>
    <row r="140" ht="17.25" customHeight="1">
      <c r="A140" s="70"/>
      <c r="B140" s="70"/>
      <c r="C140" s="97" t="s">
        <v>774</v>
      </c>
      <c r="D140" s="97" t="s">
        <v>775</v>
      </c>
      <c r="E140" s="73" t="s">
        <v>174</v>
      </c>
      <c r="F140" s="101" t="s">
        <v>32</v>
      </c>
      <c r="G140" s="101" t="s">
        <v>80</v>
      </c>
      <c r="H140" s="65" t="str">
        <f t="shared" si="3"/>
        <v>FAILED</v>
      </c>
      <c r="I140" s="87" t="s">
        <v>43</v>
      </c>
      <c r="J140" s="101" t="s">
        <v>663</v>
      </c>
      <c r="K140" s="101" t="s">
        <v>7</v>
      </c>
      <c r="L140" s="66" t="s">
        <v>664</v>
      </c>
      <c r="M140" s="84" t="s">
        <v>612</v>
      </c>
      <c r="N140" s="85"/>
      <c r="O140" s="84" t="s">
        <v>16</v>
      </c>
      <c r="P140" s="97" t="s">
        <v>776</v>
      </c>
      <c r="Q140" s="97" t="s">
        <v>777</v>
      </c>
      <c r="R140" s="97" t="s">
        <v>778</v>
      </c>
      <c r="S140" s="95" t="s">
        <v>405</v>
      </c>
      <c r="U140" s="99"/>
      <c r="V140" s="99"/>
      <c r="W140" s="99"/>
      <c r="X140" s="99"/>
      <c r="Y140" s="99"/>
      <c r="Z140" s="99"/>
      <c r="AA140" s="99"/>
      <c r="AB140" s="99"/>
      <c r="AC140" s="99"/>
      <c r="AD140" s="99"/>
      <c r="AE140" s="99"/>
      <c r="AF140" s="99"/>
      <c r="AG140" s="99"/>
      <c r="AH140" s="99"/>
      <c r="AI140" s="99"/>
      <c r="AJ140" s="99"/>
      <c r="AK140" s="99"/>
      <c r="AL140" s="99"/>
      <c r="AM140" s="99"/>
      <c r="AN140" s="99"/>
      <c r="AO140" s="99"/>
      <c r="AP140" s="99"/>
    </row>
    <row r="141" ht="17.25" customHeight="1">
      <c r="A141" s="70"/>
      <c r="B141" s="70"/>
      <c r="C141" s="97" t="s">
        <v>779</v>
      </c>
      <c r="D141" s="97" t="s">
        <v>780</v>
      </c>
      <c r="E141" s="73" t="s">
        <v>174</v>
      </c>
      <c r="F141" s="101" t="s">
        <v>32</v>
      </c>
      <c r="G141" s="101" t="s">
        <v>80</v>
      </c>
      <c r="H141" s="65" t="str">
        <f t="shared" si="3"/>
        <v>PASSED</v>
      </c>
      <c r="I141" s="65" t="s">
        <v>43</v>
      </c>
      <c r="J141" s="74" t="s">
        <v>663</v>
      </c>
      <c r="K141" s="74" t="s">
        <v>6</v>
      </c>
      <c r="L141" s="66" t="s">
        <v>703</v>
      </c>
      <c r="M141" s="84" t="s">
        <v>612</v>
      </c>
      <c r="N141" s="85"/>
      <c r="O141" s="84" t="s">
        <v>16</v>
      </c>
      <c r="P141" s="97" t="s">
        <v>781</v>
      </c>
      <c r="Q141" s="97" t="s">
        <v>782</v>
      </c>
      <c r="R141" s="97" t="s">
        <v>783</v>
      </c>
      <c r="S141" s="95" t="s">
        <v>411</v>
      </c>
      <c r="U141" s="99"/>
      <c r="V141" s="99"/>
      <c r="W141" s="99"/>
      <c r="X141" s="99"/>
      <c r="Y141" s="99"/>
      <c r="Z141" s="99"/>
      <c r="AA141" s="99"/>
      <c r="AB141" s="99"/>
      <c r="AC141" s="99"/>
      <c r="AD141" s="99"/>
      <c r="AE141" s="99"/>
      <c r="AF141" s="99"/>
      <c r="AG141" s="99"/>
      <c r="AH141" s="99"/>
      <c r="AI141" s="99"/>
      <c r="AJ141" s="99"/>
      <c r="AK141" s="99"/>
      <c r="AL141" s="99"/>
      <c r="AM141" s="99"/>
      <c r="AN141" s="99"/>
      <c r="AO141" s="99"/>
      <c r="AP141" s="99"/>
    </row>
    <row r="142" ht="17.25" customHeight="1">
      <c r="A142" s="70"/>
      <c r="B142" s="15"/>
      <c r="C142" s="97" t="s">
        <v>784</v>
      </c>
      <c r="D142" s="73" t="s">
        <v>785</v>
      </c>
      <c r="E142" s="73" t="s">
        <v>174</v>
      </c>
      <c r="F142" s="101" t="s">
        <v>32</v>
      </c>
      <c r="G142" s="101" t="s">
        <v>80</v>
      </c>
      <c r="H142" s="65" t="str">
        <f t="shared" si="3"/>
        <v>PASSED</v>
      </c>
      <c r="I142" s="65" t="s">
        <v>43</v>
      </c>
      <c r="J142" s="74" t="s">
        <v>663</v>
      </c>
      <c r="K142" s="74" t="s">
        <v>6</v>
      </c>
      <c r="L142" s="66" t="s">
        <v>496</v>
      </c>
      <c r="M142" s="84" t="s">
        <v>612</v>
      </c>
      <c r="N142" s="66"/>
      <c r="O142" s="66" t="s">
        <v>16</v>
      </c>
      <c r="P142" s="97" t="s">
        <v>786</v>
      </c>
      <c r="Q142" s="78" t="s">
        <v>787</v>
      </c>
      <c r="R142" s="97" t="s">
        <v>788</v>
      </c>
      <c r="S142" s="95" t="s">
        <v>281</v>
      </c>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row>
    <row r="143" ht="17.25" customHeight="1">
      <c r="A143" s="70"/>
      <c r="B143" s="82" t="s">
        <v>789</v>
      </c>
      <c r="C143" s="64" t="s">
        <v>790</v>
      </c>
      <c r="D143" s="64" t="s">
        <v>791</v>
      </c>
      <c r="E143" s="73" t="s">
        <v>174</v>
      </c>
      <c r="F143" s="74" t="s">
        <v>31</v>
      </c>
      <c r="G143" s="65" t="s">
        <v>80</v>
      </c>
      <c r="H143" s="65" t="str">
        <f t="shared" si="3"/>
        <v>NOT_STARTED</v>
      </c>
      <c r="I143" s="65" t="s">
        <v>43</v>
      </c>
      <c r="J143" s="65" t="s">
        <v>72</v>
      </c>
      <c r="K143" s="65" t="s">
        <v>43</v>
      </c>
      <c r="L143" s="66" t="s">
        <v>408</v>
      </c>
      <c r="M143" s="84" t="s">
        <v>612</v>
      </c>
      <c r="N143" s="66"/>
      <c r="O143" s="66" t="s">
        <v>16</v>
      </c>
      <c r="P143" s="81" t="s">
        <v>792</v>
      </c>
      <c r="Q143" s="68" t="s">
        <v>793</v>
      </c>
      <c r="R143" s="81" t="s">
        <v>794</v>
      </c>
      <c r="S143" s="95" t="s">
        <v>411</v>
      </c>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row>
    <row r="144" ht="17.25" customHeight="1">
      <c r="A144" s="70"/>
      <c r="B144" s="63" t="s">
        <v>795</v>
      </c>
      <c r="C144" s="64" t="s">
        <v>796</v>
      </c>
      <c r="D144" s="64" t="s">
        <v>797</v>
      </c>
      <c r="E144" s="64" t="s">
        <v>70</v>
      </c>
      <c r="F144" s="65" t="s">
        <v>32</v>
      </c>
      <c r="G144" s="65" t="s">
        <v>80</v>
      </c>
      <c r="H144" s="65" t="str">
        <f t="shared" si="3"/>
        <v>NOT_STARTED</v>
      </c>
      <c r="I144" s="65" t="s">
        <v>43</v>
      </c>
      <c r="J144" s="65" t="s">
        <v>72</v>
      </c>
      <c r="K144" s="65" t="s">
        <v>43</v>
      </c>
      <c r="L144" s="66" t="s">
        <v>798</v>
      </c>
      <c r="M144" s="84" t="s">
        <v>612</v>
      </c>
      <c r="N144" s="66"/>
      <c r="O144" s="66" t="s">
        <v>16</v>
      </c>
      <c r="P144" s="81" t="s">
        <v>799</v>
      </c>
      <c r="Q144" s="68" t="s">
        <v>800</v>
      </c>
      <c r="R144" s="81" t="s">
        <v>801</v>
      </c>
      <c r="S144" s="95" t="s">
        <v>326</v>
      </c>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row>
    <row r="145" ht="17.25" customHeight="1">
      <c r="A145" s="70"/>
      <c r="B145" s="15"/>
      <c r="C145" s="64" t="s">
        <v>802</v>
      </c>
      <c r="D145" s="64" t="s">
        <v>803</v>
      </c>
      <c r="E145" s="64" t="s">
        <v>70</v>
      </c>
      <c r="F145" s="65" t="s">
        <v>32</v>
      </c>
      <c r="G145" s="65" t="s">
        <v>80</v>
      </c>
      <c r="H145" s="65" t="str">
        <f t="shared" si="3"/>
        <v>NOT_STARTED</v>
      </c>
      <c r="I145" s="65" t="s">
        <v>43</v>
      </c>
      <c r="J145" s="65" t="s">
        <v>72</v>
      </c>
      <c r="K145" s="65" t="s">
        <v>43</v>
      </c>
      <c r="L145" s="66" t="s">
        <v>798</v>
      </c>
      <c r="M145" s="84" t="s">
        <v>612</v>
      </c>
      <c r="N145" s="66"/>
      <c r="O145" s="66" t="s">
        <v>16</v>
      </c>
      <c r="P145" s="81" t="s">
        <v>804</v>
      </c>
      <c r="Q145" s="68" t="s">
        <v>805</v>
      </c>
      <c r="R145" s="81" t="s">
        <v>806</v>
      </c>
      <c r="S145" s="95" t="s">
        <v>326</v>
      </c>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row>
    <row r="146" ht="17.25" customHeight="1">
      <c r="A146" s="70"/>
      <c r="B146" s="63" t="s">
        <v>320</v>
      </c>
      <c r="C146" s="64" t="s">
        <v>807</v>
      </c>
      <c r="D146" s="64" t="s">
        <v>808</v>
      </c>
      <c r="E146" s="64" t="s">
        <v>100</v>
      </c>
      <c r="F146" s="65" t="s">
        <v>31</v>
      </c>
      <c r="G146" s="65" t="s">
        <v>71</v>
      </c>
      <c r="H146" s="65" t="str">
        <f t="shared" si="3"/>
        <v>NOT_STARTED</v>
      </c>
      <c r="I146" s="65" t="s">
        <v>43</v>
      </c>
      <c r="J146" s="65" t="s">
        <v>72</v>
      </c>
      <c r="K146" s="65" t="s">
        <v>43</v>
      </c>
      <c r="L146" s="66" t="s">
        <v>809</v>
      </c>
      <c r="M146" s="84" t="s">
        <v>612</v>
      </c>
      <c r="N146" s="66"/>
      <c r="O146" s="66" t="s">
        <v>16</v>
      </c>
      <c r="P146" s="81" t="s">
        <v>810</v>
      </c>
      <c r="Q146" s="68" t="s">
        <v>811</v>
      </c>
      <c r="R146" s="81" t="s">
        <v>812</v>
      </c>
      <c r="S146" s="95" t="s">
        <v>326</v>
      </c>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row>
    <row r="147" ht="17.25" customHeight="1">
      <c r="A147" s="15"/>
      <c r="B147" s="15"/>
      <c r="C147" s="64" t="s">
        <v>813</v>
      </c>
      <c r="D147" s="64" t="s">
        <v>814</v>
      </c>
      <c r="E147" s="64" t="s">
        <v>70</v>
      </c>
      <c r="F147" s="65" t="s">
        <v>32</v>
      </c>
      <c r="G147" s="65" t="s">
        <v>80</v>
      </c>
      <c r="H147" s="65" t="str">
        <f t="shared" si="3"/>
        <v>NOT_STARTED</v>
      </c>
      <c r="I147" s="65" t="s">
        <v>43</v>
      </c>
      <c r="J147" s="65" t="s">
        <v>72</v>
      </c>
      <c r="K147" s="65" t="s">
        <v>43</v>
      </c>
      <c r="L147" s="66" t="s">
        <v>798</v>
      </c>
      <c r="M147" s="84" t="s">
        <v>612</v>
      </c>
      <c r="N147" s="66"/>
      <c r="O147" s="66" t="s">
        <v>16</v>
      </c>
      <c r="P147" s="81" t="s">
        <v>810</v>
      </c>
      <c r="Q147" s="68" t="s">
        <v>815</v>
      </c>
      <c r="R147" s="81" t="s">
        <v>816</v>
      </c>
      <c r="S147" s="95" t="s">
        <v>326</v>
      </c>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row>
    <row r="148" ht="17.25" customHeight="1">
      <c r="A148" s="96" t="s">
        <v>817</v>
      </c>
      <c r="B148" s="63" t="s">
        <v>818</v>
      </c>
      <c r="C148" s="64" t="s">
        <v>819</v>
      </c>
      <c r="D148" s="64" t="s">
        <v>820</v>
      </c>
      <c r="E148" s="64" t="s">
        <v>70</v>
      </c>
      <c r="F148" s="65" t="s">
        <v>31</v>
      </c>
      <c r="G148" s="65" t="s">
        <v>71</v>
      </c>
      <c r="H148" s="65" t="str">
        <f t="shared" si="3"/>
        <v>NOT_STARTED</v>
      </c>
      <c r="I148" s="65" t="s">
        <v>43</v>
      </c>
      <c r="J148" s="65" t="s">
        <v>72</v>
      </c>
      <c r="K148" s="65" t="s">
        <v>43</v>
      </c>
      <c r="L148" s="66" t="s">
        <v>334</v>
      </c>
      <c r="M148" s="84" t="s">
        <v>612</v>
      </c>
      <c r="N148" s="66"/>
      <c r="O148" s="66" t="s">
        <v>16</v>
      </c>
      <c r="P148" s="81" t="s">
        <v>821</v>
      </c>
      <c r="Q148" s="68" t="s">
        <v>822</v>
      </c>
      <c r="R148" s="81" t="s">
        <v>823</v>
      </c>
      <c r="S148" s="95" t="s">
        <v>337</v>
      </c>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row>
    <row r="149" ht="17.25" customHeight="1">
      <c r="A149" s="70"/>
      <c r="B149" s="70"/>
      <c r="C149" s="64" t="s">
        <v>824</v>
      </c>
      <c r="D149" s="64" t="s">
        <v>825</v>
      </c>
      <c r="E149" s="64" t="s">
        <v>70</v>
      </c>
      <c r="F149" s="65" t="s">
        <v>31</v>
      </c>
      <c r="G149" s="65" t="s">
        <v>71</v>
      </c>
      <c r="H149" s="65" t="str">
        <f t="shared" si="3"/>
        <v>NOT_STARTED</v>
      </c>
      <c r="I149" s="65" t="s">
        <v>43</v>
      </c>
      <c r="J149" s="65" t="s">
        <v>72</v>
      </c>
      <c r="K149" s="65" t="s">
        <v>43</v>
      </c>
      <c r="L149" s="66" t="s">
        <v>826</v>
      </c>
      <c r="M149" s="84" t="s">
        <v>612</v>
      </c>
      <c r="N149" s="66"/>
      <c r="O149" s="66" t="s">
        <v>16</v>
      </c>
      <c r="P149" s="94"/>
      <c r="Q149" s="68" t="s">
        <v>827</v>
      </c>
      <c r="R149" s="81" t="s">
        <v>828</v>
      </c>
      <c r="S149" s="95" t="s">
        <v>762</v>
      </c>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row>
    <row r="150" ht="17.25" customHeight="1">
      <c r="A150" s="70"/>
      <c r="B150" s="70"/>
      <c r="C150" s="64" t="s">
        <v>829</v>
      </c>
      <c r="D150" s="64" t="s">
        <v>830</v>
      </c>
      <c r="E150" s="64" t="s">
        <v>70</v>
      </c>
      <c r="F150" s="65" t="s">
        <v>31</v>
      </c>
      <c r="G150" s="65" t="s">
        <v>71</v>
      </c>
      <c r="H150" s="65" t="str">
        <f t="shared" si="3"/>
        <v>NOT_STARTED</v>
      </c>
      <c r="I150" s="65" t="s">
        <v>43</v>
      </c>
      <c r="J150" s="65" t="s">
        <v>72</v>
      </c>
      <c r="K150" s="65" t="s">
        <v>43</v>
      </c>
      <c r="L150" s="66" t="s">
        <v>831</v>
      </c>
      <c r="M150" s="84" t="s">
        <v>612</v>
      </c>
      <c r="N150" s="66"/>
      <c r="O150" s="66" t="s">
        <v>16</v>
      </c>
      <c r="P150" s="94"/>
      <c r="Q150" s="68" t="s">
        <v>832</v>
      </c>
      <c r="R150" s="81" t="s">
        <v>833</v>
      </c>
      <c r="S150" s="95" t="s">
        <v>834</v>
      </c>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row>
    <row r="151" ht="17.25" customHeight="1">
      <c r="A151" s="70"/>
      <c r="B151" s="70"/>
      <c r="C151" s="64" t="s">
        <v>835</v>
      </c>
      <c r="D151" s="64" t="s">
        <v>836</v>
      </c>
      <c r="E151" s="64" t="s">
        <v>70</v>
      </c>
      <c r="F151" s="65" t="s">
        <v>31</v>
      </c>
      <c r="G151" s="65" t="s">
        <v>71</v>
      </c>
      <c r="H151" s="65" t="str">
        <f t="shared" si="3"/>
        <v>NOT_STARTED</v>
      </c>
      <c r="I151" s="65" t="s">
        <v>43</v>
      </c>
      <c r="J151" s="65" t="s">
        <v>72</v>
      </c>
      <c r="K151" s="65" t="s">
        <v>43</v>
      </c>
      <c r="L151" s="66" t="s">
        <v>248</v>
      </c>
      <c r="M151" s="84" t="s">
        <v>612</v>
      </c>
      <c r="N151" s="66"/>
      <c r="O151" s="66" t="s">
        <v>16</v>
      </c>
      <c r="P151" s="94"/>
      <c r="Q151" s="68" t="s">
        <v>837</v>
      </c>
      <c r="R151" s="81" t="s">
        <v>838</v>
      </c>
      <c r="S151" s="95" t="s">
        <v>839</v>
      </c>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row>
    <row r="152" ht="17.25" customHeight="1">
      <c r="A152" s="70"/>
      <c r="B152" s="70"/>
      <c r="C152" s="64" t="s">
        <v>840</v>
      </c>
      <c r="D152" s="64" t="s">
        <v>841</v>
      </c>
      <c r="E152" s="64" t="s">
        <v>70</v>
      </c>
      <c r="F152" s="65" t="s">
        <v>31</v>
      </c>
      <c r="G152" s="65" t="s">
        <v>71</v>
      </c>
      <c r="H152" s="65" t="str">
        <f t="shared" si="3"/>
        <v>NOT_STARTED</v>
      </c>
      <c r="I152" s="65" t="s">
        <v>43</v>
      </c>
      <c r="J152" s="65" t="s">
        <v>72</v>
      </c>
      <c r="K152" s="65" t="s">
        <v>43</v>
      </c>
      <c r="L152" s="66" t="s">
        <v>842</v>
      </c>
      <c r="M152" s="84" t="s">
        <v>612</v>
      </c>
      <c r="N152" s="66"/>
      <c r="O152" s="66" t="s">
        <v>16</v>
      </c>
      <c r="P152" s="94"/>
      <c r="Q152" s="68" t="s">
        <v>843</v>
      </c>
      <c r="R152" s="81" t="s">
        <v>844</v>
      </c>
      <c r="S152" s="95" t="s">
        <v>839</v>
      </c>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row>
    <row r="153" ht="17.25" customHeight="1">
      <c r="A153" s="70"/>
      <c r="B153" s="70"/>
      <c r="C153" s="64" t="s">
        <v>845</v>
      </c>
      <c r="D153" s="64" t="s">
        <v>846</v>
      </c>
      <c r="E153" s="64" t="s">
        <v>70</v>
      </c>
      <c r="F153" s="65" t="s">
        <v>31</v>
      </c>
      <c r="G153" s="65" t="s">
        <v>71</v>
      </c>
      <c r="H153" s="65" t="str">
        <f t="shared" si="3"/>
        <v>NOT_STARTED</v>
      </c>
      <c r="I153" s="65" t="s">
        <v>43</v>
      </c>
      <c r="J153" s="65" t="s">
        <v>72</v>
      </c>
      <c r="K153" s="65" t="s">
        <v>43</v>
      </c>
      <c r="L153" s="66" t="s">
        <v>842</v>
      </c>
      <c r="M153" s="84" t="s">
        <v>612</v>
      </c>
      <c r="N153" s="66"/>
      <c r="O153" s="66" t="s">
        <v>16</v>
      </c>
      <c r="P153" s="94"/>
      <c r="Q153" s="68" t="s">
        <v>847</v>
      </c>
      <c r="R153" s="81" t="s">
        <v>848</v>
      </c>
      <c r="S153" s="95" t="s">
        <v>839</v>
      </c>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row>
    <row r="154" ht="17.25" customHeight="1">
      <c r="A154" s="70"/>
      <c r="B154" s="70"/>
      <c r="C154" s="64" t="s">
        <v>849</v>
      </c>
      <c r="D154" s="64" t="s">
        <v>850</v>
      </c>
      <c r="E154" s="64" t="s">
        <v>70</v>
      </c>
      <c r="F154" s="65" t="s">
        <v>31</v>
      </c>
      <c r="G154" s="65" t="s">
        <v>71</v>
      </c>
      <c r="H154" s="65" t="str">
        <f t="shared" si="3"/>
        <v>NOT_STARTED</v>
      </c>
      <c r="I154" s="65" t="s">
        <v>43</v>
      </c>
      <c r="J154" s="65" t="s">
        <v>72</v>
      </c>
      <c r="K154" s="65" t="s">
        <v>43</v>
      </c>
      <c r="L154" s="66" t="s">
        <v>851</v>
      </c>
      <c r="M154" s="84" t="s">
        <v>612</v>
      </c>
      <c r="N154" s="66"/>
      <c r="O154" s="66" t="s">
        <v>16</v>
      </c>
      <c r="P154" s="94"/>
      <c r="Q154" s="68" t="s">
        <v>852</v>
      </c>
      <c r="R154" s="81" t="s">
        <v>853</v>
      </c>
      <c r="S154" s="95" t="s">
        <v>762</v>
      </c>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row>
    <row r="155" ht="17.25" customHeight="1">
      <c r="A155" s="70"/>
      <c r="B155" s="70"/>
      <c r="C155" s="64" t="s">
        <v>854</v>
      </c>
      <c r="D155" s="64" t="s">
        <v>855</v>
      </c>
      <c r="E155" s="73" t="s">
        <v>174</v>
      </c>
      <c r="F155" s="65" t="s">
        <v>31</v>
      </c>
      <c r="G155" s="65" t="s">
        <v>71</v>
      </c>
      <c r="H155" s="65" t="str">
        <f t="shared" si="3"/>
        <v>NOT_STARTED</v>
      </c>
      <c r="I155" s="65" t="s">
        <v>43</v>
      </c>
      <c r="J155" s="65" t="s">
        <v>72</v>
      </c>
      <c r="K155" s="65" t="s">
        <v>43</v>
      </c>
      <c r="L155" s="66" t="s">
        <v>856</v>
      </c>
      <c r="M155" s="84" t="s">
        <v>612</v>
      </c>
      <c r="N155" s="66"/>
      <c r="O155" s="66" t="s">
        <v>16</v>
      </c>
      <c r="P155" s="94"/>
      <c r="Q155" s="68" t="s">
        <v>857</v>
      </c>
      <c r="R155" s="81" t="s">
        <v>858</v>
      </c>
      <c r="S155" s="95" t="s">
        <v>859</v>
      </c>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row>
    <row r="156" ht="17.25" customHeight="1">
      <c r="A156" s="70"/>
      <c r="B156" s="70"/>
      <c r="C156" s="64" t="s">
        <v>860</v>
      </c>
      <c r="D156" s="64" t="s">
        <v>861</v>
      </c>
      <c r="E156" s="64" t="s">
        <v>100</v>
      </c>
      <c r="F156" s="65" t="s">
        <v>31</v>
      </c>
      <c r="G156" s="65" t="s">
        <v>71</v>
      </c>
      <c r="H156" s="65" t="str">
        <f t="shared" si="3"/>
        <v>NOT_STARTED</v>
      </c>
      <c r="I156" s="65" t="s">
        <v>43</v>
      </c>
      <c r="J156" s="65" t="s">
        <v>72</v>
      </c>
      <c r="K156" s="65" t="s">
        <v>43</v>
      </c>
      <c r="L156" s="66" t="s">
        <v>862</v>
      </c>
      <c r="M156" s="84" t="s">
        <v>612</v>
      </c>
      <c r="N156" s="66"/>
      <c r="O156" s="66" t="s">
        <v>16</v>
      </c>
      <c r="P156" s="94"/>
      <c r="Q156" s="68" t="s">
        <v>863</v>
      </c>
      <c r="R156" s="81" t="s">
        <v>864</v>
      </c>
      <c r="S156" s="95" t="s">
        <v>859</v>
      </c>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row>
    <row r="157" ht="17.25" customHeight="1">
      <c r="A157" s="70"/>
      <c r="B157" s="70"/>
      <c r="C157" s="64" t="s">
        <v>865</v>
      </c>
      <c r="D157" s="64" t="s">
        <v>866</v>
      </c>
      <c r="E157" s="64" t="s">
        <v>70</v>
      </c>
      <c r="F157" s="65" t="s">
        <v>31</v>
      </c>
      <c r="G157" s="65" t="s">
        <v>71</v>
      </c>
      <c r="H157" s="65" t="str">
        <f t="shared" si="3"/>
        <v>NOT_STARTED</v>
      </c>
      <c r="I157" s="65" t="s">
        <v>43</v>
      </c>
      <c r="J157" s="65" t="s">
        <v>72</v>
      </c>
      <c r="K157" s="65" t="s">
        <v>43</v>
      </c>
      <c r="L157" s="66" t="s">
        <v>334</v>
      </c>
      <c r="M157" s="84" t="s">
        <v>612</v>
      </c>
      <c r="N157" s="66"/>
      <c r="O157" s="66" t="s">
        <v>16</v>
      </c>
      <c r="P157" s="81" t="s">
        <v>867</v>
      </c>
      <c r="Q157" s="68" t="s">
        <v>868</v>
      </c>
      <c r="R157" s="81" t="s">
        <v>869</v>
      </c>
      <c r="S157" s="95" t="s">
        <v>337</v>
      </c>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row>
    <row r="158" ht="17.25" customHeight="1">
      <c r="A158" s="70"/>
      <c r="B158" s="15"/>
      <c r="C158" s="64" t="s">
        <v>870</v>
      </c>
      <c r="D158" s="64" t="s">
        <v>871</v>
      </c>
      <c r="E158" s="73" t="s">
        <v>174</v>
      </c>
      <c r="F158" s="65" t="s">
        <v>32</v>
      </c>
      <c r="G158" s="65" t="s">
        <v>80</v>
      </c>
      <c r="H158" s="65" t="str">
        <f t="shared" si="3"/>
        <v>NOT_STARTED</v>
      </c>
      <c r="I158" s="65" t="s">
        <v>43</v>
      </c>
      <c r="J158" s="65" t="s">
        <v>72</v>
      </c>
      <c r="K158" s="65" t="s">
        <v>43</v>
      </c>
      <c r="L158" s="66" t="s">
        <v>349</v>
      </c>
      <c r="M158" s="84" t="s">
        <v>612</v>
      </c>
      <c r="N158" s="66"/>
      <c r="O158" s="66" t="s">
        <v>16</v>
      </c>
      <c r="P158" s="94"/>
      <c r="Q158" s="68" t="s">
        <v>872</v>
      </c>
      <c r="R158" s="81" t="s">
        <v>873</v>
      </c>
      <c r="S158" s="95" t="s">
        <v>77</v>
      </c>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row>
    <row r="159" ht="17.25" customHeight="1">
      <c r="A159" s="70"/>
      <c r="B159" s="63" t="s">
        <v>874</v>
      </c>
      <c r="C159" s="64" t="s">
        <v>875</v>
      </c>
      <c r="D159" s="64" t="s">
        <v>876</v>
      </c>
      <c r="E159" s="64" t="s">
        <v>70</v>
      </c>
      <c r="F159" s="65" t="s">
        <v>31</v>
      </c>
      <c r="G159" s="65" t="s">
        <v>71</v>
      </c>
      <c r="H159" s="65" t="str">
        <f t="shared" si="3"/>
        <v>NOT_STARTED</v>
      </c>
      <c r="I159" s="74" t="s">
        <v>43</v>
      </c>
      <c r="J159" s="65" t="s">
        <v>72</v>
      </c>
      <c r="K159" s="65" t="s">
        <v>43</v>
      </c>
      <c r="L159" s="66" t="s">
        <v>877</v>
      </c>
      <c r="M159" s="84" t="s">
        <v>612</v>
      </c>
      <c r="N159" s="66"/>
      <c r="O159" s="66" t="s">
        <v>16</v>
      </c>
      <c r="P159" s="81" t="s">
        <v>878</v>
      </c>
      <c r="Q159" s="68" t="s">
        <v>879</v>
      </c>
      <c r="R159" s="81" t="s">
        <v>880</v>
      </c>
      <c r="S159" s="95" t="s">
        <v>881</v>
      </c>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row>
    <row r="160" ht="17.25" customHeight="1">
      <c r="A160" s="70"/>
      <c r="B160" s="70"/>
      <c r="C160" s="64" t="s">
        <v>882</v>
      </c>
      <c r="D160" s="64" t="s">
        <v>883</v>
      </c>
      <c r="E160" s="64" t="s">
        <v>70</v>
      </c>
      <c r="F160" s="65" t="s">
        <v>31</v>
      </c>
      <c r="G160" s="65" t="s">
        <v>71</v>
      </c>
      <c r="H160" s="65" t="str">
        <f t="shared" si="3"/>
        <v>BLOCKED</v>
      </c>
      <c r="I160" s="74" t="s">
        <v>10</v>
      </c>
      <c r="J160" s="65" t="s">
        <v>72</v>
      </c>
      <c r="K160" s="65" t="s">
        <v>43</v>
      </c>
      <c r="L160" s="66" t="s">
        <v>884</v>
      </c>
      <c r="M160" s="84" t="s">
        <v>612</v>
      </c>
      <c r="N160" s="66"/>
      <c r="O160" s="66" t="s">
        <v>16</v>
      </c>
      <c r="P160" s="81" t="s">
        <v>878</v>
      </c>
      <c r="Q160" s="68" t="s">
        <v>885</v>
      </c>
      <c r="R160" s="81" t="s">
        <v>886</v>
      </c>
      <c r="S160" s="95" t="s">
        <v>887</v>
      </c>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row>
    <row r="161" ht="17.25" customHeight="1">
      <c r="A161" s="70"/>
      <c r="B161" s="70"/>
      <c r="C161" s="64" t="s">
        <v>888</v>
      </c>
      <c r="D161" s="64" t="s">
        <v>889</v>
      </c>
      <c r="E161" s="64" t="s">
        <v>70</v>
      </c>
      <c r="F161" s="65" t="s">
        <v>32</v>
      </c>
      <c r="G161" s="65" t="s">
        <v>80</v>
      </c>
      <c r="H161" s="65" t="str">
        <f t="shared" si="3"/>
        <v>BLOCKED</v>
      </c>
      <c r="I161" s="74" t="s">
        <v>10</v>
      </c>
      <c r="J161" s="65" t="s">
        <v>72</v>
      </c>
      <c r="K161" s="65" t="s">
        <v>43</v>
      </c>
      <c r="L161" s="66" t="s">
        <v>890</v>
      </c>
      <c r="M161" s="84" t="s">
        <v>612</v>
      </c>
      <c r="N161" s="66"/>
      <c r="O161" s="66" t="s">
        <v>16</v>
      </c>
      <c r="P161" s="81" t="s">
        <v>878</v>
      </c>
      <c r="Q161" s="68" t="s">
        <v>891</v>
      </c>
      <c r="R161" s="81" t="s">
        <v>892</v>
      </c>
      <c r="S161" s="95" t="s">
        <v>887</v>
      </c>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row>
    <row r="162" ht="17.25" customHeight="1">
      <c r="A162" s="15"/>
      <c r="B162" s="15"/>
      <c r="C162" s="64" t="s">
        <v>893</v>
      </c>
      <c r="D162" s="64" t="s">
        <v>894</v>
      </c>
      <c r="E162" s="64" t="s">
        <v>70</v>
      </c>
      <c r="F162" s="65" t="s">
        <v>32</v>
      </c>
      <c r="G162" s="65" t="s">
        <v>80</v>
      </c>
      <c r="H162" s="65" t="str">
        <f t="shared" si="3"/>
        <v>BLOCKED</v>
      </c>
      <c r="I162" s="74" t="s">
        <v>10</v>
      </c>
      <c r="J162" s="65" t="s">
        <v>72</v>
      </c>
      <c r="K162" s="65" t="s">
        <v>43</v>
      </c>
      <c r="L162" s="66" t="s">
        <v>890</v>
      </c>
      <c r="M162" s="84" t="s">
        <v>612</v>
      </c>
      <c r="N162" s="66"/>
      <c r="O162" s="66" t="s">
        <v>16</v>
      </c>
      <c r="P162" s="81" t="s">
        <v>878</v>
      </c>
      <c r="Q162" s="68" t="s">
        <v>895</v>
      </c>
      <c r="R162" s="81" t="s">
        <v>896</v>
      </c>
      <c r="S162" s="95" t="s">
        <v>887</v>
      </c>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row>
    <row r="163" ht="17.25" customHeight="1">
      <c r="A163" s="96" t="s">
        <v>897</v>
      </c>
      <c r="B163" s="63" t="s">
        <v>191</v>
      </c>
      <c r="C163" s="64" t="s">
        <v>898</v>
      </c>
      <c r="D163" s="64" t="s">
        <v>899</v>
      </c>
      <c r="E163" s="64" t="s">
        <v>70</v>
      </c>
      <c r="F163" s="65" t="s">
        <v>31</v>
      </c>
      <c r="G163" s="65" t="s">
        <v>80</v>
      </c>
      <c r="H163" s="65" t="str">
        <f t="shared" si="3"/>
        <v>NOT_STARTED</v>
      </c>
      <c r="I163" s="65" t="s">
        <v>43</v>
      </c>
      <c r="J163" s="65" t="s">
        <v>72</v>
      </c>
      <c r="K163" s="65" t="s">
        <v>43</v>
      </c>
      <c r="L163" s="66" t="s">
        <v>900</v>
      </c>
      <c r="M163" s="84" t="s">
        <v>612</v>
      </c>
      <c r="N163" s="66"/>
      <c r="O163" s="66" t="s">
        <v>16</v>
      </c>
      <c r="P163" s="81" t="s">
        <v>901</v>
      </c>
      <c r="Q163" s="68" t="s">
        <v>902</v>
      </c>
      <c r="R163" s="81" t="s">
        <v>903</v>
      </c>
      <c r="S163" s="95" t="s">
        <v>197</v>
      </c>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row>
    <row r="164" ht="17.25" customHeight="1">
      <c r="A164" s="70"/>
      <c r="B164" s="70"/>
      <c r="C164" s="64" t="s">
        <v>904</v>
      </c>
      <c r="D164" s="64" t="s">
        <v>905</v>
      </c>
      <c r="E164" s="64" t="s">
        <v>70</v>
      </c>
      <c r="F164" s="65" t="s">
        <v>31</v>
      </c>
      <c r="G164" s="65" t="s">
        <v>80</v>
      </c>
      <c r="H164" s="65" t="str">
        <f t="shared" si="3"/>
        <v>NOT_STARTED</v>
      </c>
      <c r="I164" s="65" t="s">
        <v>43</v>
      </c>
      <c r="J164" s="65" t="s">
        <v>72</v>
      </c>
      <c r="K164" s="65" t="s">
        <v>43</v>
      </c>
      <c r="L164" s="66" t="s">
        <v>906</v>
      </c>
      <c r="M164" s="84" t="s">
        <v>612</v>
      </c>
      <c r="N164" s="66"/>
      <c r="O164" s="66" t="s">
        <v>16</v>
      </c>
      <c r="P164" s="81" t="s">
        <v>907</v>
      </c>
      <c r="Q164" s="68" t="s">
        <v>908</v>
      </c>
      <c r="R164" s="81" t="s">
        <v>909</v>
      </c>
      <c r="S164" s="95" t="s">
        <v>197</v>
      </c>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row>
    <row r="165" ht="17.25" customHeight="1">
      <c r="A165" s="70"/>
      <c r="B165" s="70"/>
      <c r="C165" s="64" t="s">
        <v>910</v>
      </c>
      <c r="D165" s="64" t="s">
        <v>911</v>
      </c>
      <c r="E165" s="64" t="s">
        <v>100</v>
      </c>
      <c r="F165" s="65" t="s">
        <v>31</v>
      </c>
      <c r="G165" s="65" t="s">
        <v>71</v>
      </c>
      <c r="H165" s="65" t="str">
        <f t="shared" si="3"/>
        <v>NOT_STARTED</v>
      </c>
      <c r="I165" s="65" t="s">
        <v>43</v>
      </c>
      <c r="J165" s="65" t="s">
        <v>72</v>
      </c>
      <c r="K165" s="65" t="s">
        <v>43</v>
      </c>
      <c r="L165" s="66" t="s">
        <v>631</v>
      </c>
      <c r="M165" s="84" t="s">
        <v>612</v>
      </c>
      <c r="N165" s="66"/>
      <c r="O165" s="66" t="s">
        <v>16</v>
      </c>
      <c r="P165" s="81" t="s">
        <v>912</v>
      </c>
      <c r="Q165" s="68" t="s">
        <v>913</v>
      </c>
      <c r="R165" s="81" t="s">
        <v>914</v>
      </c>
      <c r="S165" s="95" t="s">
        <v>218</v>
      </c>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row>
    <row r="166" ht="17.25" customHeight="1">
      <c r="A166" s="70"/>
      <c r="B166" s="70"/>
      <c r="C166" s="64" t="s">
        <v>915</v>
      </c>
      <c r="D166" s="64" t="s">
        <v>916</v>
      </c>
      <c r="E166" s="64" t="s">
        <v>100</v>
      </c>
      <c r="F166" s="65" t="s">
        <v>31</v>
      </c>
      <c r="G166" s="65" t="s">
        <v>71</v>
      </c>
      <c r="H166" s="65" t="str">
        <f t="shared" si="3"/>
        <v>NOT_STARTED</v>
      </c>
      <c r="I166" s="65" t="s">
        <v>43</v>
      </c>
      <c r="J166" s="65" t="s">
        <v>72</v>
      </c>
      <c r="K166" s="65" t="s">
        <v>43</v>
      </c>
      <c r="L166" s="66" t="s">
        <v>631</v>
      </c>
      <c r="M166" s="84" t="s">
        <v>612</v>
      </c>
      <c r="N166" s="66"/>
      <c r="O166" s="66" t="s">
        <v>16</v>
      </c>
      <c r="P166" s="81" t="s">
        <v>917</v>
      </c>
      <c r="Q166" s="68" t="s">
        <v>918</v>
      </c>
      <c r="R166" s="81" t="s">
        <v>919</v>
      </c>
      <c r="S166" s="95" t="s">
        <v>218</v>
      </c>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row>
    <row r="167" ht="17.25" customHeight="1">
      <c r="A167" s="70"/>
      <c r="B167" s="70"/>
      <c r="C167" s="64" t="s">
        <v>920</v>
      </c>
      <c r="D167" s="64" t="s">
        <v>921</v>
      </c>
      <c r="E167" s="64" t="s">
        <v>100</v>
      </c>
      <c r="F167" s="65" t="s">
        <v>31</v>
      </c>
      <c r="G167" s="65" t="s">
        <v>71</v>
      </c>
      <c r="H167" s="65" t="str">
        <f t="shared" si="3"/>
        <v>NOT_STARTED</v>
      </c>
      <c r="I167" s="65" t="s">
        <v>43</v>
      </c>
      <c r="J167" s="65" t="s">
        <v>72</v>
      </c>
      <c r="K167" s="65" t="s">
        <v>43</v>
      </c>
      <c r="L167" s="66" t="s">
        <v>922</v>
      </c>
      <c r="M167" s="84" t="s">
        <v>612</v>
      </c>
      <c r="N167" s="66"/>
      <c r="O167" s="66" t="s">
        <v>16</v>
      </c>
      <c r="P167" s="81" t="s">
        <v>923</v>
      </c>
      <c r="Q167" s="68" t="s">
        <v>924</v>
      </c>
      <c r="R167" s="81" t="s">
        <v>925</v>
      </c>
      <c r="S167" s="95" t="s">
        <v>634</v>
      </c>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row>
    <row r="168" ht="17.25" customHeight="1">
      <c r="A168" s="70"/>
      <c r="B168" s="70"/>
      <c r="C168" s="64" t="s">
        <v>926</v>
      </c>
      <c r="D168" s="64" t="s">
        <v>927</v>
      </c>
      <c r="E168" s="64" t="s">
        <v>70</v>
      </c>
      <c r="F168" s="65" t="s">
        <v>31</v>
      </c>
      <c r="G168" s="65" t="s">
        <v>71</v>
      </c>
      <c r="H168" s="65" t="str">
        <f t="shared" si="3"/>
        <v>NOT_STARTED</v>
      </c>
      <c r="I168" s="65" t="s">
        <v>43</v>
      </c>
      <c r="J168" s="65" t="s">
        <v>72</v>
      </c>
      <c r="K168" s="65" t="s">
        <v>43</v>
      </c>
      <c r="L168" s="66" t="s">
        <v>215</v>
      </c>
      <c r="M168" s="84" t="s">
        <v>612</v>
      </c>
      <c r="N168" s="66"/>
      <c r="O168" s="66" t="s">
        <v>16</v>
      </c>
      <c r="P168" s="81" t="s">
        <v>928</v>
      </c>
      <c r="Q168" s="68" t="s">
        <v>929</v>
      </c>
      <c r="R168" s="81" t="s">
        <v>930</v>
      </c>
      <c r="S168" s="95" t="s">
        <v>218</v>
      </c>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row>
    <row r="169" ht="17.25" customHeight="1">
      <c r="A169" s="70"/>
      <c r="B169" s="70"/>
      <c r="C169" s="64" t="s">
        <v>931</v>
      </c>
      <c r="D169" s="64" t="s">
        <v>932</v>
      </c>
      <c r="E169" s="64" t="s">
        <v>70</v>
      </c>
      <c r="F169" s="65" t="s">
        <v>31</v>
      </c>
      <c r="G169" s="65" t="s">
        <v>71</v>
      </c>
      <c r="H169" s="65" t="str">
        <f t="shared" si="3"/>
        <v>NOT_STARTED</v>
      </c>
      <c r="I169" s="65" t="s">
        <v>43</v>
      </c>
      <c r="J169" s="65" t="s">
        <v>72</v>
      </c>
      <c r="K169" s="65" t="s">
        <v>43</v>
      </c>
      <c r="L169" s="66" t="s">
        <v>933</v>
      </c>
      <c r="M169" s="84" t="s">
        <v>612</v>
      </c>
      <c r="N169" s="66"/>
      <c r="O169" s="66" t="s">
        <v>16</v>
      </c>
      <c r="P169" s="81" t="s">
        <v>934</v>
      </c>
      <c r="Q169" s="68" t="s">
        <v>935</v>
      </c>
      <c r="R169" s="81" t="s">
        <v>936</v>
      </c>
      <c r="S169" s="95" t="s">
        <v>859</v>
      </c>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row>
    <row r="170" ht="17.25" customHeight="1">
      <c r="A170" s="70"/>
      <c r="B170" s="70"/>
      <c r="C170" s="64" t="s">
        <v>937</v>
      </c>
      <c r="D170" s="64" t="s">
        <v>938</v>
      </c>
      <c r="E170" s="64" t="s">
        <v>70</v>
      </c>
      <c r="F170" s="65" t="s">
        <v>31</v>
      </c>
      <c r="G170" s="65" t="s">
        <v>71</v>
      </c>
      <c r="H170" s="65" t="str">
        <f t="shared" si="3"/>
        <v>NOT_STARTED</v>
      </c>
      <c r="I170" s="65" t="s">
        <v>43</v>
      </c>
      <c r="J170" s="65" t="s">
        <v>72</v>
      </c>
      <c r="K170" s="65" t="s">
        <v>43</v>
      </c>
      <c r="L170" s="66" t="s">
        <v>939</v>
      </c>
      <c r="M170" s="84" t="s">
        <v>612</v>
      </c>
      <c r="N170" s="66"/>
      <c r="O170" s="66" t="s">
        <v>16</v>
      </c>
      <c r="P170" s="81" t="s">
        <v>940</v>
      </c>
      <c r="Q170" s="68" t="s">
        <v>941</v>
      </c>
      <c r="R170" s="81" t="s">
        <v>942</v>
      </c>
      <c r="S170" s="95" t="s">
        <v>943</v>
      </c>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row>
    <row r="171" ht="17.25" customHeight="1">
      <c r="A171" s="15"/>
      <c r="B171" s="15"/>
      <c r="C171" s="64" t="s">
        <v>944</v>
      </c>
      <c r="D171" s="64" t="s">
        <v>945</v>
      </c>
      <c r="E171" s="64" t="s">
        <v>100</v>
      </c>
      <c r="F171" s="65" t="s">
        <v>31</v>
      </c>
      <c r="G171" s="65" t="s">
        <v>71</v>
      </c>
      <c r="H171" s="65" t="str">
        <f t="shared" si="3"/>
        <v>NOT_STARTED</v>
      </c>
      <c r="I171" s="65" t="s">
        <v>43</v>
      </c>
      <c r="J171" s="65" t="s">
        <v>72</v>
      </c>
      <c r="K171" s="65" t="s">
        <v>43</v>
      </c>
      <c r="L171" s="66" t="s">
        <v>946</v>
      </c>
      <c r="M171" s="84" t="s">
        <v>612</v>
      </c>
      <c r="N171" s="66"/>
      <c r="O171" s="66" t="s">
        <v>16</v>
      </c>
      <c r="P171" s="81" t="s">
        <v>947</v>
      </c>
      <c r="Q171" s="68" t="s">
        <v>948</v>
      </c>
      <c r="R171" s="81" t="s">
        <v>949</v>
      </c>
      <c r="S171" s="95" t="s">
        <v>218</v>
      </c>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row>
    <row r="172" ht="17.25" customHeight="1">
      <c r="A172" s="96" t="s">
        <v>66</v>
      </c>
      <c r="B172" s="63" t="s">
        <v>67</v>
      </c>
      <c r="C172" s="64" t="s">
        <v>950</v>
      </c>
      <c r="D172" s="64" t="s">
        <v>951</v>
      </c>
      <c r="E172" s="64" t="s">
        <v>70</v>
      </c>
      <c r="F172" s="65" t="s">
        <v>31</v>
      </c>
      <c r="G172" s="65" t="s">
        <v>71</v>
      </c>
      <c r="H172" s="65" t="str">
        <f t="shared" si="3"/>
        <v>NOT_STARTED</v>
      </c>
      <c r="I172" s="65" t="s">
        <v>43</v>
      </c>
      <c r="J172" s="65" t="s">
        <v>72</v>
      </c>
      <c r="K172" s="65" t="s">
        <v>43</v>
      </c>
      <c r="L172" s="76" t="s">
        <v>540</v>
      </c>
      <c r="M172" s="84" t="s">
        <v>612</v>
      </c>
      <c r="N172" s="66"/>
      <c r="O172" s="66" t="s">
        <v>16</v>
      </c>
      <c r="P172" s="81" t="s">
        <v>952</v>
      </c>
      <c r="Q172" s="68" t="s">
        <v>953</v>
      </c>
      <c r="R172" s="81" t="s">
        <v>954</v>
      </c>
      <c r="S172" s="95" t="s">
        <v>543</v>
      </c>
      <c r="U172" s="32"/>
      <c r="V172" s="32"/>
      <c r="W172" s="32"/>
      <c r="X172" s="32"/>
      <c r="Y172" s="32"/>
      <c r="Z172" s="32"/>
      <c r="AA172" s="32"/>
      <c r="AB172" s="32"/>
      <c r="AC172" s="32"/>
      <c r="AD172" s="32"/>
      <c r="AE172" s="32"/>
      <c r="AF172" s="32"/>
      <c r="AG172" s="32"/>
      <c r="AH172" s="32"/>
      <c r="AI172" s="32"/>
      <c r="AJ172" s="32"/>
      <c r="AK172" s="32"/>
      <c r="AL172" s="32"/>
      <c r="AM172" s="32"/>
      <c r="AN172" s="32"/>
      <c r="AO172" s="32"/>
      <c r="AP172" s="32"/>
    </row>
    <row r="173" ht="17.25" customHeight="1">
      <c r="A173" s="70"/>
      <c r="B173" s="70"/>
      <c r="C173" s="64" t="s">
        <v>955</v>
      </c>
      <c r="D173" s="64" t="s">
        <v>956</v>
      </c>
      <c r="E173" s="64" t="s">
        <v>70</v>
      </c>
      <c r="F173" s="65" t="s">
        <v>31</v>
      </c>
      <c r="G173" s="65" t="s">
        <v>80</v>
      </c>
      <c r="H173" s="65" t="str">
        <f t="shared" si="3"/>
        <v>NOT_STARTED</v>
      </c>
      <c r="I173" s="65" t="s">
        <v>43</v>
      </c>
      <c r="J173" s="65" t="s">
        <v>72</v>
      </c>
      <c r="K173" s="65" t="s">
        <v>43</v>
      </c>
      <c r="L173" s="66" t="s">
        <v>957</v>
      </c>
      <c r="M173" s="84" t="s">
        <v>612</v>
      </c>
      <c r="N173" s="66"/>
      <c r="O173" s="66" t="s">
        <v>16</v>
      </c>
      <c r="P173" s="81" t="s">
        <v>958</v>
      </c>
      <c r="Q173" s="68" t="s">
        <v>959</v>
      </c>
      <c r="R173" s="81" t="s">
        <v>960</v>
      </c>
      <c r="S173" s="95" t="s">
        <v>84</v>
      </c>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row>
    <row r="174" ht="17.25" customHeight="1">
      <c r="A174" s="70"/>
      <c r="B174" s="70"/>
      <c r="C174" s="64"/>
      <c r="D174" s="64" t="s">
        <v>961</v>
      </c>
      <c r="E174" s="64" t="s">
        <v>70</v>
      </c>
      <c r="F174" s="65" t="s">
        <v>31</v>
      </c>
      <c r="G174" s="65" t="s">
        <v>80</v>
      </c>
      <c r="H174" s="65" t="str">
        <f t="shared" si="3"/>
        <v>NOT_STARTED</v>
      </c>
      <c r="I174" s="65" t="s">
        <v>43</v>
      </c>
      <c r="J174" s="65" t="s">
        <v>72</v>
      </c>
      <c r="K174" s="65" t="s">
        <v>43</v>
      </c>
      <c r="L174" s="66" t="s">
        <v>957</v>
      </c>
      <c r="M174" s="84" t="s">
        <v>612</v>
      </c>
      <c r="N174" s="66"/>
      <c r="O174" s="66" t="s">
        <v>16</v>
      </c>
      <c r="P174" s="81" t="s">
        <v>962</v>
      </c>
      <c r="Q174" s="68" t="s">
        <v>963</v>
      </c>
      <c r="R174" s="81" t="s">
        <v>964</v>
      </c>
      <c r="S174" s="95" t="s">
        <v>84</v>
      </c>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row>
    <row r="175" ht="17.25" customHeight="1">
      <c r="A175" s="70"/>
      <c r="B175" s="70"/>
      <c r="C175" s="64" t="s">
        <v>965</v>
      </c>
      <c r="D175" s="64" t="s">
        <v>966</v>
      </c>
      <c r="E175" s="64" t="s">
        <v>70</v>
      </c>
      <c r="F175" s="65" t="s">
        <v>31</v>
      </c>
      <c r="G175" s="65" t="s">
        <v>71</v>
      </c>
      <c r="H175" s="65" t="str">
        <f t="shared" si="3"/>
        <v>NOT_STARTED</v>
      </c>
      <c r="I175" s="65" t="s">
        <v>43</v>
      </c>
      <c r="J175" s="65" t="s">
        <v>72</v>
      </c>
      <c r="K175" s="65" t="s">
        <v>43</v>
      </c>
      <c r="L175" s="66" t="s">
        <v>967</v>
      </c>
      <c r="M175" s="84" t="s">
        <v>612</v>
      </c>
      <c r="N175" s="66"/>
      <c r="O175" s="66" t="s">
        <v>16</v>
      </c>
      <c r="P175" s="81" t="s">
        <v>968</v>
      </c>
      <c r="Q175" s="68" t="s">
        <v>969</v>
      </c>
      <c r="R175" s="81" t="s">
        <v>970</v>
      </c>
      <c r="S175" s="95" t="s">
        <v>84</v>
      </c>
      <c r="U175" s="32"/>
      <c r="V175" s="32"/>
      <c r="W175" s="32"/>
      <c r="X175" s="32"/>
      <c r="Y175" s="32"/>
      <c r="Z175" s="32"/>
      <c r="AA175" s="32"/>
      <c r="AB175" s="32"/>
      <c r="AC175" s="32"/>
      <c r="AD175" s="32"/>
      <c r="AE175" s="32"/>
      <c r="AF175" s="32"/>
      <c r="AG175" s="32"/>
      <c r="AH175" s="32"/>
      <c r="AI175" s="32"/>
      <c r="AJ175" s="32"/>
      <c r="AK175" s="32"/>
      <c r="AL175" s="32"/>
      <c r="AM175" s="32"/>
      <c r="AN175" s="32"/>
      <c r="AO175" s="32"/>
      <c r="AP175" s="32"/>
    </row>
    <row r="176" ht="17.25" customHeight="1">
      <c r="A176" s="70"/>
      <c r="B176" s="70"/>
      <c r="C176" s="64" t="s">
        <v>971</v>
      </c>
      <c r="D176" s="64" t="s">
        <v>972</v>
      </c>
      <c r="E176" s="64" t="s">
        <v>70</v>
      </c>
      <c r="F176" s="65" t="s">
        <v>31</v>
      </c>
      <c r="G176" s="65" t="s">
        <v>71</v>
      </c>
      <c r="H176" s="65" t="str">
        <f t="shared" si="3"/>
        <v>NOT_STARTED</v>
      </c>
      <c r="I176" s="65" t="s">
        <v>43</v>
      </c>
      <c r="J176" s="65" t="s">
        <v>72</v>
      </c>
      <c r="K176" s="65" t="s">
        <v>43</v>
      </c>
      <c r="L176" s="66" t="s">
        <v>973</v>
      </c>
      <c r="M176" s="84" t="s">
        <v>612</v>
      </c>
      <c r="N176" s="66"/>
      <c r="O176" s="66" t="s">
        <v>16</v>
      </c>
      <c r="P176" s="81" t="s">
        <v>974</v>
      </c>
      <c r="Q176" s="68" t="s">
        <v>975</v>
      </c>
      <c r="R176" s="81" t="s">
        <v>976</v>
      </c>
      <c r="S176" s="95" t="s">
        <v>543</v>
      </c>
      <c r="U176" s="32"/>
      <c r="V176" s="32"/>
      <c r="W176" s="32"/>
      <c r="X176" s="32"/>
      <c r="Y176" s="32"/>
      <c r="Z176" s="32"/>
      <c r="AA176" s="32"/>
      <c r="AB176" s="32"/>
      <c r="AC176" s="32"/>
      <c r="AD176" s="32"/>
      <c r="AE176" s="32"/>
      <c r="AF176" s="32"/>
      <c r="AG176" s="32"/>
      <c r="AH176" s="32"/>
      <c r="AI176" s="32"/>
      <c r="AJ176" s="32"/>
      <c r="AK176" s="32"/>
      <c r="AL176" s="32"/>
      <c r="AM176" s="32"/>
      <c r="AN176" s="32"/>
      <c r="AO176" s="32"/>
      <c r="AP176" s="32"/>
    </row>
    <row r="177" ht="17.25" customHeight="1">
      <c r="A177" s="70"/>
      <c r="B177" s="70"/>
      <c r="C177" s="64" t="s">
        <v>977</v>
      </c>
      <c r="D177" s="64" t="s">
        <v>978</v>
      </c>
      <c r="E177" s="64" t="s">
        <v>70</v>
      </c>
      <c r="F177" s="65" t="s">
        <v>31</v>
      </c>
      <c r="G177" s="65" t="s">
        <v>71</v>
      </c>
      <c r="H177" s="65" t="str">
        <f t="shared" si="3"/>
        <v>NOT_STARTED</v>
      </c>
      <c r="I177" s="65" t="s">
        <v>43</v>
      </c>
      <c r="J177" s="65" t="s">
        <v>72</v>
      </c>
      <c r="K177" s="65" t="s">
        <v>43</v>
      </c>
      <c r="L177" s="66" t="s">
        <v>979</v>
      </c>
      <c r="M177" s="84" t="s">
        <v>612</v>
      </c>
      <c r="N177" s="66"/>
      <c r="O177" s="66" t="s">
        <v>16</v>
      </c>
      <c r="P177" s="81" t="s">
        <v>980</v>
      </c>
      <c r="Q177" s="68" t="s">
        <v>981</v>
      </c>
      <c r="R177" s="81" t="s">
        <v>982</v>
      </c>
      <c r="S177" s="95" t="s">
        <v>543</v>
      </c>
      <c r="U177" s="32"/>
      <c r="V177" s="32"/>
      <c r="W177" s="32"/>
      <c r="X177" s="32"/>
      <c r="Y177" s="32"/>
      <c r="Z177" s="32"/>
      <c r="AA177" s="32"/>
      <c r="AB177" s="32"/>
      <c r="AC177" s="32"/>
      <c r="AD177" s="32"/>
      <c r="AE177" s="32"/>
      <c r="AF177" s="32"/>
      <c r="AG177" s="32"/>
      <c r="AH177" s="32"/>
      <c r="AI177" s="32"/>
      <c r="AJ177" s="32"/>
      <c r="AK177" s="32"/>
      <c r="AL177" s="32"/>
      <c r="AM177" s="32"/>
      <c r="AN177" s="32"/>
      <c r="AO177" s="32"/>
      <c r="AP177" s="32"/>
    </row>
    <row r="178" ht="17.25" customHeight="1">
      <c r="A178" s="70"/>
      <c r="B178" s="70"/>
      <c r="C178" s="64" t="s">
        <v>983</v>
      </c>
      <c r="D178" s="64" t="s">
        <v>984</v>
      </c>
      <c r="E178" s="64" t="s">
        <v>100</v>
      </c>
      <c r="F178" s="65" t="s">
        <v>31</v>
      </c>
      <c r="G178" s="65" t="s">
        <v>71</v>
      </c>
      <c r="H178" s="65" t="str">
        <f t="shared" si="3"/>
        <v>NOT_STARTED</v>
      </c>
      <c r="I178" s="65" t="s">
        <v>43</v>
      </c>
      <c r="J178" s="65" t="s">
        <v>72</v>
      </c>
      <c r="K178" s="65" t="s">
        <v>43</v>
      </c>
      <c r="L178" s="66" t="s">
        <v>101</v>
      </c>
      <c r="M178" s="84" t="s">
        <v>612</v>
      </c>
      <c r="N178" s="66"/>
      <c r="O178" s="66" t="s">
        <v>16</v>
      </c>
      <c r="P178" s="81" t="s">
        <v>985</v>
      </c>
      <c r="Q178" s="68" t="s">
        <v>986</v>
      </c>
      <c r="R178" s="81" t="s">
        <v>987</v>
      </c>
      <c r="S178" s="95" t="s">
        <v>104</v>
      </c>
      <c r="U178" s="32"/>
      <c r="V178" s="32"/>
      <c r="W178" s="32"/>
      <c r="X178" s="32"/>
      <c r="Y178" s="32"/>
      <c r="Z178" s="32"/>
      <c r="AA178" s="32"/>
      <c r="AB178" s="32"/>
      <c r="AC178" s="32"/>
      <c r="AD178" s="32"/>
      <c r="AE178" s="32"/>
      <c r="AF178" s="32"/>
      <c r="AG178" s="32"/>
      <c r="AH178" s="32"/>
      <c r="AI178" s="32"/>
      <c r="AJ178" s="32"/>
      <c r="AK178" s="32"/>
      <c r="AL178" s="32"/>
      <c r="AM178" s="32"/>
      <c r="AN178" s="32"/>
      <c r="AO178" s="32"/>
      <c r="AP178" s="32"/>
    </row>
    <row r="179" ht="17.25" customHeight="1">
      <c r="A179" s="70"/>
      <c r="B179" s="70"/>
      <c r="C179" s="64" t="s">
        <v>988</v>
      </c>
      <c r="D179" s="64" t="s">
        <v>989</v>
      </c>
      <c r="E179" s="64" t="s">
        <v>70</v>
      </c>
      <c r="F179" s="65" t="s">
        <v>31</v>
      </c>
      <c r="G179" s="65" t="s">
        <v>80</v>
      </c>
      <c r="H179" s="65" t="str">
        <f t="shared" si="3"/>
        <v>NOT_STARTED</v>
      </c>
      <c r="I179" s="74" t="s">
        <v>43</v>
      </c>
      <c r="J179" s="65" t="s">
        <v>72</v>
      </c>
      <c r="K179" s="65" t="s">
        <v>43</v>
      </c>
      <c r="L179" s="66" t="s">
        <v>877</v>
      </c>
      <c r="M179" s="84" t="s">
        <v>612</v>
      </c>
      <c r="N179" s="66"/>
      <c r="O179" s="66" t="s">
        <v>16</v>
      </c>
      <c r="P179" s="81" t="s">
        <v>990</v>
      </c>
      <c r="Q179" s="68" t="s">
        <v>991</v>
      </c>
      <c r="R179" s="81" t="s">
        <v>992</v>
      </c>
      <c r="S179" s="95" t="s">
        <v>881</v>
      </c>
      <c r="U179" s="32"/>
      <c r="V179" s="32"/>
      <c r="W179" s="32"/>
      <c r="X179" s="32"/>
      <c r="Y179" s="32"/>
      <c r="Z179" s="32"/>
      <c r="AA179" s="32"/>
      <c r="AB179" s="32"/>
      <c r="AC179" s="32"/>
      <c r="AD179" s="32"/>
      <c r="AE179" s="32"/>
      <c r="AF179" s="32"/>
      <c r="AG179" s="32"/>
      <c r="AH179" s="32"/>
      <c r="AI179" s="32"/>
      <c r="AJ179" s="32"/>
      <c r="AK179" s="32"/>
      <c r="AL179" s="32"/>
      <c r="AM179" s="32"/>
      <c r="AN179" s="32"/>
      <c r="AO179" s="32"/>
      <c r="AP179" s="32"/>
    </row>
    <row r="180" ht="17.25" customHeight="1">
      <c r="A180" s="70"/>
      <c r="B180" s="70"/>
      <c r="C180" s="64" t="s">
        <v>993</v>
      </c>
      <c r="D180" s="64" t="s">
        <v>994</v>
      </c>
      <c r="E180" s="64" t="s">
        <v>70</v>
      </c>
      <c r="F180" s="65" t="s">
        <v>31</v>
      </c>
      <c r="G180" s="65" t="s">
        <v>80</v>
      </c>
      <c r="H180" s="65" t="str">
        <f t="shared" si="3"/>
        <v>NOT_STARTED</v>
      </c>
      <c r="I180" s="74" t="s">
        <v>43</v>
      </c>
      <c r="J180" s="65" t="s">
        <v>72</v>
      </c>
      <c r="K180" s="65" t="s">
        <v>43</v>
      </c>
      <c r="L180" s="66" t="s">
        <v>995</v>
      </c>
      <c r="M180" s="84" t="s">
        <v>612</v>
      </c>
      <c r="N180" s="66"/>
      <c r="O180" s="66" t="s">
        <v>16</v>
      </c>
      <c r="P180" s="81" t="s">
        <v>996</v>
      </c>
      <c r="Q180" s="68" t="s">
        <v>997</v>
      </c>
      <c r="R180" s="81" t="s">
        <v>998</v>
      </c>
      <c r="S180" s="95" t="s">
        <v>881</v>
      </c>
      <c r="U180" s="32"/>
      <c r="V180" s="32"/>
      <c r="W180" s="32"/>
      <c r="X180" s="32"/>
      <c r="Y180" s="32"/>
      <c r="Z180" s="32"/>
      <c r="AA180" s="32"/>
      <c r="AB180" s="32"/>
      <c r="AC180" s="32"/>
      <c r="AD180" s="32"/>
      <c r="AE180" s="32"/>
      <c r="AF180" s="32"/>
      <c r="AG180" s="32"/>
      <c r="AH180" s="32"/>
      <c r="AI180" s="32"/>
      <c r="AJ180" s="32"/>
      <c r="AK180" s="32"/>
      <c r="AL180" s="32"/>
      <c r="AM180" s="32"/>
      <c r="AN180" s="32"/>
      <c r="AO180" s="32"/>
      <c r="AP180" s="32"/>
    </row>
    <row r="181" ht="17.25" customHeight="1">
      <c r="A181" s="70"/>
      <c r="B181" s="70"/>
      <c r="C181" s="64" t="s">
        <v>999</v>
      </c>
      <c r="D181" s="64" t="s">
        <v>1000</v>
      </c>
      <c r="E181" s="64" t="s">
        <v>70</v>
      </c>
      <c r="F181" s="65" t="s">
        <v>31</v>
      </c>
      <c r="G181" s="65" t="s">
        <v>71</v>
      </c>
      <c r="H181" s="65" t="str">
        <f t="shared" si="3"/>
        <v>NOT_STARTED</v>
      </c>
      <c r="I181" s="65" t="s">
        <v>43</v>
      </c>
      <c r="J181" s="65" t="s">
        <v>72</v>
      </c>
      <c r="K181" s="65" t="s">
        <v>43</v>
      </c>
      <c r="L181" s="66" t="s">
        <v>540</v>
      </c>
      <c r="M181" s="84" t="s">
        <v>612</v>
      </c>
      <c r="N181" s="66"/>
      <c r="O181" s="66" t="s">
        <v>16</v>
      </c>
      <c r="P181" s="81" t="s">
        <v>1001</v>
      </c>
      <c r="Q181" s="68" t="s">
        <v>1002</v>
      </c>
      <c r="R181" s="81" t="s">
        <v>1003</v>
      </c>
      <c r="S181" s="95" t="s">
        <v>543</v>
      </c>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row>
    <row r="182" ht="17.25" customHeight="1">
      <c r="A182" s="70"/>
      <c r="B182" s="70"/>
      <c r="C182" s="64" t="s">
        <v>1004</v>
      </c>
      <c r="D182" s="64" t="s">
        <v>1005</v>
      </c>
      <c r="E182" s="64" t="s">
        <v>70</v>
      </c>
      <c r="F182" s="65" t="s">
        <v>31</v>
      </c>
      <c r="G182" s="65" t="s">
        <v>80</v>
      </c>
      <c r="H182" s="65" t="str">
        <f t="shared" si="3"/>
        <v>NOT_STARTED</v>
      </c>
      <c r="I182" s="65" t="s">
        <v>43</v>
      </c>
      <c r="J182" s="65" t="s">
        <v>72</v>
      </c>
      <c r="K182" s="65" t="s">
        <v>43</v>
      </c>
      <c r="L182" s="66" t="s">
        <v>1006</v>
      </c>
      <c r="M182" s="84" t="s">
        <v>612</v>
      </c>
      <c r="N182" s="66"/>
      <c r="O182" s="66" t="s">
        <v>16</v>
      </c>
      <c r="P182" s="81" t="s">
        <v>1007</v>
      </c>
      <c r="Q182" s="68" t="s">
        <v>1008</v>
      </c>
      <c r="R182" s="81" t="s">
        <v>1009</v>
      </c>
      <c r="S182" s="95" t="s">
        <v>543</v>
      </c>
      <c r="U182" s="32"/>
      <c r="V182" s="32"/>
      <c r="W182" s="32"/>
      <c r="X182" s="32"/>
      <c r="Y182" s="32"/>
      <c r="Z182" s="32"/>
      <c r="AA182" s="32"/>
      <c r="AB182" s="32"/>
      <c r="AC182" s="32"/>
      <c r="AD182" s="32"/>
      <c r="AE182" s="32"/>
      <c r="AF182" s="32"/>
      <c r="AG182" s="32"/>
      <c r="AH182" s="32"/>
      <c r="AI182" s="32"/>
      <c r="AJ182" s="32"/>
      <c r="AK182" s="32"/>
      <c r="AL182" s="32"/>
      <c r="AM182" s="32"/>
      <c r="AN182" s="32"/>
      <c r="AO182" s="32"/>
      <c r="AP182" s="32"/>
    </row>
    <row r="183" ht="17.25" customHeight="1">
      <c r="A183" s="70"/>
      <c r="B183" s="70"/>
      <c r="C183" s="64" t="s">
        <v>1010</v>
      </c>
      <c r="D183" s="64" t="s">
        <v>1011</v>
      </c>
      <c r="E183" s="64" t="s">
        <v>70</v>
      </c>
      <c r="F183" s="65" t="s">
        <v>31</v>
      </c>
      <c r="G183" s="65" t="s">
        <v>80</v>
      </c>
      <c r="H183" s="65" t="str">
        <f t="shared" si="3"/>
        <v>NOT_STARTED</v>
      </c>
      <c r="I183" s="65" t="s">
        <v>43</v>
      </c>
      <c r="J183" s="65" t="s">
        <v>72</v>
      </c>
      <c r="K183" s="65" t="s">
        <v>43</v>
      </c>
      <c r="L183" s="66" t="s">
        <v>1012</v>
      </c>
      <c r="M183" s="84" t="s">
        <v>612</v>
      </c>
      <c r="N183" s="66"/>
      <c r="O183" s="66" t="s">
        <v>16</v>
      </c>
      <c r="P183" s="81" t="s">
        <v>1013</v>
      </c>
      <c r="Q183" s="68" t="s">
        <v>1014</v>
      </c>
      <c r="R183" s="81" t="s">
        <v>1015</v>
      </c>
      <c r="S183" s="95" t="s">
        <v>84</v>
      </c>
      <c r="U183" s="32"/>
      <c r="V183" s="32"/>
      <c r="W183" s="32"/>
      <c r="X183" s="32"/>
      <c r="Y183" s="32"/>
      <c r="Z183" s="32"/>
      <c r="AA183" s="32"/>
      <c r="AB183" s="32"/>
      <c r="AC183" s="32"/>
      <c r="AD183" s="32"/>
      <c r="AE183" s="32"/>
      <c r="AF183" s="32"/>
      <c r="AG183" s="32"/>
      <c r="AH183" s="32"/>
      <c r="AI183" s="32"/>
      <c r="AJ183" s="32"/>
      <c r="AK183" s="32"/>
      <c r="AL183" s="32"/>
      <c r="AM183" s="32"/>
      <c r="AN183" s="32"/>
      <c r="AO183" s="32"/>
      <c r="AP183" s="32"/>
    </row>
    <row r="184" ht="17.25" customHeight="1">
      <c r="A184" s="70"/>
      <c r="B184" s="70"/>
      <c r="C184" s="64" t="s">
        <v>1016</v>
      </c>
      <c r="D184" s="64" t="s">
        <v>1017</v>
      </c>
      <c r="E184" s="64" t="s">
        <v>70</v>
      </c>
      <c r="F184" s="65" t="s">
        <v>32</v>
      </c>
      <c r="G184" s="65" t="s">
        <v>80</v>
      </c>
      <c r="H184" s="65" t="str">
        <f t="shared" si="3"/>
        <v>NOT_STARTED</v>
      </c>
      <c r="I184" s="65" t="s">
        <v>43</v>
      </c>
      <c r="J184" s="65" t="s">
        <v>72</v>
      </c>
      <c r="K184" s="65" t="s">
        <v>43</v>
      </c>
      <c r="L184" s="66" t="s">
        <v>1018</v>
      </c>
      <c r="M184" s="84" t="s">
        <v>612</v>
      </c>
      <c r="N184" s="66"/>
      <c r="O184" s="66" t="s">
        <v>16</v>
      </c>
      <c r="P184" s="81" t="s">
        <v>1019</v>
      </c>
      <c r="Q184" s="68" t="s">
        <v>1020</v>
      </c>
      <c r="R184" s="81" t="s">
        <v>1021</v>
      </c>
      <c r="S184" s="95" t="s">
        <v>543</v>
      </c>
      <c r="U184" s="32"/>
      <c r="V184" s="32"/>
      <c r="W184" s="32"/>
      <c r="X184" s="32"/>
      <c r="Y184" s="32"/>
      <c r="Z184" s="32"/>
      <c r="AA184" s="32"/>
      <c r="AB184" s="32"/>
      <c r="AC184" s="32"/>
      <c r="AD184" s="32"/>
      <c r="AE184" s="32"/>
      <c r="AF184" s="32"/>
      <c r="AG184" s="32"/>
      <c r="AH184" s="32"/>
      <c r="AI184" s="32"/>
      <c r="AJ184" s="32"/>
      <c r="AK184" s="32"/>
      <c r="AL184" s="32"/>
      <c r="AM184" s="32"/>
      <c r="AN184" s="32"/>
      <c r="AO184" s="32"/>
      <c r="AP184" s="32"/>
    </row>
    <row r="185" ht="17.25" customHeight="1">
      <c r="A185" s="70"/>
      <c r="B185" s="70"/>
      <c r="C185" s="64" t="s">
        <v>1022</v>
      </c>
      <c r="D185" s="64" t="s">
        <v>1023</v>
      </c>
      <c r="E185" s="64" t="s">
        <v>70</v>
      </c>
      <c r="F185" s="65" t="s">
        <v>32</v>
      </c>
      <c r="G185" s="65" t="s">
        <v>80</v>
      </c>
      <c r="H185" s="65" t="str">
        <f t="shared" si="3"/>
        <v>NOT_STARTED</v>
      </c>
      <c r="I185" s="65" t="s">
        <v>43</v>
      </c>
      <c r="J185" s="65" t="s">
        <v>72</v>
      </c>
      <c r="K185" s="65" t="s">
        <v>43</v>
      </c>
      <c r="L185" s="66" t="s">
        <v>1024</v>
      </c>
      <c r="M185" s="84" t="s">
        <v>612</v>
      </c>
      <c r="N185" s="66"/>
      <c r="O185" s="66" t="s">
        <v>16</v>
      </c>
      <c r="P185" s="81" t="s">
        <v>1025</v>
      </c>
      <c r="Q185" s="68" t="s">
        <v>1026</v>
      </c>
      <c r="R185" s="81" t="s">
        <v>1027</v>
      </c>
      <c r="S185" s="95" t="s">
        <v>1028</v>
      </c>
      <c r="U185" s="32"/>
      <c r="V185" s="32"/>
      <c r="W185" s="32"/>
      <c r="X185" s="32"/>
      <c r="Y185" s="32"/>
      <c r="Z185" s="32"/>
      <c r="AA185" s="32"/>
      <c r="AB185" s="32"/>
      <c r="AC185" s="32"/>
      <c r="AD185" s="32"/>
      <c r="AE185" s="32"/>
      <c r="AF185" s="32"/>
      <c r="AG185" s="32"/>
      <c r="AH185" s="32"/>
      <c r="AI185" s="32"/>
      <c r="AJ185" s="32"/>
      <c r="AK185" s="32"/>
      <c r="AL185" s="32"/>
      <c r="AM185" s="32"/>
      <c r="AN185" s="32"/>
      <c r="AO185" s="32"/>
      <c r="AP185" s="32"/>
    </row>
    <row r="186" ht="17.25" customHeight="1">
      <c r="A186" s="70"/>
      <c r="B186" s="70"/>
      <c r="C186" s="64" t="s">
        <v>1029</v>
      </c>
      <c r="D186" s="64" t="s">
        <v>1030</v>
      </c>
      <c r="E186" s="64" t="s">
        <v>70</v>
      </c>
      <c r="F186" s="65" t="s">
        <v>32</v>
      </c>
      <c r="G186" s="65" t="s">
        <v>80</v>
      </c>
      <c r="H186" s="65" t="str">
        <f t="shared" si="3"/>
        <v>NOT_STARTED</v>
      </c>
      <c r="I186" s="74" t="s">
        <v>43</v>
      </c>
      <c r="J186" s="65" t="s">
        <v>72</v>
      </c>
      <c r="K186" s="65" t="s">
        <v>43</v>
      </c>
      <c r="L186" s="66" t="s">
        <v>1031</v>
      </c>
      <c r="M186" s="84" t="s">
        <v>612</v>
      </c>
      <c r="N186" s="66"/>
      <c r="O186" s="66" t="s">
        <v>16</v>
      </c>
      <c r="P186" s="81" t="s">
        <v>1032</v>
      </c>
      <c r="Q186" s="68" t="s">
        <v>1033</v>
      </c>
      <c r="R186" s="81" t="s">
        <v>1034</v>
      </c>
      <c r="S186" s="95" t="s">
        <v>448</v>
      </c>
      <c r="U186" s="32"/>
      <c r="V186" s="32"/>
      <c r="W186" s="32"/>
      <c r="X186" s="32"/>
      <c r="Y186" s="32"/>
      <c r="Z186" s="32"/>
      <c r="AA186" s="32"/>
      <c r="AB186" s="32"/>
      <c r="AC186" s="32"/>
      <c r="AD186" s="32"/>
      <c r="AE186" s="32"/>
      <c r="AF186" s="32"/>
      <c r="AG186" s="32"/>
      <c r="AH186" s="32"/>
      <c r="AI186" s="32"/>
      <c r="AJ186" s="32"/>
      <c r="AK186" s="32"/>
      <c r="AL186" s="32"/>
      <c r="AM186" s="32"/>
      <c r="AN186" s="32"/>
      <c r="AO186" s="32"/>
      <c r="AP186" s="32"/>
    </row>
    <row r="187" ht="17.25" customHeight="1">
      <c r="A187" s="15"/>
      <c r="B187" s="15"/>
      <c r="C187" s="64" t="s">
        <v>1035</v>
      </c>
      <c r="D187" s="64" t="s">
        <v>1036</v>
      </c>
      <c r="E187" s="64" t="s">
        <v>100</v>
      </c>
      <c r="F187" s="65" t="s">
        <v>32</v>
      </c>
      <c r="G187" s="65" t="s">
        <v>80</v>
      </c>
      <c r="H187" s="65" t="str">
        <f t="shared" si="3"/>
        <v>NOT_STARTED</v>
      </c>
      <c r="I187" s="65" t="s">
        <v>43</v>
      </c>
      <c r="J187" s="65" t="s">
        <v>72</v>
      </c>
      <c r="K187" s="65" t="s">
        <v>43</v>
      </c>
      <c r="L187" s="66" t="s">
        <v>1037</v>
      </c>
      <c r="M187" s="84" t="s">
        <v>612</v>
      </c>
      <c r="N187" s="66"/>
      <c r="O187" s="66" t="s">
        <v>16</v>
      </c>
      <c r="P187" s="81" t="s">
        <v>1038</v>
      </c>
      <c r="Q187" s="68" t="s">
        <v>1039</v>
      </c>
      <c r="R187" s="81" t="s">
        <v>1040</v>
      </c>
      <c r="S187" s="95" t="s">
        <v>84</v>
      </c>
      <c r="U187" s="32"/>
      <c r="V187" s="32"/>
      <c r="W187" s="32"/>
      <c r="X187" s="32"/>
      <c r="Y187" s="32"/>
      <c r="Z187" s="32"/>
      <c r="AA187" s="32"/>
      <c r="AB187" s="32"/>
      <c r="AC187" s="32"/>
      <c r="AD187" s="32"/>
      <c r="AE187" s="32"/>
      <c r="AF187" s="32"/>
      <c r="AG187" s="32"/>
      <c r="AH187" s="32"/>
      <c r="AI187" s="32"/>
      <c r="AJ187" s="32"/>
      <c r="AK187" s="32"/>
      <c r="AL187" s="32"/>
      <c r="AM187" s="32"/>
      <c r="AN187" s="32"/>
      <c r="AO187" s="32"/>
      <c r="AP187" s="32"/>
    </row>
    <row r="188" ht="17.25" customHeight="1">
      <c r="A188" s="96" t="s">
        <v>1041</v>
      </c>
      <c r="B188" s="63" t="s">
        <v>1042</v>
      </c>
      <c r="C188" s="64" t="s">
        <v>1043</v>
      </c>
      <c r="D188" s="64" t="s">
        <v>1044</v>
      </c>
      <c r="E188" s="64" t="s">
        <v>70</v>
      </c>
      <c r="F188" s="65" t="s">
        <v>31</v>
      </c>
      <c r="G188" s="65" t="s">
        <v>80</v>
      </c>
      <c r="H188" s="65" t="str">
        <f t="shared" si="3"/>
        <v>PASSED</v>
      </c>
      <c r="I188" s="65" t="s">
        <v>43</v>
      </c>
      <c r="J188" s="74" t="s">
        <v>663</v>
      </c>
      <c r="K188" s="74" t="s">
        <v>6</v>
      </c>
      <c r="L188" s="66" t="s">
        <v>1045</v>
      </c>
      <c r="M188" s="84" t="s">
        <v>612</v>
      </c>
      <c r="N188" s="66"/>
      <c r="O188" s="66" t="s">
        <v>16</v>
      </c>
      <c r="P188" s="81" t="s">
        <v>1046</v>
      </c>
      <c r="Q188" s="78" t="s">
        <v>1047</v>
      </c>
      <c r="R188" s="81" t="s">
        <v>1048</v>
      </c>
      <c r="S188" s="95" t="s">
        <v>510</v>
      </c>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row>
    <row r="189" ht="17.25" customHeight="1">
      <c r="A189" s="70"/>
      <c r="B189" s="70"/>
      <c r="C189" s="64" t="s">
        <v>1049</v>
      </c>
      <c r="D189" s="64" t="s">
        <v>1050</v>
      </c>
      <c r="E189" s="64" t="s">
        <v>70</v>
      </c>
      <c r="F189" s="65" t="s">
        <v>31</v>
      </c>
      <c r="G189" s="65" t="s">
        <v>80</v>
      </c>
      <c r="H189" s="65" t="str">
        <f t="shared" si="3"/>
        <v>PASSED</v>
      </c>
      <c r="I189" s="65" t="s">
        <v>43</v>
      </c>
      <c r="J189" s="74" t="s">
        <v>663</v>
      </c>
      <c r="K189" s="74" t="s">
        <v>6</v>
      </c>
      <c r="L189" s="66" t="s">
        <v>1045</v>
      </c>
      <c r="M189" s="84" t="s">
        <v>612</v>
      </c>
      <c r="N189" s="66"/>
      <c r="O189" s="66" t="s">
        <v>16</v>
      </c>
      <c r="P189" s="97" t="s">
        <v>1051</v>
      </c>
      <c r="Q189" s="78" t="s">
        <v>1052</v>
      </c>
      <c r="R189" s="97" t="s">
        <v>1053</v>
      </c>
      <c r="S189" s="95" t="s">
        <v>510</v>
      </c>
      <c r="U189" s="32"/>
      <c r="V189" s="32"/>
      <c r="W189" s="32"/>
      <c r="X189" s="32"/>
      <c r="Y189" s="32"/>
      <c r="Z189" s="32"/>
      <c r="AA189" s="32"/>
      <c r="AB189" s="32"/>
      <c r="AC189" s="32"/>
      <c r="AD189" s="32"/>
      <c r="AE189" s="32"/>
      <c r="AF189" s="32"/>
      <c r="AG189" s="32"/>
      <c r="AH189" s="32"/>
      <c r="AI189" s="32"/>
      <c r="AJ189" s="32"/>
      <c r="AK189" s="32"/>
      <c r="AL189" s="32"/>
      <c r="AM189" s="32"/>
      <c r="AN189" s="32"/>
      <c r="AO189" s="32"/>
      <c r="AP189" s="32"/>
    </row>
    <row r="190" ht="17.25" customHeight="1">
      <c r="A190" s="70"/>
      <c r="B190" s="70"/>
      <c r="C190" s="64" t="s">
        <v>1054</v>
      </c>
      <c r="D190" s="64" t="s">
        <v>1055</v>
      </c>
      <c r="E190" s="64" t="s">
        <v>70</v>
      </c>
      <c r="F190" s="65" t="s">
        <v>31</v>
      </c>
      <c r="G190" s="65" t="s">
        <v>71</v>
      </c>
      <c r="H190" s="65" t="str">
        <f t="shared" si="3"/>
        <v>PASSED</v>
      </c>
      <c r="I190" s="65" t="s">
        <v>43</v>
      </c>
      <c r="J190" s="74" t="s">
        <v>663</v>
      </c>
      <c r="K190" s="74" t="s">
        <v>6</v>
      </c>
      <c r="L190" s="66" t="s">
        <v>1056</v>
      </c>
      <c r="M190" s="84" t="s">
        <v>612</v>
      </c>
      <c r="N190" s="66"/>
      <c r="O190" s="66" t="s">
        <v>16</v>
      </c>
      <c r="P190" s="97" t="s">
        <v>1057</v>
      </c>
      <c r="Q190" s="78" t="s">
        <v>1058</v>
      </c>
      <c r="R190" s="97" t="s">
        <v>1059</v>
      </c>
      <c r="S190" s="95" t="s">
        <v>510</v>
      </c>
      <c r="U190" s="32"/>
      <c r="V190" s="32"/>
      <c r="W190" s="32"/>
      <c r="X190" s="32"/>
      <c r="Y190" s="32"/>
      <c r="Z190" s="32"/>
      <c r="AA190" s="32"/>
      <c r="AB190" s="32"/>
      <c r="AC190" s="32"/>
      <c r="AD190" s="32"/>
      <c r="AE190" s="32"/>
      <c r="AF190" s="32"/>
      <c r="AG190" s="32"/>
      <c r="AH190" s="32"/>
      <c r="AI190" s="32"/>
      <c r="AJ190" s="32"/>
      <c r="AK190" s="32"/>
      <c r="AL190" s="32"/>
      <c r="AM190" s="32"/>
      <c r="AN190" s="32"/>
      <c r="AO190" s="32"/>
      <c r="AP190" s="32"/>
    </row>
    <row r="191" ht="17.25" customHeight="1">
      <c r="A191" s="70"/>
      <c r="B191" s="70"/>
      <c r="C191" s="64" t="s">
        <v>1060</v>
      </c>
      <c r="D191" s="73" t="s">
        <v>1061</v>
      </c>
      <c r="E191" s="64" t="s">
        <v>100</v>
      </c>
      <c r="F191" s="65" t="s">
        <v>31</v>
      </c>
      <c r="G191" s="65" t="s">
        <v>71</v>
      </c>
      <c r="H191" s="65" t="str">
        <f t="shared" si="3"/>
        <v>FAILED</v>
      </c>
      <c r="I191" s="65" t="s">
        <v>43</v>
      </c>
      <c r="J191" s="74" t="s">
        <v>663</v>
      </c>
      <c r="K191" s="74" t="s">
        <v>7</v>
      </c>
      <c r="L191" s="66" t="s">
        <v>524</v>
      </c>
      <c r="M191" s="84" t="s">
        <v>612</v>
      </c>
      <c r="N191" s="66"/>
      <c r="O191" s="66" t="s">
        <v>16</v>
      </c>
      <c r="P191" s="97" t="s">
        <v>1062</v>
      </c>
      <c r="Q191" s="78" t="s">
        <v>1063</v>
      </c>
      <c r="R191" s="97" t="s">
        <v>1064</v>
      </c>
      <c r="S191" s="95" t="s">
        <v>510</v>
      </c>
      <c r="U191" s="32"/>
      <c r="V191" s="32"/>
      <c r="W191" s="32"/>
      <c r="X191" s="32"/>
      <c r="Y191" s="32"/>
      <c r="Z191" s="32"/>
      <c r="AA191" s="32"/>
      <c r="AB191" s="32"/>
      <c r="AC191" s="32"/>
      <c r="AD191" s="32"/>
      <c r="AE191" s="32"/>
      <c r="AF191" s="32"/>
      <c r="AG191" s="32"/>
      <c r="AH191" s="32"/>
      <c r="AI191" s="32"/>
      <c r="AJ191" s="32"/>
      <c r="AK191" s="32"/>
      <c r="AL191" s="32"/>
      <c r="AM191" s="32"/>
      <c r="AN191" s="32"/>
      <c r="AO191" s="32"/>
      <c r="AP191" s="32"/>
    </row>
    <row r="192" ht="17.25" customHeight="1">
      <c r="A192" s="70"/>
      <c r="B192" s="70"/>
      <c r="C192" s="64" t="s">
        <v>1065</v>
      </c>
      <c r="D192" s="64" t="s">
        <v>1066</v>
      </c>
      <c r="E192" s="64" t="s">
        <v>70</v>
      </c>
      <c r="F192" s="65" t="s">
        <v>31</v>
      </c>
      <c r="G192" s="65" t="s">
        <v>80</v>
      </c>
      <c r="H192" s="65" t="str">
        <f t="shared" si="3"/>
        <v>PASSED</v>
      </c>
      <c r="I192" s="65" t="s">
        <v>43</v>
      </c>
      <c r="J192" s="74" t="s">
        <v>663</v>
      </c>
      <c r="K192" s="74" t="s">
        <v>6</v>
      </c>
      <c r="L192" s="66" t="s">
        <v>1067</v>
      </c>
      <c r="M192" s="84" t="s">
        <v>612</v>
      </c>
      <c r="N192" s="66"/>
      <c r="O192" s="66" t="s">
        <v>16</v>
      </c>
      <c r="P192" s="97" t="s">
        <v>1068</v>
      </c>
      <c r="Q192" s="78" t="s">
        <v>1069</v>
      </c>
      <c r="R192" s="97" t="s">
        <v>1070</v>
      </c>
      <c r="S192" s="95" t="s">
        <v>1071</v>
      </c>
      <c r="U192" s="32"/>
      <c r="V192" s="32"/>
      <c r="W192" s="32"/>
      <c r="X192" s="32"/>
      <c r="Y192" s="32"/>
      <c r="Z192" s="32"/>
      <c r="AA192" s="32"/>
      <c r="AB192" s="32"/>
      <c r="AC192" s="32"/>
      <c r="AD192" s="32"/>
      <c r="AE192" s="32"/>
      <c r="AF192" s="32"/>
      <c r="AG192" s="32"/>
      <c r="AH192" s="32"/>
      <c r="AI192" s="32"/>
      <c r="AJ192" s="32"/>
      <c r="AK192" s="32"/>
      <c r="AL192" s="32"/>
      <c r="AM192" s="32"/>
      <c r="AN192" s="32"/>
      <c r="AO192" s="32"/>
      <c r="AP192" s="32"/>
    </row>
    <row r="193" ht="17.25" customHeight="1">
      <c r="A193" s="70"/>
      <c r="B193" s="70"/>
      <c r="C193" s="64" t="s">
        <v>1072</v>
      </c>
      <c r="D193" s="64" t="s">
        <v>1073</v>
      </c>
      <c r="E193" s="64" t="s">
        <v>100</v>
      </c>
      <c r="F193" s="65" t="s">
        <v>31</v>
      </c>
      <c r="G193" s="65" t="s">
        <v>71</v>
      </c>
      <c r="H193" s="65" t="str">
        <f t="shared" si="3"/>
        <v>BLOCKED</v>
      </c>
      <c r="I193" s="74" t="s">
        <v>10</v>
      </c>
      <c r="J193" s="65" t="s">
        <v>72</v>
      </c>
      <c r="K193" s="65" t="s">
        <v>43</v>
      </c>
      <c r="L193" s="66" t="s">
        <v>1074</v>
      </c>
      <c r="M193" s="84" t="s">
        <v>612</v>
      </c>
      <c r="N193" s="66"/>
      <c r="O193" s="66" t="s">
        <v>16</v>
      </c>
      <c r="P193" s="97" t="s">
        <v>1075</v>
      </c>
      <c r="Q193" s="68" t="s">
        <v>1076</v>
      </c>
      <c r="R193" s="81" t="s">
        <v>1077</v>
      </c>
      <c r="S193" s="95" t="s">
        <v>943</v>
      </c>
      <c r="U193" s="32"/>
      <c r="V193" s="32"/>
      <c r="W193" s="32"/>
      <c r="X193" s="32"/>
      <c r="Y193" s="32"/>
      <c r="Z193" s="32"/>
      <c r="AA193" s="32"/>
      <c r="AB193" s="32"/>
      <c r="AC193" s="32"/>
      <c r="AD193" s="32"/>
      <c r="AE193" s="32"/>
      <c r="AF193" s="32"/>
      <c r="AG193" s="32"/>
      <c r="AH193" s="32"/>
      <c r="AI193" s="32"/>
      <c r="AJ193" s="32"/>
      <c r="AK193" s="32"/>
      <c r="AL193" s="32"/>
      <c r="AM193" s="32"/>
      <c r="AN193" s="32"/>
      <c r="AO193" s="32"/>
      <c r="AP193" s="32"/>
    </row>
    <row r="194" ht="17.25" customHeight="1">
      <c r="A194" s="70"/>
      <c r="B194" s="70"/>
      <c r="C194" s="64" t="s">
        <v>1078</v>
      </c>
      <c r="D194" s="64" t="s">
        <v>1079</v>
      </c>
      <c r="E194" s="64" t="s">
        <v>70</v>
      </c>
      <c r="F194" s="65" t="s">
        <v>31</v>
      </c>
      <c r="G194" s="65" t="s">
        <v>71</v>
      </c>
      <c r="H194" s="65" t="str">
        <f t="shared" si="3"/>
        <v>BLOCKED</v>
      </c>
      <c r="I194" s="74" t="s">
        <v>10</v>
      </c>
      <c r="J194" s="65" t="s">
        <v>72</v>
      </c>
      <c r="K194" s="65" t="s">
        <v>43</v>
      </c>
      <c r="L194" s="66" t="s">
        <v>1067</v>
      </c>
      <c r="M194" s="84" t="s">
        <v>612</v>
      </c>
      <c r="N194" s="66"/>
      <c r="O194" s="66" t="s">
        <v>16</v>
      </c>
      <c r="P194" s="97" t="s">
        <v>1080</v>
      </c>
      <c r="Q194" s="68" t="s">
        <v>1081</v>
      </c>
      <c r="R194" s="81" t="s">
        <v>1082</v>
      </c>
      <c r="S194" s="95" t="s">
        <v>1071</v>
      </c>
      <c r="U194" s="32"/>
      <c r="V194" s="32"/>
      <c r="W194" s="32"/>
      <c r="X194" s="32"/>
      <c r="Y194" s="32"/>
      <c r="Z194" s="32"/>
      <c r="AA194" s="32"/>
      <c r="AB194" s="32"/>
      <c r="AC194" s="32"/>
      <c r="AD194" s="32"/>
      <c r="AE194" s="32"/>
      <c r="AF194" s="32"/>
      <c r="AG194" s="32"/>
      <c r="AH194" s="32"/>
      <c r="AI194" s="32"/>
      <c r="AJ194" s="32"/>
      <c r="AK194" s="32"/>
      <c r="AL194" s="32"/>
      <c r="AM194" s="32"/>
      <c r="AN194" s="32"/>
      <c r="AO194" s="32"/>
      <c r="AP194" s="32"/>
    </row>
    <row r="195" ht="17.25" customHeight="1">
      <c r="A195" s="70"/>
      <c r="B195" s="70"/>
      <c r="C195" s="64" t="s">
        <v>1083</v>
      </c>
      <c r="D195" s="64" t="s">
        <v>1084</v>
      </c>
      <c r="E195" s="64" t="s">
        <v>70</v>
      </c>
      <c r="F195" s="65" t="s">
        <v>31</v>
      </c>
      <c r="G195" s="65" t="s">
        <v>80</v>
      </c>
      <c r="H195" s="65" t="str">
        <f t="shared" si="3"/>
        <v>BLOCKED</v>
      </c>
      <c r="I195" s="74" t="s">
        <v>10</v>
      </c>
      <c r="J195" s="65" t="s">
        <v>72</v>
      </c>
      <c r="K195" s="65" t="s">
        <v>43</v>
      </c>
      <c r="L195" s="66" t="s">
        <v>1085</v>
      </c>
      <c r="M195" s="84" t="s">
        <v>612</v>
      </c>
      <c r="N195" s="66"/>
      <c r="O195" s="66" t="s">
        <v>16</v>
      </c>
      <c r="P195" s="97" t="s">
        <v>1086</v>
      </c>
      <c r="Q195" s="68" t="s">
        <v>1087</v>
      </c>
      <c r="R195" s="81" t="s">
        <v>1088</v>
      </c>
      <c r="S195" s="95" t="s">
        <v>1071</v>
      </c>
      <c r="U195" s="32"/>
      <c r="V195" s="32"/>
      <c r="W195" s="32"/>
      <c r="X195" s="32"/>
      <c r="Y195" s="32"/>
      <c r="Z195" s="32"/>
      <c r="AA195" s="32"/>
      <c r="AB195" s="32"/>
      <c r="AC195" s="32"/>
      <c r="AD195" s="32"/>
      <c r="AE195" s="32"/>
      <c r="AF195" s="32"/>
      <c r="AG195" s="32"/>
      <c r="AH195" s="32"/>
      <c r="AI195" s="32"/>
      <c r="AJ195" s="32"/>
      <c r="AK195" s="32"/>
      <c r="AL195" s="32"/>
      <c r="AM195" s="32"/>
      <c r="AN195" s="32"/>
      <c r="AO195" s="32"/>
      <c r="AP195" s="32"/>
    </row>
    <row r="196" ht="17.25" customHeight="1">
      <c r="A196" s="70"/>
      <c r="B196" s="70"/>
      <c r="C196" s="64" t="s">
        <v>1089</v>
      </c>
      <c r="D196" s="64" t="s">
        <v>1090</v>
      </c>
      <c r="E196" s="64" t="s">
        <v>70</v>
      </c>
      <c r="F196" s="65" t="s">
        <v>32</v>
      </c>
      <c r="G196" s="65" t="s">
        <v>80</v>
      </c>
      <c r="H196" s="65" t="str">
        <f t="shared" si="3"/>
        <v>BLOCKED</v>
      </c>
      <c r="I196" s="74" t="s">
        <v>10</v>
      </c>
      <c r="J196" s="65" t="s">
        <v>72</v>
      </c>
      <c r="K196" s="65" t="s">
        <v>43</v>
      </c>
      <c r="L196" s="66" t="s">
        <v>1091</v>
      </c>
      <c r="M196" s="84" t="s">
        <v>612</v>
      </c>
      <c r="N196" s="66"/>
      <c r="O196" s="66" t="s">
        <v>16</v>
      </c>
      <c r="P196" s="97" t="s">
        <v>1092</v>
      </c>
      <c r="Q196" s="68" t="s">
        <v>1093</v>
      </c>
      <c r="R196" s="81" t="s">
        <v>1094</v>
      </c>
      <c r="S196" s="95" t="s">
        <v>1071</v>
      </c>
      <c r="U196" s="32"/>
      <c r="V196" s="32"/>
      <c r="W196" s="32"/>
      <c r="X196" s="32"/>
      <c r="Y196" s="32"/>
      <c r="Z196" s="32"/>
      <c r="AA196" s="32"/>
      <c r="AB196" s="32"/>
      <c r="AC196" s="32"/>
      <c r="AD196" s="32"/>
      <c r="AE196" s="32"/>
      <c r="AF196" s="32"/>
      <c r="AG196" s="32"/>
      <c r="AH196" s="32"/>
      <c r="AI196" s="32"/>
      <c r="AJ196" s="32"/>
      <c r="AK196" s="32"/>
      <c r="AL196" s="32"/>
      <c r="AM196" s="32"/>
      <c r="AN196" s="32"/>
      <c r="AO196" s="32"/>
      <c r="AP196" s="32"/>
    </row>
    <row r="197" ht="17.25" customHeight="1">
      <c r="A197" s="70"/>
      <c r="B197" s="70"/>
      <c r="C197" s="64" t="s">
        <v>1095</v>
      </c>
      <c r="D197" s="64" t="s">
        <v>1096</v>
      </c>
      <c r="E197" s="64" t="s">
        <v>70</v>
      </c>
      <c r="F197" s="65" t="s">
        <v>32</v>
      </c>
      <c r="G197" s="65" t="s">
        <v>80</v>
      </c>
      <c r="H197" s="65" t="str">
        <f t="shared" si="3"/>
        <v>PASSED</v>
      </c>
      <c r="I197" s="65" t="s">
        <v>43</v>
      </c>
      <c r="J197" s="74" t="s">
        <v>663</v>
      </c>
      <c r="K197" s="74" t="s">
        <v>6</v>
      </c>
      <c r="L197" s="66" t="s">
        <v>598</v>
      </c>
      <c r="M197" s="84" t="s">
        <v>612</v>
      </c>
      <c r="N197" s="66"/>
      <c r="O197" s="66" t="s">
        <v>16</v>
      </c>
      <c r="P197" s="97" t="s">
        <v>1097</v>
      </c>
      <c r="Q197" s="78" t="s">
        <v>1098</v>
      </c>
      <c r="R197" s="97" t="s">
        <v>1099</v>
      </c>
      <c r="S197" s="95" t="s">
        <v>1100</v>
      </c>
      <c r="U197" s="32"/>
      <c r="V197" s="32"/>
      <c r="W197" s="32"/>
      <c r="X197" s="32"/>
      <c r="Y197" s="32"/>
      <c r="Z197" s="32"/>
      <c r="AA197" s="32"/>
      <c r="AB197" s="32"/>
      <c r="AC197" s="32"/>
      <c r="AD197" s="32"/>
      <c r="AE197" s="32"/>
      <c r="AF197" s="32"/>
      <c r="AG197" s="32"/>
      <c r="AH197" s="32"/>
      <c r="AI197" s="32"/>
      <c r="AJ197" s="32"/>
      <c r="AK197" s="32"/>
      <c r="AL197" s="32"/>
      <c r="AM197" s="32"/>
      <c r="AN197" s="32"/>
      <c r="AO197" s="32"/>
      <c r="AP197" s="32"/>
    </row>
    <row r="198" ht="17.25" customHeight="1">
      <c r="A198" s="70"/>
      <c r="B198" s="70"/>
      <c r="C198" s="73" t="s">
        <v>1101</v>
      </c>
      <c r="D198" s="73" t="s">
        <v>1102</v>
      </c>
      <c r="E198" s="73" t="s">
        <v>174</v>
      </c>
      <c r="F198" s="65" t="s">
        <v>32</v>
      </c>
      <c r="G198" s="65" t="s">
        <v>80</v>
      </c>
      <c r="H198" s="65" t="str">
        <f t="shared" si="3"/>
        <v>FAILED</v>
      </c>
      <c r="I198" s="65" t="s">
        <v>43</v>
      </c>
      <c r="J198" s="74" t="s">
        <v>663</v>
      </c>
      <c r="K198" s="74" t="s">
        <v>7</v>
      </c>
      <c r="L198" s="66" t="s">
        <v>1045</v>
      </c>
      <c r="M198" s="84" t="s">
        <v>612</v>
      </c>
      <c r="N198" s="66"/>
      <c r="O198" s="66" t="s">
        <v>16</v>
      </c>
      <c r="P198" s="102" t="s">
        <v>1103</v>
      </c>
      <c r="Q198" s="78" t="s">
        <v>1104</v>
      </c>
      <c r="R198" s="97" t="s">
        <v>1105</v>
      </c>
      <c r="S198" s="95" t="s">
        <v>510</v>
      </c>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row>
    <row r="199" ht="17.25" customHeight="1">
      <c r="A199" s="70"/>
      <c r="B199" s="70"/>
      <c r="C199" s="73" t="s">
        <v>1106</v>
      </c>
      <c r="D199" s="73" t="s">
        <v>1107</v>
      </c>
      <c r="E199" s="73" t="s">
        <v>174</v>
      </c>
      <c r="F199" s="65" t="s">
        <v>32</v>
      </c>
      <c r="G199" s="65" t="s">
        <v>80</v>
      </c>
      <c r="H199" s="65" t="str">
        <f t="shared" si="3"/>
        <v>PASSED</v>
      </c>
      <c r="I199" s="65" t="s">
        <v>43</v>
      </c>
      <c r="J199" s="74" t="s">
        <v>663</v>
      </c>
      <c r="K199" s="74" t="s">
        <v>6</v>
      </c>
      <c r="L199" s="66" t="s">
        <v>1045</v>
      </c>
      <c r="M199" s="84" t="s">
        <v>612</v>
      </c>
      <c r="N199" s="66"/>
      <c r="O199" s="66" t="s">
        <v>16</v>
      </c>
      <c r="P199" s="102" t="s">
        <v>1108</v>
      </c>
      <c r="Q199" s="78" t="s">
        <v>1109</v>
      </c>
      <c r="R199" s="97" t="s">
        <v>1110</v>
      </c>
      <c r="S199" s="95" t="s">
        <v>510</v>
      </c>
      <c r="U199" s="32"/>
      <c r="V199" s="32"/>
      <c r="W199" s="32"/>
      <c r="X199" s="32"/>
      <c r="Y199" s="32"/>
      <c r="Z199" s="32"/>
      <c r="AA199" s="32"/>
      <c r="AB199" s="32"/>
      <c r="AC199" s="32"/>
      <c r="AD199" s="32"/>
      <c r="AE199" s="32"/>
      <c r="AF199" s="32"/>
      <c r="AG199" s="32"/>
      <c r="AH199" s="32"/>
      <c r="AI199" s="32"/>
      <c r="AJ199" s="32"/>
      <c r="AK199" s="32"/>
      <c r="AL199" s="32"/>
      <c r="AM199" s="32"/>
      <c r="AN199" s="32"/>
      <c r="AO199" s="32"/>
      <c r="AP199" s="32"/>
    </row>
    <row r="200" ht="17.25" customHeight="1">
      <c r="A200" s="70"/>
      <c r="B200" s="70"/>
      <c r="C200" s="73" t="s">
        <v>1111</v>
      </c>
      <c r="D200" s="73" t="s">
        <v>1112</v>
      </c>
      <c r="E200" s="73" t="s">
        <v>174</v>
      </c>
      <c r="F200" s="65" t="s">
        <v>32</v>
      </c>
      <c r="G200" s="65" t="s">
        <v>80</v>
      </c>
      <c r="H200" s="65" t="str">
        <f t="shared" si="3"/>
        <v>PASSED</v>
      </c>
      <c r="I200" s="65" t="s">
        <v>43</v>
      </c>
      <c r="J200" s="74" t="s">
        <v>663</v>
      </c>
      <c r="K200" s="74" t="s">
        <v>6</v>
      </c>
      <c r="L200" s="66" t="s">
        <v>1056</v>
      </c>
      <c r="M200" s="84" t="s">
        <v>612</v>
      </c>
      <c r="N200" s="66"/>
      <c r="O200" s="66" t="s">
        <v>16</v>
      </c>
      <c r="P200" s="102" t="s">
        <v>1113</v>
      </c>
      <c r="Q200" s="78" t="s">
        <v>1114</v>
      </c>
      <c r="R200" s="97" t="s">
        <v>1115</v>
      </c>
      <c r="S200" s="95" t="s">
        <v>510</v>
      </c>
      <c r="U200" s="32"/>
      <c r="V200" s="32"/>
      <c r="W200" s="32"/>
      <c r="X200" s="32"/>
      <c r="Y200" s="32"/>
      <c r="Z200" s="32"/>
      <c r="AA200" s="32"/>
      <c r="AB200" s="32"/>
      <c r="AC200" s="32"/>
      <c r="AD200" s="32"/>
      <c r="AE200" s="32"/>
      <c r="AF200" s="32"/>
      <c r="AG200" s="32"/>
      <c r="AH200" s="32"/>
      <c r="AI200" s="32"/>
      <c r="AJ200" s="32"/>
      <c r="AK200" s="32"/>
      <c r="AL200" s="32"/>
      <c r="AM200" s="32"/>
      <c r="AN200" s="32"/>
      <c r="AO200" s="32"/>
      <c r="AP200" s="32"/>
    </row>
    <row r="201" ht="17.25" customHeight="1">
      <c r="A201" s="70"/>
      <c r="B201" s="70"/>
      <c r="C201" s="73" t="s">
        <v>1116</v>
      </c>
      <c r="D201" s="73" t="s">
        <v>1117</v>
      </c>
      <c r="E201" s="73" t="s">
        <v>174</v>
      </c>
      <c r="F201" s="65" t="s">
        <v>32</v>
      </c>
      <c r="G201" s="65" t="s">
        <v>80</v>
      </c>
      <c r="H201" s="65" t="str">
        <f t="shared" si="3"/>
        <v>PASSED</v>
      </c>
      <c r="I201" s="65" t="s">
        <v>43</v>
      </c>
      <c r="J201" s="74" t="s">
        <v>663</v>
      </c>
      <c r="K201" s="74" t="s">
        <v>6</v>
      </c>
      <c r="L201" s="66" t="s">
        <v>524</v>
      </c>
      <c r="M201" s="84" t="s">
        <v>612</v>
      </c>
      <c r="N201" s="66"/>
      <c r="O201" s="66" t="s">
        <v>16</v>
      </c>
      <c r="P201" s="102" t="s">
        <v>1118</v>
      </c>
      <c r="Q201" s="78" t="s">
        <v>1119</v>
      </c>
      <c r="R201" s="97" t="s">
        <v>1120</v>
      </c>
      <c r="S201" s="95" t="s">
        <v>510</v>
      </c>
      <c r="U201" s="32"/>
      <c r="V201" s="32"/>
      <c r="W201" s="32"/>
      <c r="X201" s="32"/>
      <c r="Y201" s="32"/>
      <c r="Z201" s="32"/>
      <c r="AA201" s="32"/>
      <c r="AB201" s="32"/>
      <c r="AC201" s="32"/>
      <c r="AD201" s="32"/>
      <c r="AE201" s="32"/>
      <c r="AF201" s="32"/>
      <c r="AG201" s="32"/>
      <c r="AH201" s="32"/>
      <c r="AI201" s="32"/>
      <c r="AJ201" s="32"/>
      <c r="AK201" s="32"/>
      <c r="AL201" s="32"/>
      <c r="AM201" s="32"/>
      <c r="AN201" s="32"/>
      <c r="AO201" s="32"/>
      <c r="AP201" s="32"/>
    </row>
    <row r="202" ht="17.25" customHeight="1">
      <c r="A202" s="70"/>
      <c r="B202" s="70"/>
      <c r="C202" s="73" t="s">
        <v>1121</v>
      </c>
      <c r="D202" s="73" t="s">
        <v>1122</v>
      </c>
      <c r="E202" s="73" t="s">
        <v>174</v>
      </c>
      <c r="F202" s="65" t="s">
        <v>32</v>
      </c>
      <c r="G202" s="65" t="s">
        <v>80</v>
      </c>
      <c r="H202" s="65" t="str">
        <f t="shared" si="3"/>
        <v>PASSED</v>
      </c>
      <c r="I202" s="65" t="s">
        <v>43</v>
      </c>
      <c r="J202" s="74" t="s">
        <v>663</v>
      </c>
      <c r="K202" s="74" t="s">
        <v>6</v>
      </c>
      <c r="L202" s="66" t="s">
        <v>1067</v>
      </c>
      <c r="M202" s="84" t="s">
        <v>612</v>
      </c>
      <c r="N202" s="66"/>
      <c r="O202" s="66" t="s">
        <v>16</v>
      </c>
      <c r="P202" s="102" t="s">
        <v>1123</v>
      </c>
      <c r="Q202" s="78" t="s">
        <v>1124</v>
      </c>
      <c r="R202" s="97" t="s">
        <v>1125</v>
      </c>
      <c r="S202" s="95" t="s">
        <v>1071</v>
      </c>
      <c r="U202" s="32"/>
      <c r="V202" s="32"/>
      <c r="W202" s="32"/>
      <c r="X202" s="32"/>
      <c r="Y202" s="32"/>
      <c r="Z202" s="32"/>
      <c r="AA202" s="32"/>
      <c r="AB202" s="32"/>
      <c r="AC202" s="32"/>
      <c r="AD202" s="32"/>
      <c r="AE202" s="32"/>
      <c r="AF202" s="32"/>
      <c r="AG202" s="32"/>
      <c r="AH202" s="32"/>
      <c r="AI202" s="32"/>
      <c r="AJ202" s="32"/>
      <c r="AK202" s="32"/>
      <c r="AL202" s="32"/>
      <c r="AM202" s="32"/>
      <c r="AN202" s="32"/>
      <c r="AO202" s="32"/>
      <c r="AP202" s="32"/>
    </row>
    <row r="203" ht="17.25" customHeight="1">
      <c r="A203" s="70"/>
      <c r="B203" s="70"/>
      <c r="C203" s="73" t="s">
        <v>1126</v>
      </c>
      <c r="D203" s="73"/>
      <c r="E203" s="73" t="s">
        <v>174</v>
      </c>
      <c r="F203" s="65" t="s">
        <v>32</v>
      </c>
      <c r="G203" s="65" t="s">
        <v>80</v>
      </c>
      <c r="H203" s="65" t="str">
        <f t="shared" si="3"/>
        <v>BLOCKED</v>
      </c>
      <c r="I203" s="74" t="s">
        <v>10</v>
      </c>
      <c r="J203" s="65" t="s">
        <v>72</v>
      </c>
      <c r="K203" s="65" t="s">
        <v>43</v>
      </c>
      <c r="L203" s="66" t="s">
        <v>1074</v>
      </c>
      <c r="M203" s="84" t="s">
        <v>612</v>
      </c>
      <c r="N203" s="66"/>
      <c r="O203" s="66" t="s">
        <v>16</v>
      </c>
      <c r="P203" s="97" t="s">
        <v>1075</v>
      </c>
      <c r="Q203" s="78"/>
      <c r="R203" s="97"/>
      <c r="S203" s="95" t="s">
        <v>943</v>
      </c>
      <c r="U203" s="32"/>
      <c r="V203" s="32"/>
      <c r="W203" s="32"/>
      <c r="X203" s="32"/>
      <c r="Y203" s="32"/>
      <c r="Z203" s="32"/>
      <c r="AA203" s="32"/>
      <c r="AB203" s="32"/>
      <c r="AC203" s="32"/>
      <c r="AD203" s="32"/>
      <c r="AE203" s="32"/>
      <c r="AF203" s="32"/>
      <c r="AG203" s="32"/>
      <c r="AH203" s="32"/>
      <c r="AI203" s="32"/>
      <c r="AJ203" s="32"/>
      <c r="AK203" s="32"/>
      <c r="AL203" s="32"/>
      <c r="AM203" s="32"/>
      <c r="AN203" s="32"/>
      <c r="AO203" s="32"/>
      <c r="AP203" s="32"/>
    </row>
    <row r="204" ht="17.25" customHeight="1">
      <c r="A204" s="70"/>
      <c r="B204" s="70"/>
      <c r="C204" s="73" t="s">
        <v>1127</v>
      </c>
      <c r="D204" s="73"/>
      <c r="E204" s="73" t="s">
        <v>174</v>
      </c>
      <c r="F204" s="65" t="s">
        <v>32</v>
      </c>
      <c r="G204" s="65" t="s">
        <v>80</v>
      </c>
      <c r="H204" s="65" t="str">
        <f t="shared" si="3"/>
        <v>BLOCKED</v>
      </c>
      <c r="I204" s="74" t="s">
        <v>10</v>
      </c>
      <c r="J204" s="65" t="s">
        <v>72</v>
      </c>
      <c r="K204" s="65" t="s">
        <v>43</v>
      </c>
      <c r="L204" s="66" t="s">
        <v>1067</v>
      </c>
      <c r="M204" s="84" t="s">
        <v>612</v>
      </c>
      <c r="N204" s="66"/>
      <c r="O204" s="66" t="s">
        <v>16</v>
      </c>
      <c r="P204" s="97" t="s">
        <v>1080</v>
      </c>
      <c r="Q204" s="78"/>
      <c r="R204" s="97"/>
      <c r="S204" s="95" t="s">
        <v>1071</v>
      </c>
      <c r="U204" s="32"/>
      <c r="V204" s="32"/>
      <c r="W204" s="32"/>
      <c r="X204" s="32"/>
      <c r="Y204" s="32"/>
      <c r="Z204" s="32"/>
      <c r="AA204" s="32"/>
      <c r="AB204" s="32"/>
      <c r="AC204" s="32"/>
      <c r="AD204" s="32"/>
      <c r="AE204" s="32"/>
      <c r="AF204" s="32"/>
      <c r="AG204" s="32"/>
      <c r="AH204" s="32"/>
      <c r="AI204" s="32"/>
      <c r="AJ204" s="32"/>
      <c r="AK204" s="32"/>
      <c r="AL204" s="32"/>
      <c r="AM204" s="32"/>
      <c r="AN204" s="32"/>
      <c r="AO204" s="32"/>
      <c r="AP204" s="32"/>
    </row>
    <row r="205" ht="17.25" customHeight="1">
      <c r="A205" s="70"/>
      <c r="B205" s="70"/>
      <c r="C205" s="73" t="s">
        <v>1128</v>
      </c>
      <c r="D205" s="73"/>
      <c r="E205" s="73" t="s">
        <v>174</v>
      </c>
      <c r="F205" s="65" t="s">
        <v>32</v>
      </c>
      <c r="G205" s="65" t="s">
        <v>80</v>
      </c>
      <c r="H205" s="65" t="str">
        <f t="shared" si="3"/>
        <v>BLOCKED</v>
      </c>
      <c r="I205" s="74" t="s">
        <v>10</v>
      </c>
      <c r="J205" s="65" t="s">
        <v>72</v>
      </c>
      <c r="K205" s="65" t="s">
        <v>43</v>
      </c>
      <c r="L205" s="66" t="s">
        <v>1085</v>
      </c>
      <c r="M205" s="84" t="s">
        <v>612</v>
      </c>
      <c r="N205" s="66"/>
      <c r="O205" s="66" t="s">
        <v>16</v>
      </c>
      <c r="P205" s="97" t="s">
        <v>1086</v>
      </c>
      <c r="Q205" s="78"/>
      <c r="R205" s="97"/>
      <c r="S205" s="95" t="s">
        <v>1071</v>
      </c>
      <c r="U205" s="32"/>
      <c r="V205" s="32"/>
      <c r="W205" s="32"/>
      <c r="X205" s="32"/>
      <c r="Y205" s="32"/>
      <c r="Z205" s="32"/>
      <c r="AA205" s="32"/>
      <c r="AB205" s="32"/>
      <c r="AC205" s="32"/>
      <c r="AD205" s="32"/>
      <c r="AE205" s="32"/>
      <c r="AF205" s="32"/>
      <c r="AG205" s="32"/>
      <c r="AH205" s="32"/>
      <c r="AI205" s="32"/>
      <c r="AJ205" s="32"/>
      <c r="AK205" s="32"/>
      <c r="AL205" s="32"/>
      <c r="AM205" s="32"/>
      <c r="AN205" s="32"/>
      <c r="AO205" s="32"/>
      <c r="AP205" s="32"/>
    </row>
    <row r="206" ht="17.25" customHeight="1">
      <c r="A206" s="70"/>
      <c r="B206" s="70"/>
      <c r="C206" s="73" t="s">
        <v>1129</v>
      </c>
      <c r="D206" s="73"/>
      <c r="E206" s="73" t="s">
        <v>174</v>
      </c>
      <c r="F206" s="65" t="s">
        <v>32</v>
      </c>
      <c r="G206" s="65" t="s">
        <v>80</v>
      </c>
      <c r="H206" s="65" t="str">
        <f t="shared" si="3"/>
        <v>BLOCKED</v>
      </c>
      <c r="I206" s="74" t="s">
        <v>10</v>
      </c>
      <c r="J206" s="65" t="s">
        <v>72</v>
      </c>
      <c r="K206" s="65" t="s">
        <v>43</v>
      </c>
      <c r="L206" s="66" t="s">
        <v>1091</v>
      </c>
      <c r="M206" s="84" t="s">
        <v>612</v>
      </c>
      <c r="N206" s="66"/>
      <c r="O206" s="66" t="s">
        <v>16</v>
      </c>
      <c r="P206" s="97" t="s">
        <v>1092</v>
      </c>
      <c r="Q206" s="78"/>
      <c r="R206" s="97"/>
      <c r="S206" s="95" t="s">
        <v>1071</v>
      </c>
      <c r="U206" s="32"/>
      <c r="V206" s="32"/>
      <c r="W206" s="32"/>
      <c r="X206" s="32"/>
      <c r="Y206" s="32"/>
      <c r="Z206" s="32"/>
      <c r="AA206" s="32"/>
      <c r="AB206" s="32"/>
      <c r="AC206" s="32"/>
      <c r="AD206" s="32"/>
      <c r="AE206" s="32"/>
      <c r="AF206" s="32"/>
      <c r="AG206" s="32"/>
      <c r="AH206" s="32"/>
      <c r="AI206" s="32"/>
      <c r="AJ206" s="32"/>
      <c r="AK206" s="32"/>
      <c r="AL206" s="32"/>
      <c r="AM206" s="32"/>
      <c r="AN206" s="32"/>
      <c r="AO206" s="32"/>
      <c r="AP206" s="32"/>
    </row>
    <row r="207" ht="17.25" customHeight="1">
      <c r="A207" s="70"/>
      <c r="B207" s="15"/>
      <c r="C207" s="73" t="s">
        <v>1130</v>
      </c>
      <c r="D207" s="73"/>
      <c r="E207" s="73" t="s">
        <v>174</v>
      </c>
      <c r="F207" s="65" t="s">
        <v>32</v>
      </c>
      <c r="G207" s="65" t="s">
        <v>80</v>
      </c>
      <c r="H207" s="65" t="str">
        <f t="shared" si="3"/>
        <v>PASSED</v>
      </c>
      <c r="I207" s="65" t="s">
        <v>43</v>
      </c>
      <c r="J207" s="74" t="s">
        <v>663</v>
      </c>
      <c r="K207" s="74" t="s">
        <v>6</v>
      </c>
      <c r="L207" s="66" t="s">
        <v>598</v>
      </c>
      <c r="M207" s="84" t="s">
        <v>612</v>
      </c>
      <c r="N207" s="66"/>
      <c r="O207" s="66" t="s">
        <v>16</v>
      </c>
      <c r="P207" s="102" t="s">
        <v>1131</v>
      </c>
      <c r="Q207" s="78" t="s">
        <v>1132</v>
      </c>
      <c r="R207" s="97" t="s">
        <v>1133</v>
      </c>
      <c r="S207" s="95" t="s">
        <v>1100</v>
      </c>
      <c r="U207" s="32"/>
      <c r="V207" s="32"/>
      <c r="W207" s="32"/>
      <c r="X207" s="32"/>
      <c r="Y207" s="32"/>
      <c r="Z207" s="32"/>
      <c r="AA207" s="32"/>
      <c r="AB207" s="32"/>
      <c r="AC207" s="32"/>
      <c r="AD207" s="32"/>
      <c r="AE207" s="32"/>
      <c r="AF207" s="32"/>
      <c r="AG207" s="32"/>
      <c r="AH207" s="32"/>
      <c r="AI207" s="32"/>
      <c r="AJ207" s="32"/>
      <c r="AK207" s="32"/>
      <c r="AL207" s="32"/>
      <c r="AM207" s="32"/>
      <c r="AN207" s="32"/>
      <c r="AO207" s="32"/>
      <c r="AP207" s="32"/>
    </row>
    <row r="208" ht="15.75" customHeight="1">
      <c r="A208" s="70"/>
      <c r="B208" s="103" t="s">
        <v>1134</v>
      </c>
      <c r="C208" s="81" t="s">
        <v>1135</v>
      </c>
      <c r="D208" s="81" t="s">
        <v>1136</v>
      </c>
      <c r="E208" s="81" t="s">
        <v>70</v>
      </c>
      <c r="F208" s="65" t="s">
        <v>32</v>
      </c>
      <c r="G208" s="65" t="s">
        <v>80</v>
      </c>
      <c r="H208" s="65" t="str">
        <f t="shared" si="3"/>
        <v>NOT_STARTED</v>
      </c>
      <c r="I208" s="65" t="s">
        <v>43</v>
      </c>
      <c r="J208" s="65" t="s">
        <v>72</v>
      </c>
      <c r="K208" s="65" t="s">
        <v>43</v>
      </c>
      <c r="L208" s="84" t="s">
        <v>453</v>
      </c>
      <c r="M208" s="84" t="s">
        <v>612</v>
      </c>
      <c r="N208" s="85"/>
      <c r="O208" s="84" t="s">
        <v>16</v>
      </c>
      <c r="P208" s="81" t="s">
        <v>1137</v>
      </c>
      <c r="Q208" s="81" t="s">
        <v>1138</v>
      </c>
      <c r="R208" s="81" t="s">
        <v>1139</v>
      </c>
      <c r="S208" s="104" t="s">
        <v>456</v>
      </c>
      <c r="U208" s="105"/>
      <c r="V208" s="105"/>
      <c r="W208" s="105"/>
      <c r="X208" s="105"/>
      <c r="Y208" s="105"/>
      <c r="Z208" s="105"/>
      <c r="AA208" s="105"/>
      <c r="AB208" s="105"/>
      <c r="AC208" s="105"/>
      <c r="AD208" s="105"/>
      <c r="AE208" s="105"/>
      <c r="AF208" s="105"/>
      <c r="AG208" s="105"/>
      <c r="AH208" s="105"/>
      <c r="AI208" s="105"/>
      <c r="AJ208" s="105"/>
      <c r="AK208" s="105"/>
      <c r="AL208" s="105"/>
      <c r="AM208" s="105"/>
      <c r="AN208" s="105"/>
      <c r="AO208" s="105"/>
      <c r="AP208" s="105"/>
    </row>
    <row r="209" ht="15.75" customHeight="1">
      <c r="A209" s="70"/>
      <c r="B209" s="70"/>
      <c r="C209" s="81" t="s">
        <v>1140</v>
      </c>
      <c r="D209" s="81" t="s">
        <v>1141</v>
      </c>
      <c r="E209" s="81" t="s">
        <v>70</v>
      </c>
      <c r="F209" s="65" t="s">
        <v>32</v>
      </c>
      <c r="G209" s="65" t="s">
        <v>80</v>
      </c>
      <c r="H209" s="65" t="str">
        <f t="shared" si="3"/>
        <v>NOT_STARTED</v>
      </c>
      <c r="I209" s="65" t="s">
        <v>43</v>
      </c>
      <c r="J209" s="65" t="s">
        <v>72</v>
      </c>
      <c r="K209" s="65" t="s">
        <v>43</v>
      </c>
      <c r="L209" s="84" t="s">
        <v>453</v>
      </c>
      <c r="M209" s="84" t="s">
        <v>612</v>
      </c>
      <c r="N209" s="85"/>
      <c r="O209" s="84" t="s">
        <v>16</v>
      </c>
      <c r="P209" s="81" t="s">
        <v>1142</v>
      </c>
      <c r="Q209" s="81" t="s">
        <v>1143</v>
      </c>
      <c r="R209" s="81" t="s">
        <v>1144</v>
      </c>
      <c r="S209" s="104" t="s">
        <v>456</v>
      </c>
      <c r="U209" s="105"/>
      <c r="V209" s="105"/>
      <c r="W209" s="105"/>
      <c r="X209" s="105"/>
      <c r="Y209" s="105"/>
      <c r="Z209" s="105"/>
      <c r="AA209" s="105"/>
      <c r="AB209" s="105"/>
      <c r="AC209" s="105"/>
      <c r="AD209" s="105"/>
      <c r="AE209" s="105"/>
      <c r="AF209" s="105"/>
      <c r="AG209" s="105"/>
      <c r="AH209" s="105"/>
      <c r="AI209" s="105"/>
      <c r="AJ209" s="105"/>
      <c r="AK209" s="105"/>
      <c r="AL209" s="105"/>
      <c r="AM209" s="105"/>
      <c r="AN209" s="105"/>
      <c r="AO209" s="105"/>
      <c r="AP209" s="105"/>
    </row>
    <row r="210" ht="15.75" customHeight="1">
      <c r="A210" s="70"/>
      <c r="B210" s="15"/>
      <c r="C210" s="81" t="s">
        <v>1145</v>
      </c>
      <c r="D210" s="81" t="s">
        <v>1146</v>
      </c>
      <c r="E210" s="81" t="s">
        <v>70</v>
      </c>
      <c r="F210" s="65" t="s">
        <v>32</v>
      </c>
      <c r="G210" s="65" t="s">
        <v>80</v>
      </c>
      <c r="H210" s="65" t="str">
        <f t="shared" si="3"/>
        <v>NOT_STARTED</v>
      </c>
      <c r="I210" s="65" t="s">
        <v>43</v>
      </c>
      <c r="J210" s="65" t="s">
        <v>72</v>
      </c>
      <c r="K210" s="65" t="s">
        <v>43</v>
      </c>
      <c r="L210" s="84" t="s">
        <v>564</v>
      </c>
      <c r="M210" s="84" t="s">
        <v>612</v>
      </c>
      <c r="N210" s="85"/>
      <c r="O210" s="84" t="s">
        <v>16</v>
      </c>
      <c r="P210" s="81" t="s">
        <v>1147</v>
      </c>
      <c r="Q210" s="81" t="s">
        <v>1148</v>
      </c>
      <c r="R210" s="81" t="s">
        <v>1149</v>
      </c>
      <c r="S210" s="104" t="s">
        <v>567</v>
      </c>
      <c r="U210" s="105"/>
      <c r="V210" s="105"/>
      <c r="W210" s="105"/>
      <c r="X210" s="105"/>
      <c r="Y210" s="105"/>
      <c r="Z210" s="105"/>
      <c r="AA210" s="105"/>
      <c r="AB210" s="105"/>
      <c r="AC210" s="105"/>
      <c r="AD210" s="105"/>
      <c r="AE210" s="105"/>
      <c r="AF210" s="105"/>
      <c r="AG210" s="105"/>
      <c r="AH210" s="105"/>
      <c r="AI210" s="105"/>
      <c r="AJ210" s="105"/>
      <c r="AK210" s="105"/>
      <c r="AL210" s="105"/>
      <c r="AM210" s="105"/>
      <c r="AN210" s="105"/>
      <c r="AO210" s="105"/>
      <c r="AP210" s="105"/>
    </row>
    <row r="211" ht="15.75" customHeight="1">
      <c r="A211" s="70"/>
      <c r="B211" s="103" t="s">
        <v>1150</v>
      </c>
      <c r="C211" s="81" t="s">
        <v>1151</v>
      </c>
      <c r="D211" s="81" t="s">
        <v>1152</v>
      </c>
      <c r="E211" s="81" t="s">
        <v>70</v>
      </c>
      <c r="F211" s="65" t="s">
        <v>32</v>
      </c>
      <c r="G211" s="65" t="s">
        <v>80</v>
      </c>
      <c r="H211" s="65" t="str">
        <f t="shared" si="3"/>
        <v>NOT_STARTED</v>
      </c>
      <c r="I211" s="65" t="s">
        <v>43</v>
      </c>
      <c r="J211" s="65" t="s">
        <v>72</v>
      </c>
      <c r="K211" s="65" t="s">
        <v>43</v>
      </c>
      <c r="L211" s="84" t="s">
        <v>556</v>
      </c>
      <c r="M211" s="84" t="s">
        <v>612</v>
      </c>
      <c r="N211" s="85"/>
      <c r="O211" s="84" t="s">
        <v>16</v>
      </c>
      <c r="P211" s="81" t="s">
        <v>1153</v>
      </c>
      <c r="Q211" s="81" t="s">
        <v>1154</v>
      </c>
      <c r="R211" s="81" t="s">
        <v>1155</v>
      </c>
      <c r="S211" s="104" t="s">
        <v>559</v>
      </c>
      <c r="U211" s="105"/>
      <c r="V211" s="105"/>
      <c r="W211" s="105"/>
      <c r="X211" s="105"/>
      <c r="Y211" s="105"/>
      <c r="Z211" s="105"/>
      <c r="AA211" s="105"/>
      <c r="AB211" s="105"/>
      <c r="AC211" s="105"/>
      <c r="AD211" s="105"/>
      <c r="AE211" s="105"/>
      <c r="AF211" s="105"/>
      <c r="AG211" s="105"/>
      <c r="AH211" s="105"/>
      <c r="AI211" s="105"/>
      <c r="AJ211" s="105"/>
      <c r="AK211" s="105"/>
      <c r="AL211" s="105"/>
      <c r="AM211" s="105"/>
      <c r="AN211" s="105"/>
      <c r="AO211" s="105"/>
      <c r="AP211" s="105"/>
    </row>
    <row r="212" ht="15.75" customHeight="1">
      <c r="A212" s="70"/>
      <c r="B212" s="70"/>
      <c r="C212" s="81" t="s">
        <v>1156</v>
      </c>
      <c r="D212" s="81" t="s">
        <v>1157</v>
      </c>
      <c r="E212" s="81" t="s">
        <v>70</v>
      </c>
      <c r="F212" s="65" t="s">
        <v>32</v>
      </c>
      <c r="G212" s="65" t="s">
        <v>80</v>
      </c>
      <c r="H212" s="65" t="str">
        <f t="shared" si="3"/>
        <v>NOT_STARTED</v>
      </c>
      <c r="I212" s="65" t="s">
        <v>43</v>
      </c>
      <c r="J212" s="65" t="s">
        <v>72</v>
      </c>
      <c r="K212" s="65" t="s">
        <v>43</v>
      </c>
      <c r="L212" s="84" t="s">
        <v>556</v>
      </c>
      <c r="M212" s="84" t="s">
        <v>612</v>
      </c>
      <c r="N212" s="85"/>
      <c r="O212" s="84" t="s">
        <v>16</v>
      </c>
      <c r="P212" s="81" t="s">
        <v>1158</v>
      </c>
      <c r="Q212" s="81" t="s">
        <v>1159</v>
      </c>
      <c r="R212" s="81" t="s">
        <v>1160</v>
      </c>
      <c r="S212" s="104" t="s">
        <v>559</v>
      </c>
      <c r="U212" s="105"/>
      <c r="V212" s="105"/>
      <c r="W212" s="105"/>
      <c r="X212" s="105"/>
      <c r="Y212" s="105"/>
      <c r="Z212" s="105"/>
      <c r="AA212" s="105"/>
      <c r="AB212" s="105"/>
      <c r="AC212" s="105"/>
      <c r="AD212" s="105"/>
      <c r="AE212" s="105"/>
      <c r="AF212" s="105"/>
      <c r="AG212" s="105"/>
      <c r="AH212" s="105"/>
      <c r="AI212" s="105"/>
      <c r="AJ212" s="105"/>
      <c r="AK212" s="105"/>
      <c r="AL212" s="105"/>
      <c r="AM212" s="105"/>
      <c r="AN212" s="105"/>
      <c r="AO212" s="105"/>
      <c r="AP212" s="105"/>
    </row>
    <row r="213" ht="15.75" customHeight="1">
      <c r="A213" s="70"/>
      <c r="B213" s="70"/>
      <c r="C213" s="81" t="s">
        <v>1161</v>
      </c>
      <c r="D213" s="81" t="s">
        <v>1162</v>
      </c>
      <c r="E213" s="81" t="s">
        <v>70</v>
      </c>
      <c r="F213" s="74" t="s">
        <v>33</v>
      </c>
      <c r="G213" s="74" t="s">
        <v>175</v>
      </c>
      <c r="H213" s="65" t="str">
        <f t="shared" si="3"/>
        <v>NOT_STARTED</v>
      </c>
      <c r="I213" s="65" t="s">
        <v>43</v>
      </c>
      <c r="J213" s="65" t="s">
        <v>72</v>
      </c>
      <c r="K213" s="65" t="s">
        <v>43</v>
      </c>
      <c r="L213" s="84" t="s">
        <v>556</v>
      </c>
      <c r="M213" s="84" t="s">
        <v>612</v>
      </c>
      <c r="N213" s="85"/>
      <c r="O213" s="84" t="s">
        <v>16</v>
      </c>
      <c r="P213" s="81" t="s">
        <v>1163</v>
      </c>
      <c r="Q213" s="81" t="s">
        <v>1164</v>
      </c>
      <c r="R213" s="81" t="s">
        <v>1165</v>
      </c>
      <c r="S213" s="104" t="s">
        <v>559</v>
      </c>
      <c r="U213" s="105"/>
      <c r="V213" s="105"/>
      <c r="W213" s="105"/>
      <c r="X213" s="105"/>
      <c r="Y213" s="105"/>
      <c r="Z213" s="105"/>
      <c r="AA213" s="105"/>
      <c r="AB213" s="105"/>
      <c r="AC213" s="105"/>
      <c r="AD213" s="105"/>
      <c r="AE213" s="105"/>
      <c r="AF213" s="105"/>
      <c r="AG213" s="105"/>
      <c r="AH213" s="105"/>
      <c r="AI213" s="105"/>
      <c r="AJ213" s="105"/>
      <c r="AK213" s="105"/>
      <c r="AL213" s="105"/>
      <c r="AM213" s="105"/>
      <c r="AN213" s="105"/>
      <c r="AO213" s="105"/>
      <c r="AP213" s="105"/>
    </row>
    <row r="214" ht="15.75" customHeight="1">
      <c r="A214" s="70"/>
      <c r="B214" s="15"/>
      <c r="C214" s="81" t="s">
        <v>1166</v>
      </c>
      <c r="D214" s="81" t="s">
        <v>1167</v>
      </c>
      <c r="E214" s="81" t="s">
        <v>70</v>
      </c>
      <c r="F214" s="65" t="s">
        <v>32</v>
      </c>
      <c r="G214" s="65" t="s">
        <v>80</v>
      </c>
      <c r="H214" s="65" t="str">
        <f t="shared" si="3"/>
        <v>NOT_STARTED</v>
      </c>
      <c r="I214" s="65" t="s">
        <v>43</v>
      </c>
      <c r="J214" s="65" t="s">
        <v>72</v>
      </c>
      <c r="K214" s="65" t="s">
        <v>43</v>
      </c>
      <c r="L214" s="84" t="s">
        <v>1168</v>
      </c>
      <c r="M214" s="84" t="s">
        <v>612</v>
      </c>
      <c r="N214" s="85"/>
      <c r="O214" s="84" t="s">
        <v>16</v>
      </c>
      <c r="P214" s="81" t="s">
        <v>1169</v>
      </c>
      <c r="Q214" s="81" t="s">
        <v>1170</v>
      </c>
      <c r="R214" s="81" t="s">
        <v>1171</v>
      </c>
      <c r="S214" s="104" t="s">
        <v>559</v>
      </c>
      <c r="U214" s="105"/>
      <c r="V214" s="105"/>
      <c r="W214" s="105"/>
      <c r="X214" s="105"/>
      <c r="Y214" s="105"/>
      <c r="Z214" s="105"/>
      <c r="AA214" s="105"/>
      <c r="AB214" s="105"/>
      <c r="AC214" s="105"/>
      <c r="AD214" s="105"/>
      <c r="AE214" s="105"/>
      <c r="AF214" s="105"/>
      <c r="AG214" s="105"/>
      <c r="AH214" s="105"/>
      <c r="AI214" s="105"/>
      <c r="AJ214" s="105"/>
      <c r="AK214" s="105"/>
      <c r="AL214" s="105"/>
      <c r="AM214" s="105"/>
      <c r="AN214" s="105"/>
      <c r="AO214" s="105"/>
      <c r="AP214" s="105"/>
    </row>
    <row r="215" ht="15.75" customHeight="1">
      <c r="A215" s="70"/>
      <c r="B215" s="103" t="s">
        <v>1172</v>
      </c>
      <c r="C215" s="81" t="s">
        <v>1173</v>
      </c>
      <c r="D215" s="81" t="s">
        <v>1174</v>
      </c>
      <c r="E215" s="81" t="s">
        <v>70</v>
      </c>
      <c r="F215" s="65" t="s">
        <v>32</v>
      </c>
      <c r="G215" s="65" t="s">
        <v>80</v>
      </c>
      <c r="H215" s="65" t="str">
        <f t="shared" si="3"/>
        <v>NOT_STARTED</v>
      </c>
      <c r="I215" s="65" t="s">
        <v>43</v>
      </c>
      <c r="J215" s="65" t="s">
        <v>72</v>
      </c>
      <c r="K215" s="65" t="s">
        <v>43</v>
      </c>
      <c r="L215" s="84" t="s">
        <v>1175</v>
      </c>
      <c r="M215" s="84" t="s">
        <v>612</v>
      </c>
      <c r="N215" s="85"/>
      <c r="O215" s="84" t="s">
        <v>16</v>
      </c>
      <c r="P215" s="81" t="s">
        <v>1176</v>
      </c>
      <c r="Q215" s="81" t="s">
        <v>1177</v>
      </c>
      <c r="R215" s="81" t="s">
        <v>1178</v>
      </c>
      <c r="S215" s="104" t="s">
        <v>1100</v>
      </c>
      <c r="U215" s="105"/>
      <c r="V215" s="105"/>
      <c r="W215" s="105"/>
      <c r="X215" s="105"/>
      <c r="Y215" s="105"/>
      <c r="Z215" s="105"/>
      <c r="AA215" s="105"/>
      <c r="AB215" s="105"/>
      <c r="AC215" s="105"/>
      <c r="AD215" s="105"/>
      <c r="AE215" s="105"/>
      <c r="AF215" s="105"/>
      <c r="AG215" s="105"/>
      <c r="AH215" s="105"/>
      <c r="AI215" s="105"/>
      <c r="AJ215" s="105"/>
      <c r="AK215" s="105"/>
      <c r="AL215" s="105"/>
      <c r="AM215" s="105"/>
      <c r="AN215" s="105"/>
      <c r="AO215" s="105"/>
      <c r="AP215" s="105"/>
    </row>
    <row r="216" ht="15.75" customHeight="1">
      <c r="A216" s="70"/>
      <c r="B216" s="70"/>
      <c r="C216" s="81" t="s">
        <v>1179</v>
      </c>
      <c r="D216" s="81" t="s">
        <v>1180</v>
      </c>
      <c r="E216" s="81" t="s">
        <v>70</v>
      </c>
      <c r="F216" s="65" t="s">
        <v>32</v>
      </c>
      <c r="G216" s="65" t="s">
        <v>80</v>
      </c>
      <c r="H216" s="65" t="str">
        <f t="shared" si="3"/>
        <v>NOT_STARTED</v>
      </c>
      <c r="I216" s="65" t="s">
        <v>43</v>
      </c>
      <c r="J216" s="65" t="s">
        <v>72</v>
      </c>
      <c r="K216" s="65" t="s">
        <v>43</v>
      </c>
      <c r="L216" s="84" t="s">
        <v>1175</v>
      </c>
      <c r="M216" s="84" t="s">
        <v>612</v>
      </c>
      <c r="N216" s="85"/>
      <c r="O216" s="84" t="s">
        <v>16</v>
      </c>
      <c r="P216" s="81" t="s">
        <v>1181</v>
      </c>
      <c r="Q216" s="81" t="s">
        <v>1182</v>
      </c>
      <c r="R216" s="81" t="s">
        <v>1183</v>
      </c>
      <c r="S216" s="104" t="s">
        <v>1100</v>
      </c>
      <c r="U216" s="105"/>
      <c r="V216" s="105"/>
      <c r="W216" s="105"/>
      <c r="X216" s="105"/>
      <c r="Y216" s="105"/>
      <c r="Z216" s="105"/>
      <c r="AA216" s="105"/>
      <c r="AB216" s="105"/>
      <c r="AC216" s="105"/>
      <c r="AD216" s="105"/>
      <c r="AE216" s="105"/>
      <c r="AF216" s="105"/>
      <c r="AG216" s="105"/>
      <c r="AH216" s="105"/>
      <c r="AI216" s="105"/>
      <c r="AJ216" s="105"/>
      <c r="AK216" s="105"/>
      <c r="AL216" s="105"/>
      <c r="AM216" s="105"/>
      <c r="AN216" s="105"/>
      <c r="AO216" s="105"/>
      <c r="AP216" s="105"/>
    </row>
    <row r="217" ht="17.25" customHeight="1">
      <c r="A217" s="70"/>
      <c r="B217" s="70"/>
      <c r="C217" s="81" t="s">
        <v>1184</v>
      </c>
      <c r="D217" s="81" t="s">
        <v>1185</v>
      </c>
      <c r="E217" s="81" t="s">
        <v>70</v>
      </c>
      <c r="F217" s="65" t="s">
        <v>32</v>
      </c>
      <c r="G217" s="65" t="s">
        <v>80</v>
      </c>
      <c r="H217" s="65" t="str">
        <f t="shared" si="3"/>
        <v>NOT_STARTED</v>
      </c>
      <c r="I217" s="65" t="s">
        <v>43</v>
      </c>
      <c r="J217" s="65" t="s">
        <v>72</v>
      </c>
      <c r="K217" s="65" t="s">
        <v>43</v>
      </c>
      <c r="L217" s="84" t="s">
        <v>1175</v>
      </c>
      <c r="M217" s="84" t="s">
        <v>612</v>
      </c>
      <c r="N217" s="85"/>
      <c r="O217" s="84" t="s">
        <v>16</v>
      </c>
      <c r="P217" s="81" t="s">
        <v>1186</v>
      </c>
      <c r="Q217" s="81" t="s">
        <v>1187</v>
      </c>
      <c r="R217" s="81" t="s">
        <v>1188</v>
      </c>
      <c r="S217" s="98" t="s">
        <v>1100</v>
      </c>
      <c r="U217" s="99"/>
      <c r="V217" s="99"/>
      <c r="W217" s="99"/>
      <c r="X217" s="99"/>
      <c r="Y217" s="99"/>
      <c r="Z217" s="99"/>
      <c r="AA217" s="99"/>
      <c r="AB217" s="99"/>
      <c r="AC217" s="99"/>
      <c r="AD217" s="99"/>
      <c r="AE217" s="99"/>
      <c r="AF217" s="99"/>
      <c r="AG217" s="99"/>
      <c r="AH217" s="99"/>
      <c r="AI217" s="99"/>
      <c r="AJ217" s="99"/>
      <c r="AK217" s="99"/>
      <c r="AL217" s="99"/>
      <c r="AM217" s="99"/>
      <c r="AN217" s="99"/>
      <c r="AO217" s="99"/>
      <c r="AP217" s="99"/>
    </row>
    <row r="218" ht="17.25" customHeight="1">
      <c r="A218" s="15"/>
      <c r="B218" s="15"/>
      <c r="C218" s="81" t="s">
        <v>1189</v>
      </c>
      <c r="D218" s="81" t="s">
        <v>1190</v>
      </c>
      <c r="E218" s="81" t="s">
        <v>70</v>
      </c>
      <c r="F218" s="74" t="s">
        <v>33</v>
      </c>
      <c r="G218" s="74" t="s">
        <v>175</v>
      </c>
      <c r="H218" s="65" t="str">
        <f t="shared" si="3"/>
        <v>NOT_STARTED</v>
      </c>
      <c r="I218" s="65" t="s">
        <v>43</v>
      </c>
      <c r="J218" s="65" t="s">
        <v>72</v>
      </c>
      <c r="K218" s="65" t="s">
        <v>43</v>
      </c>
      <c r="L218" s="84" t="s">
        <v>1175</v>
      </c>
      <c r="M218" s="84" t="s">
        <v>612</v>
      </c>
      <c r="N218" s="85"/>
      <c r="O218" s="84" t="s">
        <v>16</v>
      </c>
      <c r="P218" s="81" t="s">
        <v>1191</v>
      </c>
      <c r="Q218" s="81" t="s">
        <v>1192</v>
      </c>
      <c r="R218" s="81" t="s">
        <v>1193</v>
      </c>
      <c r="S218" s="98" t="s">
        <v>1100</v>
      </c>
      <c r="U218" s="99"/>
      <c r="V218" s="99"/>
      <c r="W218" s="99"/>
      <c r="X218" s="99"/>
      <c r="Y218" s="99"/>
      <c r="Z218" s="99"/>
      <c r="AA218" s="99"/>
      <c r="AB218" s="99"/>
      <c r="AC218" s="99"/>
      <c r="AD218" s="99"/>
      <c r="AE218" s="99"/>
      <c r="AF218" s="99"/>
      <c r="AG218" s="99"/>
      <c r="AH218" s="99"/>
      <c r="AI218" s="99"/>
      <c r="AJ218" s="99"/>
      <c r="AK218" s="99"/>
      <c r="AL218" s="99"/>
      <c r="AM218" s="99"/>
      <c r="AN218" s="99"/>
      <c r="AO218" s="99"/>
      <c r="AP218" s="99"/>
    </row>
    <row r="219" ht="17.25" customHeight="1">
      <c r="A219" s="96" t="s">
        <v>1194</v>
      </c>
      <c r="B219" s="63" t="s">
        <v>450</v>
      </c>
      <c r="C219" s="64" t="s">
        <v>1195</v>
      </c>
      <c r="D219" s="64" t="s">
        <v>1196</v>
      </c>
      <c r="E219" s="64" t="s">
        <v>70</v>
      </c>
      <c r="F219" s="65" t="s">
        <v>32</v>
      </c>
      <c r="G219" s="65" t="s">
        <v>80</v>
      </c>
      <c r="H219" s="65" t="str">
        <f t="shared" si="3"/>
        <v>NOT_STARTED</v>
      </c>
      <c r="I219" s="65" t="s">
        <v>43</v>
      </c>
      <c r="J219" s="65" t="s">
        <v>72</v>
      </c>
      <c r="K219" s="65" t="s">
        <v>43</v>
      </c>
      <c r="L219" s="66" t="s">
        <v>1197</v>
      </c>
      <c r="M219" s="84" t="s">
        <v>612</v>
      </c>
      <c r="N219" s="66"/>
      <c r="O219" s="66" t="s">
        <v>16</v>
      </c>
      <c r="P219" s="81" t="s">
        <v>1198</v>
      </c>
      <c r="Q219" s="68" t="s">
        <v>1199</v>
      </c>
      <c r="R219" s="81" t="s">
        <v>1200</v>
      </c>
      <c r="S219" s="95" t="s">
        <v>456</v>
      </c>
      <c r="U219" s="32"/>
      <c r="V219" s="32"/>
      <c r="W219" s="32"/>
      <c r="X219" s="32"/>
      <c r="Y219" s="32"/>
      <c r="Z219" s="32"/>
      <c r="AA219" s="32"/>
      <c r="AB219" s="32"/>
      <c r="AC219" s="32"/>
      <c r="AD219" s="32"/>
      <c r="AE219" s="32"/>
      <c r="AF219" s="32"/>
      <c r="AG219" s="32"/>
      <c r="AH219" s="32"/>
      <c r="AI219" s="32"/>
      <c r="AJ219" s="32"/>
      <c r="AK219" s="32"/>
      <c r="AL219" s="32"/>
      <c r="AM219" s="32"/>
      <c r="AN219" s="32"/>
      <c r="AO219" s="32"/>
      <c r="AP219" s="32"/>
    </row>
    <row r="220" ht="17.25" customHeight="1">
      <c r="A220" s="70"/>
      <c r="B220" s="15"/>
      <c r="C220" s="64" t="s">
        <v>1201</v>
      </c>
      <c r="D220" s="64" t="s">
        <v>1202</v>
      </c>
      <c r="E220" s="64" t="s">
        <v>70</v>
      </c>
      <c r="F220" s="65" t="s">
        <v>32</v>
      </c>
      <c r="G220" s="65" t="s">
        <v>80</v>
      </c>
      <c r="H220" s="65" t="str">
        <f t="shared" si="3"/>
        <v>NOT_STARTED</v>
      </c>
      <c r="I220" s="74" t="s">
        <v>43</v>
      </c>
      <c r="J220" s="65" t="s">
        <v>72</v>
      </c>
      <c r="K220" s="65" t="s">
        <v>43</v>
      </c>
      <c r="L220" s="66" t="s">
        <v>1203</v>
      </c>
      <c r="M220" s="84" t="s">
        <v>612</v>
      </c>
      <c r="N220" s="66"/>
      <c r="O220" s="66" t="s">
        <v>16</v>
      </c>
      <c r="P220" s="81" t="s">
        <v>1204</v>
      </c>
      <c r="Q220" s="68" t="s">
        <v>1205</v>
      </c>
      <c r="R220" s="81" t="s">
        <v>1206</v>
      </c>
      <c r="S220" s="95" t="s">
        <v>456</v>
      </c>
      <c r="U220" s="32"/>
      <c r="V220" s="32"/>
      <c r="W220" s="32"/>
      <c r="X220" s="32"/>
      <c r="Y220" s="32"/>
      <c r="Z220" s="32"/>
      <c r="AA220" s="32"/>
      <c r="AB220" s="32"/>
      <c r="AC220" s="32"/>
      <c r="AD220" s="32"/>
      <c r="AE220" s="32"/>
      <c r="AF220" s="32"/>
      <c r="AG220" s="32"/>
      <c r="AH220" s="32"/>
      <c r="AI220" s="32"/>
      <c r="AJ220" s="32"/>
      <c r="AK220" s="32"/>
      <c r="AL220" s="32"/>
      <c r="AM220" s="32"/>
      <c r="AN220" s="32"/>
      <c r="AO220" s="32"/>
      <c r="AP220" s="32"/>
    </row>
    <row r="221" ht="17.25" customHeight="1">
      <c r="A221" s="70"/>
      <c r="B221" s="63" t="s">
        <v>467</v>
      </c>
      <c r="C221" s="64" t="s">
        <v>1207</v>
      </c>
      <c r="D221" s="64" t="s">
        <v>1208</v>
      </c>
      <c r="E221" s="64" t="s">
        <v>70</v>
      </c>
      <c r="F221" s="65" t="s">
        <v>32</v>
      </c>
      <c r="G221" s="65" t="s">
        <v>80</v>
      </c>
      <c r="H221" s="65" t="str">
        <f t="shared" si="3"/>
        <v>NOT_STARTED</v>
      </c>
      <c r="I221" s="65" t="s">
        <v>43</v>
      </c>
      <c r="J221" s="65" t="s">
        <v>72</v>
      </c>
      <c r="K221" s="65" t="s">
        <v>43</v>
      </c>
      <c r="L221" s="66" t="s">
        <v>470</v>
      </c>
      <c r="M221" s="84" t="s">
        <v>612</v>
      </c>
      <c r="N221" s="66"/>
      <c r="O221" s="66" t="s">
        <v>16</v>
      </c>
      <c r="P221" s="94"/>
      <c r="Q221" s="68" t="s">
        <v>1209</v>
      </c>
      <c r="R221" s="81" t="s">
        <v>1210</v>
      </c>
      <c r="S221" s="95" t="s">
        <v>473</v>
      </c>
      <c r="U221" s="32"/>
      <c r="V221" s="32"/>
      <c r="W221" s="32"/>
      <c r="X221" s="32"/>
      <c r="Y221" s="32"/>
      <c r="Z221" s="32"/>
      <c r="AA221" s="32"/>
      <c r="AB221" s="32"/>
      <c r="AC221" s="32"/>
      <c r="AD221" s="32"/>
      <c r="AE221" s="32"/>
      <c r="AF221" s="32"/>
      <c r="AG221" s="32"/>
      <c r="AH221" s="32"/>
      <c r="AI221" s="32"/>
      <c r="AJ221" s="32"/>
      <c r="AK221" s="32"/>
      <c r="AL221" s="32"/>
      <c r="AM221" s="32"/>
      <c r="AN221" s="32"/>
      <c r="AO221" s="32"/>
      <c r="AP221" s="32"/>
    </row>
    <row r="222" ht="17.25" customHeight="1">
      <c r="A222" s="70"/>
      <c r="B222" s="70"/>
      <c r="C222" s="64" t="s">
        <v>1211</v>
      </c>
      <c r="D222" s="64" t="s">
        <v>1212</v>
      </c>
      <c r="E222" s="64" t="s">
        <v>70</v>
      </c>
      <c r="F222" s="65" t="s">
        <v>32</v>
      </c>
      <c r="G222" s="65" t="s">
        <v>80</v>
      </c>
      <c r="H222" s="65" t="str">
        <f t="shared" si="3"/>
        <v>NOT_STARTED</v>
      </c>
      <c r="I222" s="65" t="s">
        <v>43</v>
      </c>
      <c r="J222" s="65" t="s">
        <v>72</v>
      </c>
      <c r="K222" s="65" t="s">
        <v>43</v>
      </c>
      <c r="L222" s="66" t="s">
        <v>1213</v>
      </c>
      <c r="M222" s="84" t="s">
        <v>612</v>
      </c>
      <c r="N222" s="66"/>
      <c r="O222" s="66" t="s">
        <v>16</v>
      </c>
      <c r="P222" s="81" t="s">
        <v>1214</v>
      </c>
      <c r="Q222" s="68" t="s">
        <v>1215</v>
      </c>
      <c r="R222" s="81" t="s">
        <v>1216</v>
      </c>
      <c r="S222" s="95" t="s">
        <v>473</v>
      </c>
      <c r="U222" s="32"/>
      <c r="V222" s="32"/>
      <c r="W222" s="32"/>
      <c r="X222" s="32"/>
      <c r="Y222" s="32"/>
      <c r="Z222" s="32"/>
      <c r="AA222" s="32"/>
      <c r="AB222" s="32"/>
      <c r="AC222" s="32"/>
      <c r="AD222" s="32"/>
      <c r="AE222" s="32"/>
      <c r="AF222" s="32"/>
      <c r="AG222" s="32"/>
      <c r="AH222" s="32"/>
      <c r="AI222" s="32"/>
      <c r="AJ222" s="32"/>
      <c r="AK222" s="32"/>
      <c r="AL222" s="32"/>
      <c r="AM222" s="32"/>
      <c r="AN222" s="32"/>
      <c r="AO222" s="32"/>
      <c r="AP222" s="32"/>
    </row>
    <row r="223" ht="17.25" customHeight="1">
      <c r="A223" s="15"/>
      <c r="B223" s="15"/>
      <c r="C223" s="64" t="s">
        <v>1217</v>
      </c>
      <c r="D223" s="64" t="s">
        <v>1218</v>
      </c>
      <c r="E223" s="64" t="s">
        <v>70</v>
      </c>
      <c r="F223" s="65" t="s">
        <v>32</v>
      </c>
      <c r="G223" s="65" t="s">
        <v>80</v>
      </c>
      <c r="H223" s="65" t="str">
        <f t="shared" si="3"/>
        <v>NOT_STARTED</v>
      </c>
      <c r="I223" s="65" t="s">
        <v>43</v>
      </c>
      <c r="J223" s="65" t="s">
        <v>72</v>
      </c>
      <c r="K223" s="65" t="s">
        <v>43</v>
      </c>
      <c r="L223" s="66" t="s">
        <v>470</v>
      </c>
      <c r="M223" s="84" t="s">
        <v>612</v>
      </c>
      <c r="N223" s="66"/>
      <c r="O223" s="66" t="s">
        <v>16</v>
      </c>
      <c r="P223" s="81" t="s">
        <v>1219</v>
      </c>
      <c r="Q223" s="68" t="s">
        <v>1220</v>
      </c>
      <c r="R223" s="81" t="s">
        <v>1221</v>
      </c>
      <c r="S223" s="95" t="s">
        <v>473</v>
      </c>
      <c r="U223" s="32"/>
      <c r="V223" s="32"/>
      <c r="W223" s="32"/>
      <c r="X223" s="32"/>
      <c r="Y223" s="32"/>
      <c r="Z223" s="32"/>
      <c r="AA223" s="32"/>
      <c r="AB223" s="32"/>
      <c r="AC223" s="32"/>
      <c r="AD223" s="32"/>
      <c r="AE223" s="32"/>
      <c r="AF223" s="32"/>
      <c r="AG223" s="32"/>
      <c r="AH223" s="32"/>
      <c r="AI223" s="32"/>
      <c r="AJ223" s="32"/>
      <c r="AK223" s="32"/>
      <c r="AL223" s="32"/>
      <c r="AM223" s="32"/>
      <c r="AN223" s="32"/>
      <c r="AO223" s="32"/>
      <c r="AP223" s="32"/>
    </row>
    <row r="224" ht="17.25" customHeight="1">
      <c r="A224" s="96" t="s">
        <v>1222</v>
      </c>
      <c r="B224" s="82" t="s">
        <v>1223</v>
      </c>
      <c r="C224" s="64" t="s">
        <v>1224</v>
      </c>
      <c r="D224" s="64" t="s">
        <v>1225</v>
      </c>
      <c r="E224" s="64" t="s">
        <v>70</v>
      </c>
      <c r="F224" s="65" t="s">
        <v>31</v>
      </c>
      <c r="G224" s="65" t="s">
        <v>80</v>
      </c>
      <c r="H224" s="65" t="str">
        <f t="shared" si="3"/>
        <v>NOT_STARTED</v>
      </c>
      <c r="I224" s="65" t="s">
        <v>43</v>
      </c>
      <c r="J224" s="65" t="s">
        <v>72</v>
      </c>
      <c r="K224" s="65" t="s">
        <v>43</v>
      </c>
      <c r="L224" s="66" t="s">
        <v>1226</v>
      </c>
      <c r="M224" s="84" t="s">
        <v>612</v>
      </c>
      <c r="N224" s="66"/>
      <c r="O224" s="66" t="s">
        <v>16</v>
      </c>
      <c r="P224" s="81" t="s">
        <v>1227</v>
      </c>
      <c r="Q224" s="68" t="s">
        <v>1228</v>
      </c>
      <c r="R224" s="81" t="s">
        <v>1229</v>
      </c>
      <c r="S224" s="95" t="s">
        <v>150</v>
      </c>
      <c r="U224" s="32"/>
      <c r="V224" s="32"/>
      <c r="W224" s="32"/>
      <c r="X224" s="32"/>
      <c r="Y224" s="32"/>
      <c r="Z224" s="32"/>
      <c r="AA224" s="32"/>
      <c r="AB224" s="32"/>
      <c r="AC224" s="32"/>
      <c r="AD224" s="32"/>
      <c r="AE224" s="32"/>
      <c r="AF224" s="32"/>
      <c r="AG224" s="32"/>
      <c r="AH224" s="32"/>
      <c r="AI224" s="32"/>
      <c r="AJ224" s="32"/>
      <c r="AK224" s="32"/>
      <c r="AL224" s="32"/>
      <c r="AM224" s="32"/>
      <c r="AN224" s="32"/>
      <c r="AO224" s="32"/>
      <c r="AP224" s="32"/>
    </row>
    <row r="225" ht="17.25" customHeight="1">
      <c r="A225" s="70"/>
      <c r="B225" s="63" t="s">
        <v>1230</v>
      </c>
      <c r="C225" s="64" t="s">
        <v>1231</v>
      </c>
      <c r="D225" s="64" t="s">
        <v>1232</v>
      </c>
      <c r="E225" s="64" t="s">
        <v>70</v>
      </c>
      <c r="F225" s="65" t="s">
        <v>31</v>
      </c>
      <c r="G225" s="65" t="s">
        <v>71</v>
      </c>
      <c r="H225" s="65" t="str">
        <f t="shared" si="3"/>
        <v>NOT_STARTED</v>
      </c>
      <c r="I225" s="65" t="s">
        <v>43</v>
      </c>
      <c r="J225" s="65" t="s">
        <v>72</v>
      </c>
      <c r="K225" s="65" t="s">
        <v>43</v>
      </c>
      <c r="L225" s="66" t="s">
        <v>1233</v>
      </c>
      <c r="M225" s="84" t="s">
        <v>612</v>
      </c>
      <c r="N225" s="66"/>
      <c r="O225" s="66" t="s">
        <v>16</v>
      </c>
      <c r="P225" s="94"/>
      <c r="Q225" s="68" t="s">
        <v>1234</v>
      </c>
      <c r="R225" s="81" t="s">
        <v>1235</v>
      </c>
      <c r="S225" s="95" t="s">
        <v>1236</v>
      </c>
      <c r="U225" s="32"/>
      <c r="V225" s="32"/>
      <c r="W225" s="32"/>
      <c r="X225" s="32"/>
      <c r="Y225" s="32"/>
      <c r="Z225" s="32"/>
      <c r="AA225" s="32"/>
      <c r="AB225" s="32"/>
      <c r="AC225" s="32"/>
      <c r="AD225" s="32"/>
      <c r="AE225" s="32"/>
      <c r="AF225" s="32"/>
      <c r="AG225" s="32"/>
      <c r="AH225" s="32"/>
      <c r="AI225" s="32"/>
      <c r="AJ225" s="32"/>
      <c r="AK225" s="32"/>
      <c r="AL225" s="32"/>
      <c r="AM225" s="32"/>
      <c r="AN225" s="32"/>
      <c r="AO225" s="32"/>
      <c r="AP225" s="32"/>
    </row>
    <row r="226" ht="17.25" customHeight="1">
      <c r="A226" s="70"/>
      <c r="B226" s="70"/>
      <c r="C226" s="73" t="s">
        <v>1237</v>
      </c>
      <c r="D226" s="73" t="s">
        <v>1238</v>
      </c>
      <c r="E226" s="64" t="s">
        <v>70</v>
      </c>
      <c r="F226" s="65" t="s">
        <v>31</v>
      </c>
      <c r="G226" s="74" t="s">
        <v>80</v>
      </c>
      <c r="H226" s="65" t="str">
        <f t="shared" si="3"/>
        <v>NOT_STARTED</v>
      </c>
      <c r="I226" s="65" t="s">
        <v>43</v>
      </c>
      <c r="J226" s="65" t="s">
        <v>72</v>
      </c>
      <c r="K226" s="65" t="s">
        <v>43</v>
      </c>
      <c r="L226" s="76" t="s">
        <v>1239</v>
      </c>
      <c r="M226" s="84" t="s">
        <v>612</v>
      </c>
      <c r="N226" s="66"/>
      <c r="O226" s="66" t="s">
        <v>16</v>
      </c>
      <c r="P226" s="94"/>
      <c r="Q226" s="78" t="s">
        <v>1240</v>
      </c>
      <c r="R226" s="97" t="s">
        <v>1241</v>
      </c>
      <c r="S226" s="106">
        <v>46059.0</v>
      </c>
      <c r="U226" s="32"/>
      <c r="V226" s="32"/>
      <c r="W226" s="32"/>
      <c r="X226" s="32"/>
      <c r="Y226" s="32"/>
      <c r="Z226" s="32"/>
      <c r="AA226" s="32"/>
      <c r="AB226" s="32"/>
      <c r="AC226" s="32"/>
      <c r="AD226" s="32"/>
      <c r="AE226" s="32"/>
      <c r="AF226" s="32"/>
      <c r="AG226" s="32"/>
      <c r="AH226" s="32"/>
      <c r="AI226" s="32"/>
      <c r="AJ226" s="32"/>
      <c r="AK226" s="32"/>
      <c r="AL226" s="32"/>
      <c r="AM226" s="32"/>
      <c r="AN226" s="32"/>
      <c r="AO226" s="32"/>
      <c r="AP226" s="32"/>
    </row>
    <row r="227" ht="17.25" customHeight="1">
      <c r="A227" s="70"/>
      <c r="B227" s="70"/>
      <c r="C227" s="73" t="s">
        <v>1242</v>
      </c>
      <c r="D227" s="73" t="s">
        <v>1243</v>
      </c>
      <c r="E227" s="64" t="s">
        <v>70</v>
      </c>
      <c r="F227" s="65" t="s">
        <v>31</v>
      </c>
      <c r="G227" s="74" t="s">
        <v>71</v>
      </c>
      <c r="H227" s="65" t="str">
        <f t="shared" si="3"/>
        <v>NOT_STARTED</v>
      </c>
      <c r="I227" s="65" t="s">
        <v>43</v>
      </c>
      <c r="J227" s="65" t="s">
        <v>72</v>
      </c>
      <c r="K227" s="65" t="s">
        <v>43</v>
      </c>
      <c r="L227" s="76" t="s">
        <v>1239</v>
      </c>
      <c r="M227" s="84" t="s">
        <v>612</v>
      </c>
      <c r="N227" s="66"/>
      <c r="O227" s="66" t="s">
        <v>16</v>
      </c>
      <c r="P227" s="102" t="s">
        <v>1244</v>
      </c>
      <c r="Q227" s="78" t="s">
        <v>1245</v>
      </c>
      <c r="R227" s="97" t="s">
        <v>1246</v>
      </c>
      <c r="S227" s="106">
        <v>46059.0</v>
      </c>
      <c r="U227" s="32"/>
      <c r="V227" s="32"/>
      <c r="W227" s="32"/>
      <c r="X227" s="32"/>
      <c r="Y227" s="32"/>
      <c r="Z227" s="32"/>
      <c r="AA227" s="32"/>
      <c r="AB227" s="32"/>
      <c r="AC227" s="32"/>
      <c r="AD227" s="32"/>
      <c r="AE227" s="32"/>
      <c r="AF227" s="32"/>
      <c r="AG227" s="32"/>
      <c r="AH227" s="32"/>
      <c r="AI227" s="32"/>
      <c r="AJ227" s="32"/>
      <c r="AK227" s="32"/>
      <c r="AL227" s="32"/>
      <c r="AM227" s="32"/>
      <c r="AN227" s="32"/>
      <c r="AO227" s="32"/>
      <c r="AP227" s="32"/>
    </row>
    <row r="228" ht="17.25" customHeight="1">
      <c r="A228" s="70"/>
      <c r="B228" s="70"/>
      <c r="C228" s="73" t="s">
        <v>1247</v>
      </c>
      <c r="D228" s="73" t="s">
        <v>1248</v>
      </c>
      <c r="E228" s="64" t="s">
        <v>70</v>
      </c>
      <c r="F228" s="65" t="s">
        <v>31</v>
      </c>
      <c r="G228" s="74" t="s">
        <v>80</v>
      </c>
      <c r="H228" s="65" t="str">
        <f t="shared" si="3"/>
        <v>NOT_STARTED</v>
      </c>
      <c r="I228" s="65" t="s">
        <v>43</v>
      </c>
      <c r="J228" s="65" t="s">
        <v>72</v>
      </c>
      <c r="K228" s="65" t="s">
        <v>43</v>
      </c>
      <c r="L228" s="76" t="s">
        <v>1249</v>
      </c>
      <c r="M228" s="84" t="s">
        <v>612</v>
      </c>
      <c r="N228" s="66"/>
      <c r="O228" s="66" t="s">
        <v>16</v>
      </c>
      <c r="P228" s="102" t="s">
        <v>1250</v>
      </c>
      <c r="Q228" s="78" t="s">
        <v>1251</v>
      </c>
      <c r="R228" s="97" t="s">
        <v>1252</v>
      </c>
      <c r="S228" s="106">
        <v>46059.0</v>
      </c>
      <c r="U228" s="32"/>
      <c r="V228" s="32"/>
      <c r="W228" s="32"/>
      <c r="X228" s="32"/>
      <c r="Y228" s="32"/>
      <c r="Z228" s="32"/>
      <c r="AA228" s="32"/>
      <c r="AB228" s="32"/>
      <c r="AC228" s="32"/>
      <c r="AD228" s="32"/>
      <c r="AE228" s="32"/>
      <c r="AF228" s="32"/>
      <c r="AG228" s="32"/>
      <c r="AH228" s="32"/>
      <c r="AI228" s="32"/>
      <c r="AJ228" s="32"/>
      <c r="AK228" s="32"/>
      <c r="AL228" s="32"/>
      <c r="AM228" s="32"/>
      <c r="AN228" s="32"/>
      <c r="AO228" s="32"/>
      <c r="AP228" s="32"/>
    </row>
    <row r="229" ht="17.25" customHeight="1">
      <c r="A229" s="70"/>
      <c r="B229" s="15"/>
      <c r="C229" s="73" t="s">
        <v>1253</v>
      </c>
      <c r="D229" s="73" t="s">
        <v>1254</v>
      </c>
      <c r="E229" s="64" t="s">
        <v>70</v>
      </c>
      <c r="F229" s="65" t="s">
        <v>31</v>
      </c>
      <c r="G229" s="74" t="s">
        <v>80</v>
      </c>
      <c r="H229" s="65" t="str">
        <f t="shared" si="3"/>
        <v>NOT_STARTED</v>
      </c>
      <c r="I229" s="65" t="s">
        <v>43</v>
      </c>
      <c r="J229" s="65" t="s">
        <v>72</v>
      </c>
      <c r="K229" s="65" t="s">
        <v>43</v>
      </c>
      <c r="L229" s="76" t="s">
        <v>1255</v>
      </c>
      <c r="M229" s="84" t="s">
        <v>612</v>
      </c>
      <c r="N229" s="66"/>
      <c r="O229" s="66" t="s">
        <v>16</v>
      </c>
      <c r="P229" s="102" t="s">
        <v>1256</v>
      </c>
      <c r="Q229" s="78" t="s">
        <v>1257</v>
      </c>
      <c r="R229" s="97" t="s">
        <v>1258</v>
      </c>
      <c r="S229" s="106">
        <v>46059.0</v>
      </c>
      <c r="U229" s="32"/>
      <c r="V229" s="32"/>
      <c r="W229" s="32"/>
      <c r="X229" s="32"/>
      <c r="Y229" s="32"/>
      <c r="Z229" s="32"/>
      <c r="AA229" s="32"/>
      <c r="AB229" s="32"/>
      <c r="AC229" s="32"/>
      <c r="AD229" s="32"/>
      <c r="AE229" s="32"/>
      <c r="AF229" s="32"/>
      <c r="AG229" s="32"/>
      <c r="AH229" s="32"/>
      <c r="AI229" s="32"/>
      <c r="AJ229" s="32"/>
      <c r="AK229" s="32"/>
      <c r="AL229" s="32"/>
      <c r="AM229" s="32"/>
      <c r="AN229" s="32"/>
      <c r="AO229" s="32"/>
      <c r="AP229" s="32"/>
    </row>
    <row r="230" ht="17.25" customHeight="1">
      <c r="A230" s="70"/>
      <c r="B230" s="82" t="s">
        <v>1259</v>
      </c>
      <c r="C230" s="64" t="s">
        <v>1260</v>
      </c>
      <c r="D230" s="64" t="s">
        <v>1261</v>
      </c>
      <c r="E230" s="73" t="s">
        <v>174</v>
      </c>
      <c r="F230" s="65" t="s">
        <v>31</v>
      </c>
      <c r="G230" s="65" t="s">
        <v>80</v>
      </c>
      <c r="H230" s="65" t="str">
        <f t="shared" si="3"/>
        <v>NOT_STARTED</v>
      </c>
      <c r="I230" s="65" t="s">
        <v>43</v>
      </c>
      <c r="J230" s="65" t="s">
        <v>72</v>
      </c>
      <c r="K230" s="65" t="s">
        <v>43</v>
      </c>
      <c r="L230" s="66" t="s">
        <v>1262</v>
      </c>
      <c r="M230" s="84" t="s">
        <v>612</v>
      </c>
      <c r="N230" s="66"/>
      <c r="O230" s="66" t="s">
        <v>16</v>
      </c>
      <c r="P230" s="94"/>
      <c r="Q230" s="68" t="s">
        <v>1263</v>
      </c>
      <c r="R230" s="81" t="s">
        <v>1264</v>
      </c>
      <c r="S230" s="95" t="s">
        <v>1265</v>
      </c>
      <c r="U230" s="32"/>
      <c r="V230" s="32"/>
      <c r="W230" s="32"/>
      <c r="X230" s="32"/>
      <c r="Y230" s="32"/>
      <c r="Z230" s="32"/>
      <c r="AA230" s="32"/>
      <c r="AB230" s="32"/>
      <c r="AC230" s="32"/>
      <c r="AD230" s="32"/>
      <c r="AE230" s="32"/>
      <c r="AF230" s="32"/>
      <c r="AG230" s="32"/>
      <c r="AH230" s="32"/>
      <c r="AI230" s="32"/>
      <c r="AJ230" s="32"/>
      <c r="AK230" s="32"/>
      <c r="AL230" s="32"/>
      <c r="AM230" s="32"/>
      <c r="AN230" s="32"/>
      <c r="AO230" s="32"/>
      <c r="AP230" s="32"/>
    </row>
    <row r="231" ht="17.25" customHeight="1">
      <c r="A231" s="70"/>
      <c r="B231" s="103" t="s">
        <v>1266</v>
      </c>
      <c r="C231" s="81" t="s">
        <v>1267</v>
      </c>
      <c r="D231" s="81" t="s">
        <v>1268</v>
      </c>
      <c r="E231" s="81" t="s">
        <v>70</v>
      </c>
      <c r="F231" s="65" t="s">
        <v>32</v>
      </c>
      <c r="G231" s="65" t="s">
        <v>80</v>
      </c>
      <c r="H231" s="65" t="str">
        <f t="shared" si="3"/>
        <v>NOT_STARTED</v>
      </c>
      <c r="I231" s="65" t="s">
        <v>43</v>
      </c>
      <c r="J231" s="65" t="s">
        <v>72</v>
      </c>
      <c r="K231" s="65" t="s">
        <v>43</v>
      </c>
      <c r="L231" s="84" t="s">
        <v>1269</v>
      </c>
      <c r="M231" s="84" t="s">
        <v>612</v>
      </c>
      <c r="N231" s="85"/>
      <c r="O231" s="84" t="s">
        <v>16</v>
      </c>
      <c r="P231" s="81" t="s">
        <v>1270</v>
      </c>
      <c r="Q231" s="81" t="s">
        <v>1271</v>
      </c>
      <c r="R231" s="81" t="s">
        <v>1272</v>
      </c>
      <c r="S231" s="98" t="s">
        <v>440</v>
      </c>
      <c r="U231" s="99"/>
      <c r="V231" s="99"/>
      <c r="W231" s="99"/>
      <c r="X231" s="99"/>
      <c r="Y231" s="99"/>
      <c r="Z231" s="99"/>
      <c r="AA231" s="99"/>
      <c r="AB231" s="99"/>
      <c r="AC231" s="99"/>
      <c r="AD231" s="99"/>
      <c r="AE231" s="99"/>
      <c r="AF231" s="99"/>
      <c r="AG231" s="99"/>
      <c r="AH231" s="99"/>
      <c r="AI231" s="99"/>
      <c r="AJ231" s="99"/>
      <c r="AK231" s="99"/>
      <c r="AL231" s="99"/>
      <c r="AM231" s="99"/>
      <c r="AN231" s="99"/>
      <c r="AO231" s="99"/>
      <c r="AP231" s="99"/>
    </row>
    <row r="232" ht="17.25" customHeight="1">
      <c r="A232" s="70"/>
      <c r="B232" s="70"/>
      <c r="C232" s="81" t="s">
        <v>1273</v>
      </c>
      <c r="D232" s="81" t="s">
        <v>1274</v>
      </c>
      <c r="E232" s="81" t="s">
        <v>70</v>
      </c>
      <c r="F232" s="74" t="s">
        <v>31</v>
      </c>
      <c r="G232" s="65" t="s">
        <v>80</v>
      </c>
      <c r="H232" s="65" t="str">
        <f t="shared" si="3"/>
        <v>NOT_STARTED</v>
      </c>
      <c r="I232" s="65" t="s">
        <v>43</v>
      </c>
      <c r="J232" s="65" t="s">
        <v>72</v>
      </c>
      <c r="K232" s="65" t="s">
        <v>43</v>
      </c>
      <c r="L232" s="84" t="s">
        <v>323</v>
      </c>
      <c r="M232" s="84" t="s">
        <v>612</v>
      </c>
      <c r="N232" s="85"/>
      <c r="O232" s="84" t="s">
        <v>16</v>
      </c>
      <c r="P232" s="81" t="s">
        <v>1275</v>
      </c>
      <c r="Q232" s="81" t="s">
        <v>1276</v>
      </c>
      <c r="R232" s="81" t="s">
        <v>1277</v>
      </c>
      <c r="S232" s="98" t="s">
        <v>326</v>
      </c>
      <c r="U232" s="99"/>
      <c r="V232" s="99"/>
      <c r="W232" s="99"/>
      <c r="X232" s="99"/>
      <c r="Y232" s="99"/>
      <c r="Z232" s="99"/>
      <c r="AA232" s="99"/>
      <c r="AB232" s="99"/>
      <c r="AC232" s="99"/>
      <c r="AD232" s="99"/>
      <c r="AE232" s="99"/>
      <c r="AF232" s="99"/>
      <c r="AG232" s="99"/>
      <c r="AH232" s="99"/>
      <c r="AI232" s="99"/>
      <c r="AJ232" s="99"/>
      <c r="AK232" s="99"/>
      <c r="AL232" s="99"/>
      <c r="AM232" s="99"/>
      <c r="AN232" s="99"/>
      <c r="AO232" s="99"/>
      <c r="AP232" s="99"/>
    </row>
    <row r="233" ht="17.25" customHeight="1">
      <c r="A233" s="70"/>
      <c r="B233" s="70"/>
      <c r="C233" s="81" t="s">
        <v>1278</v>
      </c>
      <c r="D233" s="81" t="s">
        <v>1279</v>
      </c>
      <c r="E233" s="81" t="s">
        <v>70</v>
      </c>
      <c r="F233" s="65" t="s">
        <v>32</v>
      </c>
      <c r="G233" s="65" t="s">
        <v>80</v>
      </c>
      <c r="H233" s="65" t="str">
        <f t="shared" si="3"/>
        <v>NOT_STARTED</v>
      </c>
      <c r="I233" s="65" t="s">
        <v>43</v>
      </c>
      <c r="J233" s="65" t="s">
        <v>72</v>
      </c>
      <c r="K233" s="65" t="s">
        <v>43</v>
      </c>
      <c r="L233" s="84" t="s">
        <v>592</v>
      </c>
      <c r="M233" s="84" t="s">
        <v>612</v>
      </c>
      <c r="N233" s="85"/>
      <c r="O233" s="84" t="s">
        <v>16</v>
      </c>
      <c r="P233" s="81" t="s">
        <v>1280</v>
      </c>
      <c r="Q233" s="81" t="s">
        <v>1281</v>
      </c>
      <c r="R233" s="81" t="s">
        <v>1282</v>
      </c>
      <c r="S233" s="98" t="s">
        <v>595</v>
      </c>
      <c r="U233" s="99"/>
      <c r="V233" s="99"/>
      <c r="W233" s="99"/>
      <c r="X233" s="99"/>
      <c r="Y233" s="99"/>
      <c r="Z233" s="99"/>
      <c r="AA233" s="99"/>
      <c r="AB233" s="99"/>
      <c r="AC233" s="99"/>
      <c r="AD233" s="99"/>
      <c r="AE233" s="99"/>
      <c r="AF233" s="99"/>
      <c r="AG233" s="99"/>
      <c r="AH233" s="99"/>
      <c r="AI233" s="99"/>
      <c r="AJ233" s="99"/>
      <c r="AK233" s="99"/>
      <c r="AL233" s="99"/>
      <c r="AM233" s="99"/>
      <c r="AN233" s="99"/>
      <c r="AO233" s="99"/>
      <c r="AP233" s="99"/>
    </row>
    <row r="234" ht="17.25" customHeight="1">
      <c r="A234" s="70"/>
      <c r="B234" s="70"/>
      <c r="C234" s="81" t="s">
        <v>1283</v>
      </c>
      <c r="D234" s="81" t="s">
        <v>1284</v>
      </c>
      <c r="E234" s="81" t="s">
        <v>70</v>
      </c>
      <c r="F234" s="65" t="s">
        <v>32</v>
      </c>
      <c r="G234" s="65" t="s">
        <v>80</v>
      </c>
      <c r="H234" s="65" t="str">
        <f t="shared" si="3"/>
        <v>NOT_STARTED</v>
      </c>
      <c r="I234" s="65" t="s">
        <v>43</v>
      </c>
      <c r="J234" s="65" t="s">
        <v>72</v>
      </c>
      <c r="K234" s="65" t="s">
        <v>43</v>
      </c>
      <c r="L234" s="84" t="s">
        <v>81</v>
      </c>
      <c r="M234" s="84" t="s">
        <v>612</v>
      </c>
      <c r="N234" s="85"/>
      <c r="O234" s="84" t="s">
        <v>16</v>
      </c>
      <c r="P234" s="81" t="s">
        <v>1285</v>
      </c>
      <c r="Q234" s="81" t="s">
        <v>1286</v>
      </c>
      <c r="R234" s="81" t="s">
        <v>1287</v>
      </c>
      <c r="S234" s="98" t="s">
        <v>84</v>
      </c>
      <c r="U234" s="99"/>
      <c r="V234" s="99"/>
      <c r="W234" s="99"/>
      <c r="X234" s="99"/>
      <c r="Y234" s="99"/>
      <c r="Z234" s="99"/>
      <c r="AA234" s="99"/>
      <c r="AB234" s="99"/>
      <c r="AC234" s="99"/>
      <c r="AD234" s="99"/>
      <c r="AE234" s="99"/>
      <c r="AF234" s="99"/>
      <c r="AG234" s="99"/>
      <c r="AH234" s="99"/>
      <c r="AI234" s="99"/>
      <c r="AJ234" s="99"/>
      <c r="AK234" s="99"/>
      <c r="AL234" s="99"/>
      <c r="AM234" s="99"/>
      <c r="AN234" s="99"/>
      <c r="AO234" s="99"/>
      <c r="AP234" s="99"/>
    </row>
    <row r="235" ht="17.25" customHeight="1">
      <c r="A235" s="70"/>
      <c r="B235" s="70"/>
      <c r="C235" s="81" t="s">
        <v>1288</v>
      </c>
      <c r="D235" s="81" t="s">
        <v>1289</v>
      </c>
      <c r="E235" s="81" t="s">
        <v>70</v>
      </c>
      <c r="F235" s="65" t="s">
        <v>32</v>
      </c>
      <c r="G235" s="74" t="s">
        <v>175</v>
      </c>
      <c r="H235" s="65" t="str">
        <f t="shared" si="3"/>
        <v>NOT_STARTED</v>
      </c>
      <c r="I235" s="65" t="s">
        <v>43</v>
      </c>
      <c r="J235" s="65" t="s">
        <v>72</v>
      </c>
      <c r="K235" s="65" t="s">
        <v>43</v>
      </c>
      <c r="L235" s="84" t="s">
        <v>556</v>
      </c>
      <c r="M235" s="84" t="s">
        <v>612</v>
      </c>
      <c r="N235" s="85"/>
      <c r="O235" s="84" t="s">
        <v>16</v>
      </c>
      <c r="P235" s="81" t="s">
        <v>1290</v>
      </c>
      <c r="Q235" s="81" t="s">
        <v>1291</v>
      </c>
      <c r="R235" s="81" t="s">
        <v>1292</v>
      </c>
      <c r="S235" s="98" t="s">
        <v>559</v>
      </c>
      <c r="U235" s="99"/>
      <c r="V235" s="99"/>
      <c r="W235" s="99"/>
      <c r="X235" s="99"/>
      <c r="Y235" s="99"/>
      <c r="Z235" s="99"/>
      <c r="AA235" s="99"/>
      <c r="AB235" s="99"/>
      <c r="AC235" s="99"/>
      <c r="AD235" s="99"/>
      <c r="AE235" s="99"/>
      <c r="AF235" s="99"/>
      <c r="AG235" s="99"/>
      <c r="AH235" s="99"/>
      <c r="AI235" s="99"/>
      <c r="AJ235" s="99"/>
      <c r="AK235" s="99"/>
      <c r="AL235" s="99"/>
      <c r="AM235" s="99"/>
      <c r="AN235" s="99"/>
      <c r="AO235" s="99"/>
      <c r="AP235" s="99"/>
    </row>
    <row r="236" ht="17.25" customHeight="1">
      <c r="A236" s="15"/>
      <c r="B236" s="15"/>
      <c r="C236" s="81" t="s">
        <v>1293</v>
      </c>
      <c r="D236" s="81" t="s">
        <v>1294</v>
      </c>
      <c r="E236" s="81" t="s">
        <v>70</v>
      </c>
      <c r="F236" s="65" t="s">
        <v>32</v>
      </c>
      <c r="G236" s="74" t="s">
        <v>175</v>
      </c>
      <c r="H236" s="65" t="str">
        <f t="shared" si="3"/>
        <v>NOT_STARTED</v>
      </c>
      <c r="I236" s="65" t="s">
        <v>43</v>
      </c>
      <c r="J236" s="65" t="s">
        <v>72</v>
      </c>
      <c r="K236" s="65" t="s">
        <v>43</v>
      </c>
      <c r="L236" s="84" t="s">
        <v>1295</v>
      </c>
      <c r="M236" s="84" t="s">
        <v>612</v>
      </c>
      <c r="N236" s="85"/>
      <c r="O236" s="84" t="s">
        <v>16</v>
      </c>
      <c r="P236" s="81" t="s">
        <v>1296</v>
      </c>
      <c r="Q236" s="81" t="s">
        <v>1297</v>
      </c>
      <c r="R236" s="81" t="s">
        <v>1298</v>
      </c>
      <c r="S236" s="98" t="s">
        <v>543</v>
      </c>
      <c r="U236" s="99"/>
      <c r="V236" s="99"/>
      <c r="W236" s="99"/>
      <c r="X236" s="99"/>
      <c r="Y236" s="99"/>
      <c r="Z236" s="99"/>
      <c r="AA236" s="99"/>
      <c r="AB236" s="99"/>
      <c r="AC236" s="99"/>
      <c r="AD236" s="99"/>
      <c r="AE236" s="99"/>
      <c r="AF236" s="99"/>
      <c r="AG236" s="99"/>
      <c r="AH236" s="99"/>
      <c r="AI236" s="99"/>
      <c r="AJ236" s="99"/>
      <c r="AK236" s="99"/>
      <c r="AL236" s="99"/>
      <c r="AM236" s="99"/>
      <c r="AN236" s="99"/>
      <c r="AO236" s="99"/>
      <c r="AP236" s="99"/>
    </row>
    <row r="237" ht="17.25" customHeight="1">
      <c r="A237" s="96" t="s">
        <v>1299</v>
      </c>
      <c r="B237" s="63" t="s">
        <v>561</v>
      </c>
      <c r="C237" s="64" t="s">
        <v>1300</v>
      </c>
      <c r="D237" s="64" t="s">
        <v>1301</v>
      </c>
      <c r="E237" s="64" t="s">
        <v>100</v>
      </c>
      <c r="F237" s="65" t="s">
        <v>31</v>
      </c>
      <c r="G237" s="65" t="s">
        <v>71</v>
      </c>
      <c r="H237" s="65" t="str">
        <f t="shared" si="3"/>
        <v>NOT_STARTED</v>
      </c>
      <c r="I237" s="65" t="s">
        <v>43</v>
      </c>
      <c r="J237" s="65" t="s">
        <v>72</v>
      </c>
      <c r="K237" s="65" t="s">
        <v>43</v>
      </c>
      <c r="L237" s="66" t="s">
        <v>570</v>
      </c>
      <c r="M237" s="84" t="s">
        <v>612</v>
      </c>
      <c r="N237" s="66"/>
      <c r="O237" s="66" t="s">
        <v>16</v>
      </c>
      <c r="P237" s="94"/>
      <c r="Q237" s="68" t="s">
        <v>1302</v>
      </c>
      <c r="R237" s="81" t="s">
        <v>1303</v>
      </c>
      <c r="S237" s="95" t="s">
        <v>573</v>
      </c>
      <c r="U237" s="32"/>
      <c r="V237" s="32"/>
      <c r="W237" s="32"/>
      <c r="X237" s="32"/>
      <c r="Y237" s="32"/>
      <c r="Z237" s="32"/>
      <c r="AA237" s="32"/>
      <c r="AB237" s="32"/>
      <c r="AC237" s="32"/>
      <c r="AD237" s="32"/>
      <c r="AE237" s="32"/>
      <c r="AF237" s="32"/>
      <c r="AG237" s="32"/>
      <c r="AH237" s="32"/>
      <c r="AI237" s="32"/>
      <c r="AJ237" s="32"/>
      <c r="AK237" s="32"/>
      <c r="AL237" s="32"/>
      <c r="AM237" s="32"/>
      <c r="AN237" s="32"/>
      <c r="AO237" s="32"/>
      <c r="AP237" s="32"/>
    </row>
    <row r="238" ht="17.25" customHeight="1">
      <c r="A238" s="70"/>
      <c r="B238" s="70"/>
      <c r="C238" s="64" t="s">
        <v>1304</v>
      </c>
      <c r="D238" s="64" t="s">
        <v>1305</v>
      </c>
      <c r="E238" s="64" t="s">
        <v>100</v>
      </c>
      <c r="F238" s="65" t="s">
        <v>31</v>
      </c>
      <c r="G238" s="65" t="s">
        <v>80</v>
      </c>
      <c r="H238" s="65" t="str">
        <f t="shared" si="3"/>
        <v>NOT_STARTED</v>
      </c>
      <c r="I238" s="65" t="s">
        <v>43</v>
      </c>
      <c r="J238" s="65" t="s">
        <v>72</v>
      </c>
      <c r="K238" s="65" t="s">
        <v>43</v>
      </c>
      <c r="L238" s="66" t="s">
        <v>576</v>
      </c>
      <c r="M238" s="84" t="s">
        <v>612</v>
      </c>
      <c r="N238" s="66"/>
      <c r="O238" s="66" t="s">
        <v>16</v>
      </c>
      <c r="P238" s="81" t="s">
        <v>1306</v>
      </c>
      <c r="Q238" s="68" t="s">
        <v>1307</v>
      </c>
      <c r="R238" s="81" t="s">
        <v>1308</v>
      </c>
      <c r="S238" s="95" t="s">
        <v>580</v>
      </c>
      <c r="U238" s="32"/>
      <c r="V238" s="32"/>
      <c r="W238" s="32"/>
      <c r="X238" s="32"/>
      <c r="Y238" s="32"/>
      <c r="Z238" s="32"/>
      <c r="AA238" s="32"/>
      <c r="AB238" s="32"/>
      <c r="AC238" s="32"/>
      <c r="AD238" s="32"/>
      <c r="AE238" s="32"/>
      <c r="AF238" s="32"/>
      <c r="AG238" s="32"/>
      <c r="AH238" s="32"/>
      <c r="AI238" s="32"/>
      <c r="AJ238" s="32"/>
      <c r="AK238" s="32"/>
      <c r="AL238" s="32"/>
      <c r="AM238" s="32"/>
      <c r="AN238" s="32"/>
      <c r="AO238" s="32"/>
      <c r="AP238" s="32"/>
    </row>
    <row r="239" ht="17.25" customHeight="1">
      <c r="A239" s="70"/>
      <c r="B239" s="15"/>
      <c r="C239" s="64" t="s">
        <v>1309</v>
      </c>
      <c r="D239" s="64" t="s">
        <v>1310</v>
      </c>
      <c r="E239" s="64" t="s">
        <v>100</v>
      </c>
      <c r="F239" s="65" t="s">
        <v>32</v>
      </c>
      <c r="G239" s="65" t="s">
        <v>80</v>
      </c>
      <c r="H239" s="65" t="str">
        <f t="shared" si="3"/>
        <v>NOT_STARTED</v>
      </c>
      <c r="I239" s="65" t="s">
        <v>43</v>
      </c>
      <c r="J239" s="65" t="s">
        <v>72</v>
      </c>
      <c r="K239" s="65" t="s">
        <v>43</v>
      </c>
      <c r="L239" s="66" t="s">
        <v>1311</v>
      </c>
      <c r="M239" s="84" t="s">
        <v>612</v>
      </c>
      <c r="N239" s="66"/>
      <c r="O239" s="66" t="s">
        <v>16</v>
      </c>
      <c r="P239" s="94"/>
      <c r="Q239" s="68" t="s">
        <v>1312</v>
      </c>
      <c r="R239" s="81" t="s">
        <v>1313</v>
      </c>
      <c r="S239" s="95" t="s">
        <v>580</v>
      </c>
      <c r="U239" s="32"/>
      <c r="V239" s="32"/>
      <c r="W239" s="32"/>
      <c r="X239" s="32"/>
      <c r="Y239" s="32"/>
      <c r="Z239" s="32"/>
      <c r="AA239" s="32"/>
      <c r="AB239" s="32"/>
      <c r="AC239" s="32"/>
      <c r="AD239" s="32"/>
      <c r="AE239" s="32"/>
      <c r="AF239" s="32"/>
      <c r="AG239" s="32"/>
      <c r="AH239" s="32"/>
      <c r="AI239" s="32"/>
      <c r="AJ239" s="32"/>
      <c r="AK239" s="32"/>
      <c r="AL239" s="32"/>
      <c r="AM239" s="32"/>
      <c r="AN239" s="32"/>
      <c r="AO239" s="32"/>
      <c r="AP239" s="32"/>
    </row>
    <row r="240" ht="17.25" customHeight="1">
      <c r="A240" s="70"/>
      <c r="B240" s="103" t="s">
        <v>1314</v>
      </c>
      <c r="C240" s="81" t="s">
        <v>1315</v>
      </c>
      <c r="D240" s="81" t="s">
        <v>1316</v>
      </c>
      <c r="E240" s="81" t="s">
        <v>70</v>
      </c>
      <c r="F240" s="65" t="s">
        <v>32</v>
      </c>
      <c r="G240" s="65" t="s">
        <v>80</v>
      </c>
      <c r="H240" s="65" t="str">
        <f t="shared" si="3"/>
        <v>NOT_STARTED</v>
      </c>
      <c r="I240" s="65" t="s">
        <v>43</v>
      </c>
      <c r="J240" s="65" t="s">
        <v>72</v>
      </c>
      <c r="K240" s="65" t="s">
        <v>43</v>
      </c>
      <c r="L240" s="84" t="s">
        <v>570</v>
      </c>
      <c r="M240" s="84" t="s">
        <v>612</v>
      </c>
      <c r="N240" s="85"/>
      <c r="O240" s="84" t="s">
        <v>16</v>
      </c>
      <c r="P240" s="81" t="s">
        <v>1317</v>
      </c>
      <c r="Q240" s="81" t="s">
        <v>1318</v>
      </c>
      <c r="R240" s="81" t="s">
        <v>1319</v>
      </c>
      <c r="S240" s="98" t="s">
        <v>573</v>
      </c>
      <c r="U240" s="99"/>
      <c r="V240" s="99"/>
      <c r="W240" s="99"/>
      <c r="X240" s="99"/>
      <c r="Y240" s="99"/>
      <c r="Z240" s="99"/>
      <c r="AA240" s="99"/>
      <c r="AB240" s="99"/>
      <c r="AC240" s="99"/>
      <c r="AD240" s="99"/>
      <c r="AE240" s="99"/>
      <c r="AF240" s="99"/>
      <c r="AG240" s="99"/>
      <c r="AH240" s="99"/>
      <c r="AI240" s="99"/>
      <c r="AJ240" s="99"/>
      <c r="AK240" s="99"/>
      <c r="AL240" s="99"/>
      <c r="AM240" s="99"/>
      <c r="AN240" s="99"/>
      <c r="AO240" s="99"/>
      <c r="AP240" s="99"/>
    </row>
    <row r="241" ht="17.25" customHeight="1">
      <c r="A241" s="70"/>
      <c r="B241" s="70"/>
      <c r="C241" s="81" t="s">
        <v>1320</v>
      </c>
      <c r="D241" s="81" t="s">
        <v>1321</v>
      </c>
      <c r="E241" s="81" t="s">
        <v>70</v>
      </c>
      <c r="F241" s="74" t="s">
        <v>33</v>
      </c>
      <c r="G241" s="74" t="s">
        <v>175</v>
      </c>
      <c r="H241" s="65" t="str">
        <f t="shared" si="3"/>
        <v>NOT_STARTED</v>
      </c>
      <c r="I241" s="65" t="s">
        <v>43</v>
      </c>
      <c r="J241" s="65" t="s">
        <v>72</v>
      </c>
      <c r="K241" s="65" t="s">
        <v>43</v>
      </c>
      <c r="L241" s="84" t="s">
        <v>1322</v>
      </c>
      <c r="M241" s="84" t="s">
        <v>612</v>
      </c>
      <c r="N241" s="85"/>
      <c r="O241" s="84" t="s">
        <v>16</v>
      </c>
      <c r="P241" s="81" t="s">
        <v>1323</v>
      </c>
      <c r="Q241" s="81" t="s">
        <v>1324</v>
      </c>
      <c r="R241" s="81" t="s">
        <v>1325</v>
      </c>
      <c r="S241" s="98" t="s">
        <v>573</v>
      </c>
      <c r="U241" s="99"/>
      <c r="V241" s="99"/>
      <c r="W241" s="99"/>
      <c r="X241" s="99"/>
      <c r="Y241" s="99"/>
      <c r="Z241" s="99"/>
      <c r="AA241" s="99"/>
      <c r="AB241" s="99"/>
      <c r="AC241" s="99"/>
      <c r="AD241" s="99"/>
      <c r="AE241" s="99"/>
      <c r="AF241" s="99"/>
      <c r="AG241" s="99"/>
      <c r="AH241" s="99"/>
      <c r="AI241" s="99"/>
      <c r="AJ241" s="99"/>
      <c r="AK241" s="99"/>
      <c r="AL241" s="99"/>
      <c r="AM241" s="99"/>
      <c r="AN241" s="99"/>
      <c r="AO241" s="99"/>
      <c r="AP241" s="99"/>
    </row>
    <row r="242" ht="17.25" customHeight="1">
      <c r="A242" s="70"/>
      <c r="B242" s="70"/>
      <c r="C242" s="81" t="s">
        <v>1326</v>
      </c>
      <c r="D242" s="81" t="s">
        <v>1327</v>
      </c>
      <c r="E242" s="81" t="s">
        <v>70</v>
      </c>
      <c r="F242" s="65" t="s">
        <v>32</v>
      </c>
      <c r="G242" s="65" t="s">
        <v>80</v>
      </c>
      <c r="H242" s="65" t="str">
        <f t="shared" si="3"/>
        <v>NOT_STARTED</v>
      </c>
      <c r="I242" s="65" t="s">
        <v>43</v>
      </c>
      <c r="J242" s="65" t="s">
        <v>72</v>
      </c>
      <c r="K242" s="65" t="s">
        <v>43</v>
      </c>
      <c r="L242" s="84" t="s">
        <v>570</v>
      </c>
      <c r="M242" s="84" t="s">
        <v>612</v>
      </c>
      <c r="N242" s="85"/>
      <c r="O242" s="84" t="s">
        <v>16</v>
      </c>
      <c r="P242" s="81" t="s">
        <v>1328</v>
      </c>
      <c r="Q242" s="81" t="s">
        <v>1329</v>
      </c>
      <c r="R242" s="81" t="s">
        <v>1330</v>
      </c>
      <c r="S242" s="98" t="s">
        <v>573</v>
      </c>
      <c r="U242" s="99"/>
      <c r="V242" s="99"/>
      <c r="W242" s="99"/>
      <c r="X242" s="99"/>
      <c r="Y242" s="99"/>
      <c r="Z242" s="99"/>
      <c r="AA242" s="99"/>
      <c r="AB242" s="99"/>
      <c r="AC242" s="99"/>
      <c r="AD242" s="99"/>
      <c r="AE242" s="99"/>
      <c r="AF242" s="99"/>
      <c r="AG242" s="99"/>
      <c r="AH242" s="99"/>
      <c r="AI242" s="99"/>
      <c r="AJ242" s="99"/>
      <c r="AK242" s="99"/>
      <c r="AL242" s="99"/>
      <c r="AM242" s="99"/>
      <c r="AN242" s="99"/>
      <c r="AO242" s="99"/>
      <c r="AP242" s="99"/>
    </row>
    <row r="243" ht="17.25" customHeight="1">
      <c r="A243" s="15"/>
      <c r="B243" s="15"/>
      <c r="C243" s="81" t="s">
        <v>1331</v>
      </c>
      <c r="D243" s="81" t="s">
        <v>1332</v>
      </c>
      <c r="E243" s="81" t="s">
        <v>70</v>
      </c>
      <c r="F243" s="74" t="s">
        <v>33</v>
      </c>
      <c r="G243" s="74" t="s">
        <v>175</v>
      </c>
      <c r="H243" s="65" t="str">
        <f t="shared" si="3"/>
        <v>NOT_STARTED</v>
      </c>
      <c r="I243" s="65" t="s">
        <v>43</v>
      </c>
      <c r="J243" s="65" t="s">
        <v>72</v>
      </c>
      <c r="K243" s="65" t="s">
        <v>43</v>
      </c>
      <c r="L243" s="84" t="s">
        <v>570</v>
      </c>
      <c r="M243" s="84" t="s">
        <v>612</v>
      </c>
      <c r="N243" s="85"/>
      <c r="O243" s="84" t="s">
        <v>16</v>
      </c>
      <c r="P243" s="81" t="s">
        <v>1333</v>
      </c>
      <c r="Q243" s="81" t="s">
        <v>1334</v>
      </c>
      <c r="R243" s="81" t="s">
        <v>1335</v>
      </c>
      <c r="S243" s="98" t="s">
        <v>573</v>
      </c>
      <c r="U243" s="99"/>
      <c r="V243" s="99"/>
      <c r="W243" s="99"/>
      <c r="X243" s="99"/>
      <c r="Y243" s="99"/>
      <c r="Z243" s="99"/>
      <c r="AA243" s="99"/>
      <c r="AB243" s="99"/>
      <c r="AC243" s="99"/>
      <c r="AD243" s="99"/>
      <c r="AE243" s="99"/>
      <c r="AF243" s="99"/>
      <c r="AG243" s="99"/>
      <c r="AH243" s="99"/>
      <c r="AI243" s="99"/>
      <c r="AJ243" s="99"/>
      <c r="AK243" s="99"/>
      <c r="AL243" s="99"/>
      <c r="AM243" s="99"/>
      <c r="AN243" s="99"/>
      <c r="AO243" s="99"/>
      <c r="AP243" s="99"/>
    </row>
    <row r="244">
      <c r="AA244" s="32"/>
      <c r="AB244" s="32"/>
      <c r="AC244" s="32"/>
      <c r="AD244" s="32"/>
      <c r="AE244" s="32"/>
      <c r="AF244" s="32"/>
      <c r="AG244" s="32"/>
      <c r="AH244" s="32"/>
      <c r="AI244" s="32"/>
      <c r="AJ244" s="32"/>
      <c r="AK244" s="32"/>
      <c r="AL244" s="32"/>
      <c r="AM244" s="32"/>
      <c r="AN244" s="32"/>
      <c r="AO244" s="32"/>
      <c r="AP244" s="32"/>
    </row>
    <row r="245">
      <c r="AA245" s="32"/>
      <c r="AB245" s="32"/>
      <c r="AC245" s="32"/>
      <c r="AD245" s="32"/>
      <c r="AE245" s="32"/>
      <c r="AF245" s="32"/>
      <c r="AG245" s="32"/>
      <c r="AH245" s="32"/>
      <c r="AI245" s="32"/>
      <c r="AJ245" s="32"/>
      <c r="AK245" s="32"/>
      <c r="AL245" s="32"/>
      <c r="AM245" s="32"/>
      <c r="AN245" s="32"/>
      <c r="AO245" s="32"/>
      <c r="AP245" s="32"/>
    </row>
    <row r="246">
      <c r="AA246" s="99"/>
      <c r="AB246" s="99"/>
      <c r="AC246" s="99"/>
      <c r="AD246" s="99"/>
      <c r="AE246" s="99"/>
      <c r="AF246" s="99"/>
      <c r="AG246" s="99"/>
      <c r="AH246" s="99"/>
      <c r="AI246" s="99"/>
      <c r="AJ246" s="99"/>
      <c r="AK246" s="99"/>
      <c r="AL246" s="99"/>
      <c r="AM246" s="99"/>
      <c r="AN246" s="99"/>
      <c r="AO246" s="99"/>
      <c r="AP246" s="99"/>
    </row>
    <row r="247">
      <c r="AA247" s="99"/>
      <c r="AB247" s="99"/>
      <c r="AC247" s="99"/>
      <c r="AD247" s="99"/>
      <c r="AE247" s="99"/>
      <c r="AF247" s="99"/>
      <c r="AG247" s="99"/>
      <c r="AH247" s="99"/>
      <c r="AI247" s="99"/>
      <c r="AJ247" s="99"/>
      <c r="AK247" s="99"/>
      <c r="AL247" s="99"/>
      <c r="AM247" s="99"/>
      <c r="AN247" s="99"/>
      <c r="AO247" s="99"/>
      <c r="AP247" s="99"/>
    </row>
    <row r="248">
      <c r="AA248" s="99"/>
      <c r="AB248" s="99"/>
      <c r="AC248" s="99"/>
      <c r="AD248" s="99"/>
      <c r="AE248" s="99"/>
      <c r="AF248" s="99"/>
      <c r="AG248" s="99"/>
      <c r="AH248" s="99"/>
      <c r="AI248" s="99"/>
      <c r="AJ248" s="99"/>
      <c r="AK248" s="99"/>
      <c r="AL248" s="99"/>
      <c r="AM248" s="99"/>
      <c r="AN248" s="99"/>
      <c r="AO248" s="99"/>
      <c r="AP248" s="99"/>
    </row>
    <row r="249">
      <c r="AA249" s="32"/>
      <c r="AB249" s="32"/>
      <c r="AC249" s="32"/>
      <c r="AD249" s="32"/>
      <c r="AE249" s="32"/>
      <c r="AF249" s="32"/>
      <c r="AG249" s="32"/>
      <c r="AH249" s="32"/>
      <c r="AI249" s="32"/>
      <c r="AJ249" s="32"/>
      <c r="AK249" s="32"/>
      <c r="AL249" s="32"/>
      <c r="AM249" s="32"/>
      <c r="AN249" s="32"/>
      <c r="AO249" s="32"/>
      <c r="AP249" s="32"/>
    </row>
    <row r="250">
      <c r="AA250" s="32"/>
      <c r="AB250" s="32"/>
      <c r="AC250" s="32"/>
      <c r="AD250" s="32"/>
      <c r="AE250" s="32"/>
      <c r="AF250" s="32"/>
      <c r="AG250" s="32"/>
      <c r="AH250" s="32"/>
      <c r="AI250" s="32"/>
      <c r="AJ250" s="32"/>
      <c r="AK250" s="32"/>
      <c r="AL250" s="32"/>
      <c r="AM250" s="32"/>
      <c r="AN250" s="32"/>
      <c r="AO250" s="32"/>
      <c r="AP250" s="32"/>
    </row>
    <row r="251">
      <c r="AA251" s="32"/>
      <c r="AB251" s="32"/>
      <c r="AC251" s="32"/>
      <c r="AD251" s="32"/>
      <c r="AE251" s="32"/>
      <c r="AF251" s="32"/>
      <c r="AG251" s="32"/>
      <c r="AH251" s="32"/>
      <c r="AI251" s="32"/>
      <c r="AJ251" s="32"/>
      <c r="AK251" s="32"/>
      <c r="AL251" s="32"/>
      <c r="AM251" s="32"/>
      <c r="AN251" s="32"/>
      <c r="AO251" s="32"/>
      <c r="AP251" s="32"/>
    </row>
    <row r="252">
      <c r="AA252" s="32"/>
      <c r="AB252" s="32"/>
      <c r="AC252" s="32"/>
      <c r="AD252" s="32"/>
      <c r="AE252" s="32"/>
      <c r="AF252" s="32"/>
      <c r="AG252" s="32"/>
      <c r="AH252" s="32"/>
      <c r="AI252" s="32"/>
      <c r="AJ252" s="32"/>
      <c r="AK252" s="32"/>
      <c r="AL252" s="32"/>
      <c r="AM252" s="32"/>
      <c r="AN252" s="32"/>
      <c r="AO252" s="32"/>
      <c r="AP252" s="32"/>
    </row>
    <row r="253">
      <c r="AA253" s="32"/>
      <c r="AB253" s="32"/>
      <c r="AC253" s="32"/>
      <c r="AD253" s="32"/>
      <c r="AE253" s="32"/>
      <c r="AF253" s="32"/>
      <c r="AG253" s="32"/>
      <c r="AH253" s="32"/>
      <c r="AI253" s="32"/>
      <c r="AJ253" s="32"/>
      <c r="AK253" s="32"/>
      <c r="AL253" s="32"/>
      <c r="AM253" s="32"/>
      <c r="AN253" s="32"/>
      <c r="AO253" s="32"/>
      <c r="AP253" s="32"/>
    </row>
    <row r="254">
      <c r="AB254" s="32"/>
      <c r="AC254" s="32"/>
      <c r="AD254" s="32"/>
      <c r="AE254" s="32"/>
      <c r="AF254" s="32"/>
      <c r="AG254" s="32"/>
      <c r="AH254" s="32"/>
      <c r="AI254" s="32"/>
      <c r="AJ254" s="32"/>
      <c r="AK254" s="32"/>
      <c r="AL254" s="32"/>
      <c r="AM254" s="32"/>
      <c r="AN254" s="32"/>
      <c r="AO254" s="32"/>
      <c r="AP254" s="32"/>
    </row>
    <row r="255">
      <c r="AB255" s="32"/>
      <c r="AC255" s="32"/>
      <c r="AD255" s="32"/>
      <c r="AE255" s="32"/>
      <c r="AF255" s="32"/>
      <c r="AG255" s="32"/>
      <c r="AH255" s="32"/>
      <c r="AI255" s="32"/>
      <c r="AJ255" s="32"/>
      <c r="AK255" s="32"/>
      <c r="AL255" s="32"/>
      <c r="AM255" s="32"/>
      <c r="AN255" s="32"/>
      <c r="AO255" s="32"/>
      <c r="AP255" s="32"/>
    </row>
    <row r="256">
      <c r="AB256" s="32"/>
      <c r="AC256" s="32"/>
      <c r="AD256" s="32"/>
      <c r="AE256" s="32"/>
      <c r="AF256" s="32"/>
      <c r="AG256" s="32"/>
      <c r="AH256" s="32"/>
      <c r="AI256" s="32"/>
      <c r="AJ256" s="32"/>
      <c r="AK256" s="32"/>
      <c r="AL256" s="32"/>
      <c r="AM256" s="32"/>
      <c r="AN256" s="32"/>
      <c r="AO256" s="32"/>
      <c r="AP256" s="32"/>
    </row>
    <row r="257">
      <c r="AB257" s="32"/>
      <c r="AC257" s="32"/>
      <c r="AD257" s="32"/>
      <c r="AE257" s="32"/>
      <c r="AF257" s="32"/>
      <c r="AG257" s="32"/>
      <c r="AH257" s="32"/>
      <c r="AI257" s="32"/>
      <c r="AJ257" s="32"/>
      <c r="AK257" s="32"/>
      <c r="AL257" s="32"/>
      <c r="AM257" s="32"/>
      <c r="AN257" s="32"/>
      <c r="AO257" s="32"/>
      <c r="AP257" s="32"/>
    </row>
    <row r="258">
      <c r="AB258" s="32"/>
      <c r="AC258" s="32"/>
      <c r="AD258" s="32"/>
      <c r="AE258" s="32"/>
      <c r="AF258" s="32"/>
      <c r="AG258" s="32"/>
      <c r="AH258" s="32"/>
      <c r="AI258" s="32"/>
      <c r="AJ258" s="32"/>
      <c r="AK258" s="32"/>
      <c r="AL258" s="32"/>
      <c r="AM258" s="32"/>
      <c r="AN258" s="32"/>
      <c r="AO258" s="32"/>
      <c r="AP258" s="32"/>
    </row>
    <row r="259">
      <c r="AB259" s="32"/>
      <c r="AC259" s="32"/>
      <c r="AD259" s="32"/>
      <c r="AE259" s="32"/>
      <c r="AF259" s="32"/>
      <c r="AG259" s="32"/>
      <c r="AH259" s="32"/>
      <c r="AI259" s="32"/>
      <c r="AJ259" s="32"/>
      <c r="AK259" s="32"/>
      <c r="AL259" s="32"/>
      <c r="AM259" s="32"/>
      <c r="AN259" s="32"/>
      <c r="AO259" s="32"/>
      <c r="AP259" s="32"/>
    </row>
    <row r="260">
      <c r="AB260" s="32"/>
      <c r="AC260" s="32"/>
      <c r="AD260" s="32"/>
      <c r="AE260" s="32"/>
      <c r="AF260" s="32"/>
      <c r="AG260" s="32"/>
      <c r="AH260" s="32"/>
      <c r="AI260" s="32"/>
      <c r="AJ260" s="32"/>
      <c r="AK260" s="32"/>
      <c r="AL260" s="32"/>
      <c r="AM260" s="32"/>
      <c r="AN260" s="32"/>
      <c r="AO260" s="32"/>
      <c r="AP260" s="32"/>
    </row>
    <row r="261">
      <c r="AB261" s="32"/>
      <c r="AC261" s="32"/>
      <c r="AD261" s="32"/>
      <c r="AE261" s="32"/>
      <c r="AF261" s="32"/>
      <c r="AG261" s="32"/>
      <c r="AH261" s="32"/>
      <c r="AI261" s="32"/>
      <c r="AJ261" s="32"/>
      <c r="AK261" s="32"/>
      <c r="AL261" s="32"/>
      <c r="AM261" s="32"/>
      <c r="AN261" s="32"/>
      <c r="AO261" s="32"/>
      <c r="AP261" s="32"/>
    </row>
    <row r="262">
      <c r="AB262" s="32"/>
      <c r="AC262" s="32"/>
      <c r="AD262" s="32"/>
      <c r="AE262" s="32"/>
      <c r="AF262" s="32"/>
      <c r="AG262" s="32"/>
      <c r="AH262" s="32"/>
      <c r="AI262" s="32"/>
      <c r="AJ262" s="32"/>
      <c r="AK262" s="32"/>
      <c r="AL262" s="32"/>
      <c r="AM262" s="32"/>
      <c r="AN262" s="32"/>
      <c r="AO262" s="32"/>
      <c r="AP262" s="32"/>
    </row>
    <row r="263">
      <c r="AB263" s="32"/>
      <c r="AC263" s="32"/>
      <c r="AD263" s="32"/>
      <c r="AE263" s="32"/>
      <c r="AF263" s="32"/>
      <c r="AG263" s="32"/>
      <c r="AH263" s="32"/>
      <c r="AI263" s="32"/>
      <c r="AJ263" s="32"/>
      <c r="AK263" s="32"/>
      <c r="AL263" s="32"/>
      <c r="AM263" s="32"/>
      <c r="AN263" s="32"/>
      <c r="AO263" s="32"/>
      <c r="AP263" s="32"/>
    </row>
    <row r="264">
      <c r="AB264" s="32"/>
      <c r="AC264" s="32"/>
      <c r="AD264" s="32"/>
      <c r="AE264" s="32"/>
      <c r="AF264" s="32"/>
      <c r="AG264" s="32"/>
      <c r="AH264" s="32"/>
      <c r="AI264" s="32"/>
      <c r="AJ264" s="32"/>
      <c r="AK264" s="32"/>
      <c r="AL264" s="32"/>
      <c r="AM264" s="32"/>
      <c r="AN264" s="32"/>
      <c r="AO264" s="32"/>
      <c r="AP264" s="32"/>
    </row>
    <row r="265">
      <c r="AD265" s="32"/>
      <c r="AE265" s="32"/>
      <c r="AF265" s="32"/>
      <c r="AG265" s="32"/>
      <c r="AH265" s="32"/>
      <c r="AI265" s="32"/>
      <c r="AJ265" s="32"/>
      <c r="AK265" s="32"/>
      <c r="AL265" s="32"/>
      <c r="AM265" s="32"/>
      <c r="AN265" s="32"/>
      <c r="AO265" s="32"/>
      <c r="AP265" s="32"/>
    </row>
    <row r="266">
      <c r="AD266" s="32"/>
      <c r="AE266" s="32"/>
      <c r="AF266" s="32"/>
      <c r="AG266" s="32"/>
      <c r="AH266" s="32"/>
      <c r="AI266" s="32"/>
      <c r="AJ266" s="32"/>
      <c r="AK266" s="32"/>
      <c r="AL266" s="32"/>
      <c r="AM266" s="32"/>
      <c r="AN266" s="32"/>
      <c r="AO266" s="32"/>
      <c r="AP266" s="32"/>
    </row>
    <row r="267">
      <c r="AD267" s="32"/>
      <c r="AE267" s="32"/>
      <c r="AF267" s="32"/>
      <c r="AG267" s="32"/>
      <c r="AH267" s="32"/>
      <c r="AI267" s="32"/>
      <c r="AJ267" s="32"/>
      <c r="AK267" s="32"/>
      <c r="AL267" s="32"/>
      <c r="AM267" s="32"/>
      <c r="AN267" s="32"/>
      <c r="AO267" s="32"/>
      <c r="AP267" s="32"/>
    </row>
    <row r="268">
      <c r="AD268" s="32"/>
      <c r="AE268" s="32"/>
      <c r="AF268" s="32"/>
      <c r="AG268" s="32"/>
      <c r="AH268" s="32"/>
      <c r="AI268" s="32"/>
      <c r="AJ268" s="32"/>
      <c r="AK268" s="32"/>
      <c r="AL268" s="32"/>
      <c r="AM268" s="32"/>
      <c r="AN268" s="32"/>
      <c r="AO268" s="32"/>
      <c r="AP268" s="32"/>
    </row>
    <row r="269">
      <c r="AD269" s="32"/>
      <c r="AE269" s="32"/>
      <c r="AF269" s="32"/>
      <c r="AG269" s="32"/>
      <c r="AH269" s="32"/>
      <c r="AI269" s="32"/>
      <c r="AJ269" s="32"/>
      <c r="AK269" s="32"/>
      <c r="AL269" s="32"/>
      <c r="AM269" s="32"/>
      <c r="AN269" s="32"/>
      <c r="AO269" s="32"/>
      <c r="AP269" s="32"/>
    </row>
    <row r="270">
      <c r="AD270" s="32"/>
      <c r="AE270" s="32"/>
      <c r="AF270" s="32"/>
      <c r="AG270" s="32"/>
      <c r="AH270" s="32"/>
      <c r="AI270" s="32"/>
      <c r="AJ270" s="32"/>
      <c r="AK270" s="32"/>
      <c r="AL270" s="32"/>
      <c r="AM270" s="32"/>
      <c r="AN270" s="32"/>
      <c r="AO270" s="32"/>
      <c r="AP270" s="32"/>
    </row>
    <row r="271">
      <c r="AD271" s="32"/>
      <c r="AE271" s="32"/>
      <c r="AF271" s="32"/>
      <c r="AG271" s="32"/>
      <c r="AH271" s="32"/>
      <c r="AI271" s="32"/>
      <c r="AJ271" s="32"/>
      <c r="AK271" s="32"/>
      <c r="AL271" s="32"/>
      <c r="AM271" s="32"/>
      <c r="AN271" s="32"/>
      <c r="AO271" s="32"/>
      <c r="AP271" s="32"/>
    </row>
    <row r="272">
      <c r="AD272" s="32"/>
      <c r="AE272" s="32"/>
      <c r="AF272" s="32"/>
      <c r="AG272" s="32"/>
      <c r="AH272" s="32"/>
      <c r="AI272" s="32"/>
      <c r="AJ272" s="32"/>
      <c r="AK272" s="32"/>
      <c r="AL272" s="32"/>
      <c r="AM272" s="32"/>
      <c r="AN272" s="32"/>
      <c r="AO272" s="32"/>
      <c r="AP272" s="32"/>
    </row>
    <row r="273">
      <c r="AD273" s="32"/>
      <c r="AE273" s="32"/>
      <c r="AF273" s="32"/>
      <c r="AG273" s="32"/>
      <c r="AH273" s="32"/>
      <c r="AI273" s="32"/>
      <c r="AJ273" s="32"/>
      <c r="AK273" s="32"/>
      <c r="AL273" s="32"/>
      <c r="AM273" s="32"/>
      <c r="AN273" s="32"/>
      <c r="AO273" s="32"/>
      <c r="AP273" s="32"/>
    </row>
    <row r="274">
      <c r="AE274" s="32"/>
      <c r="AF274" s="32"/>
      <c r="AG274" s="32"/>
      <c r="AH274" s="32"/>
      <c r="AI274" s="32"/>
      <c r="AJ274" s="32"/>
      <c r="AK274" s="32"/>
      <c r="AL274" s="32"/>
      <c r="AM274" s="32"/>
      <c r="AN274" s="32"/>
      <c r="AO274" s="32"/>
      <c r="AP274" s="32"/>
    </row>
    <row r="275">
      <c r="AE275" s="32"/>
      <c r="AF275" s="32"/>
      <c r="AG275" s="32"/>
      <c r="AH275" s="32"/>
      <c r="AI275" s="32"/>
      <c r="AJ275" s="32"/>
      <c r="AK275" s="32"/>
      <c r="AL275" s="32"/>
      <c r="AM275" s="32"/>
      <c r="AN275" s="32"/>
      <c r="AO275" s="32"/>
      <c r="AP275" s="32"/>
    </row>
    <row r="276">
      <c r="AE276" s="32"/>
      <c r="AF276" s="32"/>
      <c r="AG276" s="32"/>
      <c r="AH276" s="32"/>
      <c r="AI276" s="32"/>
      <c r="AJ276" s="32"/>
      <c r="AK276" s="32"/>
      <c r="AL276" s="32"/>
      <c r="AM276" s="32"/>
      <c r="AN276" s="32"/>
      <c r="AO276" s="32"/>
      <c r="AP276" s="32"/>
    </row>
    <row r="277">
      <c r="AE277" s="32"/>
      <c r="AF277" s="32"/>
      <c r="AG277" s="32"/>
      <c r="AH277" s="32"/>
      <c r="AI277" s="32"/>
      <c r="AJ277" s="32"/>
      <c r="AK277" s="32"/>
      <c r="AL277" s="32"/>
      <c r="AM277" s="32"/>
      <c r="AN277" s="32"/>
      <c r="AO277" s="32"/>
      <c r="AP277" s="32"/>
    </row>
    <row r="278">
      <c r="AE278" s="32"/>
      <c r="AF278" s="32"/>
      <c r="AG278" s="32"/>
      <c r="AH278" s="32"/>
      <c r="AI278" s="32"/>
      <c r="AJ278" s="32"/>
      <c r="AK278" s="32"/>
      <c r="AL278" s="32"/>
      <c r="AM278" s="32"/>
      <c r="AN278" s="32"/>
      <c r="AO278" s="32"/>
      <c r="AP278" s="32"/>
    </row>
    <row r="279">
      <c r="AE279" s="32"/>
      <c r="AF279" s="32"/>
      <c r="AG279" s="32"/>
      <c r="AH279" s="32"/>
      <c r="AI279" s="32"/>
      <c r="AJ279" s="32"/>
      <c r="AK279" s="32"/>
      <c r="AL279" s="32"/>
      <c r="AM279" s="32"/>
      <c r="AN279" s="32"/>
      <c r="AO279" s="32"/>
      <c r="AP279" s="32"/>
    </row>
    <row r="280">
      <c r="AE280" s="32"/>
      <c r="AF280" s="32"/>
      <c r="AG280" s="32"/>
      <c r="AH280" s="32"/>
      <c r="AI280" s="32"/>
      <c r="AJ280" s="32"/>
      <c r="AK280" s="32"/>
      <c r="AL280" s="32"/>
      <c r="AM280" s="32"/>
      <c r="AN280" s="32"/>
      <c r="AO280" s="32"/>
      <c r="AP280" s="32"/>
    </row>
    <row r="281">
      <c r="AE281" s="32"/>
      <c r="AF281" s="32"/>
      <c r="AG281" s="32"/>
      <c r="AH281" s="32"/>
      <c r="AI281" s="32"/>
      <c r="AJ281" s="32"/>
      <c r="AK281" s="32"/>
      <c r="AL281" s="32"/>
      <c r="AM281" s="32"/>
      <c r="AN281" s="32"/>
      <c r="AO281" s="32"/>
      <c r="AP281" s="32"/>
    </row>
    <row r="282">
      <c r="AE282" s="32"/>
      <c r="AF282" s="32"/>
      <c r="AG282" s="32"/>
      <c r="AH282" s="32"/>
      <c r="AI282" s="32"/>
      <c r="AJ282" s="32"/>
      <c r="AK282" s="32"/>
      <c r="AL282" s="32"/>
      <c r="AM282" s="32"/>
      <c r="AN282" s="32"/>
      <c r="AO282" s="32"/>
      <c r="AP282" s="32"/>
    </row>
    <row r="283">
      <c r="AE283" s="32"/>
      <c r="AF283" s="32"/>
      <c r="AG283" s="32"/>
      <c r="AH283" s="32"/>
      <c r="AI283" s="32"/>
      <c r="AJ283" s="32"/>
      <c r="AK283" s="32"/>
      <c r="AL283" s="32"/>
      <c r="AM283" s="32"/>
      <c r="AN283" s="32"/>
      <c r="AO283" s="32"/>
      <c r="AP283" s="32"/>
    </row>
    <row r="284">
      <c r="AE284" s="32"/>
      <c r="AF284" s="32"/>
      <c r="AG284" s="32"/>
      <c r="AH284" s="32"/>
      <c r="AI284" s="32"/>
      <c r="AJ284" s="32"/>
      <c r="AK284" s="32"/>
      <c r="AL284" s="32"/>
      <c r="AM284" s="32"/>
      <c r="AN284" s="32"/>
      <c r="AO284" s="32"/>
      <c r="AP284" s="32"/>
    </row>
    <row r="285">
      <c r="AE285" s="32"/>
      <c r="AF285" s="32"/>
      <c r="AG285" s="32"/>
      <c r="AH285" s="32"/>
      <c r="AI285" s="32"/>
      <c r="AJ285" s="32"/>
      <c r="AK285" s="32"/>
      <c r="AL285" s="32"/>
      <c r="AM285" s="32"/>
      <c r="AN285" s="32"/>
      <c r="AO285" s="32"/>
      <c r="AP285" s="32"/>
    </row>
    <row r="286">
      <c r="AE286" s="32"/>
      <c r="AF286" s="32"/>
      <c r="AG286" s="32"/>
      <c r="AH286" s="32"/>
      <c r="AI286" s="32"/>
      <c r="AJ286" s="32"/>
      <c r="AK286" s="32"/>
      <c r="AL286" s="32"/>
      <c r="AM286" s="32"/>
      <c r="AN286" s="32"/>
      <c r="AO286" s="32"/>
      <c r="AP286" s="32"/>
    </row>
    <row r="287">
      <c r="AE287" s="32"/>
      <c r="AF287" s="32"/>
      <c r="AG287" s="32"/>
      <c r="AH287" s="32"/>
      <c r="AI287" s="32"/>
      <c r="AJ287" s="32"/>
      <c r="AK287" s="32"/>
      <c r="AL287" s="32"/>
      <c r="AM287" s="32"/>
      <c r="AN287" s="32"/>
      <c r="AO287" s="32"/>
      <c r="AP287" s="32"/>
    </row>
    <row r="288">
      <c r="AE288" s="32"/>
      <c r="AF288" s="32"/>
      <c r="AG288" s="32"/>
      <c r="AH288" s="32"/>
      <c r="AI288" s="32"/>
      <c r="AJ288" s="32"/>
      <c r="AK288" s="32"/>
      <c r="AL288" s="32"/>
      <c r="AM288" s="32"/>
      <c r="AN288" s="32"/>
      <c r="AO288" s="32"/>
      <c r="AP288" s="32"/>
    </row>
    <row r="289">
      <c r="AE289" s="32"/>
      <c r="AF289" s="32"/>
      <c r="AG289" s="32"/>
      <c r="AH289" s="32"/>
      <c r="AI289" s="32"/>
      <c r="AJ289" s="32"/>
      <c r="AK289" s="32"/>
      <c r="AL289" s="32"/>
      <c r="AM289" s="32"/>
      <c r="AN289" s="32"/>
      <c r="AO289" s="32"/>
      <c r="AP289" s="32"/>
    </row>
    <row r="290">
      <c r="AC290" s="32"/>
      <c r="AD290" s="32"/>
      <c r="AE290" s="32"/>
      <c r="AF290" s="32"/>
      <c r="AG290" s="32"/>
      <c r="AH290" s="32"/>
      <c r="AI290" s="32"/>
      <c r="AJ290" s="32"/>
      <c r="AK290" s="32"/>
      <c r="AL290" s="32"/>
      <c r="AM290" s="32"/>
      <c r="AN290" s="32"/>
      <c r="AO290" s="32"/>
      <c r="AP290" s="32"/>
    </row>
    <row r="291">
      <c r="AC291" s="32"/>
      <c r="AD291" s="32"/>
      <c r="AE291" s="32"/>
      <c r="AF291" s="32"/>
      <c r="AG291" s="32"/>
      <c r="AH291" s="32"/>
      <c r="AI291" s="32"/>
      <c r="AJ291" s="32"/>
      <c r="AK291" s="32"/>
      <c r="AL291" s="32"/>
      <c r="AM291" s="32"/>
      <c r="AN291" s="32"/>
      <c r="AO291" s="32"/>
      <c r="AP291" s="32"/>
    </row>
    <row r="292">
      <c r="AC292" s="32"/>
      <c r="AD292" s="32"/>
      <c r="AE292" s="32"/>
      <c r="AF292" s="32"/>
      <c r="AG292" s="32"/>
      <c r="AH292" s="32"/>
      <c r="AI292" s="32"/>
      <c r="AJ292" s="32"/>
      <c r="AK292" s="32"/>
      <c r="AL292" s="32"/>
      <c r="AM292" s="32"/>
      <c r="AN292" s="32"/>
      <c r="AO292" s="32"/>
      <c r="AP292" s="32"/>
    </row>
    <row r="293">
      <c r="AC293" s="32"/>
      <c r="AD293" s="32"/>
      <c r="AE293" s="32"/>
      <c r="AF293" s="32"/>
      <c r="AG293" s="32"/>
      <c r="AH293" s="32"/>
      <c r="AI293" s="32"/>
      <c r="AJ293" s="32"/>
      <c r="AK293" s="32"/>
      <c r="AL293" s="32"/>
      <c r="AM293" s="32"/>
      <c r="AN293" s="32"/>
      <c r="AO293" s="32"/>
      <c r="AP293" s="32"/>
    </row>
    <row r="294">
      <c r="AJ294" s="32"/>
      <c r="AK294" s="32"/>
      <c r="AL294" s="32"/>
      <c r="AM294" s="32"/>
      <c r="AN294" s="32"/>
      <c r="AO294" s="32"/>
      <c r="AP294" s="32"/>
    </row>
    <row r="295">
      <c r="AJ295" s="32"/>
      <c r="AK295" s="32"/>
      <c r="AL295" s="32"/>
      <c r="AM295" s="32"/>
      <c r="AN295" s="32"/>
      <c r="AO295" s="32"/>
      <c r="AP295" s="32"/>
    </row>
    <row r="296">
      <c r="AF296" s="32"/>
      <c r="AG296" s="32"/>
      <c r="AH296" s="32"/>
      <c r="AI296" s="32"/>
      <c r="AJ296" s="32"/>
      <c r="AK296" s="32"/>
      <c r="AL296" s="32"/>
      <c r="AM296" s="32"/>
      <c r="AN296" s="32"/>
      <c r="AO296" s="32"/>
      <c r="AP296" s="32"/>
    </row>
    <row r="297">
      <c r="AF297" s="32"/>
      <c r="AG297" s="32"/>
      <c r="AH297" s="32"/>
      <c r="AI297" s="32"/>
      <c r="AJ297" s="32"/>
      <c r="AK297" s="32"/>
      <c r="AL297" s="32"/>
      <c r="AM297" s="32"/>
      <c r="AN297" s="32"/>
      <c r="AO297" s="32"/>
      <c r="AP297" s="32"/>
    </row>
    <row r="298">
      <c r="AF298" s="32"/>
      <c r="AG298" s="32"/>
      <c r="AH298" s="32"/>
      <c r="AI298" s="32"/>
      <c r="AJ298" s="32"/>
      <c r="AK298" s="32"/>
      <c r="AL298" s="32"/>
      <c r="AM298" s="32"/>
      <c r="AN298" s="32"/>
      <c r="AO298" s="32"/>
      <c r="AP298" s="32"/>
    </row>
    <row r="299">
      <c r="AF299" s="32"/>
      <c r="AG299" s="32"/>
      <c r="AH299" s="32"/>
      <c r="AI299" s="32"/>
      <c r="AJ299" s="32"/>
      <c r="AK299" s="32"/>
      <c r="AL299" s="32"/>
      <c r="AM299" s="32"/>
      <c r="AN299" s="32"/>
      <c r="AO299" s="32"/>
      <c r="AP299" s="32"/>
    </row>
    <row r="300">
      <c r="AF300" s="32"/>
      <c r="AG300" s="32"/>
      <c r="AH300" s="32"/>
      <c r="AI300" s="32"/>
      <c r="AJ300" s="32"/>
      <c r="AK300" s="32"/>
      <c r="AL300" s="32"/>
      <c r="AM300" s="32"/>
      <c r="AN300" s="32"/>
      <c r="AO300" s="32"/>
      <c r="AP300" s="32"/>
    </row>
    <row r="301">
      <c r="AF301" s="32"/>
      <c r="AG301" s="32"/>
      <c r="AH301" s="32"/>
      <c r="AI301" s="32"/>
      <c r="AJ301" s="32"/>
      <c r="AK301" s="32"/>
      <c r="AL301" s="32"/>
      <c r="AM301" s="32"/>
      <c r="AN301" s="32"/>
      <c r="AO301" s="32"/>
      <c r="AP301" s="32"/>
    </row>
    <row r="302">
      <c r="AF302" s="32"/>
      <c r="AG302" s="32"/>
      <c r="AH302" s="32"/>
      <c r="AI302" s="32"/>
      <c r="AJ302" s="32"/>
      <c r="AK302" s="32"/>
      <c r="AL302" s="32"/>
      <c r="AM302" s="32"/>
      <c r="AN302" s="32"/>
      <c r="AO302" s="32"/>
      <c r="AP302" s="32"/>
    </row>
    <row r="303">
      <c r="AF303" s="32"/>
      <c r="AG303" s="32"/>
      <c r="AH303" s="32"/>
      <c r="AI303" s="32"/>
      <c r="AJ303" s="32"/>
      <c r="AK303" s="32"/>
      <c r="AL303" s="32"/>
      <c r="AM303" s="32"/>
      <c r="AN303" s="32"/>
      <c r="AO303" s="32"/>
      <c r="AP303" s="32"/>
    </row>
    <row r="304">
      <c r="AF304" s="32"/>
      <c r="AG304" s="32"/>
      <c r="AH304" s="32"/>
      <c r="AI304" s="32"/>
      <c r="AJ304" s="32"/>
      <c r="AK304" s="32"/>
      <c r="AL304" s="32"/>
      <c r="AM304" s="32"/>
      <c r="AN304" s="32"/>
      <c r="AO304" s="32"/>
      <c r="AP304" s="32"/>
    </row>
    <row r="305">
      <c r="AF305" s="32"/>
      <c r="AG305" s="32"/>
      <c r="AH305" s="32"/>
      <c r="AI305" s="32"/>
      <c r="AJ305" s="32"/>
      <c r="AK305" s="32"/>
      <c r="AL305" s="32"/>
      <c r="AM305" s="32"/>
      <c r="AN305" s="32"/>
      <c r="AO305" s="32"/>
      <c r="AP305" s="32"/>
    </row>
    <row r="306">
      <c r="AF306" s="32"/>
      <c r="AG306" s="32"/>
      <c r="AH306" s="32"/>
      <c r="AI306" s="32"/>
      <c r="AJ306" s="32"/>
      <c r="AK306" s="32"/>
      <c r="AL306" s="32"/>
      <c r="AM306" s="32"/>
      <c r="AN306" s="32"/>
      <c r="AO306" s="32"/>
      <c r="AP306" s="32"/>
    </row>
    <row r="307">
      <c r="AK307" s="32"/>
      <c r="AL307" s="32"/>
      <c r="AM307" s="32"/>
      <c r="AN307" s="32"/>
      <c r="AO307" s="32"/>
      <c r="AP307" s="32"/>
    </row>
    <row r="308">
      <c r="AK308" s="32"/>
      <c r="AL308" s="32"/>
      <c r="AM308" s="32"/>
      <c r="AN308" s="32"/>
      <c r="AO308" s="32"/>
      <c r="AP308" s="32"/>
    </row>
    <row r="309">
      <c r="AK309" s="32"/>
      <c r="AL309" s="32"/>
      <c r="AM309" s="32"/>
      <c r="AN309" s="32"/>
      <c r="AO309" s="32"/>
      <c r="AP309" s="32"/>
    </row>
    <row r="310">
      <c r="AM310" s="32"/>
      <c r="AN310" s="32"/>
      <c r="AO310" s="32"/>
      <c r="AP310" s="32"/>
    </row>
    <row r="311">
      <c r="AM311" s="32"/>
      <c r="AN311" s="32"/>
      <c r="AO311" s="32"/>
      <c r="AP311" s="32"/>
    </row>
    <row r="312">
      <c r="AM312" s="32"/>
      <c r="AN312" s="32"/>
      <c r="AO312" s="32"/>
      <c r="AP312" s="32"/>
    </row>
    <row r="313">
      <c r="AM313" s="32"/>
      <c r="AN313" s="32"/>
      <c r="AO313" s="32"/>
      <c r="AP313" s="32"/>
    </row>
    <row r="314">
      <c r="AM314" s="32"/>
      <c r="AN314" s="32"/>
      <c r="AO314" s="32"/>
      <c r="AP314" s="32"/>
    </row>
    <row r="315">
      <c r="AM315" s="32"/>
      <c r="AN315" s="32"/>
      <c r="AO315" s="32"/>
      <c r="AP315" s="32"/>
    </row>
    <row r="316">
      <c r="AO316" s="32"/>
      <c r="AP316" s="32"/>
    </row>
    <row r="317">
      <c r="AO317" s="32"/>
      <c r="AP317" s="32"/>
    </row>
    <row r="318">
      <c r="AO318" s="32"/>
      <c r="AP318" s="32"/>
    </row>
    <row r="319">
      <c r="AH319" s="105"/>
      <c r="AI319" s="105"/>
      <c r="AJ319" s="105"/>
      <c r="AK319" s="105"/>
      <c r="AL319" s="105"/>
      <c r="AM319" s="105"/>
      <c r="AN319" s="105"/>
      <c r="AO319" s="105"/>
      <c r="AP319" s="105"/>
    </row>
    <row r="320">
      <c r="AH320" s="105"/>
      <c r="AI320" s="105"/>
      <c r="AJ320" s="105"/>
      <c r="AK320" s="105"/>
      <c r="AL320" s="105"/>
      <c r="AM320" s="105"/>
      <c r="AN320" s="105"/>
      <c r="AO320" s="105"/>
      <c r="AP320" s="105"/>
    </row>
    <row r="321">
      <c r="AH321" s="105"/>
      <c r="AI321" s="105"/>
      <c r="AJ321" s="105"/>
      <c r="AK321" s="105"/>
      <c r="AL321" s="105"/>
      <c r="AM321" s="105"/>
      <c r="AN321" s="105"/>
      <c r="AO321" s="105"/>
      <c r="AP321" s="105"/>
    </row>
    <row r="322">
      <c r="AH322" s="105"/>
      <c r="AI322" s="105"/>
      <c r="AJ322" s="105"/>
      <c r="AK322" s="105"/>
      <c r="AL322" s="105"/>
      <c r="AM322" s="105"/>
      <c r="AN322" s="105"/>
      <c r="AO322" s="105"/>
      <c r="AP322" s="105"/>
    </row>
    <row r="323">
      <c r="AG323" s="105"/>
      <c r="AH323" s="105"/>
      <c r="AI323" s="105"/>
      <c r="AJ323" s="105"/>
      <c r="AK323" s="105"/>
      <c r="AL323" s="105"/>
      <c r="AM323" s="105"/>
      <c r="AN323" s="105"/>
      <c r="AO323" s="105"/>
      <c r="AP323" s="105"/>
    </row>
    <row r="324">
      <c r="AG324" s="105"/>
      <c r="AH324" s="105"/>
      <c r="AI324" s="105"/>
      <c r="AJ324" s="105"/>
      <c r="AK324" s="105"/>
      <c r="AL324" s="105"/>
      <c r="AM324" s="105"/>
      <c r="AN324" s="105"/>
      <c r="AO324" s="105"/>
      <c r="AP324" s="105"/>
    </row>
    <row r="325">
      <c r="AG325" s="105"/>
      <c r="AH325" s="105"/>
      <c r="AI325" s="105"/>
      <c r="AJ325" s="105"/>
      <c r="AK325" s="105"/>
      <c r="AL325" s="105"/>
      <c r="AM325" s="105"/>
      <c r="AN325" s="105"/>
      <c r="AO325" s="105"/>
      <c r="AP325" s="105"/>
    </row>
    <row r="326">
      <c r="AI326" s="105"/>
      <c r="AJ326" s="105"/>
      <c r="AK326" s="105"/>
      <c r="AL326" s="105"/>
      <c r="AM326" s="105"/>
      <c r="AN326" s="105"/>
      <c r="AO326" s="105"/>
      <c r="AP326" s="105"/>
    </row>
    <row r="327">
      <c r="AI327" s="105"/>
      <c r="AJ327" s="105"/>
      <c r="AK327" s="105"/>
      <c r="AL327" s="105"/>
      <c r="AM327" s="105"/>
      <c r="AN327" s="105"/>
      <c r="AO327" s="105"/>
      <c r="AP327" s="105"/>
    </row>
    <row r="328">
      <c r="AI328" s="99"/>
      <c r="AJ328" s="99"/>
      <c r="AK328" s="99"/>
      <c r="AL328" s="99"/>
      <c r="AM328" s="99"/>
      <c r="AN328" s="99"/>
      <c r="AO328" s="99"/>
      <c r="AP328" s="99"/>
    </row>
    <row r="329">
      <c r="AI329" s="99"/>
      <c r="AJ329" s="99"/>
      <c r="AK329" s="99"/>
      <c r="AL329" s="99"/>
      <c r="AM329" s="99"/>
      <c r="AN329" s="99"/>
      <c r="AO329" s="99"/>
      <c r="AP329" s="99"/>
    </row>
    <row r="330">
      <c r="AP330" s="99"/>
    </row>
    <row r="331">
      <c r="AP331" s="99"/>
    </row>
    <row r="332">
      <c r="AP332" s="99"/>
    </row>
    <row r="333">
      <c r="AP333" s="99"/>
    </row>
    <row r="334">
      <c r="AN334" s="99"/>
      <c r="AO334" s="99"/>
      <c r="AP334" s="99"/>
    </row>
    <row r="335">
      <c r="AN335" s="99"/>
      <c r="AO335" s="99"/>
      <c r="AP335" s="99"/>
    </row>
    <row r="336">
      <c r="AN336" s="99"/>
      <c r="AO336" s="99"/>
      <c r="AP336" s="99"/>
    </row>
    <row r="337">
      <c r="AN337" s="99"/>
      <c r="AO337" s="99"/>
      <c r="AP337" s="99"/>
    </row>
    <row r="338">
      <c r="AN338" s="99"/>
      <c r="AO338" s="99"/>
      <c r="AP338" s="99"/>
    </row>
    <row r="339">
      <c r="AN339" s="99"/>
      <c r="AO339" s="99"/>
      <c r="AP339" s="99"/>
    </row>
    <row r="340" ht="17.25" customHeight="1">
      <c r="A340" s="107"/>
      <c r="B340" s="107"/>
      <c r="C340" s="107"/>
      <c r="D340" s="107"/>
      <c r="E340" s="107"/>
      <c r="F340" s="32"/>
      <c r="G340" s="32"/>
      <c r="H340" s="32"/>
      <c r="I340" s="32"/>
      <c r="J340" s="32"/>
      <c r="K340" s="32"/>
      <c r="L340" s="32"/>
      <c r="M340" s="32"/>
      <c r="N340" s="32"/>
      <c r="O340" s="32"/>
      <c r="P340" s="107"/>
      <c r="Q340" s="107"/>
      <c r="R340" s="107"/>
      <c r="S340" s="32"/>
      <c r="T340" s="32"/>
      <c r="U340" s="32"/>
      <c r="V340" s="32"/>
      <c r="W340" s="32"/>
      <c r="X340" s="32"/>
      <c r="Y340" s="32"/>
      <c r="Z340" s="32"/>
      <c r="AA340" s="32"/>
      <c r="AB340" s="32"/>
      <c r="AC340" s="32"/>
      <c r="AD340" s="32"/>
      <c r="AE340" s="32"/>
      <c r="AF340" s="32"/>
      <c r="AG340" s="32"/>
      <c r="AH340" s="32"/>
      <c r="AI340" s="32"/>
      <c r="AJ340" s="32"/>
      <c r="AK340" s="32"/>
      <c r="AL340" s="32"/>
      <c r="AM340" s="32"/>
      <c r="AN340" s="32"/>
      <c r="AO340" s="32"/>
      <c r="AP340" s="32"/>
    </row>
    <row r="341" ht="17.25" customHeight="1">
      <c r="A341" s="107"/>
      <c r="B341" s="107"/>
      <c r="C341" s="107"/>
      <c r="D341" s="107"/>
      <c r="E341" s="107"/>
      <c r="F341" s="32"/>
      <c r="G341" s="32"/>
      <c r="H341" s="32"/>
      <c r="I341" s="32"/>
      <c r="J341" s="32"/>
      <c r="K341" s="32"/>
      <c r="L341" s="32"/>
      <c r="M341" s="32"/>
      <c r="N341" s="32"/>
      <c r="O341" s="32"/>
      <c r="P341" s="107"/>
      <c r="Q341" s="107"/>
      <c r="R341" s="107"/>
      <c r="S341" s="32"/>
      <c r="T341" s="32"/>
      <c r="U341" s="32"/>
      <c r="V341" s="32"/>
      <c r="W341" s="32"/>
      <c r="X341" s="32"/>
      <c r="Y341" s="32"/>
      <c r="Z341" s="32"/>
      <c r="AA341" s="32"/>
      <c r="AB341" s="32"/>
      <c r="AC341" s="32"/>
      <c r="AD341" s="32"/>
      <c r="AE341" s="32"/>
      <c r="AF341" s="32"/>
      <c r="AG341" s="32"/>
      <c r="AH341" s="32"/>
      <c r="AI341" s="32"/>
      <c r="AJ341" s="32"/>
      <c r="AK341" s="32"/>
      <c r="AL341" s="32"/>
      <c r="AM341" s="32"/>
      <c r="AN341" s="32"/>
      <c r="AO341" s="32"/>
      <c r="AP341" s="32"/>
    </row>
    <row r="342" ht="17.25" customHeight="1">
      <c r="A342" s="107"/>
      <c r="B342" s="107"/>
      <c r="C342" s="107"/>
      <c r="D342" s="107"/>
      <c r="E342" s="107"/>
      <c r="F342" s="32"/>
      <c r="G342" s="32"/>
      <c r="H342" s="32"/>
      <c r="I342" s="32"/>
      <c r="J342" s="32"/>
      <c r="K342" s="32"/>
      <c r="L342" s="32"/>
      <c r="M342" s="32"/>
      <c r="N342" s="32"/>
      <c r="O342" s="32"/>
      <c r="P342" s="107"/>
      <c r="Q342" s="107"/>
      <c r="R342" s="107"/>
      <c r="S342" s="32"/>
      <c r="T342" s="32"/>
      <c r="U342" s="32"/>
      <c r="V342" s="32"/>
      <c r="W342" s="32"/>
      <c r="X342" s="32"/>
      <c r="Y342" s="32"/>
      <c r="Z342" s="32"/>
      <c r="AA342" s="32"/>
      <c r="AB342" s="32"/>
      <c r="AC342" s="32"/>
      <c r="AD342" s="32"/>
      <c r="AE342" s="32"/>
      <c r="AF342" s="32"/>
      <c r="AG342" s="32"/>
      <c r="AH342" s="32"/>
      <c r="AI342" s="32"/>
      <c r="AJ342" s="32"/>
      <c r="AK342" s="32"/>
      <c r="AL342" s="32"/>
      <c r="AM342" s="32"/>
      <c r="AN342" s="32"/>
      <c r="AO342" s="32"/>
      <c r="AP342" s="32"/>
    </row>
    <row r="343" ht="17.25" customHeight="1">
      <c r="A343" s="107"/>
      <c r="B343" s="107"/>
      <c r="C343" s="107"/>
      <c r="D343" s="107"/>
      <c r="E343" s="107"/>
      <c r="F343" s="32"/>
      <c r="G343" s="32"/>
      <c r="H343" s="32"/>
      <c r="I343" s="32"/>
      <c r="J343" s="32"/>
      <c r="K343" s="32"/>
      <c r="L343" s="32"/>
      <c r="M343" s="32"/>
      <c r="N343" s="32"/>
      <c r="O343" s="32"/>
      <c r="P343" s="107"/>
      <c r="Q343" s="107"/>
      <c r="R343" s="107"/>
      <c r="S343" s="32"/>
      <c r="T343" s="32"/>
      <c r="U343" s="32"/>
      <c r="V343" s="32"/>
      <c r="W343" s="32"/>
      <c r="X343" s="32"/>
      <c r="Y343" s="32"/>
      <c r="Z343" s="32"/>
      <c r="AA343" s="32"/>
      <c r="AB343" s="32"/>
      <c r="AC343" s="32"/>
      <c r="AD343" s="32"/>
      <c r="AE343" s="32"/>
      <c r="AF343" s="32"/>
      <c r="AG343" s="32"/>
      <c r="AH343" s="32"/>
      <c r="AI343" s="32"/>
      <c r="AJ343" s="32"/>
      <c r="AK343" s="32"/>
      <c r="AL343" s="32"/>
      <c r="AM343" s="32"/>
      <c r="AN343" s="32"/>
      <c r="AO343" s="32"/>
      <c r="AP343" s="32"/>
    </row>
    <row r="344" ht="17.25" customHeight="1">
      <c r="A344" s="107"/>
      <c r="B344" s="107"/>
      <c r="C344" s="107"/>
      <c r="D344" s="107"/>
      <c r="E344" s="107"/>
      <c r="F344" s="32"/>
      <c r="G344" s="32"/>
      <c r="H344" s="32"/>
      <c r="I344" s="32"/>
      <c r="J344" s="32"/>
      <c r="K344" s="32"/>
      <c r="L344" s="32"/>
      <c r="M344" s="32"/>
      <c r="N344" s="32"/>
      <c r="O344" s="32"/>
      <c r="P344" s="107"/>
      <c r="Q344" s="107"/>
      <c r="R344" s="107"/>
      <c r="S344" s="32"/>
      <c r="T344" s="32"/>
      <c r="U344" s="32"/>
      <c r="V344" s="32"/>
      <c r="W344" s="32"/>
      <c r="X344" s="32"/>
      <c r="Y344" s="32"/>
      <c r="Z344" s="32"/>
      <c r="AA344" s="32"/>
      <c r="AB344" s="32"/>
      <c r="AC344" s="32"/>
      <c r="AD344" s="32"/>
      <c r="AE344" s="32"/>
      <c r="AF344" s="32"/>
      <c r="AG344" s="32"/>
      <c r="AH344" s="32"/>
      <c r="AI344" s="32"/>
      <c r="AJ344" s="32"/>
      <c r="AK344" s="32"/>
      <c r="AL344" s="32"/>
      <c r="AM344" s="32"/>
      <c r="AN344" s="32"/>
      <c r="AO344" s="32"/>
      <c r="AP344" s="32"/>
    </row>
    <row r="345" ht="17.25" customHeight="1">
      <c r="A345" s="107"/>
      <c r="B345" s="107"/>
      <c r="C345" s="107"/>
      <c r="D345" s="107"/>
      <c r="E345" s="107"/>
      <c r="F345" s="32"/>
      <c r="G345" s="32"/>
      <c r="H345" s="32"/>
      <c r="I345" s="32"/>
      <c r="J345" s="32"/>
      <c r="K345" s="32"/>
      <c r="L345" s="32"/>
      <c r="M345" s="32"/>
      <c r="N345" s="32"/>
      <c r="O345" s="32"/>
      <c r="P345" s="107"/>
      <c r="Q345" s="107"/>
      <c r="R345" s="107"/>
      <c r="S345" s="32"/>
      <c r="T345" s="32"/>
      <c r="U345" s="32"/>
      <c r="V345" s="32"/>
      <c r="W345" s="32"/>
      <c r="X345" s="32"/>
      <c r="Y345" s="32"/>
      <c r="Z345" s="32"/>
      <c r="AA345" s="32"/>
      <c r="AB345" s="32"/>
      <c r="AC345" s="32"/>
      <c r="AD345" s="32"/>
      <c r="AE345" s="32"/>
      <c r="AF345" s="32"/>
      <c r="AG345" s="32"/>
      <c r="AH345" s="32"/>
      <c r="AI345" s="32"/>
      <c r="AJ345" s="32"/>
      <c r="AK345" s="32"/>
      <c r="AL345" s="32"/>
      <c r="AM345" s="32"/>
      <c r="AN345" s="32"/>
      <c r="AO345" s="32"/>
      <c r="AP345" s="32"/>
    </row>
    <row r="346" ht="17.25" customHeight="1">
      <c r="A346" s="107"/>
      <c r="B346" s="107"/>
      <c r="C346" s="107"/>
      <c r="D346" s="107"/>
      <c r="E346" s="107"/>
      <c r="F346" s="32"/>
      <c r="G346" s="32"/>
      <c r="H346" s="32"/>
      <c r="I346" s="32"/>
      <c r="J346" s="32"/>
      <c r="K346" s="32"/>
      <c r="L346" s="32"/>
      <c r="M346" s="32"/>
      <c r="N346" s="32"/>
      <c r="O346" s="32"/>
      <c r="P346" s="107"/>
      <c r="Q346" s="107"/>
      <c r="R346" s="107"/>
      <c r="S346" s="32"/>
      <c r="T346" s="32"/>
      <c r="U346" s="32"/>
      <c r="V346" s="32"/>
      <c r="W346" s="32"/>
      <c r="X346" s="32"/>
      <c r="Y346" s="32"/>
      <c r="Z346" s="32"/>
      <c r="AA346" s="32"/>
      <c r="AB346" s="32"/>
      <c r="AC346" s="32"/>
      <c r="AD346" s="32"/>
      <c r="AE346" s="32"/>
      <c r="AF346" s="32"/>
      <c r="AG346" s="32"/>
      <c r="AH346" s="32"/>
      <c r="AI346" s="32"/>
      <c r="AJ346" s="32"/>
      <c r="AK346" s="32"/>
      <c r="AL346" s="32"/>
      <c r="AM346" s="32"/>
      <c r="AN346" s="32"/>
      <c r="AO346" s="32"/>
      <c r="AP346" s="32"/>
    </row>
    <row r="347" ht="17.25" customHeight="1">
      <c r="A347" s="107"/>
      <c r="B347" s="107"/>
      <c r="C347" s="107"/>
      <c r="D347" s="107"/>
      <c r="E347" s="107"/>
      <c r="F347" s="32"/>
      <c r="G347" s="32"/>
      <c r="H347" s="32"/>
      <c r="I347" s="32"/>
      <c r="J347" s="32"/>
      <c r="K347" s="32"/>
      <c r="L347" s="32"/>
      <c r="M347" s="32"/>
      <c r="N347" s="32"/>
      <c r="O347" s="32"/>
      <c r="P347" s="107"/>
      <c r="Q347" s="107"/>
      <c r="R347" s="107"/>
      <c r="S347" s="32"/>
      <c r="T347" s="32"/>
      <c r="U347" s="32"/>
      <c r="V347" s="32"/>
      <c r="W347" s="32"/>
      <c r="X347" s="32"/>
      <c r="Y347" s="32"/>
      <c r="Z347" s="32"/>
      <c r="AA347" s="32"/>
      <c r="AB347" s="32"/>
      <c r="AC347" s="32"/>
      <c r="AD347" s="32"/>
      <c r="AE347" s="32"/>
      <c r="AF347" s="32"/>
      <c r="AG347" s="32"/>
      <c r="AH347" s="32"/>
      <c r="AI347" s="32"/>
      <c r="AJ347" s="32"/>
      <c r="AK347" s="32"/>
      <c r="AL347" s="32"/>
      <c r="AM347" s="32"/>
      <c r="AN347" s="32"/>
      <c r="AO347" s="32"/>
      <c r="AP347" s="32"/>
    </row>
    <row r="348" ht="17.25" customHeight="1">
      <c r="A348" s="107"/>
      <c r="B348" s="107"/>
      <c r="C348" s="107"/>
      <c r="D348" s="107"/>
      <c r="E348" s="107"/>
      <c r="F348" s="32"/>
      <c r="G348" s="32"/>
      <c r="H348" s="32"/>
      <c r="I348" s="32"/>
      <c r="J348" s="32"/>
      <c r="K348" s="32"/>
      <c r="L348" s="32"/>
      <c r="M348" s="32"/>
      <c r="N348" s="32"/>
      <c r="O348" s="32"/>
      <c r="P348" s="107"/>
      <c r="Q348" s="107"/>
      <c r="R348" s="107"/>
      <c r="S348" s="32"/>
      <c r="T348" s="32"/>
      <c r="U348" s="32"/>
      <c r="V348" s="32"/>
      <c r="W348" s="32"/>
      <c r="X348" s="32"/>
      <c r="Y348" s="32"/>
      <c r="Z348" s="32"/>
      <c r="AA348" s="32"/>
      <c r="AB348" s="32"/>
      <c r="AC348" s="32"/>
      <c r="AD348" s="32"/>
      <c r="AE348" s="32"/>
      <c r="AF348" s="32"/>
      <c r="AG348" s="32"/>
      <c r="AH348" s="32"/>
      <c r="AI348" s="32"/>
      <c r="AJ348" s="32"/>
      <c r="AK348" s="32"/>
      <c r="AL348" s="32"/>
      <c r="AM348" s="32"/>
      <c r="AN348" s="32"/>
      <c r="AO348" s="32"/>
      <c r="AP348" s="32"/>
    </row>
    <row r="349" ht="17.25" customHeight="1">
      <c r="A349" s="107"/>
      <c r="B349" s="107"/>
      <c r="C349" s="107"/>
      <c r="D349" s="107"/>
      <c r="E349" s="107"/>
      <c r="F349" s="32"/>
      <c r="G349" s="32"/>
      <c r="H349" s="32"/>
      <c r="I349" s="32"/>
      <c r="J349" s="32"/>
      <c r="K349" s="32"/>
      <c r="L349" s="32"/>
      <c r="M349" s="32"/>
      <c r="N349" s="32"/>
      <c r="O349" s="32"/>
      <c r="P349" s="107"/>
      <c r="Q349" s="107"/>
      <c r="R349" s="107"/>
      <c r="S349" s="32"/>
      <c r="T349" s="32"/>
      <c r="U349" s="32"/>
      <c r="V349" s="32"/>
      <c r="W349" s="32"/>
      <c r="X349" s="32"/>
      <c r="Y349" s="32"/>
      <c r="Z349" s="32"/>
      <c r="AA349" s="32"/>
      <c r="AB349" s="32"/>
      <c r="AC349" s="32"/>
      <c r="AD349" s="32"/>
      <c r="AE349" s="32"/>
      <c r="AF349" s="32"/>
      <c r="AG349" s="32"/>
      <c r="AH349" s="32"/>
      <c r="AI349" s="32"/>
      <c r="AJ349" s="32"/>
      <c r="AK349" s="32"/>
      <c r="AL349" s="32"/>
      <c r="AM349" s="32"/>
      <c r="AN349" s="32"/>
      <c r="AO349" s="32"/>
      <c r="AP349" s="32"/>
    </row>
    <row r="350" ht="17.25" customHeight="1">
      <c r="A350" s="107"/>
      <c r="B350" s="107"/>
      <c r="C350" s="107"/>
      <c r="D350" s="107"/>
      <c r="E350" s="107"/>
      <c r="F350" s="32"/>
      <c r="G350" s="32"/>
      <c r="H350" s="32"/>
      <c r="I350" s="32"/>
      <c r="J350" s="32"/>
      <c r="K350" s="32"/>
      <c r="L350" s="32"/>
      <c r="M350" s="32"/>
      <c r="N350" s="32"/>
      <c r="O350" s="32"/>
      <c r="P350" s="107"/>
      <c r="Q350" s="107"/>
      <c r="R350" s="107"/>
      <c r="S350" s="32"/>
      <c r="T350" s="32"/>
      <c r="U350" s="32"/>
      <c r="V350" s="32"/>
      <c r="W350" s="32"/>
      <c r="X350" s="32"/>
      <c r="Y350" s="32"/>
      <c r="Z350" s="32"/>
      <c r="AA350" s="32"/>
      <c r="AB350" s="32"/>
      <c r="AC350" s="32"/>
      <c r="AD350" s="32"/>
      <c r="AE350" s="32"/>
      <c r="AF350" s="32"/>
      <c r="AG350" s="32"/>
      <c r="AH350" s="32"/>
      <c r="AI350" s="32"/>
      <c r="AJ350" s="32"/>
      <c r="AK350" s="32"/>
      <c r="AL350" s="32"/>
      <c r="AM350" s="32"/>
      <c r="AN350" s="32"/>
      <c r="AO350" s="32"/>
      <c r="AP350" s="32"/>
    </row>
    <row r="351" ht="17.25" customHeight="1">
      <c r="A351" s="107"/>
      <c r="B351" s="107"/>
      <c r="C351" s="107"/>
      <c r="D351" s="107"/>
      <c r="E351" s="107"/>
      <c r="F351" s="32"/>
      <c r="G351" s="32"/>
      <c r="H351" s="32"/>
      <c r="I351" s="32"/>
      <c r="J351" s="32"/>
      <c r="K351" s="32"/>
      <c r="L351" s="32"/>
      <c r="M351" s="32"/>
      <c r="N351" s="32"/>
      <c r="O351" s="32"/>
      <c r="P351" s="107"/>
      <c r="Q351" s="107"/>
      <c r="R351" s="107"/>
      <c r="S351" s="32"/>
      <c r="T351" s="32"/>
      <c r="U351" s="32"/>
      <c r="V351" s="32"/>
      <c r="W351" s="32"/>
      <c r="X351" s="32"/>
      <c r="Y351" s="32"/>
      <c r="Z351" s="32"/>
      <c r="AA351" s="32"/>
      <c r="AB351" s="32"/>
      <c r="AC351" s="32"/>
      <c r="AD351" s="32"/>
      <c r="AE351" s="32"/>
      <c r="AF351" s="32"/>
      <c r="AG351" s="32"/>
      <c r="AH351" s="32"/>
      <c r="AI351" s="32"/>
      <c r="AJ351" s="32"/>
      <c r="AK351" s="32"/>
      <c r="AL351" s="32"/>
      <c r="AM351" s="32"/>
      <c r="AN351" s="32"/>
      <c r="AO351" s="32"/>
      <c r="AP351" s="32"/>
    </row>
    <row r="352" ht="17.25" customHeight="1">
      <c r="A352" s="107"/>
      <c r="B352" s="107"/>
      <c r="C352" s="107"/>
      <c r="D352" s="107"/>
      <c r="E352" s="107"/>
      <c r="F352" s="32"/>
      <c r="G352" s="32"/>
      <c r="H352" s="32"/>
      <c r="I352" s="32"/>
      <c r="J352" s="32"/>
      <c r="K352" s="32"/>
      <c r="L352" s="32"/>
      <c r="M352" s="32"/>
      <c r="N352" s="32"/>
      <c r="O352" s="32"/>
      <c r="P352" s="107"/>
      <c r="Q352" s="107"/>
      <c r="R352" s="107"/>
      <c r="S352" s="32"/>
      <c r="T352" s="32"/>
      <c r="U352" s="32"/>
      <c r="V352" s="32"/>
      <c r="W352" s="32"/>
      <c r="X352" s="32"/>
      <c r="Y352" s="32"/>
      <c r="Z352" s="32"/>
      <c r="AA352" s="32"/>
      <c r="AB352" s="32"/>
      <c r="AC352" s="32"/>
      <c r="AD352" s="32"/>
      <c r="AE352" s="32"/>
      <c r="AF352" s="32"/>
      <c r="AG352" s="32"/>
      <c r="AH352" s="32"/>
      <c r="AI352" s="32"/>
      <c r="AJ352" s="32"/>
      <c r="AK352" s="32"/>
      <c r="AL352" s="32"/>
      <c r="AM352" s="32"/>
      <c r="AN352" s="32"/>
      <c r="AO352" s="32"/>
      <c r="AP352" s="32"/>
    </row>
    <row r="353" ht="17.25" customHeight="1">
      <c r="A353" s="107"/>
      <c r="B353" s="107"/>
      <c r="C353" s="107"/>
      <c r="D353" s="107"/>
      <c r="E353" s="107"/>
      <c r="F353" s="32"/>
      <c r="G353" s="32"/>
      <c r="H353" s="32"/>
      <c r="I353" s="32"/>
      <c r="J353" s="32"/>
      <c r="K353" s="32"/>
      <c r="L353" s="32"/>
      <c r="M353" s="32"/>
      <c r="N353" s="32"/>
      <c r="O353" s="32"/>
      <c r="P353" s="107"/>
      <c r="Q353" s="107"/>
      <c r="R353" s="107"/>
      <c r="S353" s="32"/>
      <c r="T353" s="32"/>
      <c r="U353" s="32"/>
      <c r="V353" s="32"/>
      <c r="W353" s="32"/>
      <c r="X353" s="32"/>
      <c r="Y353" s="32"/>
      <c r="Z353" s="32"/>
      <c r="AA353" s="32"/>
      <c r="AB353" s="32"/>
      <c r="AC353" s="32"/>
      <c r="AD353" s="32"/>
      <c r="AE353" s="32"/>
      <c r="AF353" s="32"/>
      <c r="AG353" s="32"/>
      <c r="AH353" s="32"/>
      <c r="AI353" s="32"/>
      <c r="AJ353" s="32"/>
      <c r="AK353" s="32"/>
      <c r="AL353" s="32"/>
      <c r="AM353" s="32"/>
      <c r="AN353" s="32"/>
      <c r="AO353" s="32"/>
      <c r="AP353" s="32"/>
    </row>
    <row r="354" ht="17.25" customHeight="1">
      <c r="A354" s="107"/>
      <c r="B354" s="107"/>
      <c r="C354" s="107"/>
      <c r="D354" s="107"/>
      <c r="E354" s="107"/>
      <c r="F354" s="32"/>
      <c r="G354" s="32"/>
      <c r="H354" s="32"/>
      <c r="I354" s="32"/>
      <c r="J354" s="32"/>
      <c r="K354" s="32"/>
      <c r="L354" s="32"/>
      <c r="M354" s="32"/>
      <c r="N354" s="32"/>
      <c r="O354" s="32"/>
      <c r="P354" s="107"/>
      <c r="Q354" s="107"/>
      <c r="R354" s="107"/>
      <c r="S354" s="32"/>
      <c r="T354" s="32"/>
      <c r="U354" s="32"/>
      <c r="V354" s="32"/>
      <c r="W354" s="32"/>
      <c r="X354" s="32"/>
      <c r="Y354" s="32"/>
      <c r="Z354" s="32"/>
      <c r="AA354" s="32"/>
      <c r="AB354" s="32"/>
      <c r="AC354" s="32"/>
      <c r="AD354" s="32"/>
      <c r="AE354" s="32"/>
      <c r="AF354" s="32"/>
      <c r="AG354" s="32"/>
      <c r="AH354" s="32"/>
      <c r="AI354" s="32"/>
      <c r="AJ354" s="32"/>
      <c r="AK354" s="32"/>
      <c r="AL354" s="32"/>
      <c r="AM354" s="32"/>
      <c r="AN354" s="32"/>
      <c r="AO354" s="32"/>
      <c r="AP354" s="32"/>
    </row>
    <row r="355" ht="17.25" customHeight="1">
      <c r="A355" s="107"/>
      <c r="B355" s="107"/>
      <c r="C355" s="107"/>
      <c r="D355" s="107"/>
      <c r="E355" s="107"/>
      <c r="F355" s="32"/>
      <c r="G355" s="32"/>
      <c r="H355" s="32"/>
      <c r="I355" s="32"/>
      <c r="J355" s="32"/>
      <c r="K355" s="32"/>
      <c r="L355" s="32"/>
      <c r="M355" s="32"/>
      <c r="N355" s="32"/>
      <c r="O355" s="32"/>
      <c r="P355" s="107"/>
      <c r="Q355" s="107"/>
      <c r="R355" s="107"/>
      <c r="S355" s="32"/>
      <c r="T355" s="32"/>
      <c r="U355" s="32"/>
      <c r="V355" s="32"/>
      <c r="W355" s="32"/>
      <c r="X355" s="32"/>
      <c r="Y355" s="32"/>
      <c r="Z355" s="32"/>
      <c r="AA355" s="32"/>
      <c r="AB355" s="32"/>
      <c r="AC355" s="32"/>
      <c r="AD355" s="32"/>
      <c r="AE355" s="32"/>
      <c r="AF355" s="32"/>
      <c r="AG355" s="32"/>
      <c r="AH355" s="32"/>
      <c r="AI355" s="32"/>
      <c r="AJ355" s="32"/>
      <c r="AK355" s="32"/>
      <c r="AL355" s="32"/>
      <c r="AM355" s="32"/>
      <c r="AN355" s="32"/>
      <c r="AO355" s="32"/>
      <c r="AP355" s="32"/>
    </row>
    <row r="356" ht="17.25" customHeight="1">
      <c r="A356" s="107"/>
      <c r="B356" s="107"/>
      <c r="C356" s="107"/>
      <c r="D356" s="107"/>
      <c r="E356" s="107"/>
      <c r="F356" s="32"/>
      <c r="G356" s="32"/>
      <c r="H356" s="32"/>
      <c r="I356" s="32"/>
      <c r="J356" s="32"/>
      <c r="K356" s="32"/>
      <c r="L356" s="32"/>
      <c r="M356" s="32"/>
      <c r="N356" s="32"/>
      <c r="O356" s="32"/>
      <c r="P356" s="107"/>
      <c r="Q356" s="107"/>
      <c r="R356" s="107"/>
      <c r="S356" s="32"/>
      <c r="T356" s="32"/>
      <c r="U356" s="32"/>
      <c r="V356" s="32"/>
      <c r="W356" s="32"/>
      <c r="X356" s="32"/>
      <c r="Y356" s="32"/>
      <c r="Z356" s="32"/>
      <c r="AA356" s="32"/>
      <c r="AB356" s="32"/>
      <c r="AC356" s="32"/>
      <c r="AD356" s="32"/>
      <c r="AE356" s="32"/>
      <c r="AF356" s="32"/>
      <c r="AG356" s="32"/>
      <c r="AH356" s="32"/>
      <c r="AI356" s="32"/>
      <c r="AJ356" s="32"/>
      <c r="AK356" s="32"/>
      <c r="AL356" s="32"/>
      <c r="AM356" s="32"/>
      <c r="AN356" s="32"/>
      <c r="AO356" s="32"/>
      <c r="AP356" s="32"/>
    </row>
    <row r="357" ht="17.25" customHeight="1">
      <c r="A357" s="107"/>
      <c r="B357" s="107"/>
      <c r="C357" s="107"/>
      <c r="D357" s="107"/>
      <c r="E357" s="107"/>
      <c r="F357" s="32"/>
      <c r="G357" s="32"/>
      <c r="H357" s="32"/>
      <c r="I357" s="32"/>
      <c r="J357" s="32"/>
      <c r="K357" s="32"/>
      <c r="L357" s="32"/>
      <c r="M357" s="32"/>
      <c r="N357" s="32"/>
      <c r="O357" s="32"/>
      <c r="P357" s="107"/>
      <c r="Q357" s="107"/>
      <c r="R357" s="107"/>
      <c r="S357" s="32"/>
      <c r="T357" s="32"/>
      <c r="U357" s="32"/>
      <c r="V357" s="32"/>
      <c r="W357" s="32"/>
      <c r="X357" s="32"/>
      <c r="Y357" s="32"/>
      <c r="Z357" s="32"/>
      <c r="AA357" s="32"/>
      <c r="AB357" s="32"/>
      <c r="AC357" s="32"/>
      <c r="AD357" s="32"/>
      <c r="AE357" s="32"/>
      <c r="AF357" s="32"/>
      <c r="AG357" s="32"/>
      <c r="AH357" s="32"/>
      <c r="AI357" s="32"/>
      <c r="AJ357" s="32"/>
      <c r="AK357" s="32"/>
      <c r="AL357" s="32"/>
      <c r="AM357" s="32"/>
      <c r="AN357" s="32"/>
      <c r="AO357" s="32"/>
      <c r="AP357" s="32"/>
    </row>
    <row r="358" ht="17.25" customHeight="1">
      <c r="A358" s="107"/>
      <c r="B358" s="107"/>
      <c r="C358" s="107"/>
      <c r="D358" s="107"/>
      <c r="E358" s="107"/>
      <c r="F358" s="32"/>
      <c r="G358" s="32"/>
      <c r="H358" s="32"/>
      <c r="I358" s="32"/>
      <c r="J358" s="32"/>
      <c r="K358" s="32"/>
      <c r="L358" s="32"/>
      <c r="M358" s="32"/>
      <c r="N358" s="32"/>
      <c r="O358" s="32"/>
      <c r="P358" s="107"/>
      <c r="Q358" s="107"/>
      <c r="R358" s="107"/>
      <c r="S358" s="32"/>
      <c r="T358" s="32"/>
      <c r="U358" s="32"/>
      <c r="V358" s="32"/>
      <c r="W358" s="32"/>
      <c r="X358" s="32"/>
      <c r="Y358" s="32"/>
      <c r="Z358" s="32"/>
      <c r="AA358" s="32"/>
      <c r="AB358" s="32"/>
      <c r="AC358" s="32"/>
      <c r="AD358" s="32"/>
      <c r="AE358" s="32"/>
      <c r="AF358" s="32"/>
      <c r="AG358" s="32"/>
      <c r="AH358" s="32"/>
      <c r="AI358" s="32"/>
      <c r="AJ358" s="32"/>
      <c r="AK358" s="32"/>
      <c r="AL358" s="32"/>
      <c r="AM358" s="32"/>
      <c r="AN358" s="32"/>
      <c r="AO358" s="32"/>
      <c r="AP358" s="32"/>
    </row>
    <row r="359" ht="17.25" customHeight="1">
      <c r="A359" s="107"/>
      <c r="B359" s="107"/>
      <c r="C359" s="107"/>
      <c r="D359" s="107"/>
      <c r="E359" s="107"/>
      <c r="F359" s="32"/>
      <c r="G359" s="32"/>
      <c r="H359" s="32"/>
      <c r="I359" s="32"/>
      <c r="J359" s="32"/>
      <c r="K359" s="32"/>
      <c r="L359" s="32"/>
      <c r="M359" s="32"/>
      <c r="N359" s="32"/>
      <c r="O359" s="32"/>
      <c r="P359" s="107"/>
      <c r="Q359" s="107"/>
      <c r="R359" s="107"/>
      <c r="S359" s="32"/>
      <c r="T359" s="32"/>
      <c r="U359" s="32"/>
      <c r="V359" s="32"/>
      <c r="W359" s="32"/>
      <c r="X359" s="32"/>
      <c r="Y359" s="32"/>
      <c r="Z359" s="32"/>
      <c r="AA359" s="32"/>
      <c r="AB359" s="32"/>
      <c r="AC359" s="32"/>
      <c r="AD359" s="32"/>
      <c r="AE359" s="32"/>
      <c r="AF359" s="32"/>
      <c r="AG359" s="32"/>
      <c r="AH359" s="32"/>
      <c r="AI359" s="32"/>
      <c r="AJ359" s="32"/>
      <c r="AK359" s="32"/>
      <c r="AL359" s="32"/>
      <c r="AM359" s="32"/>
      <c r="AN359" s="32"/>
      <c r="AO359" s="32"/>
      <c r="AP359" s="32"/>
    </row>
    <row r="360" ht="17.25" customHeight="1">
      <c r="A360" s="107"/>
      <c r="B360" s="107"/>
      <c r="C360" s="107"/>
      <c r="D360" s="107"/>
      <c r="E360" s="107"/>
      <c r="F360" s="32"/>
      <c r="G360" s="32"/>
      <c r="H360" s="32"/>
      <c r="I360" s="32"/>
      <c r="J360" s="32"/>
      <c r="K360" s="32"/>
      <c r="L360" s="32"/>
      <c r="M360" s="32"/>
      <c r="N360" s="32"/>
      <c r="O360" s="32"/>
      <c r="P360" s="107"/>
      <c r="Q360" s="107"/>
      <c r="R360" s="107"/>
      <c r="S360" s="32"/>
      <c r="T360" s="32"/>
      <c r="U360" s="32"/>
      <c r="V360" s="32"/>
      <c r="W360" s="32"/>
      <c r="X360" s="32"/>
      <c r="Y360" s="32"/>
      <c r="Z360" s="32"/>
      <c r="AA360" s="32"/>
      <c r="AB360" s="32"/>
      <c r="AC360" s="32"/>
      <c r="AD360" s="32"/>
      <c r="AE360" s="32"/>
      <c r="AF360" s="32"/>
      <c r="AG360" s="32"/>
      <c r="AH360" s="32"/>
      <c r="AI360" s="32"/>
      <c r="AJ360" s="32"/>
      <c r="AK360" s="32"/>
      <c r="AL360" s="32"/>
      <c r="AM360" s="32"/>
      <c r="AN360" s="32"/>
      <c r="AO360" s="32"/>
      <c r="AP360" s="32"/>
    </row>
    <row r="361" ht="17.25" customHeight="1">
      <c r="A361" s="107"/>
      <c r="B361" s="107"/>
      <c r="C361" s="107"/>
      <c r="D361" s="107"/>
      <c r="E361" s="107"/>
      <c r="F361" s="32"/>
      <c r="G361" s="32"/>
      <c r="H361" s="32"/>
      <c r="I361" s="32"/>
      <c r="J361" s="32"/>
      <c r="K361" s="32"/>
      <c r="L361" s="32"/>
      <c r="M361" s="32"/>
      <c r="N361" s="32"/>
      <c r="O361" s="32"/>
      <c r="P361" s="107"/>
      <c r="Q361" s="107"/>
      <c r="R361" s="107"/>
      <c r="S361" s="32"/>
      <c r="T361" s="32"/>
      <c r="U361" s="32"/>
      <c r="V361" s="32"/>
      <c r="W361" s="32"/>
      <c r="X361" s="32"/>
      <c r="Y361" s="32"/>
      <c r="Z361" s="32"/>
      <c r="AA361" s="32"/>
      <c r="AB361" s="32"/>
      <c r="AC361" s="32"/>
      <c r="AD361" s="32"/>
      <c r="AE361" s="32"/>
      <c r="AF361" s="32"/>
      <c r="AG361" s="32"/>
      <c r="AH361" s="32"/>
      <c r="AI361" s="32"/>
      <c r="AJ361" s="32"/>
      <c r="AK361" s="32"/>
      <c r="AL361" s="32"/>
      <c r="AM361" s="32"/>
      <c r="AN361" s="32"/>
      <c r="AO361" s="32"/>
      <c r="AP361" s="32"/>
    </row>
    <row r="362" ht="17.25" customHeight="1">
      <c r="A362" s="107"/>
      <c r="B362" s="107"/>
      <c r="C362" s="107"/>
      <c r="D362" s="107"/>
      <c r="E362" s="107"/>
      <c r="F362" s="32"/>
      <c r="G362" s="32"/>
      <c r="H362" s="32"/>
      <c r="I362" s="32"/>
      <c r="J362" s="32"/>
      <c r="K362" s="32"/>
      <c r="L362" s="32"/>
      <c r="M362" s="32"/>
      <c r="N362" s="32"/>
      <c r="O362" s="32"/>
      <c r="P362" s="107"/>
      <c r="Q362" s="107"/>
      <c r="R362" s="107"/>
      <c r="S362" s="32"/>
      <c r="T362" s="32"/>
      <c r="U362" s="32"/>
      <c r="V362" s="32"/>
      <c r="W362" s="32"/>
      <c r="X362" s="32"/>
      <c r="Y362" s="32"/>
      <c r="Z362" s="32"/>
      <c r="AA362" s="32"/>
      <c r="AB362" s="32"/>
      <c r="AC362" s="32"/>
      <c r="AD362" s="32"/>
      <c r="AE362" s="32"/>
      <c r="AF362" s="32"/>
      <c r="AG362" s="32"/>
      <c r="AH362" s="32"/>
      <c r="AI362" s="32"/>
      <c r="AJ362" s="32"/>
      <c r="AK362" s="32"/>
      <c r="AL362" s="32"/>
      <c r="AM362" s="32"/>
      <c r="AN362" s="32"/>
      <c r="AO362" s="32"/>
      <c r="AP362" s="32"/>
    </row>
    <row r="363" ht="17.25" customHeight="1">
      <c r="A363" s="107"/>
      <c r="B363" s="107"/>
      <c r="C363" s="107"/>
      <c r="D363" s="107"/>
      <c r="E363" s="107"/>
      <c r="F363" s="32"/>
      <c r="G363" s="32"/>
      <c r="H363" s="32"/>
      <c r="I363" s="32"/>
      <c r="J363" s="32"/>
      <c r="K363" s="32"/>
      <c r="L363" s="32"/>
      <c r="M363" s="32"/>
      <c r="N363" s="32"/>
      <c r="O363" s="32"/>
      <c r="P363" s="107"/>
      <c r="Q363" s="107"/>
      <c r="R363" s="107"/>
      <c r="S363" s="32"/>
      <c r="T363" s="32"/>
      <c r="U363" s="32"/>
      <c r="V363" s="32"/>
      <c r="W363" s="32"/>
      <c r="X363" s="32"/>
      <c r="Y363" s="32"/>
      <c r="Z363" s="32"/>
      <c r="AA363" s="32"/>
      <c r="AB363" s="32"/>
      <c r="AC363" s="32"/>
      <c r="AD363" s="32"/>
      <c r="AE363" s="32"/>
      <c r="AF363" s="32"/>
      <c r="AG363" s="32"/>
      <c r="AH363" s="32"/>
      <c r="AI363" s="32"/>
      <c r="AJ363" s="32"/>
      <c r="AK363" s="32"/>
      <c r="AL363" s="32"/>
      <c r="AM363" s="32"/>
      <c r="AN363" s="32"/>
      <c r="AO363" s="32"/>
      <c r="AP363" s="32"/>
    </row>
    <row r="364" ht="17.25" customHeight="1">
      <c r="A364" s="107"/>
      <c r="B364" s="107"/>
      <c r="C364" s="107"/>
      <c r="D364" s="107"/>
      <c r="E364" s="107"/>
      <c r="F364" s="32"/>
      <c r="G364" s="32"/>
      <c r="H364" s="32"/>
      <c r="I364" s="32"/>
      <c r="J364" s="32"/>
      <c r="K364" s="32"/>
      <c r="L364" s="32"/>
      <c r="M364" s="32"/>
      <c r="N364" s="32"/>
      <c r="O364" s="32"/>
      <c r="P364" s="107"/>
      <c r="Q364" s="107"/>
      <c r="R364" s="107"/>
      <c r="S364" s="32"/>
      <c r="T364" s="32"/>
      <c r="U364" s="32"/>
      <c r="V364" s="32"/>
      <c r="W364" s="32"/>
      <c r="X364" s="32"/>
      <c r="Y364" s="32"/>
      <c r="Z364" s="32"/>
      <c r="AA364" s="32"/>
      <c r="AB364" s="32"/>
      <c r="AC364" s="32"/>
      <c r="AD364" s="32"/>
      <c r="AE364" s="32"/>
      <c r="AF364" s="32"/>
      <c r="AG364" s="32"/>
      <c r="AH364" s="32"/>
      <c r="AI364" s="32"/>
      <c r="AJ364" s="32"/>
      <c r="AK364" s="32"/>
      <c r="AL364" s="32"/>
      <c r="AM364" s="32"/>
      <c r="AN364" s="32"/>
      <c r="AO364" s="32"/>
      <c r="AP364" s="32"/>
    </row>
    <row r="365" ht="17.25" customHeight="1">
      <c r="A365" s="107"/>
      <c r="B365" s="107"/>
      <c r="C365" s="107"/>
      <c r="D365" s="107"/>
      <c r="E365" s="107"/>
      <c r="F365" s="32"/>
      <c r="G365" s="32"/>
      <c r="H365" s="32"/>
      <c r="I365" s="32"/>
      <c r="J365" s="32"/>
      <c r="K365" s="32"/>
      <c r="L365" s="32"/>
      <c r="M365" s="32"/>
      <c r="N365" s="32"/>
      <c r="O365" s="32"/>
      <c r="P365" s="107"/>
      <c r="Q365" s="107"/>
      <c r="R365" s="107"/>
      <c r="S365" s="32"/>
      <c r="T365" s="32"/>
      <c r="U365" s="32"/>
      <c r="V365" s="32"/>
      <c r="W365" s="32"/>
      <c r="X365" s="32"/>
      <c r="Y365" s="32"/>
      <c r="Z365" s="32"/>
      <c r="AA365" s="32"/>
      <c r="AB365" s="32"/>
      <c r="AC365" s="32"/>
      <c r="AD365" s="32"/>
      <c r="AE365" s="32"/>
      <c r="AF365" s="32"/>
      <c r="AG365" s="32"/>
      <c r="AH365" s="32"/>
      <c r="AI365" s="32"/>
      <c r="AJ365" s="32"/>
      <c r="AK365" s="32"/>
      <c r="AL365" s="32"/>
      <c r="AM365" s="32"/>
      <c r="AN365" s="32"/>
      <c r="AO365" s="32"/>
      <c r="AP365" s="32"/>
    </row>
    <row r="366" ht="17.25" customHeight="1">
      <c r="A366" s="107"/>
      <c r="B366" s="107"/>
      <c r="C366" s="107"/>
      <c r="D366" s="107"/>
      <c r="E366" s="107"/>
      <c r="F366" s="32"/>
      <c r="G366" s="32"/>
      <c r="H366" s="32"/>
      <c r="I366" s="32"/>
      <c r="J366" s="32"/>
      <c r="K366" s="32"/>
      <c r="L366" s="32"/>
      <c r="M366" s="32"/>
      <c r="N366" s="32"/>
      <c r="O366" s="32"/>
      <c r="P366" s="107"/>
      <c r="Q366" s="107"/>
      <c r="R366" s="107"/>
      <c r="S366" s="32"/>
      <c r="T366" s="32"/>
      <c r="U366" s="32"/>
      <c r="V366" s="32"/>
      <c r="W366" s="32"/>
      <c r="X366" s="32"/>
      <c r="Y366" s="32"/>
      <c r="Z366" s="32"/>
      <c r="AA366" s="32"/>
      <c r="AB366" s="32"/>
      <c r="AC366" s="32"/>
      <c r="AD366" s="32"/>
      <c r="AE366" s="32"/>
      <c r="AF366" s="32"/>
      <c r="AG366" s="32"/>
      <c r="AH366" s="32"/>
      <c r="AI366" s="32"/>
      <c r="AJ366" s="32"/>
      <c r="AK366" s="32"/>
      <c r="AL366" s="32"/>
      <c r="AM366" s="32"/>
      <c r="AN366" s="32"/>
      <c r="AO366" s="32"/>
      <c r="AP366" s="32"/>
    </row>
    <row r="367" ht="17.25" customHeight="1">
      <c r="A367" s="107"/>
      <c r="B367" s="107"/>
      <c r="C367" s="107"/>
      <c r="D367" s="107"/>
      <c r="E367" s="107"/>
      <c r="F367" s="32"/>
      <c r="G367" s="32"/>
      <c r="H367" s="32"/>
      <c r="I367" s="32"/>
      <c r="J367" s="32"/>
      <c r="K367" s="32"/>
      <c r="L367" s="32"/>
      <c r="M367" s="32"/>
      <c r="N367" s="32"/>
      <c r="O367" s="32"/>
      <c r="P367" s="107"/>
      <c r="Q367" s="107"/>
      <c r="R367" s="107"/>
      <c r="S367" s="32"/>
      <c r="T367" s="32"/>
      <c r="U367" s="32"/>
      <c r="V367" s="32"/>
      <c r="W367" s="32"/>
      <c r="X367" s="32"/>
      <c r="Y367" s="32"/>
      <c r="Z367" s="32"/>
      <c r="AA367" s="32"/>
      <c r="AB367" s="32"/>
      <c r="AC367" s="32"/>
      <c r="AD367" s="32"/>
      <c r="AE367" s="32"/>
      <c r="AF367" s="32"/>
      <c r="AG367" s="32"/>
      <c r="AH367" s="32"/>
      <c r="AI367" s="32"/>
      <c r="AJ367" s="32"/>
      <c r="AK367" s="32"/>
      <c r="AL367" s="32"/>
      <c r="AM367" s="32"/>
      <c r="AN367" s="32"/>
      <c r="AO367" s="32"/>
      <c r="AP367" s="32"/>
    </row>
    <row r="368" ht="17.25" customHeight="1">
      <c r="A368" s="107"/>
      <c r="B368" s="107"/>
      <c r="C368" s="107"/>
      <c r="D368" s="107"/>
      <c r="E368" s="107"/>
      <c r="F368" s="32"/>
      <c r="G368" s="32"/>
      <c r="H368" s="32"/>
      <c r="I368" s="32"/>
      <c r="J368" s="32"/>
      <c r="K368" s="32"/>
      <c r="L368" s="32"/>
      <c r="M368" s="32"/>
      <c r="N368" s="32"/>
      <c r="O368" s="32"/>
      <c r="P368" s="107"/>
      <c r="Q368" s="107"/>
      <c r="R368" s="107"/>
      <c r="S368" s="32"/>
      <c r="T368" s="32"/>
      <c r="U368" s="32"/>
      <c r="V368" s="32"/>
      <c r="W368" s="32"/>
      <c r="X368" s="32"/>
      <c r="Y368" s="32"/>
      <c r="Z368" s="32"/>
      <c r="AA368" s="32"/>
      <c r="AB368" s="32"/>
      <c r="AC368" s="32"/>
      <c r="AD368" s="32"/>
      <c r="AE368" s="32"/>
      <c r="AF368" s="32"/>
      <c r="AG368" s="32"/>
      <c r="AH368" s="32"/>
      <c r="AI368" s="32"/>
      <c r="AJ368" s="32"/>
      <c r="AK368" s="32"/>
      <c r="AL368" s="32"/>
      <c r="AM368" s="32"/>
      <c r="AN368" s="32"/>
      <c r="AO368" s="32"/>
      <c r="AP368" s="32"/>
    </row>
    <row r="369" ht="17.25" customHeight="1">
      <c r="A369" s="107"/>
      <c r="B369" s="107"/>
      <c r="C369" s="107"/>
      <c r="D369" s="107"/>
      <c r="E369" s="107"/>
      <c r="F369" s="32"/>
      <c r="G369" s="32"/>
      <c r="H369" s="32"/>
      <c r="I369" s="32"/>
      <c r="J369" s="32"/>
      <c r="K369" s="32"/>
      <c r="L369" s="32"/>
      <c r="M369" s="32"/>
      <c r="N369" s="32"/>
      <c r="O369" s="32"/>
      <c r="P369" s="107"/>
      <c r="Q369" s="107"/>
      <c r="R369" s="107"/>
      <c r="S369" s="32"/>
      <c r="T369" s="32"/>
      <c r="U369" s="32"/>
      <c r="V369" s="32"/>
      <c r="W369" s="32"/>
      <c r="X369" s="32"/>
      <c r="Y369" s="32"/>
      <c r="Z369" s="32"/>
      <c r="AA369" s="32"/>
      <c r="AB369" s="32"/>
      <c r="AC369" s="32"/>
      <c r="AD369" s="32"/>
      <c r="AE369" s="32"/>
      <c r="AF369" s="32"/>
      <c r="AG369" s="32"/>
      <c r="AH369" s="32"/>
      <c r="AI369" s="32"/>
      <c r="AJ369" s="32"/>
      <c r="AK369" s="32"/>
      <c r="AL369" s="32"/>
      <c r="AM369" s="32"/>
      <c r="AN369" s="32"/>
      <c r="AO369" s="32"/>
      <c r="AP369" s="32"/>
    </row>
    <row r="370" ht="17.25" customHeight="1">
      <c r="A370" s="107"/>
      <c r="B370" s="107"/>
      <c r="C370" s="107"/>
      <c r="D370" s="107"/>
      <c r="E370" s="107"/>
      <c r="F370" s="32"/>
      <c r="G370" s="32"/>
      <c r="H370" s="32"/>
      <c r="I370" s="32"/>
      <c r="J370" s="32"/>
      <c r="K370" s="32"/>
      <c r="L370" s="32"/>
      <c r="M370" s="32"/>
      <c r="N370" s="32"/>
      <c r="O370" s="32"/>
      <c r="P370" s="107"/>
      <c r="Q370" s="107"/>
      <c r="R370" s="107"/>
      <c r="S370" s="32"/>
      <c r="T370" s="32"/>
      <c r="U370" s="32"/>
      <c r="V370" s="32"/>
      <c r="W370" s="32"/>
      <c r="X370" s="32"/>
      <c r="Y370" s="32"/>
      <c r="Z370" s="32"/>
      <c r="AA370" s="32"/>
      <c r="AB370" s="32"/>
      <c r="AC370" s="32"/>
      <c r="AD370" s="32"/>
      <c r="AE370" s="32"/>
      <c r="AF370" s="32"/>
      <c r="AG370" s="32"/>
      <c r="AH370" s="32"/>
      <c r="AI370" s="32"/>
      <c r="AJ370" s="32"/>
      <c r="AK370" s="32"/>
      <c r="AL370" s="32"/>
      <c r="AM370" s="32"/>
      <c r="AN370" s="32"/>
      <c r="AO370" s="32"/>
      <c r="AP370" s="32"/>
    </row>
    <row r="371" ht="17.25" customHeight="1">
      <c r="A371" s="107"/>
      <c r="B371" s="107"/>
      <c r="C371" s="107"/>
      <c r="D371" s="107"/>
      <c r="E371" s="107"/>
      <c r="F371" s="32"/>
      <c r="G371" s="32"/>
      <c r="H371" s="32"/>
      <c r="I371" s="32"/>
      <c r="J371" s="32"/>
      <c r="K371" s="32"/>
      <c r="L371" s="32"/>
      <c r="M371" s="32"/>
      <c r="N371" s="32"/>
      <c r="O371" s="32"/>
      <c r="P371" s="107"/>
      <c r="Q371" s="107"/>
      <c r="R371" s="107"/>
      <c r="S371" s="32"/>
      <c r="T371" s="32"/>
      <c r="U371" s="32"/>
      <c r="V371" s="32"/>
      <c r="W371" s="32"/>
      <c r="X371" s="32"/>
      <c r="Y371" s="32"/>
      <c r="Z371" s="32"/>
      <c r="AA371" s="32"/>
      <c r="AB371" s="32"/>
      <c r="AC371" s="32"/>
      <c r="AD371" s="32"/>
      <c r="AE371" s="32"/>
      <c r="AF371" s="32"/>
      <c r="AG371" s="32"/>
      <c r="AH371" s="32"/>
      <c r="AI371" s="32"/>
      <c r="AJ371" s="32"/>
      <c r="AK371" s="32"/>
      <c r="AL371" s="32"/>
      <c r="AM371" s="32"/>
      <c r="AN371" s="32"/>
      <c r="AO371" s="32"/>
      <c r="AP371" s="32"/>
    </row>
    <row r="372" ht="17.25" customHeight="1">
      <c r="A372" s="107"/>
      <c r="B372" s="107"/>
      <c r="C372" s="107"/>
      <c r="D372" s="107"/>
      <c r="E372" s="107"/>
      <c r="F372" s="32"/>
      <c r="G372" s="32"/>
      <c r="H372" s="32"/>
      <c r="I372" s="32"/>
      <c r="J372" s="32"/>
      <c r="K372" s="32"/>
      <c r="L372" s="32"/>
      <c r="M372" s="32"/>
      <c r="N372" s="32"/>
      <c r="O372" s="32"/>
      <c r="P372" s="107"/>
      <c r="Q372" s="107"/>
      <c r="R372" s="107"/>
      <c r="S372" s="32"/>
      <c r="T372" s="32"/>
      <c r="U372" s="32"/>
      <c r="V372" s="32"/>
      <c r="W372" s="32"/>
      <c r="X372" s="32"/>
      <c r="Y372" s="32"/>
      <c r="Z372" s="32"/>
      <c r="AA372" s="32"/>
      <c r="AB372" s="32"/>
      <c r="AC372" s="32"/>
      <c r="AD372" s="32"/>
      <c r="AE372" s="32"/>
      <c r="AF372" s="32"/>
      <c r="AG372" s="32"/>
      <c r="AH372" s="32"/>
      <c r="AI372" s="32"/>
      <c r="AJ372" s="32"/>
      <c r="AK372" s="32"/>
      <c r="AL372" s="32"/>
      <c r="AM372" s="32"/>
      <c r="AN372" s="32"/>
      <c r="AO372" s="32"/>
      <c r="AP372" s="32"/>
    </row>
    <row r="373" ht="17.25" customHeight="1">
      <c r="A373" s="107"/>
      <c r="B373" s="107"/>
      <c r="C373" s="107"/>
      <c r="D373" s="107"/>
      <c r="E373" s="107"/>
      <c r="F373" s="32"/>
      <c r="G373" s="32"/>
      <c r="H373" s="32"/>
      <c r="I373" s="32"/>
      <c r="J373" s="32"/>
      <c r="K373" s="32"/>
      <c r="L373" s="32"/>
      <c r="M373" s="32"/>
      <c r="N373" s="32"/>
      <c r="O373" s="32"/>
      <c r="P373" s="107"/>
      <c r="Q373" s="107"/>
      <c r="R373" s="107"/>
      <c r="S373" s="32"/>
      <c r="T373" s="32"/>
      <c r="U373" s="32"/>
      <c r="V373" s="32"/>
      <c r="W373" s="32"/>
      <c r="X373" s="32"/>
      <c r="Y373" s="32"/>
      <c r="Z373" s="32"/>
      <c r="AA373" s="32"/>
      <c r="AB373" s="32"/>
      <c r="AC373" s="32"/>
      <c r="AD373" s="32"/>
      <c r="AE373" s="32"/>
      <c r="AF373" s="32"/>
      <c r="AG373" s="32"/>
      <c r="AH373" s="32"/>
      <c r="AI373" s="32"/>
      <c r="AJ373" s="32"/>
      <c r="AK373" s="32"/>
      <c r="AL373" s="32"/>
      <c r="AM373" s="32"/>
      <c r="AN373" s="32"/>
      <c r="AO373" s="32"/>
      <c r="AP373" s="32"/>
    </row>
    <row r="374" ht="17.25" customHeight="1">
      <c r="A374" s="107"/>
      <c r="B374" s="107"/>
      <c r="C374" s="107"/>
      <c r="D374" s="107"/>
      <c r="E374" s="107"/>
      <c r="F374" s="32"/>
      <c r="G374" s="32"/>
      <c r="H374" s="32"/>
      <c r="I374" s="32"/>
      <c r="J374" s="32"/>
      <c r="K374" s="32"/>
      <c r="L374" s="32"/>
      <c r="M374" s="32"/>
      <c r="N374" s="32"/>
      <c r="O374" s="32"/>
      <c r="P374" s="107"/>
      <c r="Q374" s="107"/>
      <c r="R374" s="107"/>
      <c r="S374" s="32"/>
      <c r="T374" s="32"/>
      <c r="U374" s="32"/>
      <c r="V374" s="32"/>
      <c r="W374" s="32"/>
      <c r="X374" s="32"/>
      <c r="Y374" s="32"/>
      <c r="Z374" s="32"/>
      <c r="AA374" s="32"/>
      <c r="AB374" s="32"/>
      <c r="AC374" s="32"/>
      <c r="AD374" s="32"/>
      <c r="AE374" s="32"/>
      <c r="AF374" s="32"/>
      <c r="AG374" s="32"/>
      <c r="AH374" s="32"/>
      <c r="AI374" s="32"/>
      <c r="AJ374" s="32"/>
      <c r="AK374" s="32"/>
      <c r="AL374" s="32"/>
      <c r="AM374" s="32"/>
      <c r="AN374" s="32"/>
      <c r="AO374" s="32"/>
      <c r="AP374" s="32"/>
    </row>
    <row r="375" ht="17.25" customHeight="1">
      <c r="A375" s="107"/>
      <c r="B375" s="107"/>
      <c r="C375" s="107"/>
      <c r="D375" s="107"/>
      <c r="E375" s="107"/>
      <c r="F375" s="32"/>
      <c r="G375" s="32"/>
      <c r="H375" s="32"/>
      <c r="I375" s="32"/>
      <c r="J375" s="32"/>
      <c r="K375" s="32"/>
      <c r="L375" s="32"/>
      <c r="M375" s="32"/>
      <c r="N375" s="32"/>
      <c r="O375" s="32"/>
      <c r="P375" s="107"/>
      <c r="Q375" s="107"/>
      <c r="R375" s="107"/>
      <c r="S375" s="32"/>
      <c r="T375" s="32"/>
      <c r="U375" s="32"/>
      <c r="V375" s="32"/>
      <c r="W375" s="32"/>
      <c r="X375" s="32"/>
      <c r="Y375" s="32"/>
      <c r="Z375" s="32"/>
      <c r="AA375" s="32"/>
      <c r="AB375" s="32"/>
      <c r="AC375" s="32"/>
      <c r="AD375" s="32"/>
      <c r="AE375" s="32"/>
      <c r="AF375" s="32"/>
      <c r="AG375" s="32"/>
      <c r="AH375" s="32"/>
      <c r="AI375" s="32"/>
      <c r="AJ375" s="32"/>
      <c r="AK375" s="32"/>
      <c r="AL375" s="32"/>
      <c r="AM375" s="32"/>
      <c r="AN375" s="32"/>
      <c r="AO375" s="32"/>
      <c r="AP375" s="32"/>
    </row>
    <row r="376" ht="17.25" customHeight="1">
      <c r="A376" s="107"/>
      <c r="B376" s="107"/>
      <c r="C376" s="107"/>
      <c r="D376" s="107"/>
      <c r="E376" s="107"/>
      <c r="F376" s="32"/>
      <c r="G376" s="32"/>
      <c r="H376" s="32"/>
      <c r="I376" s="32"/>
      <c r="J376" s="32"/>
      <c r="K376" s="32"/>
      <c r="L376" s="32"/>
      <c r="M376" s="32"/>
      <c r="N376" s="32"/>
      <c r="O376" s="32"/>
      <c r="P376" s="107"/>
      <c r="Q376" s="107"/>
      <c r="R376" s="107"/>
      <c r="S376" s="32"/>
      <c r="T376" s="32"/>
      <c r="U376" s="32"/>
      <c r="V376" s="32"/>
      <c r="W376" s="32"/>
      <c r="X376" s="32"/>
      <c r="Y376" s="32"/>
      <c r="Z376" s="32"/>
      <c r="AA376" s="32"/>
      <c r="AB376" s="32"/>
      <c r="AC376" s="32"/>
      <c r="AD376" s="32"/>
      <c r="AE376" s="32"/>
      <c r="AF376" s="32"/>
      <c r="AG376" s="32"/>
      <c r="AH376" s="32"/>
      <c r="AI376" s="32"/>
      <c r="AJ376" s="32"/>
      <c r="AK376" s="32"/>
      <c r="AL376" s="32"/>
      <c r="AM376" s="32"/>
      <c r="AN376" s="32"/>
      <c r="AO376" s="32"/>
      <c r="AP376" s="32"/>
    </row>
    <row r="377" ht="17.25" customHeight="1">
      <c r="A377" s="107"/>
      <c r="B377" s="107"/>
      <c r="C377" s="107"/>
      <c r="D377" s="107"/>
      <c r="E377" s="107"/>
      <c r="F377" s="32"/>
      <c r="G377" s="32"/>
      <c r="H377" s="32"/>
      <c r="I377" s="32"/>
      <c r="J377" s="32"/>
      <c r="K377" s="32"/>
      <c r="L377" s="32"/>
      <c r="M377" s="32"/>
      <c r="N377" s="32"/>
      <c r="O377" s="32"/>
      <c r="P377" s="107"/>
      <c r="Q377" s="107"/>
      <c r="R377" s="107"/>
      <c r="S377" s="32"/>
      <c r="T377" s="32"/>
      <c r="U377" s="32"/>
      <c r="V377" s="32"/>
      <c r="W377" s="32"/>
      <c r="X377" s="32"/>
      <c r="Y377" s="32"/>
      <c r="Z377" s="32"/>
      <c r="AA377" s="32"/>
      <c r="AB377" s="32"/>
      <c r="AC377" s="32"/>
      <c r="AD377" s="32"/>
      <c r="AE377" s="32"/>
      <c r="AF377" s="32"/>
      <c r="AG377" s="32"/>
      <c r="AH377" s="32"/>
      <c r="AI377" s="32"/>
      <c r="AJ377" s="32"/>
      <c r="AK377" s="32"/>
      <c r="AL377" s="32"/>
      <c r="AM377" s="32"/>
      <c r="AN377" s="32"/>
      <c r="AO377" s="32"/>
      <c r="AP377" s="32"/>
    </row>
    <row r="378" ht="17.25" customHeight="1">
      <c r="A378" s="107"/>
      <c r="B378" s="107"/>
      <c r="C378" s="107"/>
      <c r="D378" s="107"/>
      <c r="E378" s="107"/>
      <c r="F378" s="32"/>
      <c r="G378" s="32"/>
      <c r="H378" s="32"/>
      <c r="I378" s="32"/>
      <c r="J378" s="32"/>
      <c r="K378" s="32"/>
      <c r="L378" s="32"/>
      <c r="M378" s="32"/>
      <c r="N378" s="32"/>
      <c r="O378" s="32"/>
      <c r="P378" s="107"/>
      <c r="Q378" s="107"/>
      <c r="R378" s="107"/>
      <c r="S378" s="32"/>
      <c r="T378" s="32"/>
      <c r="U378" s="32"/>
      <c r="V378" s="32"/>
      <c r="W378" s="32"/>
      <c r="X378" s="32"/>
      <c r="Y378" s="32"/>
      <c r="Z378" s="32"/>
      <c r="AA378" s="32"/>
      <c r="AB378" s="32"/>
      <c r="AC378" s="32"/>
      <c r="AD378" s="32"/>
      <c r="AE378" s="32"/>
      <c r="AF378" s="32"/>
      <c r="AG378" s="32"/>
      <c r="AH378" s="32"/>
      <c r="AI378" s="32"/>
      <c r="AJ378" s="32"/>
      <c r="AK378" s="32"/>
      <c r="AL378" s="32"/>
      <c r="AM378" s="32"/>
      <c r="AN378" s="32"/>
      <c r="AO378" s="32"/>
      <c r="AP378" s="32"/>
    </row>
    <row r="379" ht="17.25" customHeight="1">
      <c r="A379" s="107"/>
      <c r="B379" s="107"/>
      <c r="C379" s="107"/>
      <c r="D379" s="107"/>
      <c r="E379" s="107"/>
      <c r="F379" s="32"/>
      <c r="G379" s="32"/>
      <c r="H379" s="32"/>
      <c r="I379" s="32"/>
      <c r="J379" s="32"/>
      <c r="K379" s="32"/>
      <c r="L379" s="32"/>
      <c r="M379" s="32"/>
      <c r="N379" s="32"/>
      <c r="O379" s="32"/>
      <c r="P379" s="107"/>
      <c r="Q379" s="107"/>
      <c r="R379" s="107"/>
      <c r="S379" s="32"/>
      <c r="T379" s="32"/>
      <c r="U379" s="32"/>
      <c r="V379" s="32"/>
      <c r="W379" s="32"/>
      <c r="X379" s="32"/>
      <c r="Y379" s="32"/>
      <c r="Z379" s="32"/>
      <c r="AA379" s="32"/>
      <c r="AB379" s="32"/>
      <c r="AC379" s="32"/>
      <c r="AD379" s="32"/>
      <c r="AE379" s="32"/>
      <c r="AF379" s="32"/>
      <c r="AG379" s="32"/>
      <c r="AH379" s="32"/>
      <c r="AI379" s="32"/>
      <c r="AJ379" s="32"/>
      <c r="AK379" s="32"/>
      <c r="AL379" s="32"/>
      <c r="AM379" s="32"/>
      <c r="AN379" s="32"/>
      <c r="AO379" s="32"/>
      <c r="AP379" s="32"/>
    </row>
    <row r="380" ht="17.25" customHeight="1">
      <c r="A380" s="107"/>
      <c r="B380" s="107"/>
      <c r="C380" s="107"/>
      <c r="D380" s="107"/>
      <c r="E380" s="107"/>
      <c r="F380" s="32"/>
      <c r="G380" s="32"/>
      <c r="H380" s="32"/>
      <c r="I380" s="32"/>
      <c r="J380" s="32"/>
      <c r="K380" s="32"/>
      <c r="L380" s="32"/>
      <c r="M380" s="32"/>
      <c r="N380" s="32"/>
      <c r="O380" s="32"/>
      <c r="P380" s="107"/>
      <c r="Q380" s="107"/>
      <c r="R380" s="107"/>
      <c r="S380" s="32"/>
      <c r="T380" s="32"/>
      <c r="U380" s="32"/>
      <c r="V380" s="32"/>
      <c r="W380" s="32"/>
      <c r="X380" s="32"/>
      <c r="Y380" s="32"/>
      <c r="Z380" s="32"/>
      <c r="AA380" s="32"/>
      <c r="AB380" s="32"/>
      <c r="AC380" s="32"/>
      <c r="AD380" s="32"/>
      <c r="AE380" s="32"/>
      <c r="AF380" s="32"/>
      <c r="AG380" s="32"/>
      <c r="AH380" s="32"/>
      <c r="AI380" s="32"/>
      <c r="AJ380" s="32"/>
      <c r="AK380" s="32"/>
      <c r="AL380" s="32"/>
      <c r="AM380" s="32"/>
      <c r="AN380" s="32"/>
      <c r="AO380" s="32"/>
      <c r="AP380" s="32"/>
    </row>
    <row r="381" ht="17.25" customHeight="1">
      <c r="A381" s="107"/>
      <c r="B381" s="107"/>
      <c r="C381" s="107"/>
      <c r="D381" s="107"/>
      <c r="E381" s="107"/>
      <c r="F381" s="32"/>
      <c r="G381" s="32"/>
      <c r="H381" s="32"/>
      <c r="I381" s="32"/>
      <c r="J381" s="32"/>
      <c r="K381" s="32"/>
      <c r="L381" s="32"/>
      <c r="M381" s="32"/>
      <c r="N381" s="32"/>
      <c r="O381" s="32"/>
      <c r="P381" s="107"/>
      <c r="Q381" s="107"/>
      <c r="R381" s="107"/>
      <c r="S381" s="32"/>
      <c r="T381" s="32"/>
      <c r="U381" s="32"/>
      <c r="V381" s="32"/>
      <c r="W381" s="32"/>
      <c r="X381" s="32"/>
      <c r="Y381" s="32"/>
      <c r="Z381" s="32"/>
      <c r="AA381" s="32"/>
      <c r="AB381" s="32"/>
      <c r="AC381" s="32"/>
      <c r="AD381" s="32"/>
      <c r="AE381" s="32"/>
      <c r="AF381" s="32"/>
      <c r="AG381" s="32"/>
      <c r="AH381" s="32"/>
      <c r="AI381" s="32"/>
      <c r="AJ381" s="32"/>
      <c r="AK381" s="32"/>
      <c r="AL381" s="32"/>
      <c r="AM381" s="32"/>
      <c r="AN381" s="32"/>
      <c r="AO381" s="32"/>
      <c r="AP381" s="32"/>
    </row>
    <row r="382" ht="17.25" customHeight="1">
      <c r="A382" s="107"/>
      <c r="B382" s="107"/>
      <c r="C382" s="107"/>
      <c r="D382" s="107"/>
      <c r="E382" s="107"/>
      <c r="F382" s="32"/>
      <c r="G382" s="32"/>
      <c r="H382" s="32"/>
      <c r="I382" s="32"/>
      <c r="J382" s="32"/>
      <c r="K382" s="32"/>
      <c r="L382" s="32"/>
      <c r="M382" s="32"/>
      <c r="N382" s="32"/>
      <c r="O382" s="32"/>
      <c r="P382" s="107"/>
      <c r="Q382" s="107"/>
      <c r="R382" s="107"/>
      <c r="S382" s="32"/>
      <c r="T382" s="32"/>
      <c r="U382" s="32"/>
      <c r="V382" s="32"/>
      <c r="W382" s="32"/>
      <c r="X382" s="32"/>
      <c r="Y382" s="32"/>
      <c r="Z382" s="32"/>
      <c r="AA382" s="32"/>
      <c r="AB382" s="32"/>
      <c r="AC382" s="32"/>
      <c r="AD382" s="32"/>
      <c r="AE382" s="32"/>
      <c r="AF382" s="32"/>
      <c r="AG382" s="32"/>
      <c r="AH382" s="32"/>
      <c r="AI382" s="32"/>
      <c r="AJ382" s="32"/>
      <c r="AK382" s="32"/>
      <c r="AL382" s="32"/>
      <c r="AM382" s="32"/>
      <c r="AN382" s="32"/>
      <c r="AO382" s="32"/>
      <c r="AP382" s="32"/>
    </row>
    <row r="383" ht="17.25" customHeight="1">
      <c r="A383" s="107"/>
      <c r="B383" s="107"/>
      <c r="C383" s="107"/>
      <c r="D383" s="107"/>
      <c r="E383" s="107"/>
      <c r="F383" s="32"/>
      <c r="G383" s="32"/>
      <c r="H383" s="32"/>
      <c r="I383" s="32"/>
      <c r="J383" s="32"/>
      <c r="K383" s="32"/>
      <c r="L383" s="32"/>
      <c r="M383" s="32"/>
      <c r="N383" s="32"/>
      <c r="O383" s="32"/>
      <c r="P383" s="107"/>
      <c r="Q383" s="107"/>
      <c r="R383" s="107"/>
      <c r="S383" s="32"/>
      <c r="T383" s="32"/>
      <c r="U383" s="32"/>
      <c r="V383" s="32"/>
      <c r="W383" s="32"/>
      <c r="X383" s="32"/>
      <c r="Y383" s="32"/>
      <c r="Z383" s="32"/>
      <c r="AA383" s="32"/>
      <c r="AB383" s="32"/>
      <c r="AC383" s="32"/>
      <c r="AD383" s="32"/>
      <c r="AE383" s="32"/>
      <c r="AF383" s="32"/>
      <c r="AG383" s="32"/>
      <c r="AH383" s="32"/>
      <c r="AI383" s="32"/>
      <c r="AJ383" s="32"/>
      <c r="AK383" s="32"/>
      <c r="AL383" s="32"/>
      <c r="AM383" s="32"/>
      <c r="AN383" s="32"/>
      <c r="AO383" s="32"/>
      <c r="AP383" s="32"/>
    </row>
    <row r="384" ht="17.25" customHeight="1">
      <c r="A384" s="107"/>
      <c r="B384" s="107"/>
      <c r="C384" s="107"/>
      <c r="D384" s="107"/>
      <c r="E384" s="107"/>
      <c r="F384" s="32"/>
      <c r="G384" s="32"/>
      <c r="H384" s="32"/>
      <c r="I384" s="32"/>
      <c r="J384" s="32"/>
      <c r="K384" s="32"/>
      <c r="L384" s="32"/>
      <c r="M384" s="32"/>
      <c r="N384" s="32"/>
      <c r="O384" s="32"/>
      <c r="P384" s="107"/>
      <c r="Q384" s="107"/>
      <c r="R384" s="107"/>
      <c r="S384" s="32"/>
      <c r="T384" s="32"/>
      <c r="U384" s="32"/>
      <c r="V384" s="32"/>
      <c r="W384" s="32"/>
      <c r="X384" s="32"/>
      <c r="Y384" s="32"/>
      <c r="Z384" s="32"/>
      <c r="AA384" s="32"/>
      <c r="AB384" s="32"/>
      <c r="AC384" s="32"/>
      <c r="AD384" s="32"/>
      <c r="AE384" s="32"/>
      <c r="AF384" s="32"/>
      <c r="AG384" s="32"/>
      <c r="AH384" s="32"/>
      <c r="AI384" s="32"/>
      <c r="AJ384" s="32"/>
      <c r="AK384" s="32"/>
      <c r="AL384" s="32"/>
      <c r="AM384" s="32"/>
      <c r="AN384" s="32"/>
      <c r="AO384" s="32"/>
      <c r="AP384" s="32"/>
    </row>
    <row r="385" ht="17.25" customHeight="1">
      <c r="A385" s="107"/>
      <c r="B385" s="107"/>
      <c r="C385" s="107"/>
      <c r="D385" s="107"/>
      <c r="E385" s="107"/>
      <c r="F385" s="32"/>
      <c r="G385" s="32"/>
      <c r="H385" s="32"/>
      <c r="I385" s="32"/>
      <c r="J385" s="32"/>
      <c r="K385" s="32"/>
      <c r="L385" s="32"/>
      <c r="M385" s="32"/>
      <c r="N385" s="32"/>
      <c r="O385" s="32"/>
      <c r="P385" s="107"/>
      <c r="Q385" s="107"/>
      <c r="R385" s="107"/>
      <c r="S385" s="32"/>
      <c r="T385" s="32"/>
      <c r="U385" s="32"/>
      <c r="V385" s="32"/>
      <c r="W385" s="32"/>
      <c r="X385" s="32"/>
      <c r="Y385" s="32"/>
      <c r="Z385" s="32"/>
      <c r="AA385" s="32"/>
      <c r="AB385" s="32"/>
      <c r="AC385" s="32"/>
      <c r="AD385" s="32"/>
      <c r="AE385" s="32"/>
      <c r="AF385" s="32"/>
      <c r="AG385" s="32"/>
      <c r="AH385" s="32"/>
      <c r="AI385" s="32"/>
      <c r="AJ385" s="32"/>
      <c r="AK385" s="32"/>
      <c r="AL385" s="32"/>
      <c r="AM385" s="32"/>
      <c r="AN385" s="32"/>
      <c r="AO385" s="32"/>
      <c r="AP385" s="32"/>
    </row>
    <row r="386" ht="17.25" customHeight="1">
      <c r="A386" s="107"/>
      <c r="B386" s="107"/>
      <c r="C386" s="107"/>
      <c r="D386" s="107"/>
      <c r="E386" s="107"/>
      <c r="F386" s="32"/>
      <c r="G386" s="32"/>
      <c r="H386" s="32"/>
      <c r="I386" s="32"/>
      <c r="J386" s="32"/>
      <c r="K386" s="32"/>
      <c r="L386" s="32"/>
      <c r="M386" s="32"/>
      <c r="N386" s="32"/>
      <c r="O386" s="32"/>
      <c r="P386" s="107"/>
      <c r="Q386" s="107"/>
      <c r="R386" s="107"/>
      <c r="S386" s="32"/>
      <c r="T386" s="32"/>
      <c r="U386" s="32"/>
      <c r="V386" s="32"/>
      <c r="W386" s="32"/>
      <c r="X386" s="32"/>
      <c r="Y386" s="32"/>
      <c r="Z386" s="32"/>
      <c r="AA386" s="32"/>
      <c r="AB386" s="32"/>
      <c r="AC386" s="32"/>
      <c r="AD386" s="32"/>
      <c r="AE386" s="32"/>
      <c r="AF386" s="32"/>
      <c r="AG386" s="32"/>
      <c r="AH386" s="32"/>
      <c r="AI386" s="32"/>
      <c r="AJ386" s="32"/>
      <c r="AK386" s="32"/>
      <c r="AL386" s="32"/>
      <c r="AM386" s="32"/>
      <c r="AN386" s="32"/>
      <c r="AO386" s="32"/>
      <c r="AP386" s="32"/>
    </row>
    <row r="387" ht="17.25" customHeight="1">
      <c r="A387" s="107"/>
      <c r="B387" s="107"/>
      <c r="C387" s="107"/>
      <c r="D387" s="107"/>
      <c r="E387" s="107"/>
      <c r="F387" s="32"/>
      <c r="G387" s="32"/>
      <c r="H387" s="32"/>
      <c r="I387" s="32"/>
      <c r="J387" s="32"/>
      <c r="K387" s="32"/>
      <c r="L387" s="32"/>
      <c r="M387" s="32"/>
      <c r="N387" s="32"/>
      <c r="O387" s="32"/>
      <c r="P387" s="107"/>
      <c r="Q387" s="107"/>
      <c r="R387" s="107"/>
      <c r="S387" s="32"/>
      <c r="T387" s="32"/>
      <c r="U387" s="32"/>
      <c r="V387" s="32"/>
      <c r="W387" s="32"/>
      <c r="X387" s="32"/>
      <c r="Y387" s="32"/>
      <c r="Z387" s="32"/>
      <c r="AA387" s="32"/>
      <c r="AB387" s="32"/>
      <c r="AC387" s="32"/>
      <c r="AD387" s="32"/>
      <c r="AE387" s="32"/>
      <c r="AF387" s="32"/>
      <c r="AG387" s="32"/>
      <c r="AH387" s="32"/>
      <c r="AI387" s="32"/>
      <c r="AJ387" s="32"/>
      <c r="AK387" s="32"/>
      <c r="AL387" s="32"/>
      <c r="AM387" s="32"/>
      <c r="AN387" s="32"/>
      <c r="AO387" s="32"/>
      <c r="AP387" s="32"/>
    </row>
    <row r="388" ht="17.25" customHeight="1">
      <c r="A388" s="107"/>
      <c r="B388" s="107"/>
      <c r="C388" s="107"/>
      <c r="D388" s="107"/>
      <c r="E388" s="107"/>
      <c r="F388" s="32"/>
      <c r="G388" s="32"/>
      <c r="H388" s="32"/>
      <c r="I388" s="32"/>
      <c r="J388" s="32"/>
      <c r="K388" s="32"/>
      <c r="L388" s="32"/>
      <c r="M388" s="32"/>
      <c r="N388" s="32"/>
      <c r="O388" s="32"/>
      <c r="P388" s="107"/>
      <c r="Q388" s="107"/>
      <c r="R388" s="107"/>
      <c r="S388" s="32"/>
      <c r="T388" s="32"/>
      <c r="U388" s="32"/>
      <c r="V388" s="32"/>
      <c r="W388" s="32"/>
      <c r="X388" s="32"/>
      <c r="Y388" s="32"/>
      <c r="Z388" s="32"/>
      <c r="AA388" s="32"/>
      <c r="AB388" s="32"/>
      <c r="AC388" s="32"/>
      <c r="AD388" s="32"/>
      <c r="AE388" s="32"/>
      <c r="AF388" s="32"/>
      <c r="AG388" s="32"/>
      <c r="AH388" s="32"/>
      <c r="AI388" s="32"/>
      <c r="AJ388" s="32"/>
      <c r="AK388" s="32"/>
      <c r="AL388" s="32"/>
      <c r="AM388" s="32"/>
      <c r="AN388" s="32"/>
      <c r="AO388" s="32"/>
      <c r="AP388" s="32"/>
    </row>
    <row r="389" ht="17.25" customHeight="1">
      <c r="A389" s="107"/>
      <c r="B389" s="107"/>
      <c r="C389" s="107"/>
      <c r="D389" s="107"/>
      <c r="E389" s="107"/>
      <c r="F389" s="32"/>
      <c r="G389" s="32"/>
      <c r="H389" s="32"/>
      <c r="I389" s="32"/>
      <c r="J389" s="32"/>
      <c r="K389" s="32"/>
      <c r="L389" s="32"/>
      <c r="M389" s="32"/>
      <c r="N389" s="32"/>
      <c r="O389" s="32"/>
      <c r="P389" s="107"/>
      <c r="Q389" s="107"/>
      <c r="R389" s="107"/>
      <c r="S389" s="32"/>
      <c r="T389" s="32"/>
      <c r="U389" s="32"/>
      <c r="V389" s="32"/>
      <c r="W389" s="32"/>
      <c r="X389" s="32"/>
      <c r="Y389" s="32"/>
      <c r="Z389" s="32"/>
      <c r="AA389" s="32"/>
      <c r="AB389" s="32"/>
      <c r="AC389" s="32"/>
      <c r="AD389" s="32"/>
      <c r="AE389" s="32"/>
      <c r="AF389" s="32"/>
      <c r="AG389" s="32"/>
      <c r="AH389" s="32"/>
      <c r="AI389" s="32"/>
      <c r="AJ389" s="32"/>
      <c r="AK389" s="32"/>
      <c r="AL389" s="32"/>
      <c r="AM389" s="32"/>
      <c r="AN389" s="32"/>
      <c r="AO389" s="32"/>
      <c r="AP389" s="32"/>
    </row>
    <row r="390" ht="17.25" customHeight="1">
      <c r="A390" s="107"/>
      <c r="B390" s="107"/>
      <c r="C390" s="107"/>
      <c r="D390" s="107"/>
      <c r="E390" s="107"/>
      <c r="F390" s="32"/>
      <c r="G390" s="32"/>
      <c r="H390" s="32"/>
      <c r="I390" s="32"/>
      <c r="J390" s="32"/>
      <c r="K390" s="32"/>
      <c r="L390" s="32"/>
      <c r="M390" s="32"/>
      <c r="N390" s="32"/>
      <c r="O390" s="32"/>
      <c r="P390" s="107"/>
      <c r="Q390" s="107"/>
      <c r="R390" s="107"/>
      <c r="S390" s="32"/>
      <c r="T390" s="32"/>
      <c r="U390" s="32"/>
      <c r="V390" s="32"/>
      <c r="W390" s="32"/>
      <c r="X390" s="32"/>
      <c r="Y390" s="32"/>
      <c r="Z390" s="32"/>
      <c r="AA390" s="32"/>
      <c r="AB390" s="32"/>
      <c r="AC390" s="32"/>
      <c r="AD390" s="32"/>
      <c r="AE390" s="32"/>
      <c r="AF390" s="32"/>
      <c r="AG390" s="32"/>
      <c r="AH390" s="32"/>
      <c r="AI390" s="32"/>
      <c r="AJ390" s="32"/>
      <c r="AK390" s="32"/>
      <c r="AL390" s="32"/>
      <c r="AM390" s="32"/>
      <c r="AN390" s="32"/>
      <c r="AO390" s="32"/>
      <c r="AP390" s="32"/>
    </row>
    <row r="391" ht="17.25" customHeight="1">
      <c r="A391" s="107"/>
      <c r="B391" s="107"/>
      <c r="C391" s="107"/>
      <c r="D391" s="107"/>
      <c r="E391" s="107"/>
      <c r="F391" s="32"/>
      <c r="G391" s="32"/>
      <c r="H391" s="32"/>
      <c r="I391" s="32"/>
      <c r="J391" s="32"/>
      <c r="K391" s="32"/>
      <c r="L391" s="32"/>
      <c r="M391" s="32"/>
      <c r="N391" s="32"/>
      <c r="O391" s="32"/>
      <c r="P391" s="107"/>
      <c r="Q391" s="107"/>
      <c r="R391" s="107"/>
      <c r="S391" s="32"/>
      <c r="T391" s="32"/>
      <c r="U391" s="32"/>
      <c r="V391" s="32"/>
      <c r="W391" s="32"/>
      <c r="X391" s="32"/>
      <c r="Y391" s="32"/>
      <c r="Z391" s="32"/>
      <c r="AA391" s="32"/>
      <c r="AB391" s="32"/>
      <c r="AC391" s="32"/>
      <c r="AD391" s="32"/>
      <c r="AE391" s="32"/>
      <c r="AF391" s="32"/>
      <c r="AG391" s="32"/>
      <c r="AH391" s="32"/>
      <c r="AI391" s="32"/>
      <c r="AJ391" s="32"/>
      <c r="AK391" s="32"/>
      <c r="AL391" s="32"/>
      <c r="AM391" s="32"/>
      <c r="AN391" s="32"/>
      <c r="AO391" s="32"/>
      <c r="AP391" s="32"/>
    </row>
    <row r="392" ht="17.25" customHeight="1">
      <c r="A392" s="107"/>
      <c r="B392" s="107"/>
      <c r="C392" s="107"/>
      <c r="D392" s="107"/>
      <c r="E392" s="107"/>
      <c r="F392" s="32"/>
      <c r="G392" s="32"/>
      <c r="H392" s="32"/>
      <c r="I392" s="32"/>
      <c r="J392" s="32"/>
      <c r="K392" s="32"/>
      <c r="L392" s="32"/>
      <c r="M392" s="32"/>
      <c r="N392" s="32"/>
      <c r="O392" s="32"/>
      <c r="P392" s="107"/>
      <c r="Q392" s="107"/>
      <c r="R392" s="107"/>
      <c r="S392" s="32"/>
      <c r="T392" s="32"/>
      <c r="U392" s="32"/>
      <c r="V392" s="32"/>
      <c r="W392" s="32"/>
      <c r="X392" s="32"/>
      <c r="Y392" s="32"/>
      <c r="Z392" s="32"/>
      <c r="AA392" s="32"/>
      <c r="AB392" s="32"/>
      <c r="AC392" s="32"/>
      <c r="AD392" s="32"/>
      <c r="AE392" s="32"/>
      <c r="AF392" s="32"/>
      <c r="AG392" s="32"/>
      <c r="AH392" s="32"/>
      <c r="AI392" s="32"/>
      <c r="AJ392" s="32"/>
      <c r="AK392" s="32"/>
      <c r="AL392" s="32"/>
      <c r="AM392" s="32"/>
      <c r="AN392" s="32"/>
      <c r="AO392" s="32"/>
      <c r="AP392" s="32"/>
    </row>
    <row r="393" ht="17.25" customHeight="1">
      <c r="A393" s="107"/>
      <c r="B393" s="107"/>
      <c r="C393" s="107"/>
      <c r="D393" s="107"/>
      <c r="E393" s="107"/>
      <c r="F393" s="32"/>
      <c r="G393" s="32"/>
      <c r="H393" s="32"/>
      <c r="I393" s="32"/>
      <c r="J393" s="32"/>
      <c r="K393" s="32"/>
      <c r="L393" s="32"/>
      <c r="M393" s="32"/>
      <c r="N393" s="32"/>
      <c r="O393" s="32"/>
      <c r="P393" s="107"/>
      <c r="Q393" s="107"/>
      <c r="R393" s="107"/>
      <c r="S393" s="32"/>
      <c r="T393" s="32"/>
      <c r="U393" s="32"/>
      <c r="V393" s="32"/>
      <c r="W393" s="32"/>
      <c r="X393" s="32"/>
      <c r="Y393" s="32"/>
      <c r="Z393" s="32"/>
      <c r="AA393" s="32"/>
      <c r="AB393" s="32"/>
      <c r="AC393" s="32"/>
      <c r="AD393" s="32"/>
      <c r="AE393" s="32"/>
      <c r="AF393" s="32"/>
      <c r="AG393" s="32"/>
      <c r="AH393" s="32"/>
      <c r="AI393" s="32"/>
      <c r="AJ393" s="32"/>
      <c r="AK393" s="32"/>
      <c r="AL393" s="32"/>
      <c r="AM393" s="32"/>
      <c r="AN393" s="32"/>
      <c r="AO393" s="32"/>
      <c r="AP393" s="32"/>
    </row>
    <row r="394" ht="17.25" customHeight="1">
      <c r="A394" s="107"/>
      <c r="B394" s="107"/>
      <c r="C394" s="107"/>
      <c r="D394" s="107"/>
      <c r="E394" s="107"/>
      <c r="F394" s="32"/>
      <c r="G394" s="32"/>
      <c r="H394" s="32"/>
      <c r="I394" s="32"/>
      <c r="J394" s="32"/>
      <c r="K394" s="32"/>
      <c r="L394" s="32"/>
      <c r="M394" s="32"/>
      <c r="N394" s="32"/>
      <c r="O394" s="32"/>
      <c r="P394" s="107"/>
      <c r="Q394" s="107"/>
      <c r="R394" s="107"/>
      <c r="S394" s="32"/>
      <c r="T394" s="32"/>
      <c r="U394" s="32"/>
      <c r="V394" s="32"/>
      <c r="W394" s="32"/>
      <c r="X394" s="32"/>
      <c r="Y394" s="32"/>
      <c r="Z394" s="32"/>
      <c r="AA394" s="32"/>
      <c r="AB394" s="32"/>
      <c r="AC394" s="32"/>
      <c r="AD394" s="32"/>
      <c r="AE394" s="32"/>
      <c r="AF394" s="32"/>
      <c r="AG394" s="32"/>
      <c r="AH394" s="32"/>
      <c r="AI394" s="32"/>
      <c r="AJ394" s="32"/>
      <c r="AK394" s="32"/>
      <c r="AL394" s="32"/>
      <c r="AM394" s="32"/>
      <c r="AN394" s="32"/>
      <c r="AO394" s="32"/>
      <c r="AP394" s="32"/>
    </row>
    <row r="395" ht="17.25" customHeight="1">
      <c r="A395" s="107"/>
      <c r="B395" s="107"/>
      <c r="C395" s="107"/>
      <c r="D395" s="107"/>
      <c r="E395" s="107"/>
      <c r="F395" s="32"/>
      <c r="G395" s="32"/>
      <c r="H395" s="32"/>
      <c r="I395" s="32"/>
      <c r="J395" s="32"/>
      <c r="K395" s="32"/>
      <c r="L395" s="32"/>
      <c r="M395" s="32"/>
      <c r="N395" s="32"/>
      <c r="O395" s="32"/>
      <c r="P395" s="107"/>
      <c r="Q395" s="107"/>
      <c r="R395" s="107"/>
      <c r="S395" s="32"/>
      <c r="T395" s="32"/>
      <c r="U395" s="32"/>
      <c r="V395" s="32"/>
      <c r="W395" s="32"/>
      <c r="X395" s="32"/>
      <c r="Y395" s="32"/>
      <c r="Z395" s="32"/>
      <c r="AA395" s="32"/>
      <c r="AB395" s="32"/>
      <c r="AC395" s="32"/>
      <c r="AD395" s="32"/>
      <c r="AE395" s="32"/>
      <c r="AF395" s="32"/>
      <c r="AG395" s="32"/>
      <c r="AH395" s="32"/>
      <c r="AI395" s="32"/>
      <c r="AJ395" s="32"/>
      <c r="AK395" s="32"/>
      <c r="AL395" s="32"/>
      <c r="AM395" s="32"/>
      <c r="AN395" s="32"/>
      <c r="AO395" s="32"/>
      <c r="AP395" s="32"/>
    </row>
    <row r="396" ht="17.25" customHeight="1">
      <c r="A396" s="107"/>
      <c r="B396" s="107"/>
      <c r="C396" s="107"/>
      <c r="D396" s="107"/>
      <c r="E396" s="107"/>
      <c r="F396" s="32"/>
      <c r="G396" s="32"/>
      <c r="H396" s="32"/>
      <c r="I396" s="32"/>
      <c r="J396" s="32"/>
      <c r="K396" s="32"/>
      <c r="L396" s="32"/>
      <c r="M396" s="32"/>
      <c r="N396" s="32"/>
      <c r="O396" s="32"/>
      <c r="P396" s="107"/>
      <c r="Q396" s="107"/>
      <c r="R396" s="107"/>
      <c r="S396" s="32"/>
      <c r="T396" s="32"/>
      <c r="U396" s="32"/>
      <c r="V396" s="32"/>
      <c r="W396" s="32"/>
      <c r="X396" s="32"/>
      <c r="Y396" s="32"/>
      <c r="Z396" s="32"/>
      <c r="AA396" s="32"/>
      <c r="AB396" s="32"/>
      <c r="AC396" s="32"/>
      <c r="AD396" s="32"/>
      <c r="AE396" s="32"/>
      <c r="AF396" s="32"/>
      <c r="AG396" s="32"/>
      <c r="AH396" s="32"/>
      <c r="AI396" s="32"/>
      <c r="AJ396" s="32"/>
      <c r="AK396" s="32"/>
      <c r="AL396" s="32"/>
      <c r="AM396" s="32"/>
      <c r="AN396" s="32"/>
      <c r="AO396" s="32"/>
      <c r="AP396" s="32"/>
    </row>
    <row r="397" ht="17.25" customHeight="1">
      <c r="A397" s="107"/>
      <c r="B397" s="107"/>
      <c r="C397" s="107"/>
      <c r="D397" s="107"/>
      <c r="E397" s="107"/>
      <c r="F397" s="32"/>
      <c r="G397" s="32"/>
      <c r="H397" s="32"/>
      <c r="I397" s="32"/>
      <c r="J397" s="32"/>
      <c r="K397" s="32"/>
      <c r="L397" s="32"/>
      <c r="M397" s="32"/>
      <c r="N397" s="32"/>
      <c r="O397" s="32"/>
      <c r="P397" s="107"/>
      <c r="Q397" s="107"/>
      <c r="R397" s="107"/>
      <c r="S397" s="32"/>
      <c r="T397" s="32"/>
      <c r="U397" s="32"/>
      <c r="V397" s="32"/>
      <c r="W397" s="32"/>
      <c r="X397" s="32"/>
      <c r="Y397" s="32"/>
      <c r="Z397" s="32"/>
      <c r="AA397" s="32"/>
      <c r="AB397" s="32"/>
      <c r="AC397" s="32"/>
      <c r="AD397" s="32"/>
      <c r="AE397" s="32"/>
      <c r="AF397" s="32"/>
      <c r="AG397" s="32"/>
      <c r="AH397" s="32"/>
      <c r="AI397" s="32"/>
      <c r="AJ397" s="32"/>
      <c r="AK397" s="32"/>
      <c r="AL397" s="32"/>
      <c r="AM397" s="32"/>
      <c r="AN397" s="32"/>
      <c r="AO397" s="32"/>
      <c r="AP397" s="32"/>
    </row>
    <row r="398" ht="17.25" customHeight="1">
      <c r="A398" s="107"/>
      <c r="B398" s="107"/>
      <c r="C398" s="107"/>
      <c r="D398" s="107"/>
      <c r="E398" s="107"/>
      <c r="F398" s="32"/>
      <c r="G398" s="32"/>
      <c r="H398" s="32"/>
      <c r="I398" s="32"/>
      <c r="J398" s="32"/>
      <c r="K398" s="32"/>
      <c r="L398" s="32"/>
      <c r="M398" s="32"/>
      <c r="N398" s="32"/>
      <c r="O398" s="32"/>
      <c r="P398" s="107"/>
      <c r="Q398" s="107"/>
      <c r="R398" s="107"/>
      <c r="S398" s="32"/>
      <c r="T398" s="32"/>
      <c r="U398" s="32"/>
      <c r="V398" s="32"/>
      <c r="W398" s="32"/>
      <c r="X398" s="32"/>
      <c r="Y398" s="32"/>
      <c r="Z398" s="32"/>
      <c r="AA398" s="32"/>
      <c r="AB398" s="32"/>
      <c r="AC398" s="32"/>
      <c r="AD398" s="32"/>
      <c r="AE398" s="32"/>
      <c r="AF398" s="32"/>
      <c r="AG398" s="32"/>
      <c r="AH398" s="32"/>
      <c r="AI398" s="32"/>
      <c r="AJ398" s="32"/>
      <c r="AK398" s="32"/>
      <c r="AL398" s="32"/>
      <c r="AM398" s="32"/>
      <c r="AN398" s="32"/>
      <c r="AO398" s="32"/>
      <c r="AP398" s="32"/>
    </row>
    <row r="399" ht="17.25" customHeight="1">
      <c r="A399" s="107"/>
      <c r="B399" s="107"/>
      <c r="C399" s="107"/>
      <c r="D399" s="107"/>
      <c r="E399" s="107"/>
      <c r="F399" s="32"/>
      <c r="G399" s="32"/>
      <c r="H399" s="32"/>
      <c r="I399" s="32"/>
      <c r="J399" s="32"/>
      <c r="K399" s="32"/>
      <c r="L399" s="32"/>
      <c r="M399" s="32"/>
      <c r="N399" s="32"/>
      <c r="O399" s="32"/>
      <c r="P399" s="107"/>
      <c r="Q399" s="107"/>
      <c r="R399" s="107"/>
      <c r="S399" s="32"/>
      <c r="T399" s="32"/>
      <c r="U399" s="32"/>
      <c r="V399" s="32"/>
      <c r="W399" s="32"/>
      <c r="X399" s="32"/>
      <c r="Y399" s="32"/>
      <c r="Z399" s="32"/>
      <c r="AA399" s="32"/>
      <c r="AB399" s="32"/>
      <c r="AC399" s="32"/>
      <c r="AD399" s="32"/>
      <c r="AE399" s="32"/>
      <c r="AF399" s="32"/>
      <c r="AG399" s="32"/>
      <c r="AH399" s="32"/>
      <c r="AI399" s="32"/>
      <c r="AJ399" s="32"/>
      <c r="AK399" s="32"/>
      <c r="AL399" s="32"/>
      <c r="AM399" s="32"/>
      <c r="AN399" s="32"/>
      <c r="AO399" s="32"/>
      <c r="AP399" s="32"/>
    </row>
    <row r="400" ht="17.25" customHeight="1">
      <c r="A400" s="107"/>
      <c r="B400" s="107"/>
      <c r="C400" s="107"/>
      <c r="D400" s="107"/>
      <c r="E400" s="107"/>
      <c r="F400" s="32"/>
      <c r="G400" s="32"/>
      <c r="H400" s="32"/>
      <c r="I400" s="32"/>
      <c r="J400" s="32"/>
      <c r="K400" s="32"/>
      <c r="L400" s="32"/>
      <c r="M400" s="32"/>
      <c r="N400" s="32"/>
      <c r="O400" s="32"/>
      <c r="P400" s="107"/>
      <c r="Q400" s="107"/>
      <c r="R400" s="107"/>
      <c r="S400" s="32"/>
      <c r="T400" s="32"/>
      <c r="U400" s="32"/>
      <c r="V400" s="32"/>
      <c r="W400" s="32"/>
      <c r="X400" s="32"/>
      <c r="Y400" s="32"/>
      <c r="Z400" s="32"/>
      <c r="AA400" s="32"/>
      <c r="AB400" s="32"/>
      <c r="AC400" s="32"/>
      <c r="AD400" s="32"/>
      <c r="AE400" s="32"/>
      <c r="AF400" s="32"/>
      <c r="AG400" s="32"/>
      <c r="AH400" s="32"/>
      <c r="AI400" s="32"/>
      <c r="AJ400" s="32"/>
      <c r="AK400" s="32"/>
      <c r="AL400" s="32"/>
      <c r="AM400" s="32"/>
      <c r="AN400" s="32"/>
      <c r="AO400" s="32"/>
      <c r="AP400" s="32"/>
    </row>
    <row r="401" ht="17.25" customHeight="1">
      <c r="A401" s="107"/>
      <c r="B401" s="107"/>
      <c r="C401" s="107"/>
      <c r="D401" s="107"/>
      <c r="E401" s="107"/>
      <c r="F401" s="32"/>
      <c r="G401" s="32"/>
      <c r="H401" s="32"/>
      <c r="I401" s="32"/>
      <c r="J401" s="32"/>
      <c r="K401" s="32"/>
      <c r="L401" s="32"/>
      <c r="M401" s="32"/>
      <c r="N401" s="32"/>
      <c r="O401" s="32"/>
      <c r="P401" s="107"/>
      <c r="Q401" s="107"/>
      <c r="R401" s="107"/>
      <c r="S401" s="32"/>
      <c r="T401" s="32"/>
      <c r="U401" s="32"/>
      <c r="V401" s="32"/>
      <c r="W401" s="32"/>
      <c r="X401" s="32"/>
      <c r="Y401" s="32"/>
      <c r="Z401" s="32"/>
      <c r="AA401" s="32"/>
      <c r="AB401" s="32"/>
      <c r="AC401" s="32"/>
      <c r="AD401" s="32"/>
      <c r="AE401" s="32"/>
      <c r="AF401" s="32"/>
      <c r="AG401" s="32"/>
      <c r="AH401" s="32"/>
      <c r="AI401" s="32"/>
      <c r="AJ401" s="32"/>
      <c r="AK401" s="32"/>
      <c r="AL401" s="32"/>
      <c r="AM401" s="32"/>
      <c r="AN401" s="32"/>
      <c r="AO401" s="32"/>
      <c r="AP401" s="32"/>
    </row>
    <row r="402" ht="17.25" customHeight="1">
      <c r="A402" s="107"/>
      <c r="B402" s="107"/>
      <c r="C402" s="107"/>
      <c r="D402" s="107"/>
      <c r="E402" s="107"/>
      <c r="F402" s="32"/>
      <c r="G402" s="32"/>
      <c r="H402" s="32"/>
      <c r="I402" s="32"/>
      <c r="J402" s="32"/>
      <c r="K402" s="32"/>
      <c r="L402" s="32"/>
      <c r="M402" s="32"/>
      <c r="N402" s="32"/>
      <c r="O402" s="32"/>
      <c r="P402" s="107"/>
      <c r="Q402" s="107"/>
      <c r="R402" s="107"/>
      <c r="S402" s="32"/>
      <c r="T402" s="32"/>
      <c r="U402" s="32"/>
      <c r="V402" s="32"/>
      <c r="W402" s="32"/>
      <c r="X402" s="32"/>
      <c r="Y402" s="32"/>
      <c r="Z402" s="32"/>
      <c r="AA402" s="32"/>
      <c r="AB402" s="32"/>
      <c r="AC402" s="32"/>
      <c r="AD402" s="32"/>
      <c r="AE402" s="32"/>
      <c r="AF402" s="32"/>
      <c r="AG402" s="32"/>
      <c r="AH402" s="32"/>
      <c r="AI402" s="32"/>
      <c r="AJ402" s="32"/>
      <c r="AK402" s="32"/>
      <c r="AL402" s="32"/>
      <c r="AM402" s="32"/>
      <c r="AN402" s="32"/>
      <c r="AO402" s="32"/>
      <c r="AP402" s="32"/>
    </row>
    <row r="403" ht="17.25" customHeight="1">
      <c r="A403" s="107"/>
      <c r="B403" s="107"/>
      <c r="C403" s="107"/>
      <c r="D403" s="107"/>
      <c r="E403" s="107"/>
      <c r="F403" s="32"/>
      <c r="G403" s="32"/>
      <c r="H403" s="32"/>
      <c r="I403" s="32"/>
      <c r="J403" s="32"/>
      <c r="K403" s="32"/>
      <c r="L403" s="32"/>
      <c r="M403" s="32"/>
      <c r="N403" s="32"/>
      <c r="O403" s="32"/>
      <c r="P403" s="107"/>
      <c r="Q403" s="107"/>
      <c r="R403" s="107"/>
      <c r="S403" s="32"/>
      <c r="T403" s="32"/>
      <c r="U403" s="32"/>
      <c r="V403" s="32"/>
      <c r="W403" s="32"/>
      <c r="X403" s="32"/>
      <c r="Y403" s="32"/>
      <c r="Z403" s="32"/>
      <c r="AA403" s="32"/>
      <c r="AB403" s="32"/>
      <c r="AC403" s="32"/>
      <c r="AD403" s="32"/>
      <c r="AE403" s="32"/>
      <c r="AF403" s="32"/>
      <c r="AG403" s="32"/>
      <c r="AH403" s="32"/>
      <c r="AI403" s="32"/>
      <c r="AJ403" s="32"/>
      <c r="AK403" s="32"/>
      <c r="AL403" s="32"/>
      <c r="AM403" s="32"/>
      <c r="AN403" s="32"/>
      <c r="AO403" s="32"/>
      <c r="AP403" s="32"/>
    </row>
    <row r="404" ht="17.25" customHeight="1">
      <c r="A404" s="107"/>
      <c r="B404" s="107"/>
      <c r="C404" s="107"/>
      <c r="D404" s="107"/>
      <c r="E404" s="107"/>
      <c r="F404" s="32"/>
      <c r="G404" s="32"/>
      <c r="H404" s="32"/>
      <c r="I404" s="32"/>
      <c r="J404" s="32"/>
      <c r="K404" s="32"/>
      <c r="L404" s="32"/>
      <c r="M404" s="32"/>
      <c r="N404" s="32"/>
      <c r="O404" s="32"/>
      <c r="P404" s="107"/>
      <c r="Q404" s="107"/>
      <c r="R404" s="107"/>
      <c r="S404" s="32"/>
      <c r="T404" s="32"/>
      <c r="U404" s="32"/>
      <c r="V404" s="32"/>
      <c r="W404" s="32"/>
      <c r="X404" s="32"/>
      <c r="Y404" s="32"/>
      <c r="Z404" s="32"/>
      <c r="AA404" s="32"/>
      <c r="AB404" s="32"/>
      <c r="AC404" s="32"/>
      <c r="AD404" s="32"/>
      <c r="AE404" s="32"/>
      <c r="AF404" s="32"/>
      <c r="AG404" s="32"/>
      <c r="AH404" s="32"/>
      <c r="AI404" s="32"/>
      <c r="AJ404" s="32"/>
      <c r="AK404" s="32"/>
      <c r="AL404" s="32"/>
      <c r="AM404" s="32"/>
      <c r="AN404" s="32"/>
      <c r="AO404" s="32"/>
      <c r="AP404" s="32"/>
    </row>
    <row r="405" ht="17.25" customHeight="1">
      <c r="A405" s="107"/>
      <c r="B405" s="107"/>
      <c r="C405" s="107"/>
      <c r="D405" s="107"/>
      <c r="E405" s="107"/>
      <c r="F405" s="32"/>
      <c r="G405" s="32"/>
      <c r="H405" s="32"/>
      <c r="I405" s="32"/>
      <c r="J405" s="32"/>
      <c r="K405" s="32"/>
      <c r="L405" s="32"/>
      <c r="M405" s="32"/>
      <c r="N405" s="32"/>
      <c r="O405" s="32"/>
      <c r="P405" s="107"/>
      <c r="Q405" s="107"/>
      <c r="R405" s="107"/>
      <c r="S405" s="32"/>
      <c r="T405" s="32"/>
      <c r="U405" s="32"/>
      <c r="V405" s="32"/>
      <c r="W405" s="32"/>
      <c r="X405" s="32"/>
      <c r="Y405" s="32"/>
      <c r="Z405" s="32"/>
      <c r="AA405" s="32"/>
      <c r="AB405" s="32"/>
      <c r="AC405" s="32"/>
      <c r="AD405" s="32"/>
      <c r="AE405" s="32"/>
      <c r="AF405" s="32"/>
      <c r="AG405" s="32"/>
      <c r="AH405" s="32"/>
      <c r="AI405" s="32"/>
      <c r="AJ405" s="32"/>
      <c r="AK405" s="32"/>
      <c r="AL405" s="32"/>
      <c r="AM405" s="32"/>
      <c r="AN405" s="32"/>
      <c r="AO405" s="32"/>
      <c r="AP405" s="32"/>
    </row>
    <row r="406" ht="17.25" customHeight="1">
      <c r="A406" s="107"/>
      <c r="B406" s="107"/>
      <c r="C406" s="107"/>
      <c r="D406" s="107"/>
      <c r="E406" s="107"/>
      <c r="F406" s="32"/>
      <c r="G406" s="32"/>
      <c r="H406" s="32"/>
      <c r="I406" s="32"/>
      <c r="J406" s="32"/>
      <c r="K406" s="32"/>
      <c r="L406" s="32"/>
      <c r="M406" s="32"/>
      <c r="N406" s="32"/>
      <c r="O406" s="32"/>
      <c r="P406" s="107"/>
      <c r="Q406" s="107"/>
      <c r="R406" s="107"/>
      <c r="S406" s="32"/>
      <c r="T406" s="32"/>
      <c r="U406" s="32"/>
      <c r="V406" s="32"/>
      <c r="W406" s="32"/>
      <c r="X406" s="32"/>
      <c r="Y406" s="32"/>
      <c r="Z406" s="32"/>
      <c r="AA406" s="32"/>
      <c r="AB406" s="32"/>
      <c r="AC406" s="32"/>
      <c r="AD406" s="32"/>
      <c r="AE406" s="32"/>
      <c r="AF406" s="32"/>
      <c r="AG406" s="32"/>
      <c r="AH406" s="32"/>
      <c r="AI406" s="32"/>
      <c r="AJ406" s="32"/>
      <c r="AK406" s="32"/>
      <c r="AL406" s="32"/>
      <c r="AM406" s="32"/>
      <c r="AN406" s="32"/>
      <c r="AO406" s="32"/>
      <c r="AP406" s="32"/>
    </row>
    <row r="407" ht="17.25" customHeight="1">
      <c r="A407" s="107"/>
      <c r="B407" s="107"/>
      <c r="C407" s="107"/>
      <c r="D407" s="107"/>
      <c r="E407" s="107"/>
      <c r="F407" s="32"/>
      <c r="G407" s="32"/>
      <c r="H407" s="32"/>
      <c r="I407" s="32"/>
      <c r="J407" s="32"/>
      <c r="K407" s="32"/>
      <c r="L407" s="32"/>
      <c r="M407" s="32"/>
      <c r="N407" s="32"/>
      <c r="O407" s="32"/>
      <c r="P407" s="107"/>
      <c r="Q407" s="107"/>
      <c r="R407" s="107"/>
      <c r="S407" s="32"/>
      <c r="T407" s="32"/>
      <c r="U407" s="32"/>
      <c r="V407" s="32"/>
      <c r="W407" s="32"/>
      <c r="X407" s="32"/>
      <c r="Y407" s="32"/>
      <c r="Z407" s="32"/>
      <c r="AA407" s="32"/>
      <c r="AB407" s="32"/>
      <c r="AC407" s="32"/>
      <c r="AD407" s="32"/>
      <c r="AE407" s="32"/>
      <c r="AF407" s="32"/>
      <c r="AG407" s="32"/>
      <c r="AH407" s="32"/>
      <c r="AI407" s="32"/>
      <c r="AJ407" s="32"/>
      <c r="AK407" s="32"/>
      <c r="AL407" s="32"/>
      <c r="AM407" s="32"/>
      <c r="AN407" s="32"/>
      <c r="AO407" s="32"/>
      <c r="AP407" s="32"/>
    </row>
    <row r="408" ht="17.25" customHeight="1">
      <c r="A408" s="107"/>
      <c r="B408" s="107"/>
      <c r="C408" s="107"/>
      <c r="D408" s="107"/>
      <c r="E408" s="107"/>
      <c r="F408" s="32"/>
      <c r="G408" s="32"/>
      <c r="H408" s="32"/>
      <c r="I408" s="32"/>
      <c r="J408" s="32"/>
      <c r="K408" s="32"/>
      <c r="L408" s="32"/>
      <c r="M408" s="32"/>
      <c r="N408" s="32"/>
      <c r="O408" s="32"/>
      <c r="P408" s="107"/>
      <c r="Q408" s="107"/>
      <c r="R408" s="107"/>
      <c r="S408" s="32"/>
      <c r="T408" s="32"/>
      <c r="U408" s="32"/>
      <c r="V408" s="32"/>
      <c r="W408" s="32"/>
      <c r="X408" s="32"/>
      <c r="Y408" s="32"/>
      <c r="Z408" s="32"/>
      <c r="AA408" s="32"/>
      <c r="AB408" s="32"/>
      <c r="AC408" s="32"/>
      <c r="AD408" s="32"/>
      <c r="AE408" s="32"/>
      <c r="AF408" s="32"/>
      <c r="AG408" s="32"/>
      <c r="AH408" s="32"/>
      <c r="AI408" s="32"/>
      <c r="AJ408" s="32"/>
      <c r="AK408" s="32"/>
      <c r="AL408" s="32"/>
      <c r="AM408" s="32"/>
      <c r="AN408" s="32"/>
      <c r="AO408" s="32"/>
      <c r="AP408" s="32"/>
    </row>
    <row r="409" ht="17.25" customHeight="1">
      <c r="A409" s="107"/>
      <c r="B409" s="107"/>
      <c r="C409" s="107"/>
      <c r="D409" s="107"/>
      <c r="E409" s="107"/>
      <c r="F409" s="32"/>
      <c r="G409" s="32"/>
      <c r="H409" s="32"/>
      <c r="I409" s="32"/>
      <c r="J409" s="32"/>
      <c r="K409" s="32"/>
      <c r="L409" s="32"/>
      <c r="M409" s="32"/>
      <c r="N409" s="32"/>
      <c r="O409" s="32"/>
      <c r="P409" s="107"/>
      <c r="Q409" s="107"/>
      <c r="R409" s="107"/>
      <c r="S409" s="32"/>
      <c r="T409" s="32"/>
      <c r="U409" s="32"/>
      <c r="V409" s="32"/>
      <c r="W409" s="32"/>
      <c r="X409" s="32"/>
      <c r="Y409" s="32"/>
      <c r="Z409" s="32"/>
      <c r="AA409" s="32"/>
      <c r="AB409" s="32"/>
      <c r="AC409" s="32"/>
      <c r="AD409" s="32"/>
      <c r="AE409" s="32"/>
      <c r="AF409" s="32"/>
      <c r="AG409" s="32"/>
      <c r="AH409" s="32"/>
      <c r="AI409" s="32"/>
      <c r="AJ409" s="32"/>
      <c r="AK409" s="32"/>
      <c r="AL409" s="32"/>
      <c r="AM409" s="32"/>
      <c r="AN409" s="32"/>
      <c r="AO409" s="32"/>
      <c r="AP409" s="32"/>
    </row>
    <row r="410" ht="17.25" customHeight="1">
      <c r="A410" s="107"/>
      <c r="B410" s="107"/>
      <c r="C410" s="107"/>
      <c r="D410" s="107"/>
      <c r="E410" s="107"/>
      <c r="F410" s="32"/>
      <c r="G410" s="32"/>
      <c r="H410" s="32"/>
      <c r="I410" s="32"/>
      <c r="J410" s="32"/>
      <c r="K410" s="32"/>
      <c r="L410" s="32"/>
      <c r="M410" s="32"/>
      <c r="N410" s="32"/>
      <c r="O410" s="32"/>
      <c r="P410" s="107"/>
      <c r="Q410" s="107"/>
      <c r="R410" s="107"/>
      <c r="S410" s="32"/>
      <c r="T410" s="32"/>
      <c r="U410" s="32"/>
      <c r="V410" s="32"/>
      <c r="W410" s="32"/>
      <c r="X410" s="32"/>
      <c r="Y410" s="32"/>
      <c r="Z410" s="32"/>
      <c r="AA410" s="32"/>
      <c r="AB410" s="32"/>
      <c r="AC410" s="32"/>
      <c r="AD410" s="32"/>
      <c r="AE410" s="32"/>
      <c r="AF410" s="32"/>
      <c r="AG410" s="32"/>
      <c r="AH410" s="32"/>
      <c r="AI410" s="32"/>
      <c r="AJ410" s="32"/>
      <c r="AK410" s="32"/>
      <c r="AL410" s="32"/>
      <c r="AM410" s="32"/>
      <c r="AN410" s="32"/>
      <c r="AO410" s="32"/>
      <c r="AP410" s="32"/>
    </row>
    <row r="411" ht="17.25" customHeight="1">
      <c r="A411" s="107"/>
      <c r="B411" s="107"/>
      <c r="C411" s="107"/>
      <c r="D411" s="107"/>
      <c r="E411" s="107"/>
      <c r="F411" s="32"/>
      <c r="G411" s="32"/>
      <c r="H411" s="32"/>
      <c r="I411" s="32"/>
      <c r="J411" s="32"/>
      <c r="K411" s="32"/>
      <c r="L411" s="32"/>
      <c r="M411" s="32"/>
      <c r="N411" s="32"/>
      <c r="O411" s="32"/>
      <c r="P411" s="107"/>
      <c r="Q411" s="107"/>
      <c r="R411" s="107"/>
      <c r="S411" s="32"/>
      <c r="T411" s="32"/>
      <c r="U411" s="32"/>
      <c r="V411" s="32"/>
      <c r="W411" s="32"/>
      <c r="X411" s="32"/>
      <c r="Y411" s="32"/>
      <c r="Z411" s="32"/>
      <c r="AA411" s="32"/>
      <c r="AB411" s="32"/>
      <c r="AC411" s="32"/>
      <c r="AD411" s="32"/>
      <c r="AE411" s="32"/>
      <c r="AF411" s="32"/>
      <c r="AG411" s="32"/>
      <c r="AH411" s="32"/>
      <c r="AI411" s="32"/>
      <c r="AJ411" s="32"/>
      <c r="AK411" s="32"/>
      <c r="AL411" s="32"/>
      <c r="AM411" s="32"/>
      <c r="AN411" s="32"/>
      <c r="AO411" s="32"/>
      <c r="AP411" s="32"/>
    </row>
    <row r="412" ht="17.25" customHeight="1">
      <c r="A412" s="107"/>
      <c r="B412" s="107"/>
      <c r="C412" s="107"/>
      <c r="D412" s="107"/>
      <c r="E412" s="107"/>
      <c r="F412" s="32"/>
      <c r="G412" s="32"/>
      <c r="H412" s="32"/>
      <c r="I412" s="32"/>
      <c r="J412" s="32"/>
      <c r="K412" s="32"/>
      <c r="L412" s="32"/>
      <c r="M412" s="32"/>
      <c r="N412" s="32"/>
      <c r="O412" s="32"/>
      <c r="P412" s="107"/>
      <c r="Q412" s="107"/>
      <c r="R412" s="107"/>
      <c r="S412" s="32"/>
      <c r="T412" s="32"/>
      <c r="U412" s="32"/>
      <c r="V412" s="32"/>
      <c r="W412" s="32"/>
      <c r="X412" s="32"/>
      <c r="Y412" s="32"/>
      <c r="Z412" s="32"/>
      <c r="AA412" s="32"/>
      <c r="AB412" s="32"/>
      <c r="AC412" s="32"/>
      <c r="AD412" s="32"/>
      <c r="AE412" s="32"/>
      <c r="AF412" s="32"/>
      <c r="AG412" s="32"/>
      <c r="AH412" s="32"/>
      <c r="AI412" s="32"/>
      <c r="AJ412" s="32"/>
      <c r="AK412" s="32"/>
      <c r="AL412" s="32"/>
      <c r="AM412" s="32"/>
      <c r="AN412" s="32"/>
      <c r="AO412" s="32"/>
      <c r="AP412" s="32"/>
    </row>
    <row r="413" ht="17.25" customHeight="1">
      <c r="A413" s="107"/>
      <c r="B413" s="107"/>
      <c r="C413" s="107"/>
      <c r="D413" s="107"/>
      <c r="E413" s="107"/>
      <c r="F413" s="32"/>
      <c r="G413" s="32"/>
      <c r="H413" s="32"/>
      <c r="I413" s="32"/>
      <c r="J413" s="32"/>
      <c r="K413" s="32"/>
      <c r="L413" s="32"/>
      <c r="M413" s="32"/>
      <c r="N413" s="32"/>
      <c r="O413" s="32"/>
      <c r="P413" s="107"/>
      <c r="Q413" s="107"/>
      <c r="R413" s="107"/>
      <c r="S413" s="32"/>
      <c r="T413" s="32"/>
      <c r="U413" s="32"/>
      <c r="V413" s="32"/>
      <c r="W413" s="32"/>
      <c r="X413" s="32"/>
      <c r="Y413" s="32"/>
      <c r="Z413" s="32"/>
      <c r="AA413" s="32"/>
      <c r="AB413" s="32"/>
      <c r="AC413" s="32"/>
      <c r="AD413" s="32"/>
      <c r="AE413" s="32"/>
      <c r="AF413" s="32"/>
      <c r="AG413" s="32"/>
      <c r="AH413" s="32"/>
      <c r="AI413" s="32"/>
      <c r="AJ413" s="32"/>
      <c r="AK413" s="32"/>
      <c r="AL413" s="32"/>
      <c r="AM413" s="32"/>
      <c r="AN413" s="32"/>
      <c r="AO413" s="32"/>
      <c r="AP413" s="32"/>
    </row>
    <row r="414" ht="17.25" customHeight="1">
      <c r="A414" s="107"/>
      <c r="B414" s="107"/>
      <c r="C414" s="107"/>
      <c r="D414" s="107"/>
      <c r="E414" s="107"/>
      <c r="F414" s="32"/>
      <c r="G414" s="32"/>
      <c r="H414" s="32"/>
      <c r="I414" s="32"/>
      <c r="J414" s="32"/>
      <c r="K414" s="32"/>
      <c r="L414" s="32"/>
      <c r="M414" s="32"/>
      <c r="N414" s="32"/>
      <c r="O414" s="32"/>
      <c r="P414" s="107"/>
      <c r="Q414" s="107"/>
      <c r="R414" s="107"/>
      <c r="S414" s="32"/>
      <c r="T414" s="32"/>
      <c r="U414" s="32"/>
      <c r="V414" s="32"/>
      <c r="W414" s="32"/>
      <c r="X414" s="32"/>
      <c r="Y414" s="32"/>
      <c r="Z414" s="32"/>
      <c r="AA414" s="32"/>
      <c r="AB414" s="32"/>
      <c r="AC414" s="32"/>
      <c r="AD414" s="32"/>
      <c r="AE414" s="32"/>
      <c r="AF414" s="32"/>
      <c r="AG414" s="32"/>
      <c r="AH414" s="32"/>
      <c r="AI414" s="32"/>
      <c r="AJ414" s="32"/>
      <c r="AK414" s="32"/>
      <c r="AL414" s="32"/>
      <c r="AM414" s="32"/>
      <c r="AN414" s="32"/>
      <c r="AO414" s="32"/>
      <c r="AP414" s="32"/>
    </row>
    <row r="415" ht="17.25" customHeight="1">
      <c r="A415" s="107"/>
      <c r="B415" s="107"/>
      <c r="C415" s="107"/>
      <c r="D415" s="107"/>
      <c r="E415" s="107"/>
      <c r="F415" s="32"/>
      <c r="G415" s="32"/>
      <c r="H415" s="32"/>
      <c r="I415" s="32"/>
      <c r="J415" s="32"/>
      <c r="K415" s="32"/>
      <c r="L415" s="32"/>
      <c r="M415" s="32"/>
      <c r="N415" s="32"/>
      <c r="O415" s="32"/>
      <c r="P415" s="107"/>
      <c r="Q415" s="107"/>
      <c r="R415" s="107"/>
      <c r="S415" s="32"/>
      <c r="T415" s="32"/>
      <c r="U415" s="32"/>
      <c r="V415" s="32"/>
      <c r="W415" s="32"/>
      <c r="X415" s="32"/>
      <c r="Y415" s="32"/>
      <c r="Z415" s="32"/>
      <c r="AA415" s="32"/>
      <c r="AB415" s="32"/>
      <c r="AC415" s="32"/>
      <c r="AD415" s="32"/>
      <c r="AE415" s="32"/>
      <c r="AF415" s="32"/>
      <c r="AG415" s="32"/>
      <c r="AH415" s="32"/>
      <c r="AI415" s="32"/>
      <c r="AJ415" s="32"/>
      <c r="AK415" s="32"/>
      <c r="AL415" s="32"/>
      <c r="AM415" s="32"/>
      <c r="AN415" s="32"/>
      <c r="AO415" s="32"/>
      <c r="AP415" s="32"/>
    </row>
    <row r="416" ht="17.25" customHeight="1">
      <c r="A416" s="107"/>
      <c r="B416" s="107"/>
      <c r="C416" s="107"/>
      <c r="D416" s="107"/>
      <c r="E416" s="107"/>
      <c r="F416" s="32"/>
      <c r="G416" s="32"/>
      <c r="H416" s="32"/>
      <c r="I416" s="32"/>
      <c r="J416" s="32"/>
      <c r="K416" s="32"/>
      <c r="L416" s="32"/>
      <c r="M416" s="32"/>
      <c r="N416" s="32"/>
      <c r="O416" s="32"/>
      <c r="P416" s="107"/>
      <c r="Q416" s="107"/>
      <c r="R416" s="107"/>
      <c r="S416" s="32"/>
      <c r="T416" s="32"/>
      <c r="U416" s="32"/>
      <c r="V416" s="32"/>
      <c r="W416" s="32"/>
      <c r="X416" s="32"/>
      <c r="Y416" s="32"/>
      <c r="Z416" s="32"/>
      <c r="AA416" s="32"/>
      <c r="AB416" s="32"/>
      <c r="AC416" s="32"/>
      <c r="AD416" s="32"/>
      <c r="AE416" s="32"/>
      <c r="AF416" s="32"/>
      <c r="AG416" s="32"/>
      <c r="AH416" s="32"/>
      <c r="AI416" s="32"/>
      <c r="AJ416" s="32"/>
      <c r="AK416" s="32"/>
      <c r="AL416" s="32"/>
      <c r="AM416" s="32"/>
      <c r="AN416" s="32"/>
      <c r="AO416" s="32"/>
      <c r="AP416" s="32"/>
    </row>
    <row r="417" ht="17.25" customHeight="1">
      <c r="A417" s="107"/>
      <c r="B417" s="107"/>
      <c r="C417" s="107"/>
      <c r="D417" s="107"/>
      <c r="E417" s="107"/>
      <c r="F417" s="32"/>
      <c r="G417" s="32"/>
      <c r="H417" s="32"/>
      <c r="I417" s="32"/>
      <c r="J417" s="32"/>
      <c r="K417" s="32"/>
      <c r="L417" s="32"/>
      <c r="M417" s="32"/>
      <c r="N417" s="32"/>
      <c r="O417" s="32"/>
      <c r="P417" s="107"/>
      <c r="Q417" s="107"/>
      <c r="R417" s="107"/>
      <c r="S417" s="32"/>
      <c r="T417" s="32"/>
      <c r="U417" s="32"/>
      <c r="V417" s="32"/>
      <c r="W417" s="32"/>
      <c r="X417" s="32"/>
      <c r="Y417" s="32"/>
      <c r="Z417" s="32"/>
      <c r="AA417" s="32"/>
      <c r="AB417" s="32"/>
      <c r="AC417" s="32"/>
      <c r="AD417" s="32"/>
      <c r="AE417" s="32"/>
      <c r="AF417" s="32"/>
      <c r="AG417" s="32"/>
      <c r="AH417" s="32"/>
      <c r="AI417" s="32"/>
      <c r="AJ417" s="32"/>
      <c r="AK417" s="32"/>
      <c r="AL417" s="32"/>
      <c r="AM417" s="32"/>
      <c r="AN417" s="32"/>
      <c r="AO417" s="32"/>
      <c r="AP417" s="32"/>
    </row>
    <row r="418" ht="17.25" customHeight="1">
      <c r="A418" s="107"/>
      <c r="B418" s="107"/>
      <c r="C418" s="107"/>
      <c r="D418" s="107"/>
      <c r="E418" s="107"/>
      <c r="F418" s="32"/>
      <c r="G418" s="32"/>
      <c r="H418" s="32"/>
      <c r="I418" s="32"/>
      <c r="J418" s="32"/>
      <c r="K418" s="32"/>
      <c r="L418" s="32"/>
      <c r="M418" s="32"/>
      <c r="N418" s="32"/>
      <c r="O418" s="32"/>
      <c r="P418" s="107"/>
      <c r="Q418" s="107"/>
      <c r="R418" s="107"/>
      <c r="S418" s="32"/>
      <c r="T418" s="32"/>
      <c r="U418" s="32"/>
      <c r="V418" s="32"/>
      <c r="W418" s="32"/>
      <c r="X418" s="32"/>
      <c r="Y418" s="32"/>
      <c r="Z418" s="32"/>
      <c r="AA418" s="32"/>
      <c r="AB418" s="32"/>
      <c r="AC418" s="32"/>
      <c r="AD418" s="32"/>
      <c r="AE418" s="32"/>
      <c r="AF418" s="32"/>
      <c r="AG418" s="32"/>
      <c r="AH418" s="32"/>
      <c r="AI418" s="32"/>
      <c r="AJ418" s="32"/>
      <c r="AK418" s="32"/>
      <c r="AL418" s="32"/>
      <c r="AM418" s="32"/>
      <c r="AN418" s="32"/>
      <c r="AO418" s="32"/>
      <c r="AP418" s="32"/>
    </row>
    <row r="419" ht="17.25" customHeight="1">
      <c r="A419" s="107"/>
      <c r="B419" s="107"/>
      <c r="C419" s="107"/>
      <c r="D419" s="107"/>
      <c r="E419" s="107"/>
      <c r="F419" s="32"/>
      <c r="G419" s="32"/>
      <c r="H419" s="32"/>
      <c r="I419" s="32"/>
      <c r="J419" s="32"/>
      <c r="K419" s="32"/>
      <c r="L419" s="32"/>
      <c r="M419" s="32"/>
      <c r="N419" s="32"/>
      <c r="O419" s="32"/>
      <c r="P419" s="107"/>
      <c r="Q419" s="107"/>
      <c r="R419" s="107"/>
      <c r="S419" s="32"/>
      <c r="T419" s="32"/>
      <c r="U419" s="32"/>
      <c r="V419" s="32"/>
      <c r="W419" s="32"/>
      <c r="X419" s="32"/>
      <c r="Y419" s="32"/>
      <c r="Z419" s="32"/>
      <c r="AA419" s="32"/>
      <c r="AB419" s="32"/>
      <c r="AC419" s="32"/>
      <c r="AD419" s="32"/>
      <c r="AE419" s="32"/>
      <c r="AF419" s="32"/>
      <c r="AG419" s="32"/>
      <c r="AH419" s="32"/>
      <c r="AI419" s="32"/>
      <c r="AJ419" s="32"/>
      <c r="AK419" s="32"/>
      <c r="AL419" s="32"/>
      <c r="AM419" s="32"/>
      <c r="AN419" s="32"/>
      <c r="AO419" s="32"/>
      <c r="AP419" s="32"/>
    </row>
    <row r="420" ht="17.25" customHeight="1">
      <c r="A420" s="107"/>
      <c r="B420" s="107"/>
      <c r="C420" s="107"/>
      <c r="D420" s="107"/>
      <c r="E420" s="107"/>
      <c r="F420" s="32"/>
      <c r="G420" s="32"/>
      <c r="H420" s="32"/>
      <c r="I420" s="32"/>
      <c r="J420" s="32"/>
      <c r="K420" s="32"/>
      <c r="L420" s="32"/>
      <c r="M420" s="32"/>
      <c r="N420" s="32"/>
      <c r="O420" s="32"/>
      <c r="P420" s="107"/>
      <c r="Q420" s="107"/>
      <c r="R420" s="107"/>
      <c r="S420" s="32"/>
      <c r="T420" s="32"/>
      <c r="U420" s="32"/>
      <c r="V420" s="32"/>
      <c r="W420" s="32"/>
      <c r="X420" s="32"/>
      <c r="Y420" s="32"/>
      <c r="Z420" s="32"/>
      <c r="AA420" s="32"/>
      <c r="AB420" s="32"/>
      <c r="AC420" s="32"/>
      <c r="AD420" s="32"/>
      <c r="AE420" s="32"/>
      <c r="AF420" s="32"/>
      <c r="AG420" s="32"/>
      <c r="AH420" s="32"/>
      <c r="AI420" s="32"/>
      <c r="AJ420" s="32"/>
      <c r="AK420" s="32"/>
      <c r="AL420" s="32"/>
      <c r="AM420" s="32"/>
      <c r="AN420" s="32"/>
      <c r="AO420" s="32"/>
      <c r="AP420" s="32"/>
    </row>
    <row r="421" ht="17.25" customHeight="1">
      <c r="A421" s="107"/>
      <c r="B421" s="107"/>
      <c r="C421" s="107"/>
      <c r="D421" s="107"/>
      <c r="E421" s="107"/>
      <c r="F421" s="32"/>
      <c r="G421" s="32"/>
      <c r="H421" s="32"/>
      <c r="I421" s="32"/>
      <c r="J421" s="32"/>
      <c r="K421" s="32"/>
      <c r="L421" s="32"/>
      <c r="M421" s="32"/>
      <c r="N421" s="32"/>
      <c r="O421" s="32"/>
      <c r="P421" s="107"/>
      <c r="Q421" s="107"/>
      <c r="R421" s="107"/>
      <c r="S421" s="32"/>
      <c r="T421" s="32"/>
      <c r="U421" s="32"/>
      <c r="V421" s="32"/>
      <c r="W421" s="32"/>
      <c r="X421" s="32"/>
      <c r="Y421" s="32"/>
      <c r="Z421" s="32"/>
      <c r="AA421" s="32"/>
      <c r="AB421" s="32"/>
      <c r="AC421" s="32"/>
      <c r="AD421" s="32"/>
      <c r="AE421" s="32"/>
      <c r="AF421" s="32"/>
      <c r="AG421" s="32"/>
      <c r="AH421" s="32"/>
      <c r="AI421" s="32"/>
      <c r="AJ421" s="32"/>
      <c r="AK421" s="32"/>
      <c r="AL421" s="32"/>
      <c r="AM421" s="32"/>
      <c r="AN421" s="32"/>
      <c r="AO421" s="32"/>
      <c r="AP421" s="32"/>
    </row>
    <row r="422" ht="17.25" customHeight="1">
      <c r="A422" s="107"/>
      <c r="B422" s="107"/>
      <c r="C422" s="107"/>
      <c r="D422" s="107"/>
      <c r="E422" s="107"/>
      <c r="F422" s="32"/>
      <c r="G422" s="32"/>
      <c r="H422" s="32"/>
      <c r="I422" s="32"/>
      <c r="J422" s="32"/>
      <c r="K422" s="32"/>
      <c r="L422" s="32"/>
      <c r="M422" s="32"/>
      <c r="N422" s="32"/>
      <c r="O422" s="32"/>
      <c r="P422" s="107"/>
      <c r="Q422" s="107"/>
      <c r="R422" s="107"/>
      <c r="S422" s="32"/>
      <c r="T422" s="32"/>
      <c r="U422" s="32"/>
      <c r="V422" s="32"/>
      <c r="W422" s="32"/>
      <c r="X422" s="32"/>
      <c r="Y422" s="32"/>
      <c r="Z422" s="32"/>
      <c r="AA422" s="32"/>
      <c r="AB422" s="32"/>
      <c r="AC422" s="32"/>
      <c r="AD422" s="32"/>
      <c r="AE422" s="32"/>
      <c r="AF422" s="32"/>
      <c r="AG422" s="32"/>
      <c r="AH422" s="32"/>
      <c r="AI422" s="32"/>
      <c r="AJ422" s="32"/>
      <c r="AK422" s="32"/>
      <c r="AL422" s="32"/>
      <c r="AM422" s="32"/>
      <c r="AN422" s="32"/>
      <c r="AO422" s="32"/>
      <c r="AP422" s="32"/>
    </row>
    <row r="423" ht="17.25" customHeight="1">
      <c r="A423" s="107"/>
      <c r="B423" s="107"/>
      <c r="C423" s="107"/>
      <c r="D423" s="107"/>
      <c r="E423" s="107"/>
      <c r="F423" s="32"/>
      <c r="G423" s="32"/>
      <c r="H423" s="32"/>
      <c r="I423" s="32"/>
      <c r="J423" s="32"/>
      <c r="K423" s="32"/>
      <c r="L423" s="32"/>
      <c r="M423" s="32"/>
      <c r="N423" s="32"/>
      <c r="O423" s="32"/>
      <c r="P423" s="107"/>
      <c r="Q423" s="107"/>
      <c r="R423" s="107"/>
      <c r="S423" s="32"/>
      <c r="T423" s="32"/>
      <c r="U423" s="32"/>
      <c r="V423" s="32"/>
      <c r="W423" s="32"/>
      <c r="X423" s="32"/>
      <c r="Y423" s="32"/>
      <c r="Z423" s="32"/>
      <c r="AA423" s="32"/>
      <c r="AB423" s="32"/>
      <c r="AC423" s="32"/>
      <c r="AD423" s="32"/>
      <c r="AE423" s="32"/>
      <c r="AF423" s="32"/>
      <c r="AG423" s="32"/>
      <c r="AH423" s="32"/>
      <c r="AI423" s="32"/>
      <c r="AJ423" s="32"/>
      <c r="AK423" s="32"/>
      <c r="AL423" s="32"/>
      <c r="AM423" s="32"/>
      <c r="AN423" s="32"/>
      <c r="AO423" s="32"/>
      <c r="AP423" s="32"/>
    </row>
    <row r="424" ht="17.25" customHeight="1">
      <c r="A424" s="107"/>
      <c r="B424" s="107"/>
      <c r="C424" s="107"/>
      <c r="D424" s="107"/>
      <c r="E424" s="107"/>
      <c r="F424" s="32"/>
      <c r="G424" s="32"/>
      <c r="H424" s="32"/>
      <c r="I424" s="32"/>
      <c r="J424" s="32"/>
      <c r="K424" s="32"/>
      <c r="L424" s="32"/>
      <c r="M424" s="32"/>
      <c r="N424" s="32"/>
      <c r="O424" s="32"/>
      <c r="P424" s="107"/>
      <c r="Q424" s="107"/>
      <c r="R424" s="107"/>
      <c r="S424" s="32"/>
      <c r="T424" s="32"/>
      <c r="U424" s="32"/>
      <c r="V424" s="32"/>
      <c r="W424" s="32"/>
      <c r="X424" s="32"/>
      <c r="Y424" s="32"/>
      <c r="Z424" s="32"/>
      <c r="AA424" s="32"/>
      <c r="AB424" s="32"/>
      <c r="AC424" s="32"/>
      <c r="AD424" s="32"/>
      <c r="AE424" s="32"/>
      <c r="AF424" s="32"/>
      <c r="AG424" s="32"/>
      <c r="AH424" s="32"/>
      <c r="AI424" s="32"/>
      <c r="AJ424" s="32"/>
      <c r="AK424" s="32"/>
      <c r="AL424" s="32"/>
      <c r="AM424" s="32"/>
      <c r="AN424" s="32"/>
      <c r="AO424" s="32"/>
      <c r="AP424" s="32"/>
    </row>
    <row r="425" ht="17.25" customHeight="1">
      <c r="A425" s="107"/>
      <c r="B425" s="107"/>
      <c r="C425" s="107"/>
      <c r="D425" s="107"/>
      <c r="E425" s="107"/>
      <c r="F425" s="32"/>
      <c r="G425" s="32"/>
      <c r="H425" s="32"/>
      <c r="I425" s="32"/>
      <c r="J425" s="32"/>
      <c r="K425" s="32"/>
      <c r="L425" s="32"/>
      <c r="M425" s="32"/>
      <c r="N425" s="32"/>
      <c r="O425" s="32"/>
      <c r="P425" s="107"/>
      <c r="Q425" s="107"/>
      <c r="R425" s="107"/>
      <c r="S425" s="32"/>
      <c r="T425" s="32"/>
      <c r="U425" s="32"/>
      <c r="V425" s="32"/>
      <c r="W425" s="32"/>
      <c r="X425" s="32"/>
      <c r="Y425" s="32"/>
      <c r="Z425" s="32"/>
      <c r="AA425" s="32"/>
      <c r="AB425" s="32"/>
      <c r="AC425" s="32"/>
      <c r="AD425" s="32"/>
      <c r="AE425" s="32"/>
      <c r="AF425" s="32"/>
      <c r="AG425" s="32"/>
      <c r="AH425" s="32"/>
      <c r="AI425" s="32"/>
      <c r="AJ425" s="32"/>
      <c r="AK425" s="32"/>
      <c r="AL425" s="32"/>
      <c r="AM425" s="32"/>
      <c r="AN425" s="32"/>
      <c r="AO425" s="32"/>
      <c r="AP425" s="32"/>
    </row>
    <row r="426" ht="17.25" customHeight="1">
      <c r="A426" s="107"/>
      <c r="B426" s="107"/>
      <c r="C426" s="107"/>
      <c r="D426" s="107"/>
      <c r="E426" s="107"/>
      <c r="F426" s="32"/>
      <c r="G426" s="32"/>
      <c r="H426" s="32"/>
      <c r="I426" s="32"/>
      <c r="J426" s="32"/>
      <c r="K426" s="32"/>
      <c r="L426" s="32"/>
      <c r="M426" s="32"/>
      <c r="N426" s="32"/>
      <c r="O426" s="32"/>
      <c r="P426" s="107"/>
      <c r="Q426" s="107"/>
      <c r="R426" s="107"/>
      <c r="S426" s="32"/>
      <c r="T426" s="32"/>
      <c r="U426" s="32"/>
      <c r="V426" s="32"/>
      <c r="W426" s="32"/>
      <c r="X426" s="32"/>
      <c r="Y426" s="32"/>
      <c r="Z426" s="32"/>
      <c r="AA426" s="32"/>
      <c r="AB426" s="32"/>
      <c r="AC426" s="32"/>
      <c r="AD426" s="32"/>
      <c r="AE426" s="32"/>
      <c r="AF426" s="32"/>
      <c r="AG426" s="32"/>
      <c r="AH426" s="32"/>
      <c r="AI426" s="32"/>
      <c r="AJ426" s="32"/>
      <c r="AK426" s="32"/>
      <c r="AL426" s="32"/>
      <c r="AM426" s="32"/>
      <c r="AN426" s="32"/>
      <c r="AO426" s="32"/>
      <c r="AP426" s="32"/>
    </row>
    <row r="427" ht="17.25" customHeight="1">
      <c r="A427" s="107"/>
      <c r="B427" s="107"/>
      <c r="C427" s="107"/>
      <c r="D427" s="107"/>
      <c r="E427" s="107"/>
      <c r="F427" s="32"/>
      <c r="G427" s="32"/>
      <c r="H427" s="32"/>
      <c r="I427" s="32"/>
      <c r="J427" s="32"/>
      <c r="K427" s="32"/>
      <c r="L427" s="32"/>
      <c r="M427" s="32"/>
      <c r="N427" s="32"/>
      <c r="O427" s="32"/>
      <c r="P427" s="107"/>
      <c r="Q427" s="107"/>
      <c r="R427" s="107"/>
      <c r="S427" s="32"/>
      <c r="T427" s="32"/>
      <c r="U427" s="32"/>
      <c r="V427" s="32"/>
      <c r="W427" s="32"/>
      <c r="X427" s="32"/>
      <c r="Y427" s="32"/>
      <c r="Z427" s="32"/>
      <c r="AA427" s="32"/>
      <c r="AB427" s="32"/>
      <c r="AC427" s="32"/>
      <c r="AD427" s="32"/>
      <c r="AE427" s="32"/>
      <c r="AF427" s="32"/>
      <c r="AG427" s="32"/>
      <c r="AH427" s="32"/>
      <c r="AI427" s="32"/>
      <c r="AJ427" s="32"/>
      <c r="AK427" s="32"/>
      <c r="AL427" s="32"/>
      <c r="AM427" s="32"/>
      <c r="AN427" s="32"/>
      <c r="AO427" s="32"/>
      <c r="AP427" s="32"/>
    </row>
    <row r="428" ht="17.25" customHeight="1">
      <c r="A428" s="107"/>
      <c r="B428" s="107"/>
      <c r="C428" s="107"/>
      <c r="D428" s="107"/>
      <c r="E428" s="107"/>
      <c r="F428" s="32"/>
      <c r="G428" s="32"/>
      <c r="H428" s="32"/>
      <c r="I428" s="32"/>
      <c r="J428" s="32"/>
      <c r="K428" s="32"/>
      <c r="L428" s="32"/>
      <c r="M428" s="32"/>
      <c r="N428" s="32"/>
      <c r="O428" s="32"/>
      <c r="P428" s="107"/>
      <c r="Q428" s="107"/>
      <c r="R428" s="107"/>
      <c r="S428" s="32"/>
      <c r="T428" s="32"/>
      <c r="U428" s="32"/>
      <c r="V428" s="32"/>
      <c r="W428" s="32"/>
      <c r="X428" s="32"/>
      <c r="Y428" s="32"/>
      <c r="Z428" s="32"/>
      <c r="AA428" s="32"/>
      <c r="AB428" s="32"/>
      <c r="AC428" s="32"/>
      <c r="AD428" s="32"/>
      <c r="AE428" s="32"/>
      <c r="AF428" s="32"/>
      <c r="AG428" s="32"/>
      <c r="AH428" s="32"/>
      <c r="AI428" s="32"/>
      <c r="AJ428" s="32"/>
      <c r="AK428" s="32"/>
      <c r="AL428" s="32"/>
      <c r="AM428" s="32"/>
      <c r="AN428" s="32"/>
      <c r="AO428" s="32"/>
      <c r="AP428" s="32"/>
    </row>
    <row r="429" ht="17.25" customHeight="1">
      <c r="A429" s="107"/>
      <c r="B429" s="107"/>
      <c r="C429" s="107"/>
      <c r="D429" s="107"/>
      <c r="E429" s="107"/>
      <c r="F429" s="32"/>
      <c r="G429" s="32"/>
      <c r="H429" s="32"/>
      <c r="I429" s="32"/>
      <c r="J429" s="32"/>
      <c r="K429" s="32"/>
      <c r="L429" s="32"/>
      <c r="M429" s="32"/>
      <c r="N429" s="32"/>
      <c r="O429" s="32"/>
      <c r="P429" s="107"/>
      <c r="Q429" s="107"/>
      <c r="R429" s="107"/>
      <c r="S429" s="32"/>
      <c r="T429" s="32"/>
      <c r="U429" s="32"/>
      <c r="V429" s="32"/>
      <c r="W429" s="32"/>
      <c r="X429" s="32"/>
      <c r="Y429" s="32"/>
      <c r="Z429" s="32"/>
      <c r="AA429" s="32"/>
      <c r="AB429" s="32"/>
      <c r="AC429" s="32"/>
      <c r="AD429" s="32"/>
      <c r="AE429" s="32"/>
      <c r="AF429" s="32"/>
      <c r="AG429" s="32"/>
      <c r="AH429" s="32"/>
      <c r="AI429" s="32"/>
      <c r="AJ429" s="32"/>
      <c r="AK429" s="32"/>
      <c r="AL429" s="32"/>
      <c r="AM429" s="32"/>
      <c r="AN429" s="32"/>
      <c r="AO429" s="32"/>
      <c r="AP429" s="32"/>
    </row>
    <row r="430" ht="17.25" customHeight="1">
      <c r="A430" s="107"/>
      <c r="B430" s="107"/>
      <c r="C430" s="107"/>
      <c r="D430" s="107"/>
      <c r="E430" s="107"/>
      <c r="F430" s="32"/>
      <c r="G430" s="32"/>
      <c r="H430" s="32"/>
      <c r="I430" s="32"/>
      <c r="J430" s="32"/>
      <c r="K430" s="32"/>
      <c r="L430" s="32"/>
      <c r="M430" s="32"/>
      <c r="N430" s="32"/>
      <c r="O430" s="32"/>
      <c r="P430" s="107"/>
      <c r="Q430" s="107"/>
      <c r="R430" s="107"/>
      <c r="S430" s="32"/>
      <c r="T430" s="32"/>
      <c r="U430" s="32"/>
      <c r="V430" s="32"/>
      <c r="W430" s="32"/>
      <c r="X430" s="32"/>
      <c r="Y430" s="32"/>
      <c r="Z430" s="32"/>
      <c r="AA430" s="32"/>
      <c r="AB430" s="32"/>
      <c r="AC430" s="32"/>
      <c r="AD430" s="32"/>
      <c r="AE430" s="32"/>
      <c r="AF430" s="32"/>
      <c r="AG430" s="32"/>
      <c r="AH430" s="32"/>
      <c r="AI430" s="32"/>
      <c r="AJ430" s="32"/>
      <c r="AK430" s="32"/>
      <c r="AL430" s="32"/>
      <c r="AM430" s="32"/>
      <c r="AN430" s="32"/>
      <c r="AO430" s="32"/>
      <c r="AP430" s="32"/>
    </row>
    <row r="431" ht="17.25" customHeight="1">
      <c r="A431" s="107"/>
      <c r="B431" s="107"/>
      <c r="C431" s="107"/>
      <c r="D431" s="107"/>
      <c r="E431" s="107"/>
      <c r="F431" s="32"/>
      <c r="G431" s="32"/>
      <c r="H431" s="32"/>
      <c r="I431" s="32"/>
      <c r="J431" s="32"/>
      <c r="K431" s="32"/>
      <c r="L431" s="32"/>
      <c r="M431" s="32"/>
      <c r="N431" s="32"/>
      <c r="O431" s="32"/>
      <c r="P431" s="107"/>
      <c r="Q431" s="107"/>
      <c r="R431" s="107"/>
      <c r="S431" s="32"/>
      <c r="T431" s="32"/>
      <c r="U431" s="32"/>
      <c r="V431" s="32"/>
      <c r="W431" s="32"/>
      <c r="X431" s="32"/>
      <c r="Y431" s="32"/>
      <c r="Z431" s="32"/>
      <c r="AA431" s="32"/>
      <c r="AB431" s="32"/>
      <c r="AC431" s="32"/>
      <c r="AD431" s="32"/>
      <c r="AE431" s="32"/>
      <c r="AF431" s="32"/>
      <c r="AG431" s="32"/>
      <c r="AH431" s="32"/>
      <c r="AI431" s="32"/>
      <c r="AJ431" s="32"/>
      <c r="AK431" s="32"/>
      <c r="AL431" s="32"/>
      <c r="AM431" s="32"/>
      <c r="AN431" s="32"/>
      <c r="AO431" s="32"/>
      <c r="AP431" s="32"/>
    </row>
    <row r="432" ht="17.25" customHeight="1">
      <c r="A432" s="107"/>
      <c r="B432" s="107"/>
      <c r="C432" s="107"/>
      <c r="D432" s="107"/>
      <c r="E432" s="107"/>
      <c r="F432" s="32"/>
      <c r="G432" s="32"/>
      <c r="H432" s="32"/>
      <c r="I432" s="32"/>
      <c r="J432" s="32"/>
      <c r="K432" s="32"/>
      <c r="L432" s="32"/>
      <c r="M432" s="32"/>
      <c r="N432" s="32"/>
      <c r="O432" s="32"/>
      <c r="P432" s="107"/>
      <c r="Q432" s="107"/>
      <c r="R432" s="107"/>
      <c r="S432" s="32"/>
      <c r="T432" s="32"/>
      <c r="U432" s="32"/>
      <c r="V432" s="32"/>
      <c r="W432" s="32"/>
      <c r="X432" s="32"/>
      <c r="Y432" s="32"/>
      <c r="Z432" s="32"/>
      <c r="AA432" s="32"/>
      <c r="AB432" s="32"/>
      <c r="AC432" s="32"/>
      <c r="AD432" s="32"/>
      <c r="AE432" s="32"/>
      <c r="AF432" s="32"/>
      <c r="AG432" s="32"/>
      <c r="AH432" s="32"/>
      <c r="AI432" s="32"/>
      <c r="AJ432" s="32"/>
      <c r="AK432" s="32"/>
      <c r="AL432" s="32"/>
      <c r="AM432" s="32"/>
      <c r="AN432" s="32"/>
      <c r="AO432" s="32"/>
      <c r="AP432" s="32"/>
    </row>
    <row r="433" ht="17.25" customHeight="1">
      <c r="A433" s="107"/>
      <c r="B433" s="107"/>
      <c r="C433" s="107"/>
      <c r="D433" s="107"/>
      <c r="E433" s="107"/>
      <c r="F433" s="32"/>
      <c r="G433" s="32"/>
      <c r="H433" s="32"/>
      <c r="I433" s="32"/>
      <c r="J433" s="32"/>
      <c r="K433" s="32"/>
      <c r="L433" s="32"/>
      <c r="M433" s="32"/>
      <c r="N433" s="32"/>
      <c r="O433" s="32"/>
      <c r="P433" s="107"/>
      <c r="Q433" s="107"/>
      <c r="R433" s="107"/>
      <c r="S433" s="32"/>
      <c r="T433" s="32"/>
      <c r="U433" s="32"/>
      <c r="V433" s="32"/>
      <c r="W433" s="32"/>
      <c r="X433" s="32"/>
      <c r="Y433" s="32"/>
      <c r="Z433" s="32"/>
      <c r="AA433" s="32"/>
      <c r="AB433" s="32"/>
      <c r="AC433" s="32"/>
      <c r="AD433" s="32"/>
      <c r="AE433" s="32"/>
      <c r="AF433" s="32"/>
      <c r="AG433" s="32"/>
      <c r="AH433" s="32"/>
      <c r="AI433" s="32"/>
      <c r="AJ433" s="32"/>
      <c r="AK433" s="32"/>
      <c r="AL433" s="32"/>
      <c r="AM433" s="32"/>
      <c r="AN433" s="32"/>
      <c r="AO433" s="32"/>
      <c r="AP433" s="32"/>
    </row>
    <row r="434" ht="17.25" customHeight="1">
      <c r="A434" s="107"/>
      <c r="B434" s="107"/>
      <c r="C434" s="107"/>
      <c r="D434" s="107"/>
      <c r="E434" s="107"/>
      <c r="F434" s="32"/>
      <c r="G434" s="32"/>
      <c r="H434" s="32"/>
      <c r="I434" s="32"/>
      <c r="J434" s="32"/>
      <c r="K434" s="32"/>
      <c r="L434" s="32"/>
      <c r="M434" s="32"/>
      <c r="N434" s="32"/>
      <c r="O434" s="32"/>
      <c r="P434" s="107"/>
      <c r="Q434" s="107"/>
      <c r="R434" s="107"/>
      <c r="S434" s="32"/>
      <c r="T434" s="32"/>
      <c r="U434" s="32"/>
      <c r="V434" s="32"/>
      <c r="W434" s="32"/>
      <c r="X434" s="32"/>
      <c r="Y434" s="32"/>
      <c r="Z434" s="32"/>
      <c r="AA434" s="32"/>
      <c r="AB434" s="32"/>
      <c r="AC434" s="32"/>
      <c r="AD434" s="32"/>
      <c r="AE434" s="32"/>
      <c r="AF434" s="32"/>
      <c r="AG434" s="32"/>
      <c r="AH434" s="32"/>
      <c r="AI434" s="32"/>
      <c r="AJ434" s="32"/>
      <c r="AK434" s="32"/>
      <c r="AL434" s="32"/>
      <c r="AM434" s="32"/>
      <c r="AN434" s="32"/>
      <c r="AO434" s="32"/>
      <c r="AP434" s="32"/>
    </row>
    <row r="435" ht="17.25" customHeight="1">
      <c r="A435" s="107"/>
      <c r="B435" s="107"/>
      <c r="C435" s="107"/>
      <c r="D435" s="107"/>
      <c r="E435" s="107"/>
      <c r="F435" s="32"/>
      <c r="G435" s="32"/>
      <c r="H435" s="32"/>
      <c r="I435" s="32"/>
      <c r="J435" s="32"/>
      <c r="K435" s="32"/>
      <c r="L435" s="32"/>
      <c r="M435" s="32"/>
      <c r="N435" s="32"/>
      <c r="O435" s="32"/>
      <c r="P435" s="107"/>
      <c r="Q435" s="107"/>
      <c r="R435" s="107"/>
      <c r="S435" s="32"/>
      <c r="T435" s="32"/>
      <c r="U435" s="32"/>
      <c r="V435" s="32"/>
      <c r="W435" s="32"/>
      <c r="X435" s="32"/>
      <c r="Y435" s="32"/>
      <c r="Z435" s="32"/>
      <c r="AA435" s="32"/>
      <c r="AB435" s="32"/>
      <c r="AC435" s="32"/>
      <c r="AD435" s="32"/>
      <c r="AE435" s="32"/>
      <c r="AF435" s="32"/>
      <c r="AG435" s="32"/>
      <c r="AH435" s="32"/>
      <c r="AI435" s="32"/>
      <c r="AJ435" s="32"/>
      <c r="AK435" s="32"/>
      <c r="AL435" s="32"/>
      <c r="AM435" s="32"/>
      <c r="AN435" s="32"/>
      <c r="AO435" s="32"/>
      <c r="AP435" s="32"/>
    </row>
    <row r="436" ht="17.25" customHeight="1">
      <c r="A436" s="107"/>
      <c r="B436" s="107"/>
      <c r="C436" s="107"/>
      <c r="D436" s="107"/>
      <c r="E436" s="107"/>
      <c r="F436" s="32"/>
      <c r="G436" s="32"/>
      <c r="H436" s="32"/>
      <c r="I436" s="32"/>
      <c r="J436" s="32"/>
      <c r="K436" s="32"/>
      <c r="L436" s="32"/>
      <c r="M436" s="32"/>
      <c r="N436" s="32"/>
      <c r="O436" s="32"/>
      <c r="P436" s="107"/>
      <c r="Q436" s="107"/>
      <c r="R436" s="107"/>
      <c r="S436" s="32"/>
      <c r="T436" s="32"/>
      <c r="U436" s="32"/>
      <c r="V436" s="32"/>
      <c r="W436" s="32"/>
      <c r="X436" s="32"/>
      <c r="Y436" s="32"/>
      <c r="Z436" s="32"/>
      <c r="AA436" s="32"/>
      <c r="AB436" s="32"/>
      <c r="AC436" s="32"/>
      <c r="AD436" s="32"/>
      <c r="AE436" s="32"/>
      <c r="AF436" s="32"/>
      <c r="AG436" s="32"/>
      <c r="AH436" s="32"/>
      <c r="AI436" s="32"/>
      <c r="AJ436" s="32"/>
      <c r="AK436" s="32"/>
      <c r="AL436" s="32"/>
      <c r="AM436" s="32"/>
      <c r="AN436" s="32"/>
      <c r="AO436" s="32"/>
      <c r="AP436" s="32"/>
    </row>
    <row r="437" ht="17.25" customHeight="1">
      <c r="A437" s="107"/>
      <c r="B437" s="107"/>
      <c r="C437" s="107"/>
      <c r="D437" s="107"/>
      <c r="E437" s="107"/>
      <c r="F437" s="32"/>
      <c r="G437" s="32"/>
      <c r="H437" s="32"/>
      <c r="I437" s="32"/>
      <c r="J437" s="32"/>
      <c r="K437" s="32"/>
      <c r="L437" s="32"/>
      <c r="M437" s="32"/>
      <c r="N437" s="32"/>
      <c r="O437" s="32"/>
      <c r="P437" s="107"/>
      <c r="Q437" s="107"/>
      <c r="R437" s="107"/>
      <c r="S437" s="32"/>
      <c r="T437" s="32"/>
      <c r="U437" s="32"/>
      <c r="V437" s="32"/>
      <c r="W437" s="32"/>
      <c r="X437" s="32"/>
      <c r="Y437" s="32"/>
      <c r="Z437" s="32"/>
      <c r="AA437" s="32"/>
      <c r="AB437" s="32"/>
      <c r="AC437" s="32"/>
      <c r="AD437" s="32"/>
      <c r="AE437" s="32"/>
      <c r="AF437" s="32"/>
      <c r="AG437" s="32"/>
      <c r="AH437" s="32"/>
      <c r="AI437" s="32"/>
      <c r="AJ437" s="32"/>
      <c r="AK437" s="32"/>
      <c r="AL437" s="32"/>
      <c r="AM437" s="32"/>
      <c r="AN437" s="32"/>
      <c r="AO437" s="32"/>
      <c r="AP437" s="32"/>
    </row>
    <row r="438" ht="17.25" customHeight="1">
      <c r="A438" s="107"/>
      <c r="B438" s="107"/>
      <c r="C438" s="107"/>
      <c r="D438" s="107"/>
      <c r="E438" s="107"/>
      <c r="F438" s="32"/>
      <c r="G438" s="32"/>
      <c r="H438" s="32"/>
      <c r="I438" s="32"/>
      <c r="J438" s="32"/>
      <c r="K438" s="32"/>
      <c r="L438" s="32"/>
      <c r="M438" s="32"/>
      <c r="N438" s="32"/>
      <c r="O438" s="32"/>
      <c r="P438" s="107"/>
      <c r="Q438" s="107"/>
      <c r="R438" s="107"/>
      <c r="S438" s="32"/>
      <c r="T438" s="32"/>
      <c r="U438" s="32"/>
      <c r="V438" s="32"/>
      <c r="W438" s="32"/>
      <c r="X438" s="32"/>
      <c r="Y438" s="32"/>
      <c r="Z438" s="32"/>
      <c r="AA438" s="32"/>
      <c r="AB438" s="32"/>
      <c r="AC438" s="32"/>
      <c r="AD438" s="32"/>
      <c r="AE438" s="32"/>
      <c r="AF438" s="32"/>
      <c r="AG438" s="32"/>
      <c r="AH438" s="32"/>
      <c r="AI438" s="32"/>
      <c r="AJ438" s="32"/>
      <c r="AK438" s="32"/>
      <c r="AL438" s="32"/>
      <c r="AM438" s="32"/>
      <c r="AN438" s="32"/>
      <c r="AO438" s="32"/>
      <c r="AP438" s="32"/>
    </row>
    <row r="439" ht="17.25" customHeight="1">
      <c r="A439" s="107"/>
      <c r="B439" s="107"/>
      <c r="C439" s="107"/>
      <c r="D439" s="107"/>
      <c r="E439" s="107"/>
      <c r="F439" s="32"/>
      <c r="G439" s="32"/>
      <c r="H439" s="32"/>
      <c r="I439" s="32"/>
      <c r="J439" s="32"/>
      <c r="K439" s="32"/>
      <c r="L439" s="32"/>
      <c r="M439" s="32"/>
      <c r="N439" s="32"/>
      <c r="O439" s="32"/>
      <c r="P439" s="107"/>
      <c r="Q439" s="107"/>
      <c r="R439" s="107"/>
      <c r="S439" s="32"/>
      <c r="T439" s="32"/>
      <c r="U439" s="32"/>
      <c r="V439" s="32"/>
      <c r="W439" s="32"/>
      <c r="X439" s="32"/>
      <c r="Y439" s="32"/>
      <c r="Z439" s="32"/>
      <c r="AA439" s="32"/>
      <c r="AB439" s="32"/>
      <c r="AC439" s="32"/>
      <c r="AD439" s="32"/>
      <c r="AE439" s="32"/>
      <c r="AF439" s="32"/>
      <c r="AG439" s="32"/>
      <c r="AH439" s="32"/>
      <c r="AI439" s="32"/>
      <c r="AJ439" s="32"/>
      <c r="AK439" s="32"/>
      <c r="AL439" s="32"/>
      <c r="AM439" s="32"/>
      <c r="AN439" s="32"/>
      <c r="AO439" s="32"/>
      <c r="AP439" s="32"/>
    </row>
    <row r="440" ht="17.25" customHeight="1">
      <c r="A440" s="107"/>
      <c r="B440" s="107"/>
      <c r="C440" s="107"/>
      <c r="D440" s="107"/>
      <c r="E440" s="107"/>
      <c r="F440" s="32"/>
      <c r="G440" s="32"/>
      <c r="H440" s="32"/>
      <c r="I440" s="32"/>
      <c r="J440" s="32"/>
      <c r="K440" s="32"/>
      <c r="L440" s="32"/>
      <c r="M440" s="32"/>
      <c r="N440" s="32"/>
      <c r="O440" s="32"/>
      <c r="P440" s="107"/>
      <c r="Q440" s="107"/>
      <c r="R440" s="107"/>
      <c r="S440" s="32"/>
      <c r="T440" s="32"/>
      <c r="U440" s="32"/>
      <c r="V440" s="32"/>
      <c r="W440" s="32"/>
      <c r="X440" s="32"/>
      <c r="Y440" s="32"/>
      <c r="Z440" s="32"/>
      <c r="AA440" s="32"/>
      <c r="AB440" s="32"/>
      <c r="AC440" s="32"/>
      <c r="AD440" s="32"/>
      <c r="AE440" s="32"/>
      <c r="AF440" s="32"/>
      <c r="AG440" s="32"/>
      <c r="AH440" s="32"/>
      <c r="AI440" s="32"/>
      <c r="AJ440" s="32"/>
      <c r="AK440" s="32"/>
      <c r="AL440" s="32"/>
      <c r="AM440" s="32"/>
      <c r="AN440" s="32"/>
      <c r="AO440" s="32"/>
      <c r="AP440" s="32"/>
    </row>
    <row r="441" ht="17.25" customHeight="1">
      <c r="A441" s="107"/>
      <c r="B441" s="107"/>
      <c r="C441" s="107"/>
      <c r="D441" s="107"/>
      <c r="E441" s="107"/>
      <c r="F441" s="32"/>
      <c r="G441" s="32"/>
      <c r="H441" s="32"/>
      <c r="I441" s="32"/>
      <c r="J441" s="32"/>
      <c r="K441" s="32"/>
      <c r="L441" s="32"/>
      <c r="M441" s="32"/>
      <c r="N441" s="32"/>
      <c r="O441" s="32"/>
      <c r="P441" s="107"/>
      <c r="Q441" s="107"/>
      <c r="R441" s="107"/>
      <c r="S441" s="32"/>
      <c r="T441" s="32"/>
      <c r="U441" s="32"/>
      <c r="V441" s="32"/>
      <c r="W441" s="32"/>
      <c r="X441" s="32"/>
      <c r="Y441" s="32"/>
      <c r="Z441" s="32"/>
      <c r="AA441" s="32"/>
      <c r="AB441" s="32"/>
      <c r="AC441" s="32"/>
      <c r="AD441" s="32"/>
      <c r="AE441" s="32"/>
      <c r="AF441" s="32"/>
      <c r="AG441" s="32"/>
      <c r="AH441" s="32"/>
      <c r="AI441" s="32"/>
      <c r="AJ441" s="32"/>
      <c r="AK441" s="32"/>
      <c r="AL441" s="32"/>
      <c r="AM441" s="32"/>
      <c r="AN441" s="32"/>
      <c r="AO441" s="32"/>
      <c r="AP441" s="32"/>
    </row>
    <row r="442" ht="17.25" customHeight="1">
      <c r="A442" s="107"/>
      <c r="B442" s="107"/>
      <c r="C442" s="107"/>
      <c r="D442" s="107"/>
      <c r="E442" s="107"/>
      <c r="F442" s="32"/>
      <c r="G442" s="32"/>
      <c r="H442" s="32"/>
      <c r="I442" s="32"/>
      <c r="J442" s="32"/>
      <c r="K442" s="32"/>
      <c r="L442" s="32"/>
      <c r="M442" s="32"/>
      <c r="N442" s="32"/>
      <c r="O442" s="32"/>
      <c r="P442" s="107"/>
      <c r="Q442" s="107"/>
      <c r="R442" s="107"/>
      <c r="S442" s="32"/>
      <c r="T442" s="32"/>
      <c r="U442" s="32"/>
      <c r="V442" s="32"/>
      <c r="W442" s="32"/>
      <c r="X442" s="32"/>
      <c r="Y442" s="32"/>
      <c r="Z442" s="32"/>
      <c r="AA442" s="32"/>
      <c r="AB442" s="32"/>
      <c r="AC442" s="32"/>
      <c r="AD442" s="32"/>
      <c r="AE442" s="32"/>
      <c r="AF442" s="32"/>
      <c r="AG442" s="32"/>
      <c r="AH442" s="32"/>
      <c r="AI442" s="32"/>
      <c r="AJ442" s="32"/>
      <c r="AK442" s="32"/>
      <c r="AL442" s="32"/>
      <c r="AM442" s="32"/>
      <c r="AN442" s="32"/>
      <c r="AO442" s="32"/>
      <c r="AP442" s="32"/>
    </row>
    <row r="443" ht="17.25" customHeight="1">
      <c r="A443" s="107"/>
      <c r="B443" s="107"/>
      <c r="C443" s="107"/>
      <c r="D443" s="107"/>
      <c r="E443" s="107"/>
      <c r="F443" s="32"/>
      <c r="G443" s="32"/>
      <c r="H443" s="32"/>
      <c r="I443" s="32"/>
      <c r="J443" s="32"/>
      <c r="K443" s="32"/>
      <c r="L443" s="32"/>
      <c r="M443" s="32"/>
      <c r="N443" s="32"/>
      <c r="O443" s="32"/>
      <c r="P443" s="107"/>
      <c r="Q443" s="107"/>
      <c r="R443" s="107"/>
      <c r="S443" s="32"/>
      <c r="T443" s="32"/>
      <c r="U443" s="32"/>
      <c r="V443" s="32"/>
      <c r="W443" s="32"/>
      <c r="X443" s="32"/>
      <c r="Y443" s="32"/>
      <c r="Z443" s="32"/>
      <c r="AA443" s="32"/>
      <c r="AB443" s="32"/>
      <c r="AC443" s="32"/>
      <c r="AD443" s="32"/>
      <c r="AE443" s="32"/>
      <c r="AF443" s="32"/>
      <c r="AG443" s="32"/>
      <c r="AH443" s="32"/>
      <c r="AI443" s="32"/>
      <c r="AJ443" s="32"/>
      <c r="AK443" s="32"/>
      <c r="AL443" s="32"/>
      <c r="AM443" s="32"/>
      <c r="AN443" s="32"/>
      <c r="AO443" s="32"/>
      <c r="AP443" s="32"/>
    </row>
    <row r="444" ht="17.25" customHeight="1">
      <c r="A444" s="107"/>
      <c r="B444" s="107"/>
      <c r="C444" s="107"/>
      <c r="D444" s="107"/>
      <c r="E444" s="107"/>
      <c r="F444" s="32"/>
      <c r="G444" s="32"/>
      <c r="H444" s="32"/>
      <c r="I444" s="32"/>
      <c r="J444" s="32"/>
      <c r="K444" s="32"/>
      <c r="L444" s="32"/>
      <c r="M444" s="32"/>
      <c r="N444" s="32"/>
      <c r="O444" s="32"/>
      <c r="P444" s="107"/>
      <c r="Q444" s="107"/>
      <c r="R444" s="107"/>
      <c r="S444" s="32"/>
      <c r="T444" s="32"/>
      <c r="U444" s="32"/>
      <c r="V444" s="32"/>
      <c r="W444" s="32"/>
      <c r="X444" s="32"/>
      <c r="Y444" s="32"/>
      <c r="Z444" s="32"/>
      <c r="AA444" s="32"/>
      <c r="AB444" s="32"/>
      <c r="AC444" s="32"/>
      <c r="AD444" s="32"/>
      <c r="AE444" s="32"/>
      <c r="AF444" s="32"/>
      <c r="AG444" s="32"/>
      <c r="AH444" s="32"/>
      <c r="AI444" s="32"/>
      <c r="AJ444" s="32"/>
      <c r="AK444" s="32"/>
      <c r="AL444" s="32"/>
      <c r="AM444" s="32"/>
      <c r="AN444" s="32"/>
      <c r="AO444" s="32"/>
      <c r="AP444" s="32"/>
    </row>
    <row r="445" ht="17.25" customHeight="1">
      <c r="A445" s="107"/>
      <c r="B445" s="107"/>
      <c r="C445" s="107"/>
      <c r="D445" s="107"/>
      <c r="E445" s="107"/>
      <c r="F445" s="32"/>
      <c r="G445" s="32"/>
      <c r="H445" s="32"/>
      <c r="I445" s="32"/>
      <c r="J445" s="32"/>
      <c r="K445" s="32"/>
      <c r="L445" s="32"/>
      <c r="M445" s="32"/>
      <c r="N445" s="32"/>
      <c r="O445" s="32"/>
      <c r="P445" s="107"/>
      <c r="Q445" s="107"/>
      <c r="R445" s="107"/>
      <c r="S445" s="32"/>
      <c r="T445" s="32"/>
      <c r="U445" s="32"/>
      <c r="V445" s="32"/>
      <c r="W445" s="32"/>
      <c r="X445" s="32"/>
      <c r="Y445" s="32"/>
      <c r="Z445" s="32"/>
      <c r="AA445" s="32"/>
      <c r="AB445" s="32"/>
      <c r="AC445" s="32"/>
      <c r="AD445" s="32"/>
      <c r="AE445" s="32"/>
      <c r="AF445" s="32"/>
      <c r="AG445" s="32"/>
      <c r="AH445" s="32"/>
      <c r="AI445" s="32"/>
      <c r="AJ445" s="32"/>
      <c r="AK445" s="32"/>
      <c r="AL445" s="32"/>
      <c r="AM445" s="32"/>
      <c r="AN445" s="32"/>
      <c r="AO445" s="32"/>
      <c r="AP445" s="32"/>
    </row>
    <row r="446" ht="17.25" customHeight="1">
      <c r="A446" s="107"/>
      <c r="B446" s="107"/>
      <c r="C446" s="107"/>
      <c r="D446" s="107"/>
      <c r="E446" s="107"/>
      <c r="F446" s="32"/>
      <c r="G446" s="32"/>
      <c r="H446" s="32"/>
      <c r="I446" s="32"/>
      <c r="J446" s="32"/>
      <c r="K446" s="32"/>
      <c r="L446" s="32"/>
      <c r="M446" s="32"/>
      <c r="N446" s="32"/>
      <c r="O446" s="32"/>
      <c r="P446" s="107"/>
      <c r="Q446" s="107"/>
      <c r="R446" s="107"/>
      <c r="S446" s="32"/>
      <c r="T446" s="32"/>
      <c r="U446" s="32"/>
      <c r="V446" s="32"/>
      <c r="W446" s="32"/>
      <c r="X446" s="32"/>
      <c r="Y446" s="32"/>
      <c r="Z446" s="32"/>
      <c r="AA446" s="32"/>
      <c r="AB446" s="32"/>
      <c r="AC446" s="32"/>
      <c r="AD446" s="32"/>
      <c r="AE446" s="32"/>
      <c r="AF446" s="32"/>
      <c r="AG446" s="32"/>
      <c r="AH446" s="32"/>
      <c r="AI446" s="32"/>
      <c r="AJ446" s="32"/>
      <c r="AK446" s="32"/>
      <c r="AL446" s="32"/>
      <c r="AM446" s="32"/>
      <c r="AN446" s="32"/>
      <c r="AO446" s="32"/>
      <c r="AP446" s="32"/>
    </row>
    <row r="447" ht="17.25" customHeight="1">
      <c r="A447" s="107"/>
      <c r="B447" s="107"/>
      <c r="C447" s="107"/>
      <c r="D447" s="107"/>
      <c r="E447" s="107"/>
      <c r="F447" s="32"/>
      <c r="G447" s="32"/>
      <c r="H447" s="32"/>
      <c r="I447" s="32"/>
      <c r="J447" s="32"/>
      <c r="K447" s="32"/>
      <c r="L447" s="32"/>
      <c r="M447" s="32"/>
      <c r="N447" s="32"/>
      <c r="O447" s="32"/>
      <c r="P447" s="107"/>
      <c r="Q447" s="107"/>
      <c r="R447" s="107"/>
      <c r="S447" s="32"/>
      <c r="T447" s="32"/>
      <c r="U447" s="32"/>
      <c r="V447" s="32"/>
      <c r="W447" s="32"/>
      <c r="X447" s="32"/>
      <c r="Y447" s="32"/>
      <c r="Z447" s="32"/>
      <c r="AA447" s="32"/>
      <c r="AB447" s="32"/>
      <c r="AC447" s="32"/>
      <c r="AD447" s="32"/>
      <c r="AE447" s="32"/>
      <c r="AF447" s="32"/>
      <c r="AG447" s="32"/>
      <c r="AH447" s="32"/>
      <c r="AI447" s="32"/>
      <c r="AJ447" s="32"/>
      <c r="AK447" s="32"/>
      <c r="AL447" s="32"/>
      <c r="AM447" s="32"/>
      <c r="AN447" s="32"/>
      <c r="AO447" s="32"/>
      <c r="AP447" s="32"/>
    </row>
    <row r="448" ht="17.25" customHeight="1">
      <c r="A448" s="107"/>
      <c r="B448" s="107"/>
      <c r="C448" s="107"/>
      <c r="D448" s="107"/>
      <c r="E448" s="107"/>
      <c r="F448" s="32"/>
      <c r="G448" s="32"/>
      <c r="H448" s="32"/>
      <c r="I448" s="32"/>
      <c r="J448" s="32"/>
      <c r="K448" s="32"/>
      <c r="L448" s="32"/>
      <c r="M448" s="32"/>
      <c r="N448" s="32"/>
      <c r="O448" s="32"/>
      <c r="P448" s="107"/>
      <c r="Q448" s="107"/>
      <c r="R448" s="107"/>
      <c r="S448" s="32"/>
      <c r="T448" s="32"/>
      <c r="U448" s="32"/>
      <c r="V448" s="32"/>
      <c r="W448" s="32"/>
      <c r="X448" s="32"/>
      <c r="Y448" s="32"/>
      <c r="Z448" s="32"/>
      <c r="AA448" s="32"/>
      <c r="AB448" s="32"/>
      <c r="AC448" s="32"/>
      <c r="AD448" s="32"/>
      <c r="AE448" s="32"/>
      <c r="AF448" s="32"/>
      <c r="AG448" s="32"/>
      <c r="AH448" s="32"/>
      <c r="AI448" s="32"/>
      <c r="AJ448" s="32"/>
      <c r="AK448" s="32"/>
      <c r="AL448" s="32"/>
      <c r="AM448" s="32"/>
      <c r="AN448" s="32"/>
      <c r="AO448" s="32"/>
      <c r="AP448" s="32"/>
    </row>
    <row r="449" ht="17.25" customHeight="1">
      <c r="A449" s="107"/>
      <c r="B449" s="107"/>
      <c r="C449" s="107"/>
      <c r="D449" s="107"/>
      <c r="E449" s="107"/>
      <c r="F449" s="32"/>
      <c r="G449" s="32"/>
      <c r="H449" s="32"/>
      <c r="I449" s="32"/>
      <c r="J449" s="32"/>
      <c r="K449" s="32"/>
      <c r="L449" s="32"/>
      <c r="M449" s="32"/>
      <c r="N449" s="32"/>
      <c r="O449" s="32"/>
      <c r="P449" s="107"/>
      <c r="Q449" s="107"/>
      <c r="R449" s="107"/>
      <c r="S449" s="32"/>
      <c r="T449" s="32"/>
      <c r="U449" s="32"/>
      <c r="V449" s="32"/>
      <c r="W449" s="32"/>
      <c r="X449" s="32"/>
      <c r="Y449" s="32"/>
      <c r="Z449" s="32"/>
      <c r="AA449" s="32"/>
      <c r="AB449" s="32"/>
      <c r="AC449" s="32"/>
      <c r="AD449" s="32"/>
      <c r="AE449" s="32"/>
      <c r="AF449" s="32"/>
      <c r="AG449" s="32"/>
      <c r="AH449" s="32"/>
      <c r="AI449" s="32"/>
      <c r="AJ449" s="32"/>
      <c r="AK449" s="32"/>
      <c r="AL449" s="32"/>
      <c r="AM449" s="32"/>
      <c r="AN449" s="32"/>
      <c r="AO449" s="32"/>
      <c r="AP449" s="32"/>
    </row>
    <row r="450" ht="17.25" customHeight="1">
      <c r="A450" s="107"/>
      <c r="B450" s="107"/>
      <c r="C450" s="107"/>
      <c r="D450" s="107"/>
      <c r="E450" s="107"/>
      <c r="F450" s="32"/>
      <c r="G450" s="32"/>
      <c r="H450" s="32"/>
      <c r="I450" s="32"/>
      <c r="J450" s="32"/>
      <c r="K450" s="32"/>
      <c r="L450" s="32"/>
      <c r="M450" s="32"/>
      <c r="N450" s="32"/>
      <c r="O450" s="32"/>
      <c r="P450" s="107"/>
      <c r="Q450" s="107"/>
      <c r="R450" s="107"/>
      <c r="S450" s="32"/>
      <c r="T450" s="32"/>
      <c r="U450" s="32"/>
      <c r="V450" s="32"/>
      <c r="W450" s="32"/>
      <c r="X450" s="32"/>
      <c r="Y450" s="32"/>
      <c r="Z450" s="32"/>
      <c r="AA450" s="32"/>
      <c r="AB450" s="32"/>
      <c r="AC450" s="32"/>
      <c r="AD450" s="32"/>
      <c r="AE450" s="32"/>
      <c r="AF450" s="32"/>
      <c r="AG450" s="32"/>
      <c r="AH450" s="32"/>
      <c r="AI450" s="32"/>
      <c r="AJ450" s="32"/>
      <c r="AK450" s="32"/>
      <c r="AL450" s="32"/>
      <c r="AM450" s="32"/>
      <c r="AN450" s="32"/>
      <c r="AO450" s="32"/>
      <c r="AP450" s="32"/>
    </row>
    <row r="451" ht="17.25" customHeight="1">
      <c r="A451" s="107"/>
      <c r="B451" s="107"/>
      <c r="C451" s="107"/>
      <c r="D451" s="107"/>
      <c r="E451" s="107"/>
      <c r="F451" s="32"/>
      <c r="G451" s="32"/>
      <c r="H451" s="32"/>
      <c r="I451" s="32"/>
      <c r="J451" s="32"/>
      <c r="K451" s="32"/>
      <c r="L451" s="32"/>
      <c r="M451" s="32"/>
      <c r="N451" s="32"/>
      <c r="O451" s="32"/>
      <c r="P451" s="107"/>
      <c r="Q451" s="107"/>
      <c r="R451" s="107"/>
      <c r="S451" s="32"/>
      <c r="T451" s="32"/>
      <c r="U451" s="32"/>
      <c r="V451" s="32"/>
      <c r="W451" s="32"/>
      <c r="X451" s="32"/>
      <c r="Y451" s="32"/>
      <c r="Z451" s="32"/>
      <c r="AA451" s="32"/>
      <c r="AB451" s="32"/>
      <c r="AC451" s="32"/>
      <c r="AD451" s="32"/>
      <c r="AE451" s="32"/>
      <c r="AF451" s="32"/>
      <c r="AG451" s="32"/>
      <c r="AH451" s="32"/>
      <c r="AI451" s="32"/>
      <c r="AJ451" s="32"/>
      <c r="AK451" s="32"/>
      <c r="AL451" s="32"/>
      <c r="AM451" s="32"/>
      <c r="AN451" s="32"/>
      <c r="AO451" s="32"/>
      <c r="AP451" s="32"/>
    </row>
    <row r="452" ht="17.25" customHeight="1">
      <c r="A452" s="107"/>
      <c r="B452" s="107"/>
      <c r="C452" s="107"/>
      <c r="D452" s="107"/>
      <c r="E452" s="107"/>
      <c r="F452" s="32"/>
      <c r="G452" s="32"/>
      <c r="H452" s="32"/>
      <c r="I452" s="32"/>
      <c r="J452" s="32"/>
      <c r="K452" s="32"/>
      <c r="L452" s="32"/>
      <c r="M452" s="32"/>
      <c r="N452" s="32"/>
      <c r="O452" s="32"/>
      <c r="P452" s="107"/>
      <c r="Q452" s="107"/>
      <c r="R452" s="107"/>
      <c r="S452" s="32"/>
      <c r="T452" s="32"/>
      <c r="U452" s="32"/>
      <c r="V452" s="32"/>
      <c r="W452" s="32"/>
      <c r="X452" s="32"/>
      <c r="Y452" s="32"/>
      <c r="Z452" s="32"/>
      <c r="AA452" s="32"/>
      <c r="AB452" s="32"/>
      <c r="AC452" s="32"/>
      <c r="AD452" s="32"/>
      <c r="AE452" s="32"/>
      <c r="AF452" s="32"/>
      <c r="AG452" s="32"/>
      <c r="AH452" s="32"/>
      <c r="AI452" s="32"/>
      <c r="AJ452" s="32"/>
      <c r="AK452" s="32"/>
      <c r="AL452" s="32"/>
      <c r="AM452" s="32"/>
      <c r="AN452" s="32"/>
      <c r="AO452" s="32"/>
      <c r="AP452" s="32"/>
    </row>
    <row r="453" ht="17.25" customHeight="1">
      <c r="A453" s="107"/>
      <c r="B453" s="107"/>
      <c r="C453" s="107"/>
      <c r="D453" s="107"/>
      <c r="E453" s="107"/>
      <c r="F453" s="32"/>
      <c r="G453" s="32"/>
      <c r="H453" s="32"/>
      <c r="I453" s="32"/>
      <c r="J453" s="32"/>
      <c r="K453" s="32"/>
      <c r="L453" s="32"/>
      <c r="M453" s="32"/>
      <c r="N453" s="32"/>
      <c r="O453" s="32"/>
      <c r="P453" s="107"/>
      <c r="Q453" s="107"/>
      <c r="R453" s="107"/>
      <c r="S453" s="32"/>
      <c r="T453" s="32"/>
      <c r="U453" s="32"/>
      <c r="V453" s="32"/>
      <c r="W453" s="32"/>
      <c r="X453" s="32"/>
      <c r="Y453" s="32"/>
      <c r="Z453" s="32"/>
      <c r="AA453" s="32"/>
      <c r="AB453" s="32"/>
      <c r="AC453" s="32"/>
      <c r="AD453" s="32"/>
      <c r="AE453" s="32"/>
      <c r="AF453" s="32"/>
      <c r="AG453" s="32"/>
      <c r="AH453" s="32"/>
      <c r="AI453" s="32"/>
      <c r="AJ453" s="32"/>
      <c r="AK453" s="32"/>
      <c r="AL453" s="32"/>
      <c r="AM453" s="32"/>
      <c r="AN453" s="32"/>
      <c r="AO453" s="32"/>
      <c r="AP453" s="32"/>
    </row>
    <row r="454" ht="17.25" customHeight="1">
      <c r="A454" s="107"/>
      <c r="B454" s="107"/>
      <c r="C454" s="107"/>
      <c r="D454" s="107"/>
      <c r="E454" s="107"/>
      <c r="F454" s="32"/>
      <c r="G454" s="32"/>
      <c r="H454" s="32"/>
      <c r="I454" s="32"/>
      <c r="J454" s="32"/>
      <c r="K454" s="32"/>
      <c r="L454" s="32"/>
      <c r="M454" s="32"/>
      <c r="N454" s="32"/>
      <c r="O454" s="32"/>
      <c r="P454" s="107"/>
      <c r="Q454" s="107"/>
      <c r="R454" s="107"/>
      <c r="S454" s="32"/>
      <c r="T454" s="32"/>
      <c r="U454" s="32"/>
      <c r="V454" s="32"/>
      <c r="W454" s="32"/>
      <c r="X454" s="32"/>
      <c r="Y454" s="32"/>
      <c r="Z454" s="32"/>
      <c r="AA454" s="32"/>
      <c r="AB454" s="32"/>
      <c r="AC454" s="32"/>
      <c r="AD454" s="32"/>
      <c r="AE454" s="32"/>
      <c r="AF454" s="32"/>
      <c r="AG454" s="32"/>
      <c r="AH454" s="32"/>
      <c r="AI454" s="32"/>
      <c r="AJ454" s="32"/>
      <c r="AK454" s="32"/>
      <c r="AL454" s="32"/>
      <c r="AM454" s="32"/>
      <c r="AN454" s="32"/>
      <c r="AO454" s="32"/>
      <c r="AP454" s="32"/>
    </row>
    <row r="455" ht="17.25" customHeight="1">
      <c r="A455" s="107"/>
      <c r="B455" s="107"/>
      <c r="C455" s="107"/>
      <c r="D455" s="107"/>
      <c r="E455" s="107"/>
      <c r="F455" s="32"/>
      <c r="G455" s="32"/>
      <c r="H455" s="32"/>
      <c r="I455" s="32"/>
      <c r="J455" s="32"/>
      <c r="K455" s="32"/>
      <c r="L455" s="32"/>
      <c r="M455" s="32"/>
      <c r="N455" s="32"/>
      <c r="O455" s="32"/>
      <c r="P455" s="107"/>
      <c r="Q455" s="107"/>
      <c r="R455" s="107"/>
      <c r="S455" s="32"/>
      <c r="T455" s="32"/>
      <c r="U455" s="32"/>
      <c r="V455" s="32"/>
      <c r="W455" s="32"/>
      <c r="X455" s="32"/>
      <c r="Y455" s="32"/>
      <c r="Z455" s="32"/>
      <c r="AA455" s="32"/>
      <c r="AB455" s="32"/>
      <c r="AC455" s="32"/>
      <c r="AD455" s="32"/>
      <c r="AE455" s="32"/>
      <c r="AF455" s="32"/>
      <c r="AG455" s="32"/>
      <c r="AH455" s="32"/>
      <c r="AI455" s="32"/>
      <c r="AJ455" s="32"/>
      <c r="AK455" s="32"/>
      <c r="AL455" s="32"/>
      <c r="AM455" s="32"/>
      <c r="AN455" s="32"/>
      <c r="AO455" s="32"/>
      <c r="AP455" s="32"/>
    </row>
    <row r="456" ht="17.25" customHeight="1">
      <c r="A456" s="107"/>
      <c r="B456" s="107"/>
      <c r="C456" s="107"/>
      <c r="D456" s="107"/>
      <c r="E456" s="107"/>
      <c r="F456" s="32"/>
      <c r="G456" s="32"/>
      <c r="H456" s="32"/>
      <c r="I456" s="32"/>
      <c r="J456" s="32"/>
      <c r="K456" s="32"/>
      <c r="L456" s="32"/>
      <c r="M456" s="32"/>
      <c r="N456" s="32"/>
      <c r="O456" s="32"/>
      <c r="P456" s="107"/>
      <c r="Q456" s="107"/>
      <c r="R456" s="107"/>
      <c r="S456" s="32"/>
      <c r="T456" s="32"/>
      <c r="U456" s="32"/>
      <c r="V456" s="32"/>
      <c r="W456" s="32"/>
      <c r="X456" s="32"/>
      <c r="Y456" s="32"/>
      <c r="Z456" s="32"/>
      <c r="AA456" s="32"/>
      <c r="AB456" s="32"/>
      <c r="AC456" s="32"/>
      <c r="AD456" s="32"/>
      <c r="AE456" s="32"/>
      <c r="AF456" s="32"/>
      <c r="AG456" s="32"/>
      <c r="AH456" s="32"/>
      <c r="AI456" s="32"/>
      <c r="AJ456" s="32"/>
      <c r="AK456" s="32"/>
      <c r="AL456" s="32"/>
      <c r="AM456" s="32"/>
      <c r="AN456" s="32"/>
      <c r="AO456" s="32"/>
      <c r="AP456" s="32"/>
    </row>
    <row r="457" ht="17.25" customHeight="1">
      <c r="A457" s="107"/>
      <c r="B457" s="107"/>
      <c r="C457" s="107"/>
      <c r="D457" s="107"/>
      <c r="E457" s="107"/>
      <c r="F457" s="32"/>
      <c r="G457" s="32"/>
      <c r="H457" s="32"/>
      <c r="I457" s="32"/>
      <c r="J457" s="32"/>
      <c r="K457" s="32"/>
      <c r="L457" s="32"/>
      <c r="M457" s="32"/>
      <c r="N457" s="32"/>
      <c r="O457" s="32"/>
      <c r="P457" s="107"/>
      <c r="Q457" s="107"/>
      <c r="R457" s="107"/>
      <c r="S457" s="32"/>
      <c r="T457" s="32"/>
      <c r="U457" s="32"/>
      <c r="V457" s="32"/>
      <c r="W457" s="32"/>
      <c r="X457" s="32"/>
      <c r="Y457" s="32"/>
      <c r="Z457" s="32"/>
      <c r="AA457" s="32"/>
      <c r="AB457" s="32"/>
      <c r="AC457" s="32"/>
      <c r="AD457" s="32"/>
      <c r="AE457" s="32"/>
      <c r="AF457" s="32"/>
      <c r="AG457" s="32"/>
      <c r="AH457" s="32"/>
      <c r="AI457" s="32"/>
      <c r="AJ457" s="32"/>
      <c r="AK457" s="32"/>
      <c r="AL457" s="32"/>
      <c r="AM457" s="32"/>
      <c r="AN457" s="32"/>
      <c r="AO457" s="32"/>
      <c r="AP457" s="32"/>
    </row>
    <row r="458" ht="17.25" customHeight="1">
      <c r="A458" s="107"/>
      <c r="B458" s="107"/>
      <c r="C458" s="107"/>
      <c r="D458" s="107"/>
      <c r="E458" s="107"/>
      <c r="F458" s="32"/>
      <c r="G458" s="32"/>
      <c r="H458" s="32"/>
      <c r="I458" s="32"/>
      <c r="J458" s="32"/>
      <c r="K458" s="32"/>
      <c r="L458" s="32"/>
      <c r="M458" s="32"/>
      <c r="N458" s="32"/>
      <c r="O458" s="32"/>
      <c r="P458" s="107"/>
      <c r="Q458" s="107"/>
      <c r="R458" s="107"/>
      <c r="S458" s="32"/>
      <c r="T458" s="32"/>
      <c r="U458" s="32"/>
      <c r="V458" s="32"/>
      <c r="W458" s="32"/>
      <c r="X458" s="32"/>
      <c r="Y458" s="32"/>
      <c r="Z458" s="32"/>
      <c r="AA458" s="32"/>
      <c r="AB458" s="32"/>
      <c r="AC458" s="32"/>
      <c r="AD458" s="32"/>
      <c r="AE458" s="32"/>
      <c r="AF458" s="32"/>
      <c r="AG458" s="32"/>
      <c r="AH458" s="32"/>
      <c r="AI458" s="32"/>
      <c r="AJ458" s="32"/>
      <c r="AK458" s="32"/>
      <c r="AL458" s="32"/>
      <c r="AM458" s="32"/>
      <c r="AN458" s="32"/>
      <c r="AO458" s="32"/>
      <c r="AP458" s="32"/>
    </row>
    <row r="459" ht="17.25" customHeight="1">
      <c r="A459" s="107"/>
      <c r="B459" s="107"/>
      <c r="C459" s="107"/>
      <c r="D459" s="107"/>
      <c r="E459" s="107"/>
      <c r="F459" s="32"/>
      <c r="G459" s="32"/>
      <c r="H459" s="32"/>
      <c r="I459" s="32"/>
      <c r="J459" s="32"/>
      <c r="K459" s="32"/>
      <c r="L459" s="32"/>
      <c r="M459" s="32"/>
      <c r="N459" s="32"/>
      <c r="O459" s="32"/>
      <c r="P459" s="107"/>
      <c r="Q459" s="107"/>
      <c r="R459" s="107"/>
      <c r="S459" s="32"/>
      <c r="T459" s="32"/>
      <c r="U459" s="32"/>
      <c r="V459" s="32"/>
      <c r="W459" s="32"/>
      <c r="X459" s="32"/>
      <c r="Y459" s="32"/>
      <c r="Z459" s="32"/>
      <c r="AA459" s="32"/>
      <c r="AB459" s="32"/>
      <c r="AC459" s="32"/>
      <c r="AD459" s="32"/>
      <c r="AE459" s="32"/>
      <c r="AF459" s="32"/>
      <c r="AG459" s="32"/>
      <c r="AH459" s="32"/>
      <c r="AI459" s="32"/>
      <c r="AJ459" s="32"/>
      <c r="AK459" s="32"/>
      <c r="AL459" s="32"/>
      <c r="AM459" s="32"/>
      <c r="AN459" s="32"/>
      <c r="AO459" s="32"/>
      <c r="AP459" s="32"/>
    </row>
    <row r="460" ht="17.25" customHeight="1">
      <c r="A460" s="107"/>
      <c r="B460" s="107"/>
      <c r="C460" s="107"/>
      <c r="D460" s="107"/>
      <c r="E460" s="107"/>
      <c r="F460" s="32"/>
      <c r="G460" s="32"/>
      <c r="H460" s="32"/>
      <c r="I460" s="32"/>
      <c r="J460" s="32"/>
      <c r="K460" s="32"/>
      <c r="L460" s="32"/>
      <c r="M460" s="32"/>
      <c r="N460" s="32"/>
      <c r="O460" s="32"/>
      <c r="P460" s="107"/>
      <c r="Q460" s="107"/>
      <c r="R460" s="107"/>
      <c r="S460" s="32"/>
      <c r="T460" s="32"/>
      <c r="U460" s="32"/>
      <c r="V460" s="32"/>
      <c r="W460" s="32"/>
      <c r="X460" s="32"/>
      <c r="Y460" s="32"/>
      <c r="Z460" s="32"/>
      <c r="AA460" s="32"/>
      <c r="AB460" s="32"/>
      <c r="AC460" s="32"/>
      <c r="AD460" s="32"/>
      <c r="AE460" s="32"/>
      <c r="AF460" s="32"/>
      <c r="AG460" s="32"/>
      <c r="AH460" s="32"/>
      <c r="AI460" s="32"/>
      <c r="AJ460" s="32"/>
      <c r="AK460" s="32"/>
      <c r="AL460" s="32"/>
      <c r="AM460" s="32"/>
      <c r="AN460" s="32"/>
      <c r="AO460" s="32"/>
      <c r="AP460" s="32"/>
    </row>
    <row r="461" ht="17.25" customHeight="1">
      <c r="A461" s="107"/>
      <c r="B461" s="107"/>
      <c r="C461" s="107"/>
      <c r="D461" s="107"/>
      <c r="E461" s="107"/>
      <c r="F461" s="32"/>
      <c r="G461" s="32"/>
      <c r="H461" s="32"/>
      <c r="I461" s="32"/>
      <c r="J461" s="32"/>
      <c r="K461" s="32"/>
      <c r="L461" s="32"/>
      <c r="M461" s="32"/>
      <c r="N461" s="32"/>
      <c r="O461" s="32"/>
      <c r="P461" s="107"/>
      <c r="Q461" s="107"/>
      <c r="R461" s="107"/>
      <c r="S461" s="32"/>
      <c r="T461" s="32"/>
      <c r="U461" s="32"/>
      <c r="V461" s="32"/>
      <c r="W461" s="32"/>
      <c r="X461" s="32"/>
      <c r="Y461" s="32"/>
      <c r="Z461" s="32"/>
      <c r="AA461" s="32"/>
      <c r="AB461" s="32"/>
      <c r="AC461" s="32"/>
      <c r="AD461" s="32"/>
      <c r="AE461" s="32"/>
      <c r="AF461" s="32"/>
      <c r="AG461" s="32"/>
      <c r="AH461" s="32"/>
      <c r="AI461" s="32"/>
      <c r="AJ461" s="32"/>
      <c r="AK461" s="32"/>
      <c r="AL461" s="32"/>
      <c r="AM461" s="32"/>
      <c r="AN461" s="32"/>
      <c r="AO461" s="32"/>
      <c r="AP461" s="32"/>
    </row>
    <row r="462" ht="17.25" customHeight="1">
      <c r="A462" s="107"/>
      <c r="B462" s="107"/>
      <c r="C462" s="107"/>
      <c r="D462" s="107"/>
      <c r="E462" s="107"/>
      <c r="F462" s="32"/>
      <c r="G462" s="32"/>
      <c r="H462" s="32"/>
      <c r="I462" s="32"/>
      <c r="J462" s="32"/>
      <c r="K462" s="32"/>
      <c r="L462" s="32"/>
      <c r="M462" s="32"/>
      <c r="N462" s="32"/>
      <c r="O462" s="32"/>
      <c r="P462" s="107"/>
      <c r="Q462" s="107"/>
      <c r="R462" s="107"/>
      <c r="S462" s="32"/>
      <c r="T462" s="32"/>
      <c r="U462" s="32"/>
      <c r="V462" s="32"/>
      <c r="W462" s="32"/>
      <c r="X462" s="32"/>
      <c r="Y462" s="32"/>
      <c r="Z462" s="32"/>
      <c r="AA462" s="32"/>
      <c r="AB462" s="32"/>
      <c r="AC462" s="32"/>
      <c r="AD462" s="32"/>
      <c r="AE462" s="32"/>
      <c r="AF462" s="32"/>
      <c r="AG462" s="32"/>
      <c r="AH462" s="32"/>
      <c r="AI462" s="32"/>
      <c r="AJ462" s="32"/>
      <c r="AK462" s="32"/>
      <c r="AL462" s="32"/>
      <c r="AM462" s="32"/>
      <c r="AN462" s="32"/>
      <c r="AO462" s="32"/>
      <c r="AP462" s="32"/>
    </row>
    <row r="463" ht="17.25" customHeight="1">
      <c r="A463" s="107"/>
      <c r="B463" s="107"/>
      <c r="C463" s="107"/>
      <c r="D463" s="107"/>
      <c r="E463" s="107"/>
      <c r="F463" s="32"/>
      <c r="G463" s="32"/>
      <c r="H463" s="32"/>
      <c r="I463" s="32"/>
      <c r="J463" s="32"/>
      <c r="K463" s="32"/>
      <c r="L463" s="32"/>
      <c r="M463" s="32"/>
      <c r="N463" s="32"/>
      <c r="O463" s="32"/>
      <c r="P463" s="107"/>
      <c r="Q463" s="107"/>
      <c r="R463" s="107"/>
      <c r="S463" s="32"/>
      <c r="T463" s="32"/>
      <c r="U463" s="32"/>
      <c r="V463" s="32"/>
      <c r="W463" s="32"/>
      <c r="X463" s="32"/>
      <c r="Y463" s="32"/>
      <c r="Z463" s="32"/>
      <c r="AA463" s="32"/>
      <c r="AB463" s="32"/>
      <c r="AC463" s="32"/>
      <c r="AD463" s="32"/>
      <c r="AE463" s="32"/>
      <c r="AF463" s="32"/>
      <c r="AG463" s="32"/>
      <c r="AH463" s="32"/>
      <c r="AI463" s="32"/>
      <c r="AJ463" s="32"/>
      <c r="AK463" s="32"/>
      <c r="AL463" s="32"/>
      <c r="AM463" s="32"/>
      <c r="AN463" s="32"/>
      <c r="AO463" s="32"/>
      <c r="AP463" s="32"/>
    </row>
    <row r="464" ht="17.25" customHeight="1">
      <c r="A464" s="107"/>
      <c r="B464" s="107"/>
      <c r="C464" s="107"/>
      <c r="D464" s="107"/>
      <c r="E464" s="107"/>
      <c r="F464" s="32"/>
      <c r="G464" s="32"/>
      <c r="H464" s="32"/>
      <c r="I464" s="32"/>
      <c r="J464" s="32"/>
      <c r="K464" s="32"/>
      <c r="L464" s="32"/>
      <c r="M464" s="32"/>
      <c r="N464" s="32"/>
      <c r="O464" s="32"/>
      <c r="P464" s="107"/>
      <c r="Q464" s="107"/>
      <c r="R464" s="107"/>
      <c r="S464" s="32"/>
      <c r="T464" s="32"/>
      <c r="U464" s="32"/>
      <c r="V464" s="32"/>
      <c r="W464" s="32"/>
      <c r="X464" s="32"/>
      <c r="Y464" s="32"/>
      <c r="Z464" s="32"/>
      <c r="AA464" s="32"/>
      <c r="AB464" s="32"/>
      <c r="AC464" s="32"/>
      <c r="AD464" s="32"/>
      <c r="AE464" s="32"/>
      <c r="AF464" s="32"/>
      <c r="AG464" s="32"/>
      <c r="AH464" s="32"/>
      <c r="AI464" s="32"/>
      <c r="AJ464" s="32"/>
      <c r="AK464" s="32"/>
      <c r="AL464" s="32"/>
      <c r="AM464" s="32"/>
      <c r="AN464" s="32"/>
      <c r="AO464" s="32"/>
      <c r="AP464" s="32"/>
    </row>
    <row r="465" ht="17.25" customHeight="1">
      <c r="A465" s="107"/>
      <c r="B465" s="107"/>
      <c r="C465" s="107"/>
      <c r="D465" s="107"/>
      <c r="E465" s="107"/>
      <c r="F465" s="32"/>
      <c r="G465" s="32"/>
      <c r="H465" s="32"/>
      <c r="I465" s="32"/>
      <c r="J465" s="32"/>
      <c r="K465" s="32"/>
      <c r="L465" s="32"/>
      <c r="M465" s="32"/>
      <c r="N465" s="32"/>
      <c r="O465" s="32"/>
      <c r="P465" s="107"/>
      <c r="Q465" s="107"/>
      <c r="R465" s="107"/>
      <c r="S465" s="32"/>
      <c r="T465" s="32"/>
      <c r="U465" s="32"/>
      <c r="V465" s="32"/>
      <c r="W465" s="32"/>
      <c r="X465" s="32"/>
      <c r="Y465" s="32"/>
      <c r="Z465" s="32"/>
      <c r="AA465" s="32"/>
      <c r="AB465" s="32"/>
      <c r="AC465" s="32"/>
      <c r="AD465" s="32"/>
      <c r="AE465" s="32"/>
      <c r="AF465" s="32"/>
      <c r="AG465" s="32"/>
      <c r="AH465" s="32"/>
      <c r="AI465" s="32"/>
      <c r="AJ465" s="32"/>
      <c r="AK465" s="32"/>
      <c r="AL465" s="32"/>
      <c r="AM465" s="32"/>
      <c r="AN465" s="32"/>
      <c r="AO465" s="32"/>
      <c r="AP465" s="32"/>
    </row>
    <row r="466" ht="17.25" customHeight="1">
      <c r="A466" s="107"/>
      <c r="B466" s="107"/>
      <c r="C466" s="107"/>
      <c r="D466" s="107"/>
      <c r="E466" s="107"/>
      <c r="F466" s="32"/>
      <c r="G466" s="32"/>
      <c r="H466" s="32"/>
      <c r="I466" s="32"/>
      <c r="J466" s="32"/>
      <c r="K466" s="32"/>
      <c r="L466" s="32"/>
      <c r="M466" s="32"/>
      <c r="N466" s="32"/>
      <c r="O466" s="32"/>
      <c r="P466" s="107"/>
      <c r="Q466" s="107"/>
      <c r="R466" s="107"/>
      <c r="S466" s="32"/>
      <c r="T466" s="32"/>
      <c r="U466" s="32"/>
      <c r="V466" s="32"/>
      <c r="W466" s="32"/>
      <c r="X466" s="32"/>
      <c r="Y466" s="32"/>
      <c r="Z466" s="32"/>
      <c r="AA466" s="32"/>
      <c r="AB466" s="32"/>
      <c r="AC466" s="32"/>
      <c r="AD466" s="32"/>
      <c r="AE466" s="32"/>
      <c r="AF466" s="32"/>
      <c r="AG466" s="32"/>
      <c r="AH466" s="32"/>
      <c r="AI466" s="32"/>
      <c r="AJ466" s="32"/>
      <c r="AK466" s="32"/>
      <c r="AL466" s="32"/>
      <c r="AM466" s="32"/>
      <c r="AN466" s="32"/>
      <c r="AO466" s="32"/>
      <c r="AP466" s="32"/>
    </row>
    <row r="467" ht="17.25" customHeight="1">
      <c r="A467" s="107"/>
      <c r="B467" s="107"/>
      <c r="C467" s="107"/>
      <c r="D467" s="107"/>
      <c r="E467" s="107"/>
      <c r="F467" s="32"/>
      <c r="G467" s="32"/>
      <c r="H467" s="32"/>
      <c r="I467" s="32"/>
      <c r="J467" s="32"/>
      <c r="K467" s="32"/>
      <c r="L467" s="32"/>
      <c r="M467" s="32"/>
      <c r="N467" s="32"/>
      <c r="O467" s="32"/>
      <c r="P467" s="107"/>
      <c r="Q467" s="107"/>
      <c r="R467" s="107"/>
      <c r="S467" s="32"/>
      <c r="T467" s="32"/>
      <c r="U467" s="32"/>
      <c r="V467" s="32"/>
      <c r="W467" s="32"/>
      <c r="X467" s="32"/>
      <c r="Y467" s="32"/>
      <c r="Z467" s="32"/>
      <c r="AA467" s="32"/>
      <c r="AB467" s="32"/>
      <c r="AC467" s="32"/>
      <c r="AD467" s="32"/>
      <c r="AE467" s="32"/>
      <c r="AF467" s="32"/>
      <c r="AG467" s="32"/>
      <c r="AH467" s="32"/>
      <c r="AI467" s="32"/>
      <c r="AJ467" s="32"/>
      <c r="AK467" s="32"/>
      <c r="AL467" s="32"/>
      <c r="AM467" s="32"/>
      <c r="AN467" s="32"/>
      <c r="AO467" s="32"/>
      <c r="AP467" s="32"/>
    </row>
    <row r="468" ht="17.25" customHeight="1">
      <c r="A468" s="107"/>
      <c r="B468" s="107"/>
      <c r="C468" s="107"/>
      <c r="D468" s="107"/>
      <c r="E468" s="107"/>
      <c r="F468" s="32"/>
      <c r="G468" s="32"/>
      <c r="H468" s="32"/>
      <c r="I468" s="32"/>
      <c r="J468" s="32"/>
      <c r="K468" s="32"/>
      <c r="L468" s="32"/>
      <c r="M468" s="32"/>
      <c r="N468" s="32"/>
      <c r="O468" s="32"/>
      <c r="P468" s="107"/>
      <c r="Q468" s="107"/>
      <c r="R468" s="107"/>
      <c r="S468" s="32"/>
      <c r="T468" s="32"/>
      <c r="U468" s="32"/>
      <c r="V468" s="32"/>
      <c r="W468" s="32"/>
      <c r="X468" s="32"/>
      <c r="Y468" s="32"/>
      <c r="Z468" s="32"/>
      <c r="AA468" s="32"/>
      <c r="AB468" s="32"/>
      <c r="AC468" s="32"/>
      <c r="AD468" s="32"/>
      <c r="AE468" s="32"/>
      <c r="AF468" s="32"/>
      <c r="AG468" s="32"/>
      <c r="AH468" s="32"/>
      <c r="AI468" s="32"/>
      <c r="AJ468" s="32"/>
      <c r="AK468" s="32"/>
      <c r="AL468" s="32"/>
      <c r="AM468" s="32"/>
      <c r="AN468" s="32"/>
      <c r="AO468" s="32"/>
      <c r="AP468" s="32"/>
    </row>
    <row r="469" ht="17.25" customHeight="1">
      <c r="A469" s="107"/>
      <c r="B469" s="107"/>
      <c r="C469" s="107"/>
      <c r="D469" s="107"/>
      <c r="E469" s="107"/>
      <c r="F469" s="32"/>
      <c r="G469" s="32"/>
      <c r="H469" s="32"/>
      <c r="I469" s="32"/>
      <c r="J469" s="32"/>
      <c r="K469" s="32"/>
      <c r="L469" s="32"/>
      <c r="M469" s="32"/>
      <c r="N469" s="32"/>
      <c r="O469" s="32"/>
      <c r="P469" s="107"/>
      <c r="Q469" s="107"/>
      <c r="R469" s="107"/>
      <c r="S469" s="32"/>
      <c r="T469" s="32"/>
      <c r="U469" s="32"/>
      <c r="V469" s="32"/>
      <c r="W469" s="32"/>
      <c r="X469" s="32"/>
      <c r="Y469" s="32"/>
      <c r="Z469" s="32"/>
      <c r="AA469" s="32"/>
      <c r="AB469" s="32"/>
      <c r="AC469" s="32"/>
      <c r="AD469" s="32"/>
      <c r="AE469" s="32"/>
      <c r="AF469" s="32"/>
      <c r="AG469" s="32"/>
      <c r="AH469" s="32"/>
      <c r="AI469" s="32"/>
      <c r="AJ469" s="32"/>
      <c r="AK469" s="32"/>
      <c r="AL469" s="32"/>
      <c r="AM469" s="32"/>
      <c r="AN469" s="32"/>
      <c r="AO469" s="32"/>
      <c r="AP469" s="32"/>
    </row>
    <row r="470" ht="17.25" customHeight="1">
      <c r="A470" s="107"/>
      <c r="B470" s="107"/>
      <c r="C470" s="107"/>
      <c r="D470" s="107"/>
      <c r="E470" s="107"/>
      <c r="F470" s="32"/>
      <c r="G470" s="32"/>
      <c r="H470" s="32"/>
      <c r="I470" s="32"/>
      <c r="J470" s="32"/>
      <c r="K470" s="32"/>
      <c r="L470" s="32"/>
      <c r="M470" s="32"/>
      <c r="N470" s="32"/>
      <c r="O470" s="32"/>
      <c r="P470" s="107"/>
      <c r="Q470" s="107"/>
      <c r="R470" s="107"/>
      <c r="S470" s="32"/>
      <c r="T470" s="32"/>
      <c r="U470" s="32"/>
      <c r="V470" s="32"/>
      <c r="W470" s="32"/>
      <c r="X470" s="32"/>
      <c r="Y470" s="32"/>
      <c r="Z470" s="32"/>
      <c r="AA470" s="32"/>
      <c r="AB470" s="32"/>
      <c r="AC470" s="32"/>
      <c r="AD470" s="32"/>
      <c r="AE470" s="32"/>
      <c r="AF470" s="32"/>
      <c r="AG470" s="32"/>
      <c r="AH470" s="32"/>
      <c r="AI470" s="32"/>
      <c r="AJ470" s="32"/>
      <c r="AK470" s="32"/>
      <c r="AL470" s="32"/>
      <c r="AM470" s="32"/>
      <c r="AN470" s="32"/>
      <c r="AO470" s="32"/>
      <c r="AP470" s="32"/>
    </row>
    <row r="471" ht="17.25" customHeight="1">
      <c r="A471" s="107"/>
      <c r="B471" s="107"/>
      <c r="C471" s="107"/>
      <c r="D471" s="107"/>
      <c r="E471" s="107"/>
      <c r="F471" s="32"/>
      <c r="G471" s="32"/>
      <c r="H471" s="32"/>
      <c r="I471" s="32"/>
      <c r="J471" s="32"/>
      <c r="K471" s="32"/>
      <c r="L471" s="32"/>
      <c r="M471" s="32"/>
      <c r="N471" s="32"/>
      <c r="O471" s="32"/>
      <c r="P471" s="107"/>
      <c r="Q471" s="107"/>
      <c r="R471" s="107"/>
      <c r="S471" s="32"/>
      <c r="T471" s="32"/>
      <c r="U471" s="32"/>
      <c r="V471" s="32"/>
      <c r="W471" s="32"/>
      <c r="X471" s="32"/>
      <c r="Y471" s="32"/>
      <c r="Z471" s="32"/>
      <c r="AA471" s="32"/>
      <c r="AB471" s="32"/>
      <c r="AC471" s="32"/>
      <c r="AD471" s="32"/>
      <c r="AE471" s="32"/>
      <c r="AF471" s="32"/>
      <c r="AG471" s="32"/>
      <c r="AH471" s="32"/>
      <c r="AI471" s="32"/>
      <c r="AJ471" s="32"/>
      <c r="AK471" s="32"/>
      <c r="AL471" s="32"/>
      <c r="AM471" s="32"/>
      <c r="AN471" s="32"/>
      <c r="AO471" s="32"/>
      <c r="AP471" s="32"/>
    </row>
    <row r="472" ht="17.25" customHeight="1">
      <c r="A472" s="107"/>
      <c r="B472" s="107"/>
      <c r="C472" s="107"/>
      <c r="D472" s="107"/>
      <c r="E472" s="107"/>
      <c r="F472" s="32"/>
      <c r="G472" s="32"/>
      <c r="H472" s="32"/>
      <c r="I472" s="32"/>
      <c r="J472" s="32"/>
      <c r="K472" s="32"/>
      <c r="L472" s="32"/>
      <c r="M472" s="32"/>
      <c r="N472" s="32"/>
      <c r="O472" s="32"/>
      <c r="P472" s="107"/>
      <c r="Q472" s="107"/>
      <c r="R472" s="107"/>
      <c r="S472" s="32"/>
      <c r="T472" s="32"/>
      <c r="U472" s="32"/>
      <c r="V472" s="32"/>
      <c r="W472" s="32"/>
      <c r="X472" s="32"/>
      <c r="Y472" s="32"/>
      <c r="Z472" s="32"/>
      <c r="AA472" s="32"/>
      <c r="AB472" s="32"/>
      <c r="AC472" s="32"/>
      <c r="AD472" s="32"/>
      <c r="AE472" s="32"/>
      <c r="AF472" s="32"/>
      <c r="AG472" s="32"/>
      <c r="AH472" s="32"/>
      <c r="AI472" s="32"/>
      <c r="AJ472" s="32"/>
      <c r="AK472" s="32"/>
      <c r="AL472" s="32"/>
      <c r="AM472" s="32"/>
      <c r="AN472" s="32"/>
      <c r="AO472" s="32"/>
      <c r="AP472" s="32"/>
    </row>
    <row r="473" ht="17.25" customHeight="1">
      <c r="A473" s="107"/>
      <c r="B473" s="107"/>
      <c r="C473" s="107"/>
      <c r="D473" s="107"/>
      <c r="E473" s="107"/>
      <c r="F473" s="32"/>
      <c r="G473" s="32"/>
      <c r="H473" s="32"/>
      <c r="I473" s="32"/>
      <c r="J473" s="32"/>
      <c r="K473" s="32"/>
      <c r="L473" s="32"/>
      <c r="M473" s="32"/>
      <c r="N473" s="32"/>
      <c r="O473" s="32"/>
      <c r="P473" s="107"/>
      <c r="Q473" s="107"/>
      <c r="R473" s="107"/>
      <c r="S473" s="32"/>
      <c r="T473" s="32"/>
      <c r="U473" s="32"/>
      <c r="V473" s="32"/>
      <c r="W473" s="32"/>
      <c r="X473" s="32"/>
      <c r="Y473" s="32"/>
      <c r="Z473" s="32"/>
      <c r="AA473" s="32"/>
      <c r="AB473" s="32"/>
      <c r="AC473" s="32"/>
      <c r="AD473" s="32"/>
      <c r="AE473" s="32"/>
      <c r="AF473" s="32"/>
      <c r="AG473" s="32"/>
      <c r="AH473" s="32"/>
      <c r="AI473" s="32"/>
      <c r="AJ473" s="32"/>
      <c r="AK473" s="32"/>
      <c r="AL473" s="32"/>
      <c r="AM473" s="32"/>
      <c r="AN473" s="32"/>
      <c r="AO473" s="32"/>
      <c r="AP473" s="32"/>
    </row>
    <row r="474" ht="17.25" customHeight="1">
      <c r="A474" s="107"/>
      <c r="B474" s="107"/>
      <c r="C474" s="107"/>
      <c r="D474" s="107"/>
      <c r="E474" s="107"/>
      <c r="F474" s="32"/>
      <c r="G474" s="32"/>
      <c r="H474" s="32"/>
      <c r="I474" s="32"/>
      <c r="J474" s="32"/>
      <c r="K474" s="32"/>
      <c r="L474" s="32"/>
      <c r="M474" s="32"/>
      <c r="N474" s="32"/>
      <c r="O474" s="32"/>
      <c r="P474" s="107"/>
      <c r="Q474" s="107"/>
      <c r="R474" s="107"/>
      <c r="S474" s="32"/>
      <c r="T474" s="32"/>
      <c r="U474" s="32"/>
      <c r="V474" s="32"/>
      <c r="W474" s="32"/>
      <c r="X474" s="32"/>
      <c r="Y474" s="32"/>
      <c r="Z474" s="32"/>
      <c r="AA474" s="32"/>
      <c r="AB474" s="32"/>
      <c r="AC474" s="32"/>
      <c r="AD474" s="32"/>
      <c r="AE474" s="32"/>
      <c r="AF474" s="32"/>
      <c r="AG474" s="32"/>
      <c r="AH474" s="32"/>
      <c r="AI474" s="32"/>
      <c r="AJ474" s="32"/>
      <c r="AK474" s="32"/>
      <c r="AL474" s="32"/>
      <c r="AM474" s="32"/>
      <c r="AN474" s="32"/>
      <c r="AO474" s="32"/>
      <c r="AP474" s="32"/>
    </row>
    <row r="475" ht="17.25" customHeight="1">
      <c r="A475" s="107"/>
      <c r="B475" s="107"/>
      <c r="C475" s="107"/>
      <c r="D475" s="107"/>
      <c r="E475" s="107"/>
      <c r="F475" s="32"/>
      <c r="G475" s="32"/>
      <c r="H475" s="32"/>
      <c r="I475" s="32"/>
      <c r="J475" s="32"/>
      <c r="K475" s="32"/>
      <c r="L475" s="32"/>
      <c r="M475" s="32"/>
      <c r="N475" s="32"/>
      <c r="O475" s="32"/>
      <c r="P475" s="107"/>
      <c r="Q475" s="107"/>
      <c r="R475" s="107"/>
      <c r="S475" s="32"/>
      <c r="T475" s="32"/>
      <c r="U475" s="32"/>
      <c r="V475" s="32"/>
      <c r="W475" s="32"/>
      <c r="X475" s="32"/>
      <c r="Y475" s="32"/>
      <c r="Z475" s="32"/>
      <c r="AA475" s="32"/>
      <c r="AB475" s="32"/>
      <c r="AC475" s="32"/>
      <c r="AD475" s="32"/>
      <c r="AE475" s="32"/>
      <c r="AF475" s="32"/>
      <c r="AG475" s="32"/>
      <c r="AH475" s="32"/>
      <c r="AI475" s="32"/>
      <c r="AJ475" s="32"/>
      <c r="AK475" s="32"/>
      <c r="AL475" s="32"/>
      <c r="AM475" s="32"/>
      <c r="AN475" s="32"/>
      <c r="AO475" s="32"/>
      <c r="AP475" s="32"/>
    </row>
    <row r="476" ht="17.25" customHeight="1">
      <c r="A476" s="107"/>
      <c r="B476" s="107"/>
      <c r="C476" s="107"/>
      <c r="D476" s="107"/>
      <c r="E476" s="107"/>
      <c r="F476" s="32"/>
      <c r="G476" s="32"/>
      <c r="H476" s="32"/>
      <c r="I476" s="32"/>
      <c r="J476" s="32"/>
      <c r="K476" s="32"/>
      <c r="L476" s="32"/>
      <c r="M476" s="32"/>
      <c r="N476" s="32"/>
      <c r="O476" s="32"/>
      <c r="P476" s="107"/>
      <c r="Q476" s="107"/>
      <c r="R476" s="107"/>
      <c r="S476" s="32"/>
      <c r="T476" s="32"/>
      <c r="U476" s="32"/>
      <c r="V476" s="32"/>
      <c r="W476" s="32"/>
      <c r="X476" s="32"/>
      <c r="Y476" s="32"/>
      <c r="Z476" s="32"/>
      <c r="AA476" s="32"/>
      <c r="AB476" s="32"/>
      <c r="AC476" s="32"/>
      <c r="AD476" s="32"/>
      <c r="AE476" s="32"/>
      <c r="AF476" s="32"/>
      <c r="AG476" s="32"/>
      <c r="AH476" s="32"/>
      <c r="AI476" s="32"/>
      <c r="AJ476" s="32"/>
      <c r="AK476" s="32"/>
      <c r="AL476" s="32"/>
      <c r="AM476" s="32"/>
      <c r="AN476" s="32"/>
      <c r="AO476" s="32"/>
      <c r="AP476" s="32"/>
    </row>
    <row r="477" ht="17.25" customHeight="1">
      <c r="A477" s="107"/>
      <c r="B477" s="107"/>
      <c r="C477" s="107"/>
      <c r="D477" s="107"/>
      <c r="E477" s="107"/>
      <c r="F477" s="32"/>
      <c r="G477" s="32"/>
      <c r="H477" s="32"/>
      <c r="I477" s="32"/>
      <c r="J477" s="32"/>
      <c r="K477" s="32"/>
      <c r="L477" s="32"/>
      <c r="M477" s="32"/>
      <c r="N477" s="32"/>
      <c r="O477" s="32"/>
      <c r="P477" s="107"/>
      <c r="Q477" s="107"/>
      <c r="R477" s="107"/>
      <c r="S477" s="32"/>
      <c r="T477" s="32"/>
      <c r="U477" s="32"/>
      <c r="V477" s="32"/>
      <c r="W477" s="32"/>
      <c r="X477" s="32"/>
      <c r="Y477" s="32"/>
      <c r="Z477" s="32"/>
      <c r="AA477" s="32"/>
      <c r="AB477" s="32"/>
      <c r="AC477" s="32"/>
      <c r="AD477" s="32"/>
      <c r="AE477" s="32"/>
      <c r="AF477" s="32"/>
      <c r="AG477" s="32"/>
      <c r="AH477" s="32"/>
      <c r="AI477" s="32"/>
      <c r="AJ477" s="32"/>
      <c r="AK477" s="32"/>
      <c r="AL477" s="32"/>
      <c r="AM477" s="32"/>
      <c r="AN477" s="32"/>
      <c r="AO477" s="32"/>
      <c r="AP477" s="32"/>
    </row>
    <row r="478" ht="17.25" customHeight="1">
      <c r="A478" s="107"/>
      <c r="B478" s="107"/>
      <c r="C478" s="107"/>
      <c r="D478" s="107"/>
      <c r="E478" s="107"/>
      <c r="F478" s="32"/>
      <c r="G478" s="32"/>
      <c r="H478" s="32"/>
      <c r="I478" s="32"/>
      <c r="J478" s="32"/>
      <c r="K478" s="32"/>
      <c r="L478" s="32"/>
      <c r="M478" s="32"/>
      <c r="N478" s="32"/>
      <c r="O478" s="32"/>
      <c r="P478" s="107"/>
      <c r="Q478" s="107"/>
      <c r="R478" s="107"/>
      <c r="S478" s="32"/>
      <c r="T478" s="32"/>
      <c r="U478" s="32"/>
      <c r="V478" s="32"/>
      <c r="W478" s="32"/>
      <c r="X478" s="32"/>
      <c r="Y478" s="32"/>
      <c r="Z478" s="32"/>
      <c r="AA478" s="32"/>
      <c r="AB478" s="32"/>
      <c r="AC478" s="32"/>
      <c r="AD478" s="32"/>
      <c r="AE478" s="32"/>
      <c r="AF478" s="32"/>
      <c r="AG478" s="32"/>
      <c r="AH478" s="32"/>
      <c r="AI478" s="32"/>
      <c r="AJ478" s="32"/>
      <c r="AK478" s="32"/>
      <c r="AL478" s="32"/>
      <c r="AM478" s="32"/>
      <c r="AN478" s="32"/>
      <c r="AO478" s="32"/>
      <c r="AP478" s="32"/>
    </row>
    <row r="479" ht="17.25" customHeight="1">
      <c r="A479" s="107"/>
      <c r="B479" s="107"/>
      <c r="C479" s="107"/>
      <c r="D479" s="107"/>
      <c r="E479" s="107"/>
      <c r="F479" s="32"/>
      <c r="G479" s="32"/>
      <c r="H479" s="32"/>
      <c r="I479" s="32"/>
      <c r="J479" s="32"/>
      <c r="K479" s="32"/>
      <c r="L479" s="32"/>
      <c r="M479" s="32"/>
      <c r="N479" s="32"/>
      <c r="O479" s="32"/>
      <c r="P479" s="107"/>
      <c r="Q479" s="107"/>
      <c r="R479" s="107"/>
      <c r="S479" s="32"/>
      <c r="T479" s="32"/>
      <c r="U479" s="32"/>
      <c r="V479" s="32"/>
      <c r="W479" s="32"/>
      <c r="X479" s="32"/>
      <c r="Y479" s="32"/>
      <c r="Z479" s="32"/>
      <c r="AA479" s="32"/>
      <c r="AB479" s="32"/>
      <c r="AC479" s="32"/>
      <c r="AD479" s="32"/>
      <c r="AE479" s="32"/>
      <c r="AF479" s="32"/>
      <c r="AG479" s="32"/>
      <c r="AH479" s="32"/>
      <c r="AI479" s="32"/>
      <c r="AJ479" s="32"/>
      <c r="AK479" s="32"/>
      <c r="AL479" s="32"/>
      <c r="AM479" s="32"/>
      <c r="AN479" s="32"/>
      <c r="AO479" s="32"/>
      <c r="AP479" s="32"/>
    </row>
    <row r="480" ht="17.25" customHeight="1">
      <c r="A480" s="107"/>
      <c r="B480" s="107"/>
      <c r="C480" s="107"/>
      <c r="D480" s="107"/>
      <c r="E480" s="107"/>
      <c r="F480" s="32"/>
      <c r="G480" s="32"/>
      <c r="H480" s="32"/>
      <c r="I480" s="32"/>
      <c r="J480" s="32"/>
      <c r="K480" s="32"/>
      <c r="L480" s="32"/>
      <c r="M480" s="32"/>
      <c r="N480" s="32"/>
      <c r="O480" s="32"/>
      <c r="P480" s="107"/>
      <c r="Q480" s="107"/>
      <c r="R480" s="107"/>
      <c r="S480" s="32"/>
      <c r="T480" s="32"/>
      <c r="U480" s="32"/>
      <c r="V480" s="32"/>
      <c r="W480" s="32"/>
      <c r="X480" s="32"/>
      <c r="Y480" s="32"/>
      <c r="Z480" s="32"/>
      <c r="AA480" s="32"/>
      <c r="AB480" s="32"/>
      <c r="AC480" s="32"/>
      <c r="AD480" s="32"/>
      <c r="AE480" s="32"/>
      <c r="AF480" s="32"/>
      <c r="AG480" s="32"/>
      <c r="AH480" s="32"/>
      <c r="AI480" s="32"/>
      <c r="AJ480" s="32"/>
      <c r="AK480" s="32"/>
      <c r="AL480" s="32"/>
      <c r="AM480" s="32"/>
      <c r="AN480" s="32"/>
      <c r="AO480" s="32"/>
      <c r="AP480" s="32"/>
    </row>
    <row r="481" ht="17.25" customHeight="1">
      <c r="A481" s="107"/>
      <c r="B481" s="107"/>
      <c r="C481" s="107"/>
      <c r="D481" s="107"/>
      <c r="E481" s="107"/>
      <c r="F481" s="32"/>
      <c r="G481" s="32"/>
      <c r="H481" s="32"/>
      <c r="I481" s="32"/>
      <c r="J481" s="32"/>
      <c r="K481" s="32"/>
      <c r="L481" s="32"/>
      <c r="M481" s="32"/>
      <c r="N481" s="32"/>
      <c r="O481" s="32"/>
      <c r="P481" s="107"/>
      <c r="Q481" s="107"/>
      <c r="R481" s="107"/>
      <c r="S481" s="32"/>
      <c r="T481" s="32"/>
      <c r="U481" s="32"/>
      <c r="V481" s="32"/>
      <c r="W481" s="32"/>
      <c r="X481" s="32"/>
      <c r="Y481" s="32"/>
      <c r="Z481" s="32"/>
      <c r="AA481" s="32"/>
      <c r="AB481" s="32"/>
      <c r="AC481" s="32"/>
      <c r="AD481" s="32"/>
      <c r="AE481" s="32"/>
      <c r="AF481" s="32"/>
      <c r="AG481" s="32"/>
      <c r="AH481" s="32"/>
      <c r="AI481" s="32"/>
      <c r="AJ481" s="32"/>
      <c r="AK481" s="32"/>
      <c r="AL481" s="32"/>
      <c r="AM481" s="32"/>
      <c r="AN481" s="32"/>
      <c r="AO481" s="32"/>
      <c r="AP481" s="32"/>
    </row>
    <row r="482" ht="17.25" customHeight="1">
      <c r="A482" s="107"/>
      <c r="B482" s="107"/>
      <c r="C482" s="107"/>
      <c r="D482" s="107"/>
      <c r="E482" s="107"/>
      <c r="F482" s="32"/>
      <c r="G482" s="32"/>
      <c r="H482" s="32"/>
      <c r="I482" s="32"/>
      <c r="J482" s="32"/>
      <c r="K482" s="32"/>
      <c r="L482" s="32"/>
      <c r="M482" s="32"/>
      <c r="N482" s="32"/>
      <c r="O482" s="32"/>
      <c r="P482" s="107"/>
      <c r="Q482" s="107"/>
      <c r="R482" s="107"/>
      <c r="S482" s="32"/>
      <c r="T482" s="32"/>
      <c r="U482" s="32"/>
      <c r="V482" s="32"/>
      <c r="W482" s="32"/>
      <c r="X482" s="32"/>
      <c r="Y482" s="32"/>
      <c r="Z482" s="32"/>
      <c r="AA482" s="32"/>
      <c r="AB482" s="32"/>
      <c r="AC482" s="32"/>
      <c r="AD482" s="32"/>
      <c r="AE482" s="32"/>
      <c r="AF482" s="32"/>
      <c r="AG482" s="32"/>
      <c r="AH482" s="32"/>
      <c r="AI482" s="32"/>
      <c r="AJ482" s="32"/>
      <c r="AK482" s="32"/>
      <c r="AL482" s="32"/>
      <c r="AM482" s="32"/>
      <c r="AN482" s="32"/>
      <c r="AO482" s="32"/>
      <c r="AP482" s="32"/>
    </row>
    <row r="483" ht="17.25" customHeight="1">
      <c r="A483" s="107"/>
      <c r="B483" s="107"/>
      <c r="C483" s="107"/>
      <c r="D483" s="107"/>
      <c r="E483" s="107"/>
      <c r="F483" s="32"/>
      <c r="G483" s="32"/>
      <c r="H483" s="32"/>
      <c r="I483" s="32"/>
      <c r="J483" s="32"/>
      <c r="K483" s="32"/>
      <c r="L483" s="32"/>
      <c r="M483" s="32"/>
      <c r="N483" s="32"/>
      <c r="O483" s="32"/>
      <c r="P483" s="107"/>
      <c r="Q483" s="107"/>
      <c r="R483" s="107"/>
      <c r="S483" s="32"/>
      <c r="T483" s="32"/>
      <c r="U483" s="32"/>
      <c r="V483" s="32"/>
      <c r="W483" s="32"/>
      <c r="X483" s="32"/>
      <c r="Y483" s="32"/>
      <c r="Z483" s="32"/>
      <c r="AA483" s="32"/>
      <c r="AB483" s="32"/>
      <c r="AC483" s="32"/>
      <c r="AD483" s="32"/>
      <c r="AE483" s="32"/>
      <c r="AF483" s="32"/>
      <c r="AG483" s="32"/>
      <c r="AH483" s="32"/>
      <c r="AI483" s="32"/>
      <c r="AJ483" s="32"/>
      <c r="AK483" s="32"/>
      <c r="AL483" s="32"/>
      <c r="AM483" s="32"/>
      <c r="AN483" s="32"/>
      <c r="AO483" s="32"/>
      <c r="AP483" s="32"/>
    </row>
    <row r="484" ht="17.25" customHeight="1">
      <c r="A484" s="107"/>
      <c r="B484" s="107"/>
      <c r="C484" s="107"/>
      <c r="D484" s="107"/>
      <c r="E484" s="107"/>
      <c r="F484" s="32"/>
      <c r="G484" s="32"/>
      <c r="H484" s="32"/>
      <c r="I484" s="32"/>
      <c r="J484" s="32"/>
      <c r="K484" s="32"/>
      <c r="L484" s="32"/>
      <c r="M484" s="32"/>
      <c r="N484" s="32"/>
      <c r="O484" s="32"/>
      <c r="P484" s="107"/>
      <c r="Q484" s="107"/>
      <c r="R484" s="107"/>
      <c r="S484" s="32"/>
      <c r="T484" s="32"/>
      <c r="U484" s="32"/>
      <c r="V484" s="32"/>
      <c r="W484" s="32"/>
      <c r="X484" s="32"/>
      <c r="Y484" s="32"/>
      <c r="Z484" s="32"/>
      <c r="AA484" s="32"/>
      <c r="AB484" s="32"/>
      <c r="AC484" s="32"/>
      <c r="AD484" s="32"/>
      <c r="AE484" s="32"/>
      <c r="AF484" s="32"/>
      <c r="AG484" s="32"/>
      <c r="AH484" s="32"/>
      <c r="AI484" s="32"/>
      <c r="AJ484" s="32"/>
      <c r="AK484" s="32"/>
      <c r="AL484" s="32"/>
      <c r="AM484" s="32"/>
      <c r="AN484" s="32"/>
      <c r="AO484" s="32"/>
      <c r="AP484" s="32"/>
    </row>
    <row r="485" ht="17.25" customHeight="1">
      <c r="A485" s="107"/>
      <c r="B485" s="107"/>
      <c r="C485" s="107"/>
      <c r="D485" s="107"/>
      <c r="E485" s="107"/>
      <c r="F485" s="32"/>
      <c r="G485" s="32"/>
      <c r="H485" s="32"/>
      <c r="I485" s="32"/>
      <c r="J485" s="32"/>
      <c r="K485" s="32"/>
      <c r="L485" s="32"/>
      <c r="M485" s="32"/>
      <c r="N485" s="32"/>
      <c r="O485" s="32"/>
      <c r="P485" s="107"/>
      <c r="Q485" s="107"/>
      <c r="R485" s="107"/>
      <c r="S485" s="32"/>
      <c r="T485" s="32"/>
      <c r="U485" s="32"/>
      <c r="V485" s="32"/>
      <c r="W485" s="32"/>
      <c r="X485" s="32"/>
      <c r="Y485" s="32"/>
      <c r="Z485" s="32"/>
      <c r="AA485" s="32"/>
      <c r="AB485" s="32"/>
      <c r="AC485" s="32"/>
      <c r="AD485" s="32"/>
      <c r="AE485" s="32"/>
      <c r="AF485" s="32"/>
      <c r="AG485" s="32"/>
      <c r="AH485" s="32"/>
      <c r="AI485" s="32"/>
      <c r="AJ485" s="32"/>
      <c r="AK485" s="32"/>
      <c r="AL485" s="32"/>
      <c r="AM485" s="32"/>
      <c r="AN485" s="32"/>
      <c r="AO485" s="32"/>
      <c r="AP485" s="32"/>
    </row>
    <row r="486" ht="17.25" customHeight="1">
      <c r="A486" s="107"/>
      <c r="B486" s="107"/>
      <c r="C486" s="107"/>
      <c r="D486" s="107"/>
      <c r="E486" s="107"/>
      <c r="F486" s="32"/>
      <c r="G486" s="32"/>
      <c r="H486" s="32"/>
      <c r="I486" s="32"/>
      <c r="J486" s="32"/>
      <c r="K486" s="32"/>
      <c r="L486" s="32"/>
      <c r="M486" s="32"/>
      <c r="N486" s="32"/>
      <c r="O486" s="32"/>
      <c r="P486" s="107"/>
      <c r="Q486" s="107"/>
      <c r="R486" s="107"/>
      <c r="S486" s="32"/>
      <c r="T486" s="32"/>
      <c r="U486" s="32"/>
      <c r="V486" s="32"/>
      <c r="W486" s="32"/>
      <c r="X486" s="32"/>
      <c r="Y486" s="32"/>
      <c r="Z486" s="32"/>
      <c r="AA486" s="32"/>
      <c r="AB486" s="32"/>
      <c r="AC486" s="32"/>
      <c r="AD486" s="32"/>
      <c r="AE486" s="32"/>
      <c r="AF486" s="32"/>
      <c r="AG486" s="32"/>
      <c r="AH486" s="32"/>
      <c r="AI486" s="32"/>
      <c r="AJ486" s="32"/>
      <c r="AK486" s="32"/>
      <c r="AL486" s="32"/>
      <c r="AM486" s="32"/>
      <c r="AN486" s="32"/>
      <c r="AO486" s="32"/>
      <c r="AP486" s="32"/>
    </row>
    <row r="487" ht="17.25" customHeight="1">
      <c r="A487" s="107"/>
      <c r="B487" s="107"/>
      <c r="C487" s="107"/>
      <c r="D487" s="107"/>
      <c r="E487" s="107"/>
      <c r="F487" s="32"/>
      <c r="G487" s="32"/>
      <c r="H487" s="32"/>
      <c r="I487" s="32"/>
      <c r="J487" s="32"/>
      <c r="K487" s="32"/>
      <c r="L487" s="32"/>
      <c r="M487" s="32"/>
      <c r="N487" s="32"/>
      <c r="O487" s="32"/>
      <c r="P487" s="107"/>
      <c r="Q487" s="107"/>
      <c r="R487" s="107"/>
      <c r="S487" s="32"/>
      <c r="T487" s="32"/>
      <c r="U487" s="32"/>
      <c r="V487" s="32"/>
      <c r="W487" s="32"/>
      <c r="X487" s="32"/>
      <c r="Y487" s="32"/>
      <c r="Z487" s="32"/>
      <c r="AA487" s="32"/>
      <c r="AB487" s="32"/>
      <c r="AC487" s="32"/>
      <c r="AD487" s="32"/>
      <c r="AE487" s="32"/>
      <c r="AF487" s="32"/>
      <c r="AG487" s="32"/>
      <c r="AH487" s="32"/>
      <c r="AI487" s="32"/>
      <c r="AJ487" s="32"/>
      <c r="AK487" s="32"/>
      <c r="AL487" s="32"/>
      <c r="AM487" s="32"/>
      <c r="AN487" s="32"/>
      <c r="AO487" s="32"/>
      <c r="AP487" s="32"/>
    </row>
    <row r="488" ht="17.25" customHeight="1">
      <c r="A488" s="107"/>
      <c r="B488" s="107"/>
      <c r="C488" s="107"/>
      <c r="D488" s="107"/>
      <c r="E488" s="107"/>
      <c r="F488" s="32"/>
      <c r="G488" s="32"/>
      <c r="H488" s="32"/>
      <c r="I488" s="32"/>
      <c r="J488" s="32"/>
      <c r="K488" s="32"/>
      <c r="L488" s="32"/>
      <c r="M488" s="32"/>
      <c r="N488" s="32"/>
      <c r="O488" s="32"/>
      <c r="P488" s="107"/>
      <c r="Q488" s="107"/>
      <c r="R488" s="107"/>
      <c r="S488" s="32"/>
      <c r="T488" s="32"/>
      <c r="U488" s="32"/>
      <c r="V488" s="32"/>
      <c r="W488" s="32"/>
      <c r="X488" s="32"/>
      <c r="Y488" s="32"/>
      <c r="Z488" s="32"/>
      <c r="AA488" s="32"/>
      <c r="AB488" s="32"/>
      <c r="AC488" s="32"/>
      <c r="AD488" s="32"/>
      <c r="AE488" s="32"/>
      <c r="AF488" s="32"/>
      <c r="AG488" s="32"/>
      <c r="AH488" s="32"/>
      <c r="AI488" s="32"/>
      <c r="AJ488" s="32"/>
      <c r="AK488" s="32"/>
      <c r="AL488" s="32"/>
      <c r="AM488" s="32"/>
      <c r="AN488" s="32"/>
      <c r="AO488" s="32"/>
      <c r="AP488" s="32"/>
    </row>
    <row r="489" ht="17.25" customHeight="1">
      <c r="A489" s="107"/>
      <c r="B489" s="107"/>
      <c r="C489" s="107"/>
      <c r="D489" s="107"/>
      <c r="E489" s="107"/>
      <c r="F489" s="32"/>
      <c r="G489" s="32"/>
      <c r="H489" s="32"/>
      <c r="I489" s="32"/>
      <c r="J489" s="32"/>
      <c r="K489" s="32"/>
      <c r="L489" s="32"/>
      <c r="M489" s="32"/>
      <c r="N489" s="32"/>
      <c r="O489" s="32"/>
      <c r="P489" s="107"/>
      <c r="Q489" s="107"/>
      <c r="R489" s="107"/>
      <c r="S489" s="32"/>
      <c r="T489" s="32"/>
      <c r="U489" s="32"/>
      <c r="V489" s="32"/>
      <c r="W489" s="32"/>
      <c r="X489" s="32"/>
      <c r="Y489" s="32"/>
      <c r="Z489" s="32"/>
      <c r="AA489" s="32"/>
      <c r="AB489" s="32"/>
      <c r="AC489" s="32"/>
      <c r="AD489" s="32"/>
      <c r="AE489" s="32"/>
      <c r="AF489" s="32"/>
      <c r="AG489" s="32"/>
      <c r="AH489" s="32"/>
      <c r="AI489" s="32"/>
      <c r="AJ489" s="32"/>
      <c r="AK489" s="32"/>
      <c r="AL489" s="32"/>
      <c r="AM489" s="32"/>
      <c r="AN489" s="32"/>
      <c r="AO489" s="32"/>
      <c r="AP489" s="32"/>
    </row>
    <row r="490" ht="17.25" customHeight="1">
      <c r="A490" s="107"/>
      <c r="B490" s="107"/>
      <c r="C490" s="107"/>
      <c r="D490" s="107"/>
      <c r="E490" s="107"/>
      <c r="F490" s="32"/>
      <c r="G490" s="32"/>
      <c r="H490" s="32"/>
      <c r="I490" s="32"/>
      <c r="J490" s="32"/>
      <c r="K490" s="32"/>
      <c r="L490" s="32"/>
      <c r="M490" s="32"/>
      <c r="N490" s="32"/>
      <c r="O490" s="32"/>
      <c r="P490" s="107"/>
      <c r="Q490" s="107"/>
      <c r="R490" s="107"/>
      <c r="S490" s="32"/>
      <c r="T490" s="32"/>
      <c r="U490" s="32"/>
      <c r="V490" s="32"/>
      <c r="W490" s="32"/>
      <c r="X490" s="32"/>
      <c r="Y490" s="32"/>
      <c r="Z490" s="32"/>
      <c r="AA490" s="32"/>
      <c r="AB490" s="32"/>
      <c r="AC490" s="32"/>
      <c r="AD490" s="32"/>
      <c r="AE490" s="32"/>
      <c r="AF490" s="32"/>
      <c r="AG490" s="32"/>
      <c r="AH490" s="32"/>
      <c r="AI490" s="32"/>
      <c r="AJ490" s="32"/>
      <c r="AK490" s="32"/>
      <c r="AL490" s="32"/>
      <c r="AM490" s="32"/>
      <c r="AN490" s="32"/>
      <c r="AO490" s="32"/>
      <c r="AP490" s="32"/>
    </row>
    <row r="491" ht="17.25" customHeight="1">
      <c r="A491" s="107"/>
      <c r="B491" s="107"/>
      <c r="C491" s="107"/>
      <c r="D491" s="107"/>
      <c r="E491" s="107"/>
      <c r="F491" s="32"/>
      <c r="G491" s="32"/>
      <c r="H491" s="32"/>
      <c r="I491" s="32"/>
      <c r="J491" s="32"/>
      <c r="K491" s="32"/>
      <c r="L491" s="32"/>
      <c r="M491" s="32"/>
      <c r="N491" s="32"/>
      <c r="O491" s="32"/>
      <c r="P491" s="107"/>
      <c r="Q491" s="107"/>
      <c r="R491" s="107"/>
      <c r="S491" s="32"/>
      <c r="T491" s="32"/>
      <c r="U491" s="32"/>
      <c r="V491" s="32"/>
      <c r="W491" s="32"/>
      <c r="X491" s="32"/>
      <c r="Y491" s="32"/>
      <c r="Z491" s="32"/>
      <c r="AA491" s="32"/>
      <c r="AB491" s="32"/>
      <c r="AC491" s="32"/>
      <c r="AD491" s="32"/>
      <c r="AE491" s="32"/>
      <c r="AF491" s="32"/>
      <c r="AG491" s="32"/>
      <c r="AH491" s="32"/>
      <c r="AI491" s="32"/>
      <c r="AJ491" s="32"/>
      <c r="AK491" s="32"/>
      <c r="AL491" s="32"/>
      <c r="AM491" s="32"/>
      <c r="AN491" s="32"/>
      <c r="AO491" s="32"/>
      <c r="AP491" s="32"/>
    </row>
    <row r="492" ht="17.25" customHeight="1">
      <c r="A492" s="107"/>
      <c r="B492" s="107"/>
      <c r="C492" s="107"/>
      <c r="D492" s="107"/>
      <c r="E492" s="107"/>
      <c r="F492" s="32"/>
      <c r="G492" s="32"/>
      <c r="H492" s="32"/>
      <c r="I492" s="32"/>
      <c r="J492" s="32"/>
      <c r="K492" s="32"/>
      <c r="L492" s="32"/>
      <c r="M492" s="32"/>
      <c r="N492" s="32"/>
      <c r="O492" s="32"/>
      <c r="P492" s="107"/>
      <c r="Q492" s="107"/>
      <c r="R492" s="107"/>
      <c r="S492" s="32"/>
      <c r="T492" s="32"/>
      <c r="U492" s="32"/>
      <c r="V492" s="32"/>
      <c r="W492" s="32"/>
      <c r="X492" s="32"/>
      <c r="Y492" s="32"/>
      <c r="Z492" s="32"/>
      <c r="AA492" s="32"/>
      <c r="AB492" s="32"/>
      <c r="AC492" s="32"/>
      <c r="AD492" s="32"/>
      <c r="AE492" s="32"/>
      <c r="AF492" s="32"/>
      <c r="AG492" s="32"/>
      <c r="AH492" s="32"/>
      <c r="AI492" s="32"/>
      <c r="AJ492" s="32"/>
      <c r="AK492" s="32"/>
      <c r="AL492" s="32"/>
      <c r="AM492" s="32"/>
      <c r="AN492" s="32"/>
      <c r="AO492" s="32"/>
      <c r="AP492" s="32"/>
    </row>
    <row r="493" ht="17.25" customHeight="1">
      <c r="A493" s="107"/>
      <c r="B493" s="107"/>
      <c r="C493" s="107"/>
      <c r="D493" s="107"/>
      <c r="E493" s="107"/>
      <c r="F493" s="32"/>
      <c r="G493" s="32"/>
      <c r="H493" s="32"/>
      <c r="I493" s="32"/>
      <c r="J493" s="32"/>
      <c r="K493" s="32"/>
      <c r="L493" s="32"/>
      <c r="M493" s="32"/>
      <c r="N493" s="32"/>
      <c r="O493" s="32"/>
      <c r="P493" s="107"/>
      <c r="Q493" s="107"/>
      <c r="R493" s="107"/>
      <c r="S493" s="32"/>
      <c r="T493" s="32"/>
      <c r="U493" s="32"/>
      <c r="V493" s="32"/>
      <c r="W493" s="32"/>
      <c r="X493" s="32"/>
      <c r="Y493" s="32"/>
      <c r="Z493" s="32"/>
      <c r="AA493" s="32"/>
      <c r="AB493" s="32"/>
      <c r="AC493" s="32"/>
      <c r="AD493" s="32"/>
      <c r="AE493" s="32"/>
      <c r="AF493" s="32"/>
      <c r="AG493" s="32"/>
      <c r="AH493" s="32"/>
      <c r="AI493" s="32"/>
      <c r="AJ493" s="32"/>
      <c r="AK493" s="32"/>
      <c r="AL493" s="32"/>
      <c r="AM493" s="32"/>
      <c r="AN493" s="32"/>
      <c r="AO493" s="32"/>
      <c r="AP493" s="32"/>
    </row>
    <row r="494" ht="17.25" customHeight="1">
      <c r="A494" s="107"/>
      <c r="B494" s="107"/>
      <c r="C494" s="107"/>
      <c r="D494" s="107"/>
      <c r="E494" s="107"/>
      <c r="F494" s="32"/>
      <c r="G494" s="32"/>
      <c r="H494" s="32"/>
      <c r="I494" s="32"/>
      <c r="J494" s="32"/>
      <c r="K494" s="32"/>
      <c r="L494" s="32"/>
      <c r="M494" s="32"/>
      <c r="N494" s="32"/>
      <c r="O494" s="32"/>
      <c r="P494" s="107"/>
      <c r="Q494" s="107"/>
      <c r="R494" s="107"/>
      <c r="S494" s="32"/>
      <c r="T494" s="32"/>
      <c r="U494" s="32"/>
      <c r="V494" s="32"/>
      <c r="W494" s="32"/>
      <c r="X494" s="32"/>
      <c r="Y494" s="32"/>
      <c r="Z494" s="32"/>
      <c r="AA494" s="32"/>
      <c r="AB494" s="32"/>
      <c r="AC494" s="32"/>
      <c r="AD494" s="32"/>
      <c r="AE494" s="32"/>
      <c r="AF494" s="32"/>
      <c r="AG494" s="32"/>
      <c r="AH494" s="32"/>
      <c r="AI494" s="32"/>
      <c r="AJ494" s="32"/>
      <c r="AK494" s="32"/>
      <c r="AL494" s="32"/>
      <c r="AM494" s="32"/>
      <c r="AN494" s="32"/>
      <c r="AO494" s="32"/>
      <c r="AP494" s="32"/>
    </row>
    <row r="495" ht="17.25" customHeight="1">
      <c r="A495" s="107"/>
      <c r="B495" s="107"/>
      <c r="C495" s="107"/>
      <c r="D495" s="107"/>
      <c r="E495" s="107"/>
      <c r="F495" s="32"/>
      <c r="G495" s="32"/>
      <c r="H495" s="32"/>
      <c r="I495" s="32"/>
      <c r="J495" s="32"/>
      <c r="K495" s="32"/>
      <c r="L495" s="32"/>
      <c r="M495" s="32"/>
      <c r="N495" s="32"/>
      <c r="O495" s="32"/>
      <c r="P495" s="107"/>
      <c r="Q495" s="107"/>
      <c r="R495" s="107"/>
      <c r="S495" s="32"/>
      <c r="T495" s="32"/>
      <c r="U495" s="32"/>
      <c r="V495" s="32"/>
      <c r="W495" s="32"/>
      <c r="X495" s="32"/>
      <c r="Y495" s="32"/>
      <c r="Z495" s="32"/>
      <c r="AA495" s="32"/>
      <c r="AB495" s="32"/>
      <c r="AC495" s="32"/>
      <c r="AD495" s="32"/>
      <c r="AE495" s="32"/>
      <c r="AF495" s="32"/>
      <c r="AG495" s="32"/>
      <c r="AH495" s="32"/>
      <c r="AI495" s="32"/>
      <c r="AJ495" s="32"/>
      <c r="AK495" s="32"/>
      <c r="AL495" s="32"/>
      <c r="AM495" s="32"/>
      <c r="AN495" s="32"/>
      <c r="AO495" s="32"/>
      <c r="AP495" s="32"/>
    </row>
    <row r="496" ht="17.25" customHeight="1">
      <c r="A496" s="107"/>
      <c r="B496" s="107"/>
      <c r="C496" s="107"/>
      <c r="D496" s="107"/>
      <c r="E496" s="107"/>
      <c r="F496" s="32"/>
      <c r="G496" s="32"/>
      <c r="H496" s="32"/>
      <c r="I496" s="32"/>
      <c r="J496" s="32"/>
      <c r="K496" s="32"/>
      <c r="L496" s="32"/>
      <c r="M496" s="32"/>
      <c r="N496" s="32"/>
      <c r="O496" s="32"/>
      <c r="P496" s="107"/>
      <c r="Q496" s="107"/>
      <c r="R496" s="107"/>
      <c r="S496" s="32"/>
      <c r="T496" s="32"/>
      <c r="U496" s="32"/>
      <c r="V496" s="32"/>
      <c r="W496" s="32"/>
      <c r="X496" s="32"/>
      <c r="Y496" s="32"/>
      <c r="Z496" s="32"/>
      <c r="AA496" s="32"/>
      <c r="AB496" s="32"/>
      <c r="AC496" s="32"/>
      <c r="AD496" s="32"/>
      <c r="AE496" s="32"/>
      <c r="AF496" s="32"/>
      <c r="AG496" s="32"/>
      <c r="AH496" s="32"/>
      <c r="AI496" s="32"/>
      <c r="AJ496" s="32"/>
      <c r="AK496" s="32"/>
      <c r="AL496" s="32"/>
      <c r="AM496" s="32"/>
      <c r="AN496" s="32"/>
      <c r="AO496" s="32"/>
      <c r="AP496" s="32"/>
    </row>
    <row r="497" ht="17.25" customHeight="1">
      <c r="A497" s="107"/>
      <c r="B497" s="107"/>
      <c r="C497" s="107"/>
      <c r="D497" s="107"/>
      <c r="E497" s="107"/>
      <c r="F497" s="32"/>
      <c r="G497" s="32"/>
      <c r="H497" s="32"/>
      <c r="I497" s="32"/>
      <c r="J497" s="32"/>
      <c r="K497" s="32"/>
      <c r="L497" s="32"/>
      <c r="M497" s="32"/>
      <c r="N497" s="32"/>
      <c r="O497" s="32"/>
      <c r="P497" s="107"/>
      <c r="Q497" s="107"/>
      <c r="R497" s="107"/>
      <c r="S497" s="32"/>
      <c r="T497" s="32"/>
      <c r="U497" s="32"/>
      <c r="V497" s="32"/>
      <c r="W497" s="32"/>
      <c r="X497" s="32"/>
      <c r="Y497" s="32"/>
      <c r="Z497" s="32"/>
      <c r="AA497" s="32"/>
      <c r="AB497" s="32"/>
      <c r="AC497" s="32"/>
      <c r="AD497" s="32"/>
      <c r="AE497" s="32"/>
      <c r="AF497" s="32"/>
      <c r="AG497" s="32"/>
      <c r="AH497" s="32"/>
      <c r="AI497" s="32"/>
      <c r="AJ497" s="32"/>
      <c r="AK497" s="32"/>
      <c r="AL497" s="32"/>
      <c r="AM497" s="32"/>
      <c r="AN497" s="32"/>
      <c r="AO497" s="32"/>
      <c r="AP497" s="32"/>
    </row>
    <row r="498" ht="17.25" customHeight="1">
      <c r="A498" s="107"/>
      <c r="B498" s="107"/>
      <c r="C498" s="107"/>
      <c r="D498" s="107"/>
      <c r="E498" s="107"/>
      <c r="F498" s="32"/>
      <c r="G498" s="32"/>
      <c r="H498" s="32"/>
      <c r="I498" s="32"/>
      <c r="J498" s="32"/>
      <c r="K498" s="32"/>
      <c r="L498" s="32"/>
      <c r="M498" s="32"/>
      <c r="N498" s="32"/>
      <c r="O498" s="32"/>
      <c r="P498" s="107"/>
      <c r="Q498" s="107"/>
      <c r="R498" s="107"/>
      <c r="S498" s="32"/>
      <c r="T498" s="32"/>
      <c r="U498" s="32"/>
      <c r="V498" s="32"/>
      <c r="W498" s="32"/>
      <c r="X498" s="32"/>
      <c r="Y498" s="32"/>
      <c r="Z498" s="32"/>
      <c r="AA498" s="32"/>
      <c r="AB498" s="32"/>
      <c r="AC498" s="32"/>
      <c r="AD498" s="32"/>
      <c r="AE498" s="32"/>
      <c r="AF498" s="32"/>
      <c r="AG498" s="32"/>
      <c r="AH498" s="32"/>
      <c r="AI498" s="32"/>
      <c r="AJ498" s="32"/>
      <c r="AK498" s="32"/>
      <c r="AL498" s="32"/>
      <c r="AM498" s="32"/>
      <c r="AN498" s="32"/>
      <c r="AO498" s="32"/>
      <c r="AP498" s="32"/>
    </row>
    <row r="499" ht="17.25" customHeight="1">
      <c r="A499" s="107"/>
      <c r="B499" s="107"/>
      <c r="C499" s="107"/>
      <c r="D499" s="107"/>
      <c r="E499" s="107"/>
      <c r="F499" s="32"/>
      <c r="G499" s="32"/>
      <c r="H499" s="32"/>
      <c r="I499" s="32"/>
      <c r="J499" s="32"/>
      <c r="K499" s="32"/>
      <c r="L499" s="32"/>
      <c r="M499" s="32"/>
      <c r="N499" s="32"/>
      <c r="O499" s="32"/>
      <c r="P499" s="107"/>
      <c r="Q499" s="107"/>
      <c r="R499" s="107"/>
      <c r="S499" s="32"/>
      <c r="T499" s="32"/>
      <c r="U499" s="32"/>
      <c r="V499" s="32"/>
      <c r="W499" s="32"/>
      <c r="X499" s="32"/>
      <c r="Y499" s="32"/>
      <c r="Z499" s="32"/>
      <c r="AA499" s="32"/>
      <c r="AB499" s="32"/>
      <c r="AC499" s="32"/>
      <c r="AD499" s="32"/>
      <c r="AE499" s="32"/>
      <c r="AF499" s="32"/>
      <c r="AG499" s="32"/>
      <c r="AH499" s="32"/>
      <c r="AI499" s="32"/>
      <c r="AJ499" s="32"/>
      <c r="AK499" s="32"/>
      <c r="AL499" s="32"/>
      <c r="AM499" s="32"/>
      <c r="AN499" s="32"/>
      <c r="AO499" s="32"/>
      <c r="AP499" s="32"/>
    </row>
    <row r="500" ht="17.25" customHeight="1">
      <c r="A500" s="107"/>
      <c r="B500" s="107"/>
      <c r="C500" s="107"/>
      <c r="D500" s="107"/>
      <c r="E500" s="107"/>
      <c r="F500" s="32"/>
      <c r="G500" s="32"/>
      <c r="H500" s="32"/>
      <c r="I500" s="32"/>
      <c r="J500" s="32"/>
      <c r="K500" s="32"/>
      <c r="L500" s="32"/>
      <c r="M500" s="32"/>
      <c r="N500" s="32"/>
      <c r="O500" s="32"/>
      <c r="P500" s="107"/>
      <c r="Q500" s="107"/>
      <c r="R500" s="107"/>
      <c r="S500" s="32"/>
      <c r="T500" s="32"/>
      <c r="U500" s="32"/>
      <c r="V500" s="32"/>
      <c r="W500" s="32"/>
      <c r="X500" s="32"/>
      <c r="Y500" s="32"/>
      <c r="Z500" s="32"/>
      <c r="AA500" s="32"/>
      <c r="AB500" s="32"/>
      <c r="AC500" s="32"/>
      <c r="AD500" s="32"/>
      <c r="AE500" s="32"/>
      <c r="AF500" s="32"/>
      <c r="AG500" s="32"/>
      <c r="AH500" s="32"/>
      <c r="AI500" s="32"/>
      <c r="AJ500" s="32"/>
      <c r="AK500" s="32"/>
      <c r="AL500" s="32"/>
      <c r="AM500" s="32"/>
      <c r="AN500" s="32"/>
      <c r="AO500" s="32"/>
      <c r="AP500" s="32"/>
    </row>
    <row r="501" ht="17.25" customHeight="1">
      <c r="A501" s="107"/>
      <c r="B501" s="107"/>
      <c r="C501" s="107"/>
      <c r="D501" s="107"/>
      <c r="E501" s="107"/>
      <c r="F501" s="32"/>
      <c r="G501" s="32"/>
      <c r="H501" s="32"/>
      <c r="I501" s="32"/>
      <c r="J501" s="32"/>
      <c r="K501" s="32"/>
      <c r="L501" s="32"/>
      <c r="M501" s="32"/>
      <c r="N501" s="32"/>
      <c r="O501" s="32"/>
      <c r="P501" s="107"/>
      <c r="Q501" s="107"/>
      <c r="R501" s="107"/>
      <c r="S501" s="32"/>
      <c r="T501" s="32"/>
      <c r="U501" s="32"/>
      <c r="V501" s="32"/>
      <c r="W501" s="32"/>
      <c r="X501" s="32"/>
      <c r="Y501" s="32"/>
      <c r="Z501" s="32"/>
      <c r="AA501" s="32"/>
      <c r="AB501" s="32"/>
      <c r="AC501" s="32"/>
      <c r="AD501" s="32"/>
      <c r="AE501" s="32"/>
      <c r="AF501" s="32"/>
      <c r="AG501" s="32"/>
      <c r="AH501" s="32"/>
      <c r="AI501" s="32"/>
      <c r="AJ501" s="32"/>
      <c r="AK501" s="32"/>
      <c r="AL501" s="32"/>
      <c r="AM501" s="32"/>
      <c r="AN501" s="32"/>
      <c r="AO501" s="32"/>
      <c r="AP501" s="32"/>
    </row>
    <row r="502" ht="17.25" customHeight="1">
      <c r="A502" s="107"/>
      <c r="B502" s="107"/>
      <c r="C502" s="107"/>
      <c r="D502" s="107"/>
      <c r="E502" s="107"/>
      <c r="F502" s="32"/>
      <c r="G502" s="32"/>
      <c r="H502" s="32"/>
      <c r="I502" s="32"/>
      <c r="J502" s="32"/>
      <c r="K502" s="32"/>
      <c r="L502" s="32"/>
      <c r="M502" s="32"/>
      <c r="N502" s="32"/>
      <c r="O502" s="32"/>
      <c r="P502" s="107"/>
      <c r="Q502" s="107"/>
      <c r="R502" s="107"/>
      <c r="S502" s="32"/>
      <c r="T502" s="32"/>
      <c r="U502" s="32"/>
      <c r="V502" s="32"/>
      <c r="W502" s="32"/>
      <c r="X502" s="32"/>
      <c r="Y502" s="32"/>
      <c r="Z502" s="32"/>
      <c r="AA502" s="32"/>
      <c r="AB502" s="32"/>
      <c r="AC502" s="32"/>
      <c r="AD502" s="32"/>
      <c r="AE502" s="32"/>
      <c r="AF502" s="32"/>
      <c r="AG502" s="32"/>
      <c r="AH502" s="32"/>
      <c r="AI502" s="32"/>
      <c r="AJ502" s="32"/>
      <c r="AK502" s="32"/>
      <c r="AL502" s="32"/>
      <c r="AM502" s="32"/>
      <c r="AN502" s="32"/>
      <c r="AO502" s="32"/>
      <c r="AP502" s="32"/>
    </row>
    <row r="503" ht="17.25" customHeight="1">
      <c r="A503" s="107"/>
      <c r="B503" s="107"/>
      <c r="C503" s="107"/>
      <c r="D503" s="107"/>
      <c r="E503" s="107"/>
      <c r="F503" s="32"/>
      <c r="G503" s="32"/>
      <c r="H503" s="32"/>
      <c r="I503" s="32"/>
      <c r="J503" s="32"/>
      <c r="K503" s="32"/>
      <c r="L503" s="32"/>
      <c r="M503" s="32"/>
      <c r="N503" s="32"/>
      <c r="O503" s="32"/>
      <c r="P503" s="107"/>
      <c r="Q503" s="107"/>
      <c r="R503" s="107"/>
      <c r="S503" s="32"/>
      <c r="T503" s="32"/>
      <c r="U503" s="32"/>
      <c r="V503" s="32"/>
      <c r="W503" s="32"/>
      <c r="X503" s="32"/>
      <c r="Y503" s="32"/>
      <c r="Z503" s="32"/>
      <c r="AA503" s="32"/>
      <c r="AB503" s="32"/>
      <c r="AC503" s="32"/>
      <c r="AD503" s="32"/>
      <c r="AE503" s="32"/>
      <c r="AF503" s="32"/>
      <c r="AG503" s="32"/>
      <c r="AH503" s="32"/>
      <c r="AI503" s="32"/>
      <c r="AJ503" s="32"/>
      <c r="AK503" s="32"/>
      <c r="AL503" s="32"/>
      <c r="AM503" s="32"/>
      <c r="AN503" s="32"/>
      <c r="AO503" s="32"/>
      <c r="AP503" s="32"/>
    </row>
    <row r="504" ht="17.25" customHeight="1">
      <c r="A504" s="107"/>
      <c r="B504" s="107"/>
      <c r="C504" s="107"/>
      <c r="D504" s="107"/>
      <c r="E504" s="107"/>
      <c r="F504" s="32"/>
      <c r="G504" s="32"/>
      <c r="H504" s="32"/>
      <c r="I504" s="32"/>
      <c r="J504" s="32"/>
      <c r="K504" s="32"/>
      <c r="L504" s="32"/>
      <c r="M504" s="32"/>
      <c r="N504" s="32"/>
      <c r="O504" s="32"/>
      <c r="P504" s="107"/>
      <c r="Q504" s="107"/>
      <c r="R504" s="107"/>
      <c r="S504" s="32"/>
      <c r="T504" s="32"/>
      <c r="U504" s="32"/>
      <c r="V504" s="32"/>
      <c r="W504" s="32"/>
      <c r="X504" s="32"/>
      <c r="Y504" s="32"/>
      <c r="Z504" s="32"/>
      <c r="AA504" s="32"/>
      <c r="AB504" s="32"/>
      <c r="AC504" s="32"/>
      <c r="AD504" s="32"/>
      <c r="AE504" s="32"/>
      <c r="AF504" s="32"/>
      <c r="AG504" s="32"/>
      <c r="AH504" s="32"/>
      <c r="AI504" s="32"/>
      <c r="AJ504" s="32"/>
      <c r="AK504" s="32"/>
      <c r="AL504" s="32"/>
      <c r="AM504" s="32"/>
      <c r="AN504" s="32"/>
      <c r="AO504" s="32"/>
      <c r="AP504" s="32"/>
    </row>
    <row r="505" ht="17.25" customHeight="1">
      <c r="A505" s="107"/>
      <c r="B505" s="107"/>
      <c r="C505" s="107"/>
      <c r="D505" s="107"/>
      <c r="E505" s="107"/>
      <c r="F505" s="32"/>
      <c r="G505" s="32"/>
      <c r="H505" s="32"/>
      <c r="I505" s="32"/>
      <c r="J505" s="32"/>
      <c r="K505" s="32"/>
      <c r="L505" s="32"/>
      <c r="M505" s="32"/>
      <c r="N505" s="32"/>
      <c r="O505" s="32"/>
      <c r="P505" s="107"/>
      <c r="Q505" s="107"/>
      <c r="R505" s="107"/>
      <c r="S505" s="32"/>
      <c r="T505" s="32"/>
      <c r="U505" s="32"/>
      <c r="V505" s="32"/>
      <c r="W505" s="32"/>
      <c r="X505" s="32"/>
      <c r="Y505" s="32"/>
      <c r="Z505" s="32"/>
      <c r="AA505" s="32"/>
      <c r="AB505" s="32"/>
      <c r="AC505" s="32"/>
      <c r="AD505" s="32"/>
      <c r="AE505" s="32"/>
      <c r="AF505" s="32"/>
      <c r="AG505" s="32"/>
      <c r="AH505" s="32"/>
      <c r="AI505" s="32"/>
      <c r="AJ505" s="32"/>
      <c r="AK505" s="32"/>
      <c r="AL505" s="32"/>
      <c r="AM505" s="32"/>
      <c r="AN505" s="32"/>
      <c r="AO505" s="32"/>
      <c r="AP505" s="32"/>
    </row>
    <row r="506" ht="17.25" customHeight="1">
      <c r="A506" s="107"/>
      <c r="B506" s="107"/>
      <c r="C506" s="107"/>
      <c r="D506" s="107"/>
      <c r="E506" s="107"/>
      <c r="F506" s="32"/>
      <c r="G506" s="32"/>
      <c r="H506" s="32"/>
      <c r="I506" s="32"/>
      <c r="J506" s="32"/>
      <c r="K506" s="32"/>
      <c r="L506" s="32"/>
      <c r="M506" s="32"/>
      <c r="N506" s="32"/>
      <c r="O506" s="32"/>
      <c r="P506" s="107"/>
      <c r="Q506" s="107"/>
      <c r="R506" s="107"/>
      <c r="S506" s="32"/>
      <c r="T506" s="32"/>
      <c r="U506" s="32"/>
      <c r="V506" s="32"/>
      <c r="W506" s="32"/>
      <c r="X506" s="32"/>
      <c r="Y506" s="32"/>
      <c r="Z506" s="32"/>
      <c r="AA506" s="32"/>
      <c r="AB506" s="32"/>
      <c r="AC506" s="32"/>
      <c r="AD506" s="32"/>
      <c r="AE506" s="32"/>
      <c r="AF506" s="32"/>
      <c r="AG506" s="32"/>
      <c r="AH506" s="32"/>
      <c r="AI506" s="32"/>
      <c r="AJ506" s="32"/>
      <c r="AK506" s="32"/>
      <c r="AL506" s="32"/>
      <c r="AM506" s="32"/>
      <c r="AN506" s="32"/>
      <c r="AO506" s="32"/>
      <c r="AP506" s="32"/>
    </row>
    <row r="507" ht="17.25" customHeight="1">
      <c r="A507" s="107"/>
      <c r="B507" s="107"/>
      <c r="C507" s="107"/>
      <c r="D507" s="107"/>
      <c r="E507" s="107"/>
      <c r="F507" s="32"/>
      <c r="G507" s="32"/>
      <c r="H507" s="32"/>
      <c r="I507" s="32"/>
      <c r="J507" s="32"/>
      <c r="K507" s="32"/>
      <c r="L507" s="32"/>
      <c r="M507" s="32"/>
      <c r="N507" s="32"/>
      <c r="O507" s="32"/>
      <c r="P507" s="107"/>
      <c r="Q507" s="107"/>
      <c r="R507" s="107"/>
      <c r="S507" s="32"/>
      <c r="T507" s="32"/>
      <c r="U507" s="32"/>
      <c r="V507" s="32"/>
      <c r="W507" s="32"/>
      <c r="X507" s="32"/>
      <c r="Y507" s="32"/>
      <c r="Z507" s="32"/>
      <c r="AA507" s="32"/>
      <c r="AB507" s="32"/>
      <c r="AC507" s="32"/>
      <c r="AD507" s="32"/>
      <c r="AE507" s="32"/>
      <c r="AF507" s="32"/>
      <c r="AG507" s="32"/>
      <c r="AH507" s="32"/>
      <c r="AI507" s="32"/>
      <c r="AJ507" s="32"/>
      <c r="AK507" s="32"/>
      <c r="AL507" s="32"/>
      <c r="AM507" s="32"/>
      <c r="AN507" s="32"/>
      <c r="AO507" s="32"/>
      <c r="AP507" s="32"/>
    </row>
    <row r="508" ht="17.25" customHeight="1">
      <c r="A508" s="107"/>
      <c r="B508" s="107"/>
      <c r="C508" s="107"/>
      <c r="D508" s="107"/>
      <c r="E508" s="107"/>
      <c r="F508" s="32"/>
      <c r="G508" s="32"/>
      <c r="H508" s="32"/>
      <c r="I508" s="32"/>
      <c r="J508" s="32"/>
      <c r="K508" s="32"/>
      <c r="L508" s="32"/>
      <c r="M508" s="32"/>
      <c r="N508" s="32"/>
      <c r="O508" s="32"/>
      <c r="P508" s="107"/>
      <c r="Q508" s="107"/>
      <c r="R508" s="107"/>
      <c r="S508" s="32"/>
      <c r="T508" s="32"/>
      <c r="U508" s="32"/>
      <c r="V508" s="32"/>
      <c r="W508" s="32"/>
      <c r="X508" s="32"/>
      <c r="Y508" s="32"/>
      <c r="Z508" s="32"/>
      <c r="AA508" s="32"/>
      <c r="AB508" s="32"/>
      <c r="AC508" s="32"/>
      <c r="AD508" s="32"/>
      <c r="AE508" s="32"/>
      <c r="AF508" s="32"/>
      <c r="AG508" s="32"/>
      <c r="AH508" s="32"/>
      <c r="AI508" s="32"/>
      <c r="AJ508" s="32"/>
      <c r="AK508" s="32"/>
      <c r="AL508" s="32"/>
      <c r="AM508" s="32"/>
      <c r="AN508" s="32"/>
      <c r="AO508" s="32"/>
      <c r="AP508" s="32"/>
    </row>
    <row r="509" ht="17.25" customHeight="1">
      <c r="A509" s="107"/>
      <c r="B509" s="107"/>
      <c r="C509" s="107"/>
      <c r="D509" s="107"/>
      <c r="E509" s="107"/>
      <c r="F509" s="32"/>
      <c r="G509" s="32"/>
      <c r="H509" s="32"/>
      <c r="I509" s="32"/>
      <c r="J509" s="32"/>
      <c r="K509" s="32"/>
      <c r="L509" s="32"/>
      <c r="M509" s="32"/>
      <c r="N509" s="32"/>
      <c r="O509" s="32"/>
      <c r="P509" s="107"/>
      <c r="Q509" s="107"/>
      <c r="R509" s="107"/>
      <c r="S509" s="32"/>
      <c r="T509" s="32"/>
      <c r="U509" s="32"/>
      <c r="V509" s="32"/>
      <c r="W509" s="32"/>
      <c r="X509" s="32"/>
      <c r="Y509" s="32"/>
      <c r="Z509" s="32"/>
      <c r="AA509" s="32"/>
      <c r="AB509" s="32"/>
      <c r="AC509" s="32"/>
      <c r="AD509" s="32"/>
      <c r="AE509" s="32"/>
      <c r="AF509" s="32"/>
      <c r="AG509" s="32"/>
      <c r="AH509" s="32"/>
      <c r="AI509" s="32"/>
      <c r="AJ509" s="32"/>
      <c r="AK509" s="32"/>
      <c r="AL509" s="32"/>
      <c r="AM509" s="32"/>
      <c r="AN509" s="32"/>
      <c r="AO509" s="32"/>
      <c r="AP509" s="32"/>
    </row>
    <row r="510" ht="17.25" customHeight="1">
      <c r="A510" s="107"/>
      <c r="B510" s="107"/>
      <c r="C510" s="107"/>
      <c r="D510" s="107"/>
      <c r="E510" s="107"/>
      <c r="F510" s="32"/>
      <c r="G510" s="32"/>
      <c r="H510" s="32"/>
      <c r="I510" s="32"/>
      <c r="J510" s="32"/>
      <c r="K510" s="32"/>
      <c r="L510" s="32"/>
      <c r="M510" s="32"/>
      <c r="N510" s="32"/>
      <c r="O510" s="32"/>
      <c r="P510" s="107"/>
      <c r="Q510" s="107"/>
      <c r="R510" s="107"/>
      <c r="S510" s="32"/>
      <c r="T510" s="32"/>
      <c r="U510" s="32"/>
      <c r="V510" s="32"/>
      <c r="W510" s="32"/>
      <c r="X510" s="32"/>
      <c r="Y510" s="32"/>
      <c r="Z510" s="32"/>
      <c r="AA510" s="32"/>
      <c r="AB510" s="32"/>
      <c r="AC510" s="32"/>
      <c r="AD510" s="32"/>
      <c r="AE510" s="32"/>
      <c r="AF510" s="32"/>
      <c r="AG510" s="32"/>
      <c r="AH510" s="32"/>
      <c r="AI510" s="32"/>
      <c r="AJ510" s="32"/>
      <c r="AK510" s="32"/>
      <c r="AL510" s="32"/>
      <c r="AM510" s="32"/>
      <c r="AN510" s="32"/>
      <c r="AO510" s="32"/>
      <c r="AP510" s="32"/>
    </row>
    <row r="511" ht="17.25" customHeight="1">
      <c r="A511" s="107"/>
      <c r="B511" s="107"/>
      <c r="C511" s="107"/>
      <c r="D511" s="107"/>
      <c r="E511" s="107"/>
      <c r="F511" s="32"/>
      <c r="G511" s="32"/>
      <c r="H511" s="32"/>
      <c r="I511" s="32"/>
      <c r="J511" s="32"/>
      <c r="K511" s="32"/>
      <c r="L511" s="32"/>
      <c r="M511" s="32"/>
      <c r="N511" s="32"/>
      <c r="O511" s="32"/>
      <c r="P511" s="107"/>
      <c r="Q511" s="107"/>
      <c r="R511" s="107"/>
      <c r="S511" s="32"/>
      <c r="T511" s="32"/>
      <c r="U511" s="32"/>
      <c r="V511" s="32"/>
      <c r="W511" s="32"/>
      <c r="X511" s="32"/>
      <c r="Y511" s="32"/>
      <c r="Z511" s="32"/>
      <c r="AA511" s="32"/>
      <c r="AB511" s="32"/>
      <c r="AC511" s="32"/>
      <c r="AD511" s="32"/>
      <c r="AE511" s="32"/>
      <c r="AF511" s="32"/>
      <c r="AG511" s="32"/>
      <c r="AH511" s="32"/>
      <c r="AI511" s="32"/>
      <c r="AJ511" s="32"/>
      <c r="AK511" s="32"/>
      <c r="AL511" s="32"/>
      <c r="AM511" s="32"/>
      <c r="AN511" s="32"/>
      <c r="AO511" s="32"/>
      <c r="AP511" s="32"/>
    </row>
    <row r="512" ht="17.25" customHeight="1">
      <c r="A512" s="107"/>
      <c r="B512" s="107"/>
      <c r="C512" s="107"/>
      <c r="D512" s="107"/>
      <c r="E512" s="107"/>
      <c r="F512" s="32"/>
      <c r="G512" s="32"/>
      <c r="H512" s="32"/>
      <c r="I512" s="32"/>
      <c r="J512" s="32"/>
      <c r="K512" s="32"/>
      <c r="L512" s="32"/>
      <c r="M512" s="32"/>
      <c r="N512" s="32"/>
      <c r="O512" s="32"/>
      <c r="P512" s="107"/>
      <c r="Q512" s="107"/>
      <c r="R512" s="107"/>
      <c r="S512" s="32"/>
      <c r="T512" s="32"/>
      <c r="U512" s="32"/>
      <c r="V512" s="32"/>
      <c r="W512" s="32"/>
      <c r="X512" s="32"/>
      <c r="Y512" s="32"/>
      <c r="Z512" s="32"/>
      <c r="AA512" s="32"/>
      <c r="AB512" s="32"/>
      <c r="AC512" s="32"/>
      <c r="AD512" s="32"/>
      <c r="AE512" s="32"/>
      <c r="AF512" s="32"/>
      <c r="AG512" s="32"/>
      <c r="AH512" s="32"/>
      <c r="AI512" s="32"/>
      <c r="AJ512" s="32"/>
      <c r="AK512" s="32"/>
      <c r="AL512" s="32"/>
      <c r="AM512" s="32"/>
      <c r="AN512" s="32"/>
      <c r="AO512" s="32"/>
      <c r="AP512" s="32"/>
    </row>
    <row r="513" ht="17.25" customHeight="1">
      <c r="A513" s="107"/>
      <c r="B513" s="107"/>
      <c r="C513" s="107"/>
      <c r="D513" s="107"/>
      <c r="E513" s="107"/>
      <c r="F513" s="32"/>
      <c r="G513" s="32"/>
      <c r="H513" s="32"/>
      <c r="I513" s="32"/>
      <c r="J513" s="32"/>
      <c r="K513" s="32"/>
      <c r="L513" s="32"/>
      <c r="M513" s="32"/>
      <c r="N513" s="32"/>
      <c r="O513" s="32"/>
      <c r="P513" s="107"/>
      <c r="Q513" s="107"/>
      <c r="R513" s="107"/>
      <c r="S513" s="32"/>
      <c r="T513" s="32"/>
      <c r="U513" s="32"/>
      <c r="V513" s="32"/>
      <c r="W513" s="32"/>
      <c r="X513" s="32"/>
      <c r="Y513" s="32"/>
      <c r="Z513" s="32"/>
      <c r="AA513" s="32"/>
      <c r="AB513" s="32"/>
      <c r="AC513" s="32"/>
      <c r="AD513" s="32"/>
      <c r="AE513" s="32"/>
      <c r="AF513" s="32"/>
      <c r="AG513" s="32"/>
      <c r="AH513" s="32"/>
      <c r="AI513" s="32"/>
      <c r="AJ513" s="32"/>
      <c r="AK513" s="32"/>
      <c r="AL513" s="32"/>
      <c r="AM513" s="32"/>
      <c r="AN513" s="32"/>
      <c r="AO513" s="32"/>
      <c r="AP513" s="32"/>
    </row>
    <row r="514" ht="17.25" customHeight="1">
      <c r="A514" s="107"/>
      <c r="B514" s="107"/>
      <c r="C514" s="107"/>
      <c r="D514" s="107"/>
      <c r="E514" s="107"/>
      <c r="F514" s="32"/>
      <c r="G514" s="32"/>
      <c r="H514" s="32"/>
      <c r="I514" s="32"/>
      <c r="J514" s="32"/>
      <c r="K514" s="32"/>
      <c r="L514" s="32"/>
      <c r="M514" s="32"/>
      <c r="N514" s="32"/>
      <c r="O514" s="32"/>
      <c r="P514" s="107"/>
      <c r="Q514" s="107"/>
      <c r="R514" s="107"/>
      <c r="S514" s="32"/>
      <c r="T514" s="32"/>
      <c r="U514" s="32"/>
      <c r="V514" s="32"/>
      <c r="W514" s="32"/>
      <c r="X514" s="32"/>
      <c r="Y514" s="32"/>
      <c r="Z514" s="32"/>
      <c r="AA514" s="32"/>
      <c r="AB514" s="32"/>
      <c r="AC514" s="32"/>
      <c r="AD514" s="32"/>
      <c r="AE514" s="32"/>
      <c r="AF514" s="32"/>
      <c r="AG514" s="32"/>
      <c r="AH514" s="32"/>
      <c r="AI514" s="32"/>
      <c r="AJ514" s="32"/>
      <c r="AK514" s="32"/>
      <c r="AL514" s="32"/>
      <c r="AM514" s="32"/>
      <c r="AN514" s="32"/>
      <c r="AO514" s="32"/>
      <c r="AP514" s="32"/>
    </row>
    <row r="515" ht="17.25" customHeight="1">
      <c r="A515" s="107"/>
      <c r="B515" s="107"/>
      <c r="C515" s="107"/>
      <c r="D515" s="107"/>
      <c r="E515" s="107"/>
      <c r="F515" s="32"/>
      <c r="G515" s="32"/>
      <c r="H515" s="32"/>
      <c r="I515" s="32"/>
      <c r="J515" s="32"/>
      <c r="K515" s="32"/>
      <c r="L515" s="32"/>
      <c r="M515" s="32"/>
      <c r="N515" s="32"/>
      <c r="O515" s="32"/>
      <c r="P515" s="107"/>
      <c r="Q515" s="107"/>
      <c r="R515" s="107"/>
      <c r="S515" s="32"/>
      <c r="T515" s="32"/>
      <c r="U515" s="32"/>
      <c r="V515" s="32"/>
      <c r="W515" s="32"/>
      <c r="X515" s="32"/>
      <c r="Y515" s="32"/>
      <c r="Z515" s="32"/>
      <c r="AA515" s="32"/>
      <c r="AB515" s="32"/>
      <c r="AC515" s="32"/>
      <c r="AD515" s="32"/>
      <c r="AE515" s="32"/>
      <c r="AF515" s="32"/>
      <c r="AG515" s="32"/>
      <c r="AH515" s="32"/>
      <c r="AI515" s="32"/>
      <c r="AJ515" s="32"/>
      <c r="AK515" s="32"/>
      <c r="AL515" s="32"/>
      <c r="AM515" s="32"/>
      <c r="AN515" s="32"/>
      <c r="AO515" s="32"/>
      <c r="AP515" s="32"/>
    </row>
    <row r="516" ht="17.25" customHeight="1">
      <c r="A516" s="107"/>
      <c r="B516" s="107"/>
      <c r="C516" s="107"/>
      <c r="D516" s="107"/>
      <c r="E516" s="107"/>
      <c r="F516" s="32"/>
      <c r="G516" s="32"/>
      <c r="H516" s="32"/>
      <c r="I516" s="32"/>
      <c r="J516" s="32"/>
      <c r="K516" s="32"/>
      <c r="L516" s="32"/>
      <c r="M516" s="32"/>
      <c r="N516" s="32"/>
      <c r="O516" s="32"/>
      <c r="P516" s="107"/>
      <c r="Q516" s="107"/>
      <c r="R516" s="107"/>
      <c r="S516" s="32"/>
      <c r="T516" s="32"/>
      <c r="U516" s="32"/>
      <c r="V516" s="32"/>
      <c r="W516" s="32"/>
      <c r="X516" s="32"/>
      <c r="Y516" s="32"/>
      <c r="Z516" s="32"/>
      <c r="AA516" s="32"/>
      <c r="AB516" s="32"/>
      <c r="AC516" s="32"/>
      <c r="AD516" s="32"/>
      <c r="AE516" s="32"/>
      <c r="AF516" s="32"/>
      <c r="AG516" s="32"/>
      <c r="AH516" s="32"/>
      <c r="AI516" s="32"/>
      <c r="AJ516" s="32"/>
      <c r="AK516" s="32"/>
      <c r="AL516" s="32"/>
      <c r="AM516" s="32"/>
      <c r="AN516" s="32"/>
      <c r="AO516" s="32"/>
      <c r="AP516" s="32"/>
    </row>
    <row r="517" ht="17.25" customHeight="1">
      <c r="A517" s="107"/>
      <c r="B517" s="107"/>
      <c r="C517" s="107"/>
      <c r="D517" s="107"/>
      <c r="E517" s="107"/>
      <c r="F517" s="32"/>
      <c r="G517" s="32"/>
      <c r="H517" s="32"/>
      <c r="I517" s="32"/>
      <c r="J517" s="32"/>
      <c r="K517" s="32"/>
      <c r="L517" s="32"/>
      <c r="M517" s="32"/>
      <c r="N517" s="32"/>
      <c r="O517" s="32"/>
      <c r="P517" s="107"/>
      <c r="Q517" s="107"/>
      <c r="R517" s="107"/>
      <c r="S517" s="32"/>
      <c r="T517" s="32"/>
      <c r="U517" s="32"/>
      <c r="V517" s="32"/>
      <c r="W517" s="32"/>
      <c r="X517" s="32"/>
      <c r="Y517" s="32"/>
      <c r="Z517" s="32"/>
      <c r="AA517" s="32"/>
      <c r="AB517" s="32"/>
      <c r="AC517" s="32"/>
      <c r="AD517" s="32"/>
      <c r="AE517" s="32"/>
      <c r="AF517" s="32"/>
      <c r="AG517" s="32"/>
      <c r="AH517" s="32"/>
      <c r="AI517" s="32"/>
      <c r="AJ517" s="32"/>
      <c r="AK517" s="32"/>
      <c r="AL517" s="32"/>
      <c r="AM517" s="32"/>
      <c r="AN517" s="32"/>
      <c r="AO517" s="32"/>
      <c r="AP517" s="32"/>
    </row>
    <row r="518" ht="15.75" customHeight="1">
      <c r="A518" s="108"/>
      <c r="B518" s="108"/>
      <c r="C518" s="108"/>
      <c r="D518" s="108"/>
      <c r="E518" s="108"/>
      <c r="F518" s="30"/>
      <c r="G518" s="30"/>
      <c r="H518" s="30"/>
      <c r="I518" s="30"/>
      <c r="J518" s="30"/>
      <c r="K518" s="30"/>
      <c r="L518" s="30"/>
      <c r="M518" s="30"/>
      <c r="N518" s="30"/>
      <c r="O518" s="30"/>
      <c r="P518" s="108"/>
      <c r="Q518" s="30"/>
      <c r="R518" s="30"/>
    </row>
    <row r="519" ht="15.75" customHeight="1">
      <c r="A519" s="108"/>
      <c r="B519" s="108"/>
      <c r="C519" s="108"/>
      <c r="D519" s="108"/>
      <c r="E519" s="108"/>
      <c r="F519" s="30"/>
      <c r="G519" s="30"/>
      <c r="H519" s="30"/>
      <c r="I519" s="30"/>
      <c r="J519" s="30"/>
      <c r="K519" s="30"/>
      <c r="L519" s="30"/>
      <c r="M519" s="30"/>
      <c r="N519" s="30"/>
      <c r="O519" s="30"/>
      <c r="P519" s="108"/>
      <c r="Q519" s="30"/>
      <c r="R519" s="30"/>
    </row>
    <row r="520" ht="15.75" customHeight="1">
      <c r="A520" s="108"/>
      <c r="B520" s="108"/>
      <c r="C520" s="108"/>
      <c r="D520" s="108"/>
      <c r="E520" s="108"/>
      <c r="F520" s="30"/>
      <c r="G520" s="30"/>
      <c r="H520" s="30"/>
      <c r="I520" s="30"/>
      <c r="J520" s="30"/>
      <c r="K520" s="30"/>
      <c r="L520" s="30"/>
      <c r="M520" s="30"/>
      <c r="N520" s="30"/>
      <c r="O520" s="30"/>
      <c r="P520" s="108"/>
      <c r="Q520" s="30"/>
      <c r="R520" s="30"/>
    </row>
    <row r="521" ht="15.75" customHeight="1">
      <c r="A521" s="108"/>
      <c r="B521" s="108"/>
      <c r="C521" s="108"/>
      <c r="D521" s="108"/>
      <c r="E521" s="108"/>
      <c r="F521" s="30"/>
      <c r="G521" s="30"/>
      <c r="H521" s="30"/>
      <c r="I521" s="30"/>
      <c r="J521" s="30"/>
      <c r="K521" s="30"/>
      <c r="L521" s="30"/>
      <c r="M521" s="30"/>
      <c r="N521" s="30"/>
      <c r="O521" s="30"/>
      <c r="P521" s="108"/>
      <c r="Q521" s="30"/>
      <c r="R521" s="30"/>
    </row>
    <row r="522" ht="15.75" customHeight="1">
      <c r="A522" s="108"/>
      <c r="B522" s="108"/>
      <c r="C522" s="108"/>
      <c r="D522" s="108"/>
      <c r="E522" s="108"/>
      <c r="F522" s="30"/>
      <c r="G522" s="30"/>
      <c r="H522" s="30"/>
      <c r="I522" s="30"/>
      <c r="J522" s="30"/>
      <c r="K522" s="30"/>
      <c r="L522" s="30"/>
      <c r="M522" s="30"/>
      <c r="N522" s="30"/>
      <c r="O522" s="30"/>
      <c r="P522" s="108"/>
      <c r="Q522" s="30"/>
      <c r="R522" s="30"/>
    </row>
    <row r="523" ht="15.75" customHeight="1">
      <c r="A523" s="108"/>
      <c r="B523" s="108"/>
      <c r="C523" s="108"/>
      <c r="D523" s="108"/>
      <c r="E523" s="108"/>
      <c r="F523" s="30"/>
      <c r="G523" s="30"/>
      <c r="H523" s="30"/>
      <c r="I523" s="30"/>
      <c r="J523" s="30"/>
      <c r="K523" s="30"/>
      <c r="L523" s="30"/>
      <c r="M523" s="30"/>
      <c r="N523" s="30"/>
      <c r="O523" s="30"/>
      <c r="P523" s="108"/>
      <c r="Q523" s="30"/>
      <c r="R523" s="30"/>
    </row>
    <row r="524" ht="15.75" customHeight="1">
      <c r="A524" s="108"/>
      <c r="B524" s="108"/>
      <c r="C524" s="108"/>
      <c r="D524" s="108"/>
      <c r="E524" s="108"/>
      <c r="F524" s="30"/>
      <c r="G524" s="30"/>
      <c r="H524" s="30"/>
      <c r="I524" s="30"/>
      <c r="J524" s="30"/>
      <c r="K524" s="30"/>
      <c r="L524" s="30"/>
      <c r="M524" s="30"/>
      <c r="N524" s="30"/>
      <c r="O524" s="30"/>
      <c r="P524" s="108"/>
      <c r="Q524" s="30"/>
      <c r="R524" s="30"/>
    </row>
    <row r="525" ht="15.75" customHeight="1">
      <c r="A525" s="108"/>
      <c r="B525" s="108"/>
      <c r="C525" s="108"/>
      <c r="D525" s="108"/>
      <c r="E525" s="108"/>
      <c r="F525" s="30"/>
      <c r="G525" s="30"/>
      <c r="H525" s="30"/>
      <c r="I525" s="30"/>
      <c r="J525" s="30"/>
      <c r="K525" s="30"/>
      <c r="L525" s="30"/>
      <c r="M525" s="30"/>
      <c r="N525" s="30"/>
      <c r="O525" s="30"/>
      <c r="P525" s="108"/>
      <c r="Q525" s="30"/>
      <c r="R525" s="30"/>
    </row>
    <row r="526" ht="15.75" customHeight="1">
      <c r="A526" s="108"/>
      <c r="B526" s="108"/>
      <c r="C526" s="108"/>
      <c r="D526" s="108"/>
      <c r="E526" s="108"/>
      <c r="F526" s="30"/>
      <c r="G526" s="30"/>
      <c r="H526" s="30"/>
      <c r="I526" s="30"/>
      <c r="J526" s="30"/>
      <c r="K526" s="30"/>
      <c r="L526" s="30"/>
      <c r="M526" s="30"/>
      <c r="N526" s="30"/>
      <c r="O526" s="30"/>
      <c r="P526" s="108"/>
      <c r="Q526" s="30"/>
      <c r="R526" s="30"/>
    </row>
    <row r="527" ht="15.75" customHeight="1">
      <c r="A527" s="108"/>
      <c r="B527" s="108"/>
      <c r="C527" s="108"/>
      <c r="D527" s="108"/>
      <c r="E527" s="108"/>
      <c r="F527" s="30"/>
      <c r="G527" s="30"/>
      <c r="H527" s="30"/>
      <c r="I527" s="30"/>
      <c r="J527" s="30"/>
      <c r="K527" s="30"/>
      <c r="L527" s="30"/>
      <c r="M527" s="30"/>
      <c r="N527" s="30"/>
      <c r="O527" s="30"/>
      <c r="P527" s="108"/>
      <c r="Q527" s="30"/>
      <c r="R527" s="30"/>
    </row>
    <row r="528" ht="15.75" customHeight="1">
      <c r="A528" s="108"/>
      <c r="B528" s="108"/>
      <c r="C528" s="108"/>
      <c r="D528" s="108"/>
      <c r="E528" s="108"/>
      <c r="F528" s="30"/>
      <c r="G528" s="30"/>
      <c r="H528" s="30"/>
      <c r="I528" s="30"/>
      <c r="J528" s="30"/>
      <c r="K528" s="30"/>
      <c r="L528" s="30"/>
      <c r="M528" s="30"/>
      <c r="N528" s="30"/>
      <c r="O528" s="30"/>
      <c r="P528" s="108"/>
      <c r="Q528" s="30"/>
      <c r="R528" s="30"/>
    </row>
    <row r="529" ht="15.75" customHeight="1">
      <c r="A529" s="108"/>
      <c r="B529" s="108"/>
      <c r="C529" s="108"/>
      <c r="D529" s="108"/>
      <c r="E529" s="108"/>
      <c r="F529" s="30"/>
      <c r="G529" s="30"/>
      <c r="H529" s="30"/>
      <c r="I529" s="30"/>
      <c r="J529" s="30"/>
      <c r="K529" s="30"/>
      <c r="L529" s="30"/>
      <c r="M529" s="30"/>
      <c r="N529" s="30"/>
      <c r="O529" s="30"/>
      <c r="P529" s="108"/>
      <c r="Q529" s="30"/>
      <c r="R529" s="30"/>
    </row>
    <row r="530" ht="15.75" customHeight="1">
      <c r="A530" s="108"/>
      <c r="B530" s="108"/>
      <c r="C530" s="108"/>
      <c r="D530" s="108"/>
      <c r="E530" s="108"/>
      <c r="F530" s="30"/>
      <c r="G530" s="30"/>
      <c r="H530" s="30"/>
      <c r="I530" s="30"/>
      <c r="J530" s="30"/>
      <c r="K530" s="30"/>
      <c r="L530" s="30"/>
      <c r="M530" s="30"/>
      <c r="N530" s="30"/>
      <c r="O530" s="30"/>
      <c r="P530" s="108"/>
      <c r="Q530" s="30"/>
      <c r="R530" s="30"/>
    </row>
    <row r="531" ht="15.75" customHeight="1">
      <c r="A531" s="108"/>
      <c r="B531" s="108"/>
      <c r="C531" s="108"/>
      <c r="D531" s="108"/>
      <c r="E531" s="108"/>
      <c r="F531" s="30"/>
      <c r="G531" s="30"/>
      <c r="H531" s="30"/>
      <c r="I531" s="30"/>
      <c r="J531" s="30"/>
      <c r="K531" s="30"/>
      <c r="L531" s="30"/>
      <c r="M531" s="30"/>
      <c r="N531" s="30"/>
      <c r="O531" s="30"/>
      <c r="P531" s="108"/>
      <c r="Q531" s="30"/>
      <c r="R531" s="30"/>
    </row>
    <row r="532" ht="15.75" customHeight="1">
      <c r="A532" s="108"/>
      <c r="B532" s="108"/>
      <c r="C532" s="108"/>
      <c r="D532" s="108"/>
      <c r="E532" s="108"/>
      <c r="F532" s="30"/>
      <c r="G532" s="30"/>
      <c r="H532" s="30"/>
      <c r="I532" s="30"/>
      <c r="J532" s="30"/>
      <c r="K532" s="30"/>
      <c r="L532" s="30"/>
      <c r="M532" s="30"/>
      <c r="N532" s="30"/>
      <c r="O532" s="30"/>
      <c r="P532" s="108"/>
      <c r="Q532" s="30"/>
      <c r="R532" s="30"/>
    </row>
    <row r="533" ht="15.75" customHeight="1">
      <c r="A533" s="108"/>
      <c r="B533" s="108"/>
      <c r="C533" s="108"/>
      <c r="D533" s="108"/>
      <c r="E533" s="108"/>
      <c r="F533" s="30"/>
      <c r="G533" s="30"/>
      <c r="H533" s="30"/>
      <c r="I533" s="30"/>
      <c r="J533" s="30"/>
      <c r="K533" s="30"/>
      <c r="L533" s="30"/>
      <c r="M533" s="30"/>
      <c r="N533" s="30"/>
      <c r="O533" s="30"/>
      <c r="P533" s="108"/>
      <c r="Q533" s="30"/>
      <c r="R533" s="30"/>
    </row>
    <row r="534" ht="15.75" customHeight="1">
      <c r="A534" s="108"/>
      <c r="B534" s="108"/>
      <c r="C534" s="108"/>
      <c r="D534" s="108"/>
      <c r="E534" s="108"/>
      <c r="F534" s="30"/>
      <c r="G534" s="30"/>
      <c r="H534" s="30"/>
      <c r="I534" s="30"/>
      <c r="J534" s="30"/>
      <c r="K534" s="30"/>
      <c r="L534" s="30"/>
      <c r="M534" s="30"/>
      <c r="N534" s="30"/>
      <c r="O534" s="30"/>
      <c r="P534" s="108"/>
      <c r="Q534" s="30"/>
      <c r="R534" s="30"/>
    </row>
    <row r="535" ht="15.75" customHeight="1">
      <c r="A535" s="108"/>
      <c r="B535" s="108"/>
      <c r="C535" s="108"/>
      <c r="D535" s="108"/>
      <c r="E535" s="108"/>
      <c r="F535" s="30"/>
      <c r="G535" s="30"/>
      <c r="H535" s="30"/>
      <c r="I535" s="30"/>
      <c r="J535" s="30"/>
      <c r="K535" s="30"/>
      <c r="L535" s="30"/>
      <c r="M535" s="30"/>
      <c r="N535" s="30"/>
      <c r="O535" s="30"/>
      <c r="P535" s="108"/>
      <c r="Q535" s="30"/>
      <c r="R535" s="30"/>
    </row>
    <row r="536" ht="15.75" customHeight="1">
      <c r="A536" s="108"/>
      <c r="B536" s="108"/>
      <c r="C536" s="108"/>
      <c r="D536" s="108"/>
      <c r="E536" s="108"/>
      <c r="F536" s="30"/>
      <c r="G536" s="30"/>
      <c r="H536" s="30"/>
      <c r="I536" s="30"/>
      <c r="J536" s="30"/>
      <c r="K536" s="30"/>
      <c r="L536" s="30"/>
      <c r="M536" s="30"/>
      <c r="N536" s="30"/>
      <c r="O536" s="30"/>
      <c r="P536" s="108"/>
      <c r="Q536" s="30"/>
      <c r="R536" s="30"/>
    </row>
    <row r="537" ht="15.75" customHeight="1">
      <c r="A537" s="108"/>
      <c r="B537" s="108"/>
      <c r="C537" s="108"/>
      <c r="D537" s="108"/>
      <c r="E537" s="108"/>
      <c r="F537" s="30"/>
      <c r="G537" s="30"/>
      <c r="H537" s="30"/>
      <c r="I537" s="30"/>
      <c r="J537" s="30"/>
      <c r="K537" s="30"/>
      <c r="L537" s="30"/>
      <c r="M537" s="30"/>
      <c r="N537" s="30"/>
      <c r="O537" s="30"/>
      <c r="P537" s="108"/>
      <c r="Q537" s="30"/>
      <c r="R537" s="30"/>
    </row>
    <row r="538" ht="15.75" customHeight="1">
      <c r="A538" s="108"/>
      <c r="B538" s="108"/>
      <c r="C538" s="108"/>
      <c r="D538" s="108"/>
      <c r="E538" s="108"/>
      <c r="F538" s="30"/>
      <c r="G538" s="30"/>
      <c r="H538" s="30"/>
      <c r="I538" s="30"/>
      <c r="J538" s="30"/>
      <c r="K538" s="30"/>
      <c r="L538" s="30"/>
      <c r="M538" s="30"/>
      <c r="N538" s="30"/>
      <c r="O538" s="30"/>
      <c r="P538" s="108"/>
      <c r="Q538" s="30"/>
      <c r="R538" s="30"/>
    </row>
    <row r="539" ht="15.75" customHeight="1">
      <c r="A539" s="108"/>
      <c r="B539" s="108"/>
      <c r="C539" s="108"/>
      <c r="D539" s="108"/>
      <c r="E539" s="108"/>
      <c r="F539" s="30"/>
      <c r="G539" s="30"/>
      <c r="H539" s="30"/>
      <c r="I539" s="30"/>
      <c r="J539" s="30"/>
      <c r="K539" s="30"/>
      <c r="L539" s="30"/>
      <c r="M539" s="30"/>
      <c r="N539" s="30"/>
      <c r="O539" s="30"/>
      <c r="P539" s="108"/>
      <c r="Q539" s="30"/>
      <c r="R539" s="30"/>
    </row>
    <row r="540" ht="15.75" customHeight="1">
      <c r="A540" s="108"/>
      <c r="B540" s="108"/>
      <c r="C540" s="108"/>
      <c r="D540" s="108"/>
      <c r="E540" s="108"/>
      <c r="F540" s="30"/>
      <c r="G540" s="30"/>
      <c r="H540" s="30"/>
      <c r="I540" s="30"/>
      <c r="J540" s="30"/>
      <c r="K540" s="30"/>
      <c r="L540" s="30"/>
      <c r="M540" s="30"/>
      <c r="N540" s="30"/>
      <c r="O540" s="30"/>
      <c r="P540" s="108"/>
      <c r="Q540" s="30"/>
      <c r="R540" s="30"/>
    </row>
    <row r="541" ht="15.75" customHeight="1">
      <c r="A541" s="108"/>
      <c r="B541" s="108"/>
      <c r="C541" s="108"/>
      <c r="D541" s="108"/>
      <c r="E541" s="108"/>
      <c r="F541" s="30"/>
      <c r="G541" s="30"/>
      <c r="H541" s="30"/>
      <c r="I541" s="30"/>
      <c r="J541" s="30"/>
      <c r="K541" s="30"/>
      <c r="L541" s="30"/>
      <c r="M541" s="30"/>
      <c r="N541" s="30"/>
      <c r="O541" s="30"/>
      <c r="P541" s="108"/>
      <c r="Q541" s="30"/>
      <c r="R541" s="30"/>
    </row>
    <row r="542" ht="15.75" customHeight="1">
      <c r="A542" s="108"/>
      <c r="B542" s="108"/>
      <c r="C542" s="108"/>
      <c r="D542" s="108"/>
      <c r="E542" s="108"/>
      <c r="F542" s="30"/>
      <c r="G542" s="30"/>
      <c r="H542" s="30"/>
      <c r="I542" s="30"/>
      <c r="J542" s="30"/>
      <c r="K542" s="30"/>
      <c r="L542" s="30"/>
      <c r="M542" s="30"/>
      <c r="N542" s="30"/>
      <c r="O542" s="30"/>
      <c r="P542" s="108"/>
      <c r="Q542" s="30"/>
      <c r="R542" s="30"/>
    </row>
    <row r="543" ht="15.75" customHeight="1">
      <c r="A543" s="108"/>
      <c r="B543" s="108"/>
      <c r="C543" s="108"/>
      <c r="D543" s="108"/>
      <c r="E543" s="108"/>
      <c r="F543" s="30"/>
      <c r="G543" s="30"/>
      <c r="H543" s="30"/>
      <c r="I543" s="30"/>
      <c r="J543" s="30"/>
      <c r="K543" s="30"/>
      <c r="L543" s="30"/>
      <c r="M543" s="30"/>
      <c r="N543" s="30"/>
      <c r="O543" s="30"/>
      <c r="P543" s="108"/>
      <c r="Q543" s="30"/>
      <c r="R543" s="30"/>
    </row>
    <row r="544" ht="15.75" customHeight="1">
      <c r="A544" s="108"/>
      <c r="B544" s="108"/>
      <c r="C544" s="108"/>
      <c r="D544" s="108"/>
      <c r="E544" s="108"/>
      <c r="F544" s="30"/>
      <c r="G544" s="30"/>
      <c r="H544" s="30"/>
      <c r="I544" s="30"/>
      <c r="J544" s="30"/>
      <c r="K544" s="30"/>
      <c r="L544" s="30"/>
      <c r="M544" s="30"/>
      <c r="N544" s="30"/>
      <c r="O544" s="30"/>
      <c r="P544" s="108"/>
      <c r="Q544" s="30"/>
      <c r="R544" s="30"/>
    </row>
    <row r="545" ht="15.75" customHeight="1">
      <c r="A545" s="108"/>
      <c r="B545" s="108"/>
      <c r="C545" s="108"/>
      <c r="D545" s="108"/>
      <c r="E545" s="108"/>
      <c r="F545" s="30"/>
      <c r="G545" s="30"/>
      <c r="H545" s="30"/>
      <c r="I545" s="30"/>
      <c r="J545" s="30"/>
      <c r="K545" s="30"/>
      <c r="L545" s="30"/>
      <c r="M545" s="30"/>
      <c r="N545" s="30"/>
      <c r="O545" s="30"/>
      <c r="P545" s="108"/>
      <c r="Q545" s="30"/>
      <c r="R545" s="30"/>
    </row>
    <row r="546" ht="15.75" customHeight="1">
      <c r="A546" s="108"/>
      <c r="B546" s="108"/>
      <c r="C546" s="108"/>
      <c r="D546" s="108"/>
      <c r="E546" s="108"/>
      <c r="F546" s="30"/>
      <c r="G546" s="30"/>
      <c r="H546" s="30"/>
      <c r="I546" s="30"/>
      <c r="J546" s="30"/>
      <c r="K546" s="30"/>
      <c r="L546" s="30"/>
      <c r="M546" s="30"/>
      <c r="N546" s="30"/>
      <c r="O546" s="30"/>
      <c r="P546" s="108"/>
      <c r="Q546" s="30"/>
      <c r="R546" s="30"/>
    </row>
    <row r="547" ht="15.75" customHeight="1">
      <c r="A547" s="108"/>
      <c r="B547" s="108"/>
      <c r="C547" s="108"/>
      <c r="D547" s="108"/>
      <c r="E547" s="108"/>
      <c r="F547" s="30"/>
      <c r="G547" s="30"/>
      <c r="H547" s="30"/>
      <c r="I547" s="30"/>
      <c r="J547" s="30"/>
      <c r="K547" s="30"/>
      <c r="L547" s="30"/>
      <c r="M547" s="30"/>
      <c r="N547" s="30"/>
      <c r="O547" s="30"/>
      <c r="P547" s="108"/>
      <c r="Q547" s="30"/>
      <c r="R547" s="30"/>
    </row>
    <row r="548" ht="15.75" customHeight="1">
      <c r="A548" s="108"/>
      <c r="B548" s="108"/>
      <c r="C548" s="108"/>
      <c r="D548" s="108"/>
      <c r="E548" s="108"/>
      <c r="F548" s="30"/>
      <c r="G548" s="30"/>
      <c r="H548" s="30"/>
      <c r="I548" s="30"/>
      <c r="J548" s="30"/>
      <c r="K548" s="30"/>
      <c r="L548" s="30"/>
      <c r="M548" s="30"/>
      <c r="N548" s="30"/>
      <c r="O548" s="30"/>
      <c r="P548" s="108"/>
      <c r="Q548" s="30"/>
      <c r="R548" s="30"/>
    </row>
    <row r="549" ht="15.75" customHeight="1">
      <c r="A549" s="108"/>
      <c r="B549" s="108"/>
      <c r="C549" s="108"/>
      <c r="D549" s="108"/>
      <c r="E549" s="108"/>
      <c r="F549" s="30"/>
      <c r="G549" s="30"/>
      <c r="H549" s="30"/>
      <c r="I549" s="30"/>
      <c r="J549" s="30"/>
      <c r="K549" s="30"/>
      <c r="L549" s="30"/>
      <c r="M549" s="30"/>
      <c r="N549" s="30"/>
      <c r="O549" s="30"/>
      <c r="P549" s="108"/>
      <c r="Q549" s="30"/>
      <c r="R549" s="30"/>
    </row>
    <row r="550" ht="15.75" customHeight="1">
      <c r="A550" s="108"/>
      <c r="B550" s="108"/>
      <c r="C550" s="108"/>
      <c r="D550" s="108"/>
      <c r="E550" s="108"/>
      <c r="F550" s="30"/>
      <c r="G550" s="30"/>
      <c r="H550" s="30"/>
      <c r="I550" s="30"/>
      <c r="J550" s="30"/>
      <c r="K550" s="30"/>
      <c r="L550" s="30"/>
      <c r="M550" s="30"/>
      <c r="N550" s="30"/>
      <c r="O550" s="30"/>
      <c r="P550" s="108"/>
      <c r="Q550" s="30"/>
      <c r="R550" s="30"/>
    </row>
    <row r="551" ht="15.75" customHeight="1">
      <c r="A551" s="108"/>
      <c r="B551" s="108"/>
      <c r="C551" s="108"/>
      <c r="D551" s="108"/>
      <c r="E551" s="108"/>
      <c r="F551" s="30"/>
      <c r="G551" s="30"/>
      <c r="H551" s="30"/>
      <c r="I551" s="30"/>
      <c r="J551" s="30"/>
      <c r="K551" s="30"/>
      <c r="L551" s="30"/>
      <c r="M551" s="30"/>
      <c r="N551" s="30"/>
      <c r="O551" s="30"/>
      <c r="P551" s="108"/>
      <c r="Q551" s="30"/>
      <c r="R551" s="30"/>
    </row>
    <row r="552" ht="15.75" customHeight="1">
      <c r="A552" s="108"/>
      <c r="B552" s="108"/>
      <c r="C552" s="108"/>
      <c r="D552" s="108"/>
      <c r="E552" s="108"/>
      <c r="F552" s="30"/>
      <c r="G552" s="30"/>
      <c r="H552" s="30"/>
      <c r="I552" s="30"/>
      <c r="J552" s="30"/>
      <c r="K552" s="30"/>
      <c r="L552" s="30"/>
      <c r="M552" s="30"/>
      <c r="N552" s="30"/>
      <c r="O552" s="30"/>
      <c r="P552" s="108"/>
      <c r="Q552" s="30"/>
      <c r="R552" s="30"/>
    </row>
    <row r="553" ht="15.75" customHeight="1">
      <c r="A553" s="108"/>
      <c r="B553" s="108"/>
      <c r="C553" s="108"/>
      <c r="D553" s="108"/>
      <c r="E553" s="108"/>
      <c r="F553" s="30"/>
      <c r="G553" s="30"/>
      <c r="H553" s="30"/>
      <c r="I553" s="30"/>
      <c r="J553" s="30"/>
      <c r="K553" s="30"/>
      <c r="L553" s="30"/>
      <c r="M553" s="30"/>
      <c r="N553" s="30"/>
      <c r="O553" s="30"/>
      <c r="P553" s="108"/>
      <c r="Q553" s="30"/>
      <c r="R553" s="30"/>
    </row>
    <row r="554" ht="15.75" customHeight="1">
      <c r="A554" s="108"/>
      <c r="B554" s="108"/>
      <c r="C554" s="108"/>
      <c r="D554" s="108"/>
      <c r="E554" s="108"/>
      <c r="F554" s="30"/>
      <c r="G554" s="30"/>
      <c r="H554" s="30"/>
      <c r="I554" s="30"/>
      <c r="J554" s="30"/>
      <c r="K554" s="30"/>
      <c r="L554" s="30"/>
      <c r="M554" s="30"/>
      <c r="N554" s="30"/>
      <c r="O554" s="30"/>
      <c r="P554" s="108"/>
      <c r="Q554" s="30"/>
      <c r="R554" s="30"/>
    </row>
    <row r="555" ht="15.75" customHeight="1">
      <c r="A555" s="108"/>
      <c r="B555" s="108"/>
      <c r="C555" s="108"/>
      <c r="D555" s="108"/>
      <c r="E555" s="108"/>
      <c r="F555" s="30"/>
      <c r="G555" s="30"/>
      <c r="H555" s="30"/>
      <c r="I555" s="30"/>
      <c r="J555" s="30"/>
      <c r="K555" s="30"/>
      <c r="L555" s="30"/>
      <c r="M555" s="30"/>
      <c r="N555" s="30"/>
      <c r="O555" s="30"/>
      <c r="P555" s="108"/>
      <c r="Q555" s="30"/>
      <c r="R555" s="30"/>
    </row>
    <row r="556" ht="15.75" customHeight="1">
      <c r="A556" s="108"/>
      <c r="B556" s="108"/>
      <c r="C556" s="108"/>
      <c r="D556" s="108"/>
      <c r="E556" s="108"/>
      <c r="F556" s="30"/>
      <c r="G556" s="30"/>
      <c r="H556" s="30"/>
      <c r="I556" s="30"/>
      <c r="J556" s="30"/>
      <c r="K556" s="30"/>
      <c r="L556" s="30"/>
      <c r="M556" s="30"/>
      <c r="N556" s="30"/>
      <c r="O556" s="30"/>
      <c r="P556" s="108"/>
      <c r="Q556" s="30"/>
      <c r="R556" s="30"/>
    </row>
    <row r="557" ht="15.75" customHeight="1">
      <c r="A557" s="108"/>
      <c r="B557" s="108"/>
      <c r="C557" s="108"/>
      <c r="D557" s="108"/>
      <c r="E557" s="108"/>
      <c r="F557" s="30"/>
      <c r="G557" s="30"/>
      <c r="H557" s="30"/>
      <c r="I557" s="30"/>
      <c r="J557" s="30"/>
      <c r="K557" s="30"/>
      <c r="L557" s="30"/>
      <c r="M557" s="30"/>
      <c r="N557" s="30"/>
      <c r="O557" s="30"/>
      <c r="P557" s="108"/>
      <c r="Q557" s="30"/>
      <c r="R557" s="30"/>
    </row>
    <row r="558" ht="15.75" customHeight="1">
      <c r="A558" s="108"/>
      <c r="B558" s="108"/>
      <c r="C558" s="108"/>
      <c r="D558" s="108"/>
      <c r="E558" s="108"/>
      <c r="F558" s="30"/>
      <c r="G558" s="30"/>
      <c r="H558" s="30"/>
      <c r="I558" s="30"/>
      <c r="J558" s="30"/>
      <c r="K558" s="30"/>
      <c r="L558" s="30"/>
      <c r="M558" s="30"/>
      <c r="N558" s="30"/>
      <c r="O558" s="30"/>
      <c r="P558" s="108"/>
      <c r="Q558" s="30"/>
      <c r="R558" s="30"/>
    </row>
    <row r="559" ht="15.75" customHeight="1">
      <c r="A559" s="108"/>
      <c r="B559" s="108"/>
      <c r="C559" s="108"/>
      <c r="D559" s="108"/>
      <c r="E559" s="108"/>
      <c r="F559" s="30"/>
      <c r="G559" s="30"/>
      <c r="H559" s="30"/>
      <c r="I559" s="30"/>
      <c r="J559" s="30"/>
      <c r="K559" s="30"/>
      <c r="L559" s="30"/>
      <c r="M559" s="30"/>
      <c r="N559" s="30"/>
      <c r="O559" s="30"/>
      <c r="P559" s="108"/>
      <c r="Q559" s="30"/>
      <c r="R559" s="30"/>
    </row>
    <row r="560" ht="15.75" customHeight="1">
      <c r="A560" s="108"/>
      <c r="B560" s="108"/>
      <c r="C560" s="108"/>
      <c r="D560" s="108"/>
      <c r="E560" s="108"/>
      <c r="F560" s="30"/>
      <c r="G560" s="30"/>
      <c r="H560" s="30"/>
      <c r="I560" s="30"/>
      <c r="J560" s="30"/>
      <c r="K560" s="30"/>
      <c r="L560" s="30"/>
      <c r="M560" s="30"/>
      <c r="N560" s="30"/>
      <c r="O560" s="30"/>
      <c r="P560" s="108"/>
      <c r="Q560" s="30"/>
      <c r="R560" s="30"/>
    </row>
    <row r="561" ht="15.75" customHeight="1">
      <c r="A561" s="108"/>
      <c r="B561" s="108"/>
      <c r="C561" s="108"/>
      <c r="D561" s="108"/>
      <c r="E561" s="108"/>
      <c r="F561" s="30"/>
      <c r="G561" s="30"/>
      <c r="H561" s="30"/>
      <c r="I561" s="30"/>
      <c r="J561" s="30"/>
      <c r="K561" s="30"/>
      <c r="L561" s="30"/>
      <c r="M561" s="30"/>
      <c r="N561" s="30"/>
      <c r="O561" s="30"/>
      <c r="P561" s="108"/>
      <c r="Q561" s="30"/>
      <c r="R561" s="30"/>
    </row>
    <row r="562" ht="15.75" customHeight="1">
      <c r="A562" s="108"/>
      <c r="B562" s="108"/>
      <c r="C562" s="108"/>
      <c r="D562" s="108"/>
      <c r="E562" s="108"/>
      <c r="F562" s="30"/>
      <c r="G562" s="30"/>
      <c r="H562" s="30"/>
      <c r="I562" s="30"/>
      <c r="J562" s="30"/>
      <c r="K562" s="30"/>
      <c r="L562" s="30"/>
      <c r="M562" s="30"/>
      <c r="N562" s="30"/>
      <c r="O562" s="30"/>
      <c r="P562" s="108"/>
      <c r="Q562" s="30"/>
      <c r="R562" s="30"/>
    </row>
    <row r="563" ht="15.75" customHeight="1">
      <c r="A563" s="108"/>
      <c r="B563" s="108"/>
      <c r="C563" s="108"/>
      <c r="D563" s="108"/>
      <c r="E563" s="108"/>
      <c r="F563" s="30"/>
      <c r="G563" s="30"/>
      <c r="H563" s="30"/>
      <c r="I563" s="30"/>
      <c r="J563" s="30"/>
      <c r="K563" s="30"/>
      <c r="L563" s="30"/>
      <c r="M563" s="30"/>
      <c r="N563" s="30"/>
      <c r="O563" s="30"/>
      <c r="P563" s="108"/>
      <c r="Q563" s="30"/>
      <c r="R563" s="30"/>
    </row>
    <row r="564" ht="15.75" customHeight="1">
      <c r="A564" s="108"/>
      <c r="B564" s="108"/>
      <c r="C564" s="108"/>
      <c r="D564" s="108"/>
      <c r="E564" s="108"/>
      <c r="F564" s="30"/>
      <c r="G564" s="30"/>
      <c r="H564" s="30"/>
      <c r="I564" s="30"/>
      <c r="J564" s="30"/>
      <c r="K564" s="30"/>
      <c r="L564" s="30"/>
      <c r="M564" s="30"/>
      <c r="N564" s="30"/>
      <c r="O564" s="30"/>
      <c r="P564" s="108"/>
      <c r="Q564" s="30"/>
      <c r="R564" s="30"/>
    </row>
    <row r="565" ht="15.75" customHeight="1">
      <c r="A565" s="108"/>
      <c r="B565" s="108"/>
      <c r="C565" s="108"/>
      <c r="D565" s="108"/>
      <c r="E565" s="108"/>
      <c r="F565" s="30"/>
      <c r="G565" s="30"/>
      <c r="H565" s="30"/>
      <c r="I565" s="30"/>
      <c r="J565" s="30"/>
      <c r="K565" s="30"/>
      <c r="L565" s="30"/>
      <c r="M565" s="30"/>
      <c r="N565" s="30"/>
      <c r="O565" s="30"/>
      <c r="P565" s="108"/>
      <c r="Q565" s="30"/>
      <c r="R565" s="30"/>
    </row>
    <row r="566" ht="15.75" customHeight="1">
      <c r="A566" s="108"/>
      <c r="B566" s="108"/>
      <c r="C566" s="108"/>
      <c r="D566" s="108"/>
      <c r="E566" s="108"/>
      <c r="F566" s="30"/>
      <c r="G566" s="30"/>
      <c r="H566" s="30"/>
      <c r="I566" s="30"/>
      <c r="J566" s="30"/>
      <c r="K566" s="30"/>
      <c r="L566" s="30"/>
      <c r="M566" s="30"/>
      <c r="N566" s="30"/>
      <c r="O566" s="30"/>
      <c r="P566" s="108"/>
      <c r="Q566" s="30"/>
      <c r="R566" s="30"/>
    </row>
    <row r="567" ht="15.75" customHeight="1">
      <c r="A567" s="108"/>
      <c r="B567" s="108"/>
      <c r="C567" s="108"/>
      <c r="D567" s="108"/>
      <c r="E567" s="108"/>
      <c r="F567" s="30"/>
      <c r="G567" s="30"/>
      <c r="H567" s="30"/>
      <c r="I567" s="30"/>
      <c r="J567" s="30"/>
      <c r="K567" s="30"/>
      <c r="L567" s="30"/>
      <c r="M567" s="30"/>
      <c r="N567" s="30"/>
      <c r="O567" s="30"/>
      <c r="P567" s="108"/>
      <c r="Q567" s="30"/>
      <c r="R567" s="30"/>
    </row>
    <row r="568" ht="15.75" customHeight="1">
      <c r="A568" s="108"/>
      <c r="B568" s="108"/>
      <c r="C568" s="108"/>
      <c r="D568" s="108"/>
      <c r="E568" s="108"/>
      <c r="F568" s="30"/>
      <c r="G568" s="30"/>
      <c r="H568" s="30"/>
      <c r="I568" s="30"/>
      <c r="J568" s="30"/>
      <c r="K568" s="30"/>
      <c r="L568" s="30"/>
      <c r="M568" s="30"/>
      <c r="N568" s="30"/>
      <c r="O568" s="30"/>
      <c r="P568" s="108"/>
      <c r="Q568" s="30"/>
      <c r="R568" s="30"/>
    </row>
    <row r="569" ht="15.75" customHeight="1">
      <c r="A569" s="108"/>
      <c r="B569" s="108"/>
      <c r="C569" s="108"/>
      <c r="D569" s="108"/>
      <c r="E569" s="108"/>
      <c r="F569" s="30"/>
      <c r="G569" s="30"/>
      <c r="H569" s="30"/>
      <c r="I569" s="30"/>
      <c r="J569" s="30"/>
      <c r="K569" s="30"/>
      <c r="L569" s="30"/>
      <c r="M569" s="30"/>
      <c r="N569" s="30"/>
      <c r="O569" s="30"/>
      <c r="P569" s="108"/>
      <c r="Q569" s="30"/>
      <c r="R569" s="30"/>
    </row>
    <row r="570" ht="15.75" customHeight="1">
      <c r="A570" s="108"/>
      <c r="B570" s="108"/>
      <c r="C570" s="108"/>
      <c r="D570" s="108"/>
      <c r="E570" s="108"/>
      <c r="F570" s="30"/>
      <c r="G570" s="30"/>
      <c r="H570" s="30"/>
      <c r="I570" s="30"/>
      <c r="J570" s="30"/>
      <c r="K570" s="30"/>
      <c r="L570" s="30"/>
      <c r="M570" s="30"/>
      <c r="N570" s="30"/>
      <c r="O570" s="30"/>
      <c r="P570" s="108"/>
      <c r="Q570" s="30"/>
      <c r="R570" s="30"/>
    </row>
    <row r="571" ht="15.75" customHeight="1">
      <c r="A571" s="108"/>
      <c r="B571" s="108"/>
      <c r="C571" s="108"/>
      <c r="D571" s="108"/>
      <c r="E571" s="108"/>
      <c r="F571" s="30"/>
      <c r="G571" s="30"/>
      <c r="H571" s="30"/>
      <c r="I571" s="30"/>
      <c r="J571" s="30"/>
      <c r="K571" s="30"/>
      <c r="L571" s="30"/>
      <c r="M571" s="30"/>
      <c r="N571" s="30"/>
      <c r="O571" s="30"/>
      <c r="P571" s="108"/>
      <c r="Q571" s="30"/>
      <c r="R571" s="30"/>
    </row>
    <row r="572" ht="15.75" customHeight="1">
      <c r="A572" s="108"/>
      <c r="B572" s="108"/>
      <c r="C572" s="108"/>
      <c r="D572" s="108"/>
      <c r="E572" s="108"/>
      <c r="F572" s="30"/>
      <c r="G572" s="30"/>
      <c r="H572" s="30"/>
      <c r="I572" s="30"/>
      <c r="J572" s="30"/>
      <c r="K572" s="30"/>
      <c r="L572" s="30"/>
      <c r="M572" s="30"/>
      <c r="N572" s="30"/>
      <c r="O572" s="30"/>
      <c r="P572" s="108"/>
      <c r="Q572" s="30"/>
      <c r="R572" s="30"/>
    </row>
    <row r="573" ht="15.75" customHeight="1">
      <c r="A573" s="108"/>
      <c r="B573" s="108"/>
      <c r="C573" s="108"/>
      <c r="D573" s="108"/>
      <c r="E573" s="108"/>
      <c r="F573" s="30"/>
      <c r="G573" s="30"/>
      <c r="H573" s="30"/>
      <c r="I573" s="30"/>
      <c r="J573" s="30"/>
      <c r="K573" s="30"/>
      <c r="L573" s="30"/>
      <c r="M573" s="30"/>
      <c r="N573" s="30"/>
      <c r="O573" s="30"/>
      <c r="P573" s="108"/>
      <c r="Q573" s="30"/>
      <c r="R573" s="30"/>
    </row>
    <row r="574" ht="15.75" customHeight="1">
      <c r="A574" s="108"/>
      <c r="B574" s="108"/>
      <c r="C574" s="108"/>
      <c r="D574" s="108"/>
      <c r="E574" s="108"/>
      <c r="F574" s="30"/>
      <c r="G574" s="30"/>
      <c r="H574" s="30"/>
      <c r="I574" s="30"/>
      <c r="J574" s="30"/>
      <c r="K574" s="30"/>
      <c r="L574" s="30"/>
      <c r="M574" s="30"/>
      <c r="N574" s="30"/>
      <c r="O574" s="30"/>
      <c r="P574" s="108"/>
      <c r="Q574" s="30"/>
      <c r="R574" s="30"/>
    </row>
    <row r="575" ht="15.75" customHeight="1">
      <c r="A575" s="108"/>
      <c r="B575" s="108"/>
      <c r="C575" s="108"/>
      <c r="D575" s="108"/>
      <c r="E575" s="108"/>
      <c r="F575" s="30"/>
      <c r="G575" s="30"/>
      <c r="H575" s="30"/>
      <c r="I575" s="30"/>
      <c r="J575" s="30"/>
      <c r="K575" s="30"/>
      <c r="L575" s="30"/>
      <c r="M575" s="30"/>
      <c r="N575" s="30"/>
      <c r="O575" s="30"/>
      <c r="P575" s="108"/>
      <c r="Q575" s="30"/>
      <c r="R575" s="30"/>
    </row>
    <row r="576" ht="15.75" customHeight="1">
      <c r="A576" s="108"/>
      <c r="B576" s="108"/>
      <c r="C576" s="108"/>
      <c r="D576" s="108"/>
      <c r="E576" s="108"/>
      <c r="F576" s="30"/>
      <c r="G576" s="30"/>
      <c r="H576" s="30"/>
      <c r="I576" s="30"/>
      <c r="J576" s="30"/>
      <c r="K576" s="30"/>
      <c r="L576" s="30"/>
      <c r="M576" s="30"/>
      <c r="N576" s="30"/>
      <c r="O576" s="30"/>
      <c r="P576" s="108"/>
      <c r="Q576" s="30"/>
      <c r="R576" s="30"/>
    </row>
    <row r="577" ht="15.75" customHeight="1">
      <c r="A577" s="108"/>
      <c r="B577" s="108"/>
      <c r="C577" s="108"/>
      <c r="D577" s="108"/>
      <c r="E577" s="108"/>
      <c r="F577" s="30"/>
      <c r="G577" s="30"/>
      <c r="H577" s="30"/>
      <c r="I577" s="30"/>
      <c r="J577" s="30"/>
      <c r="K577" s="30"/>
      <c r="L577" s="30"/>
      <c r="M577" s="30"/>
      <c r="N577" s="30"/>
      <c r="O577" s="30"/>
      <c r="P577" s="108"/>
      <c r="Q577" s="30"/>
      <c r="R577" s="30"/>
    </row>
    <row r="578" ht="15.75" customHeight="1">
      <c r="A578" s="108"/>
      <c r="B578" s="108"/>
      <c r="C578" s="108"/>
      <c r="D578" s="108"/>
      <c r="E578" s="108"/>
      <c r="F578" s="30"/>
      <c r="G578" s="30"/>
      <c r="H578" s="30"/>
      <c r="I578" s="30"/>
      <c r="J578" s="30"/>
      <c r="K578" s="30"/>
      <c r="L578" s="30"/>
      <c r="M578" s="30"/>
      <c r="N578" s="30"/>
      <c r="O578" s="30"/>
      <c r="P578" s="108"/>
      <c r="Q578" s="30"/>
      <c r="R578" s="30"/>
    </row>
    <row r="579" ht="15.75" customHeight="1">
      <c r="A579" s="108"/>
      <c r="B579" s="108"/>
      <c r="C579" s="108"/>
      <c r="D579" s="108"/>
      <c r="E579" s="108"/>
      <c r="F579" s="30"/>
      <c r="G579" s="30"/>
      <c r="H579" s="30"/>
      <c r="I579" s="30"/>
      <c r="J579" s="30"/>
      <c r="K579" s="30"/>
      <c r="L579" s="30"/>
      <c r="M579" s="30"/>
      <c r="N579" s="30"/>
      <c r="O579" s="30"/>
      <c r="P579" s="108"/>
      <c r="Q579" s="30"/>
      <c r="R579" s="30"/>
    </row>
    <row r="580" ht="15.75" customHeight="1">
      <c r="A580" s="108"/>
      <c r="B580" s="108"/>
      <c r="C580" s="108"/>
      <c r="D580" s="108"/>
      <c r="E580" s="108"/>
      <c r="F580" s="30"/>
      <c r="G580" s="30"/>
      <c r="H580" s="30"/>
      <c r="I580" s="30"/>
      <c r="J580" s="30"/>
      <c r="K580" s="30"/>
      <c r="L580" s="30"/>
      <c r="M580" s="30"/>
      <c r="N580" s="30"/>
      <c r="O580" s="30"/>
      <c r="P580" s="108"/>
      <c r="Q580" s="30"/>
      <c r="R580" s="30"/>
    </row>
    <row r="581" ht="15.75" customHeight="1">
      <c r="A581" s="108"/>
      <c r="B581" s="108"/>
      <c r="C581" s="108"/>
      <c r="D581" s="108"/>
      <c r="E581" s="108"/>
      <c r="F581" s="30"/>
      <c r="G581" s="30"/>
      <c r="H581" s="30"/>
      <c r="I581" s="30"/>
      <c r="J581" s="30"/>
      <c r="K581" s="30"/>
      <c r="L581" s="30"/>
      <c r="M581" s="30"/>
      <c r="N581" s="30"/>
      <c r="O581" s="30"/>
      <c r="P581" s="108"/>
      <c r="Q581" s="30"/>
      <c r="R581" s="30"/>
    </row>
    <row r="582" ht="15.75" customHeight="1">
      <c r="A582" s="108"/>
      <c r="B582" s="108"/>
      <c r="C582" s="108"/>
      <c r="D582" s="108"/>
      <c r="E582" s="108"/>
      <c r="F582" s="30"/>
      <c r="G582" s="30"/>
      <c r="H582" s="30"/>
      <c r="I582" s="30"/>
      <c r="J582" s="30"/>
      <c r="K582" s="30"/>
      <c r="L582" s="30"/>
      <c r="M582" s="30"/>
      <c r="N582" s="30"/>
      <c r="O582" s="30"/>
      <c r="P582" s="108"/>
      <c r="Q582" s="30"/>
      <c r="R582" s="30"/>
    </row>
    <row r="583" ht="15.75" customHeight="1">
      <c r="A583" s="108"/>
      <c r="B583" s="108"/>
      <c r="C583" s="108"/>
      <c r="D583" s="108"/>
      <c r="E583" s="108"/>
      <c r="F583" s="30"/>
      <c r="G583" s="30"/>
      <c r="H583" s="30"/>
      <c r="I583" s="30"/>
      <c r="J583" s="30"/>
      <c r="K583" s="30"/>
      <c r="L583" s="30"/>
      <c r="M583" s="30"/>
      <c r="N583" s="30"/>
      <c r="O583" s="30"/>
      <c r="P583" s="108"/>
      <c r="Q583" s="30"/>
      <c r="R583" s="30"/>
    </row>
    <row r="584" ht="15.75" customHeight="1">
      <c r="A584" s="108"/>
      <c r="B584" s="108"/>
      <c r="C584" s="108"/>
      <c r="D584" s="108"/>
      <c r="E584" s="108"/>
      <c r="F584" s="30"/>
      <c r="G584" s="30"/>
      <c r="H584" s="30"/>
      <c r="I584" s="30"/>
      <c r="J584" s="30"/>
      <c r="K584" s="30"/>
      <c r="L584" s="30"/>
      <c r="M584" s="30"/>
      <c r="N584" s="30"/>
      <c r="O584" s="30"/>
      <c r="P584" s="108"/>
      <c r="Q584" s="30"/>
      <c r="R584" s="30"/>
    </row>
    <row r="585" ht="15.75" customHeight="1">
      <c r="A585" s="108"/>
      <c r="B585" s="108"/>
      <c r="C585" s="108"/>
      <c r="D585" s="108"/>
      <c r="E585" s="108"/>
      <c r="F585" s="30"/>
      <c r="G585" s="30"/>
      <c r="H585" s="30"/>
      <c r="I585" s="30"/>
      <c r="J585" s="30"/>
      <c r="K585" s="30"/>
      <c r="L585" s="30"/>
      <c r="M585" s="30"/>
      <c r="N585" s="30"/>
      <c r="O585" s="30"/>
      <c r="P585" s="108"/>
      <c r="Q585" s="30"/>
      <c r="R585" s="30"/>
    </row>
    <row r="586" ht="15.75" customHeight="1">
      <c r="A586" s="108"/>
      <c r="B586" s="108"/>
      <c r="C586" s="108"/>
      <c r="D586" s="108"/>
      <c r="E586" s="108"/>
      <c r="F586" s="30"/>
      <c r="G586" s="30"/>
      <c r="H586" s="30"/>
      <c r="I586" s="30"/>
      <c r="J586" s="30"/>
      <c r="K586" s="30"/>
      <c r="L586" s="30"/>
      <c r="M586" s="30"/>
      <c r="N586" s="30"/>
      <c r="O586" s="30"/>
      <c r="P586" s="108"/>
      <c r="Q586" s="30"/>
      <c r="R586" s="30"/>
    </row>
    <row r="587" ht="15.75" customHeight="1">
      <c r="A587" s="108"/>
      <c r="B587" s="108"/>
      <c r="C587" s="108"/>
      <c r="D587" s="108"/>
      <c r="E587" s="108"/>
      <c r="F587" s="30"/>
      <c r="G587" s="30"/>
      <c r="H587" s="30"/>
      <c r="I587" s="30"/>
      <c r="J587" s="30"/>
      <c r="K587" s="30"/>
      <c r="L587" s="30"/>
      <c r="M587" s="30"/>
      <c r="N587" s="30"/>
      <c r="O587" s="30"/>
      <c r="P587" s="108"/>
      <c r="Q587" s="30"/>
      <c r="R587" s="30"/>
    </row>
    <row r="588" ht="15.75" customHeight="1">
      <c r="A588" s="108"/>
      <c r="B588" s="108"/>
      <c r="C588" s="108"/>
      <c r="D588" s="108"/>
      <c r="E588" s="108"/>
      <c r="F588" s="30"/>
      <c r="G588" s="30"/>
      <c r="H588" s="30"/>
      <c r="I588" s="30"/>
      <c r="J588" s="30"/>
      <c r="K588" s="30"/>
      <c r="L588" s="30"/>
      <c r="M588" s="30"/>
      <c r="N588" s="30"/>
      <c r="O588" s="30"/>
      <c r="P588" s="108"/>
      <c r="Q588" s="30"/>
      <c r="R588" s="30"/>
    </row>
    <row r="589" ht="15.75" customHeight="1">
      <c r="A589" s="108"/>
      <c r="B589" s="108"/>
      <c r="C589" s="108"/>
      <c r="D589" s="108"/>
      <c r="E589" s="108"/>
      <c r="F589" s="30"/>
      <c r="G589" s="30"/>
      <c r="H589" s="30"/>
      <c r="I589" s="30"/>
      <c r="J589" s="30"/>
      <c r="K589" s="30"/>
      <c r="L589" s="30"/>
      <c r="M589" s="30"/>
      <c r="N589" s="30"/>
      <c r="O589" s="30"/>
      <c r="P589" s="108"/>
      <c r="Q589" s="30"/>
      <c r="R589" s="30"/>
    </row>
    <row r="590" ht="15.75" customHeight="1">
      <c r="A590" s="108"/>
      <c r="B590" s="108"/>
      <c r="C590" s="108"/>
      <c r="D590" s="108"/>
      <c r="E590" s="108"/>
      <c r="F590" s="30"/>
      <c r="G590" s="30"/>
      <c r="H590" s="30"/>
      <c r="I590" s="30"/>
      <c r="J590" s="30"/>
      <c r="K590" s="30"/>
      <c r="L590" s="30"/>
      <c r="M590" s="30"/>
      <c r="N590" s="30"/>
      <c r="O590" s="30"/>
      <c r="P590" s="108"/>
      <c r="Q590" s="30"/>
      <c r="R590" s="30"/>
    </row>
    <row r="591" ht="15.75" customHeight="1">
      <c r="A591" s="108"/>
      <c r="B591" s="108"/>
      <c r="C591" s="108"/>
      <c r="D591" s="108"/>
      <c r="E591" s="108"/>
      <c r="F591" s="30"/>
      <c r="G591" s="30"/>
      <c r="H591" s="30"/>
      <c r="I591" s="30"/>
      <c r="J591" s="30"/>
      <c r="K591" s="30"/>
      <c r="L591" s="30"/>
      <c r="M591" s="30"/>
      <c r="N591" s="30"/>
      <c r="O591" s="30"/>
      <c r="P591" s="108"/>
      <c r="Q591" s="30"/>
      <c r="R591" s="30"/>
    </row>
    <row r="592" ht="15.75" customHeight="1">
      <c r="A592" s="108"/>
      <c r="B592" s="108"/>
      <c r="C592" s="108"/>
      <c r="D592" s="108"/>
      <c r="E592" s="108"/>
      <c r="F592" s="30"/>
      <c r="G592" s="30"/>
      <c r="H592" s="30"/>
      <c r="I592" s="30"/>
      <c r="J592" s="30"/>
      <c r="K592" s="30"/>
      <c r="L592" s="30"/>
      <c r="M592" s="30"/>
      <c r="N592" s="30"/>
      <c r="O592" s="30"/>
      <c r="P592" s="108"/>
      <c r="Q592" s="30"/>
      <c r="R592" s="30"/>
    </row>
    <row r="593" ht="15.75" customHeight="1">
      <c r="A593" s="108"/>
      <c r="B593" s="108"/>
      <c r="C593" s="108"/>
      <c r="D593" s="108"/>
      <c r="E593" s="108"/>
      <c r="F593" s="30"/>
      <c r="G593" s="30"/>
      <c r="H593" s="30"/>
      <c r="I593" s="30"/>
      <c r="J593" s="30"/>
      <c r="K593" s="30"/>
      <c r="L593" s="30"/>
      <c r="M593" s="30"/>
      <c r="N593" s="30"/>
      <c r="O593" s="30"/>
      <c r="P593" s="108"/>
      <c r="Q593" s="30"/>
      <c r="R593" s="30"/>
    </row>
    <row r="594" ht="15.75" customHeight="1">
      <c r="A594" s="108"/>
      <c r="B594" s="108"/>
      <c r="C594" s="108"/>
      <c r="D594" s="108"/>
      <c r="E594" s="108"/>
      <c r="F594" s="30"/>
      <c r="G594" s="30"/>
      <c r="H594" s="30"/>
      <c r="I594" s="30"/>
      <c r="J594" s="30"/>
      <c r="K594" s="30"/>
      <c r="L594" s="30"/>
      <c r="M594" s="30"/>
      <c r="N594" s="30"/>
      <c r="O594" s="30"/>
      <c r="P594" s="108"/>
      <c r="Q594" s="30"/>
      <c r="R594" s="30"/>
    </row>
    <row r="595" ht="15.75" customHeight="1">
      <c r="A595" s="108"/>
      <c r="B595" s="108"/>
      <c r="C595" s="108"/>
      <c r="D595" s="108"/>
      <c r="E595" s="108"/>
      <c r="F595" s="30"/>
      <c r="G595" s="30"/>
      <c r="H595" s="30"/>
      <c r="I595" s="30"/>
      <c r="J595" s="30"/>
      <c r="K595" s="30"/>
      <c r="L595" s="30"/>
      <c r="M595" s="30"/>
      <c r="N595" s="30"/>
      <c r="O595" s="30"/>
      <c r="P595" s="108"/>
      <c r="Q595" s="30"/>
      <c r="R595" s="30"/>
    </row>
    <row r="596" ht="15.75" customHeight="1">
      <c r="A596" s="108"/>
      <c r="B596" s="108"/>
      <c r="C596" s="108"/>
      <c r="D596" s="108"/>
      <c r="E596" s="108"/>
      <c r="F596" s="30"/>
      <c r="G596" s="30"/>
      <c r="H596" s="30"/>
      <c r="I596" s="30"/>
      <c r="J596" s="30"/>
      <c r="K596" s="30"/>
      <c r="L596" s="30"/>
      <c r="M596" s="30"/>
      <c r="N596" s="30"/>
      <c r="O596" s="30"/>
      <c r="P596" s="108"/>
      <c r="Q596" s="30"/>
      <c r="R596" s="30"/>
    </row>
    <row r="597" ht="15.75" customHeight="1">
      <c r="A597" s="108"/>
      <c r="B597" s="108"/>
      <c r="C597" s="108"/>
      <c r="D597" s="108"/>
      <c r="E597" s="108"/>
      <c r="F597" s="30"/>
      <c r="G597" s="30"/>
      <c r="H597" s="30"/>
      <c r="I597" s="30"/>
      <c r="J597" s="30"/>
      <c r="K597" s="30"/>
      <c r="L597" s="30"/>
      <c r="M597" s="30"/>
      <c r="N597" s="30"/>
      <c r="O597" s="30"/>
      <c r="P597" s="108"/>
      <c r="Q597" s="30"/>
      <c r="R597" s="30"/>
    </row>
    <row r="598" ht="15.75" customHeight="1">
      <c r="A598" s="108"/>
      <c r="B598" s="108"/>
      <c r="C598" s="108"/>
      <c r="D598" s="108"/>
      <c r="E598" s="108"/>
      <c r="F598" s="30"/>
      <c r="G598" s="30"/>
      <c r="H598" s="30"/>
      <c r="I598" s="30"/>
      <c r="J598" s="30"/>
      <c r="K598" s="30"/>
      <c r="L598" s="30"/>
      <c r="M598" s="30"/>
      <c r="N598" s="30"/>
      <c r="O598" s="30"/>
      <c r="P598" s="108"/>
      <c r="Q598" s="30"/>
      <c r="R598" s="30"/>
    </row>
    <row r="599" ht="15.75" customHeight="1">
      <c r="A599" s="108"/>
      <c r="B599" s="108"/>
      <c r="C599" s="108"/>
      <c r="D599" s="108"/>
      <c r="E599" s="108"/>
      <c r="F599" s="30"/>
      <c r="G599" s="30"/>
      <c r="H599" s="30"/>
      <c r="I599" s="30"/>
      <c r="J599" s="30"/>
      <c r="K599" s="30"/>
      <c r="L599" s="30"/>
      <c r="M599" s="30"/>
      <c r="N599" s="30"/>
      <c r="O599" s="30"/>
      <c r="P599" s="108"/>
      <c r="Q599" s="30"/>
      <c r="R599" s="30"/>
    </row>
    <row r="600" ht="15.75" customHeight="1">
      <c r="A600" s="108"/>
      <c r="B600" s="108"/>
      <c r="C600" s="108"/>
      <c r="D600" s="108"/>
      <c r="E600" s="108"/>
      <c r="F600" s="30"/>
      <c r="G600" s="30"/>
      <c r="H600" s="30"/>
      <c r="I600" s="30"/>
      <c r="J600" s="30"/>
      <c r="K600" s="30"/>
      <c r="L600" s="30"/>
      <c r="M600" s="30"/>
      <c r="N600" s="30"/>
      <c r="O600" s="30"/>
      <c r="P600" s="108"/>
      <c r="Q600" s="30"/>
      <c r="R600" s="30"/>
    </row>
    <row r="601" ht="15.75" customHeight="1">
      <c r="A601" s="108"/>
      <c r="B601" s="108"/>
      <c r="C601" s="108"/>
      <c r="D601" s="108"/>
      <c r="E601" s="108"/>
      <c r="F601" s="30"/>
      <c r="G601" s="30"/>
      <c r="H601" s="30"/>
      <c r="I601" s="30"/>
      <c r="J601" s="30"/>
      <c r="K601" s="30"/>
      <c r="L601" s="30"/>
      <c r="M601" s="30"/>
      <c r="N601" s="30"/>
      <c r="O601" s="30"/>
      <c r="P601" s="108"/>
      <c r="Q601" s="30"/>
      <c r="R601" s="30"/>
    </row>
    <row r="602" ht="15.75" customHeight="1">
      <c r="A602" s="108"/>
      <c r="B602" s="108"/>
      <c r="C602" s="108"/>
      <c r="D602" s="108"/>
      <c r="E602" s="108"/>
      <c r="F602" s="30"/>
      <c r="G602" s="30"/>
      <c r="H602" s="30"/>
      <c r="I602" s="30"/>
      <c r="J602" s="30"/>
      <c r="K602" s="30"/>
      <c r="L602" s="30"/>
      <c r="M602" s="30"/>
      <c r="N602" s="30"/>
      <c r="O602" s="30"/>
      <c r="P602" s="108"/>
      <c r="Q602" s="30"/>
      <c r="R602" s="30"/>
    </row>
    <row r="603" ht="15.75" customHeight="1">
      <c r="A603" s="108"/>
      <c r="B603" s="108"/>
      <c r="C603" s="108"/>
      <c r="D603" s="108"/>
      <c r="E603" s="108"/>
      <c r="F603" s="30"/>
      <c r="G603" s="30"/>
      <c r="H603" s="30"/>
      <c r="I603" s="30"/>
      <c r="J603" s="30"/>
      <c r="K603" s="30"/>
      <c r="L603" s="30"/>
      <c r="M603" s="30"/>
      <c r="N603" s="30"/>
      <c r="O603" s="30"/>
      <c r="P603" s="108"/>
      <c r="Q603" s="30"/>
      <c r="R603" s="30"/>
    </row>
    <row r="604" ht="15.75" customHeight="1">
      <c r="A604" s="108"/>
      <c r="B604" s="108"/>
      <c r="C604" s="108"/>
      <c r="D604" s="108"/>
      <c r="E604" s="108"/>
      <c r="F604" s="30"/>
      <c r="G604" s="30"/>
      <c r="H604" s="30"/>
      <c r="I604" s="30"/>
      <c r="J604" s="30"/>
      <c r="K604" s="30"/>
      <c r="L604" s="30"/>
      <c r="M604" s="30"/>
      <c r="N604" s="30"/>
      <c r="O604" s="30"/>
      <c r="P604" s="108"/>
      <c r="Q604" s="30"/>
      <c r="R604" s="30"/>
    </row>
    <row r="605" ht="15.75" customHeight="1">
      <c r="A605" s="108"/>
      <c r="B605" s="108"/>
      <c r="C605" s="108"/>
      <c r="D605" s="108"/>
      <c r="E605" s="108"/>
      <c r="F605" s="30"/>
      <c r="G605" s="30"/>
      <c r="H605" s="30"/>
      <c r="I605" s="30"/>
      <c r="J605" s="30"/>
      <c r="K605" s="30"/>
      <c r="L605" s="30"/>
      <c r="M605" s="30"/>
      <c r="N605" s="30"/>
      <c r="O605" s="30"/>
      <c r="P605" s="108"/>
      <c r="Q605" s="30"/>
      <c r="R605" s="30"/>
    </row>
    <row r="606" ht="15.75" customHeight="1">
      <c r="A606" s="108"/>
      <c r="B606" s="108"/>
      <c r="C606" s="108"/>
      <c r="D606" s="108"/>
      <c r="E606" s="108"/>
      <c r="F606" s="30"/>
      <c r="G606" s="30"/>
      <c r="H606" s="30"/>
      <c r="I606" s="30"/>
      <c r="J606" s="30"/>
      <c r="K606" s="30"/>
      <c r="L606" s="30"/>
      <c r="M606" s="30"/>
      <c r="N606" s="30"/>
      <c r="O606" s="30"/>
      <c r="P606" s="108"/>
      <c r="Q606" s="30"/>
      <c r="R606" s="30"/>
    </row>
    <row r="607" ht="15.75" customHeight="1">
      <c r="A607" s="108"/>
      <c r="B607" s="108"/>
      <c r="C607" s="108"/>
      <c r="D607" s="108"/>
      <c r="E607" s="108"/>
      <c r="F607" s="30"/>
      <c r="G607" s="30"/>
      <c r="H607" s="30"/>
      <c r="I607" s="30"/>
      <c r="J607" s="30"/>
      <c r="K607" s="30"/>
      <c r="L607" s="30"/>
      <c r="M607" s="30"/>
      <c r="N607" s="30"/>
      <c r="O607" s="30"/>
      <c r="P607" s="108"/>
      <c r="Q607" s="30"/>
      <c r="R607" s="30"/>
    </row>
    <row r="608" ht="15.75" customHeight="1">
      <c r="A608" s="108"/>
      <c r="B608" s="108"/>
      <c r="C608" s="108"/>
      <c r="D608" s="108"/>
      <c r="E608" s="108"/>
      <c r="F608" s="30"/>
      <c r="G608" s="30"/>
      <c r="H608" s="30"/>
      <c r="I608" s="30"/>
      <c r="J608" s="30"/>
      <c r="K608" s="30"/>
      <c r="L608" s="30"/>
      <c r="M608" s="30"/>
      <c r="N608" s="30"/>
      <c r="O608" s="30"/>
      <c r="P608" s="108"/>
      <c r="Q608" s="30"/>
      <c r="R608" s="30"/>
    </row>
    <row r="609" ht="15.75" customHeight="1">
      <c r="A609" s="108"/>
      <c r="B609" s="108"/>
      <c r="C609" s="108"/>
      <c r="D609" s="108"/>
      <c r="E609" s="108"/>
      <c r="F609" s="30"/>
      <c r="G609" s="30"/>
      <c r="H609" s="30"/>
      <c r="I609" s="30"/>
      <c r="J609" s="30"/>
      <c r="K609" s="30"/>
      <c r="L609" s="30"/>
      <c r="M609" s="30"/>
      <c r="N609" s="30"/>
      <c r="O609" s="30"/>
      <c r="P609" s="108"/>
      <c r="Q609" s="30"/>
      <c r="R609" s="30"/>
    </row>
    <row r="610" ht="15.75" customHeight="1">
      <c r="A610" s="108"/>
      <c r="B610" s="108"/>
      <c r="C610" s="108"/>
      <c r="D610" s="108"/>
      <c r="E610" s="108"/>
      <c r="F610" s="30"/>
      <c r="G610" s="30"/>
      <c r="H610" s="30"/>
      <c r="I610" s="30"/>
      <c r="J610" s="30"/>
      <c r="K610" s="30"/>
      <c r="L610" s="30"/>
      <c r="M610" s="30"/>
      <c r="N610" s="30"/>
      <c r="O610" s="30"/>
      <c r="P610" s="108"/>
      <c r="Q610" s="30"/>
      <c r="R610" s="30"/>
    </row>
    <row r="611" ht="15.75" customHeight="1">
      <c r="A611" s="108"/>
      <c r="B611" s="108"/>
      <c r="C611" s="108"/>
      <c r="D611" s="108"/>
      <c r="E611" s="108"/>
      <c r="F611" s="30"/>
      <c r="G611" s="30"/>
      <c r="H611" s="30"/>
      <c r="I611" s="30"/>
      <c r="J611" s="30"/>
      <c r="K611" s="30"/>
      <c r="L611" s="30"/>
      <c r="M611" s="30"/>
      <c r="N611" s="30"/>
      <c r="O611" s="30"/>
      <c r="P611" s="108"/>
      <c r="Q611" s="30"/>
      <c r="R611" s="30"/>
    </row>
    <row r="612" ht="15.75" customHeight="1">
      <c r="A612" s="108"/>
      <c r="B612" s="108"/>
      <c r="C612" s="108"/>
      <c r="D612" s="108"/>
      <c r="E612" s="108"/>
      <c r="F612" s="30"/>
      <c r="G612" s="30"/>
      <c r="H612" s="30"/>
      <c r="I612" s="30"/>
      <c r="J612" s="30"/>
      <c r="K612" s="30"/>
      <c r="L612" s="30"/>
      <c r="M612" s="30"/>
      <c r="N612" s="30"/>
      <c r="O612" s="30"/>
      <c r="P612" s="108"/>
      <c r="Q612" s="30"/>
      <c r="R612" s="30"/>
    </row>
    <row r="613" ht="15.75" customHeight="1">
      <c r="A613" s="108"/>
      <c r="B613" s="108"/>
      <c r="C613" s="108"/>
      <c r="D613" s="108"/>
      <c r="E613" s="108"/>
      <c r="F613" s="30"/>
      <c r="G613" s="30"/>
      <c r="H613" s="30"/>
      <c r="I613" s="30"/>
      <c r="J613" s="30"/>
      <c r="K613" s="30"/>
      <c r="L613" s="30"/>
      <c r="M613" s="30"/>
      <c r="N613" s="30"/>
      <c r="O613" s="30"/>
      <c r="P613" s="108"/>
      <c r="Q613" s="30"/>
      <c r="R613" s="30"/>
    </row>
    <row r="614" ht="15.75" customHeight="1">
      <c r="A614" s="108"/>
      <c r="B614" s="108"/>
      <c r="C614" s="108"/>
      <c r="D614" s="108"/>
      <c r="E614" s="108"/>
      <c r="F614" s="30"/>
      <c r="G614" s="30"/>
      <c r="H614" s="30"/>
      <c r="I614" s="30"/>
      <c r="J614" s="30"/>
      <c r="K614" s="30"/>
      <c r="L614" s="30"/>
      <c r="M614" s="30"/>
      <c r="N614" s="30"/>
      <c r="O614" s="30"/>
      <c r="P614" s="108"/>
      <c r="Q614" s="30"/>
      <c r="R614" s="30"/>
    </row>
    <row r="615" ht="15.75" customHeight="1">
      <c r="A615" s="108"/>
      <c r="B615" s="108"/>
      <c r="C615" s="108"/>
      <c r="D615" s="108"/>
      <c r="E615" s="108"/>
      <c r="F615" s="30"/>
      <c r="G615" s="30"/>
      <c r="H615" s="30"/>
      <c r="I615" s="30"/>
      <c r="J615" s="30"/>
      <c r="K615" s="30"/>
      <c r="L615" s="30"/>
      <c r="M615" s="30"/>
      <c r="N615" s="30"/>
      <c r="O615" s="30"/>
      <c r="P615" s="108"/>
      <c r="Q615" s="30"/>
      <c r="R615" s="30"/>
    </row>
    <row r="616" ht="15.75" customHeight="1">
      <c r="A616" s="108"/>
      <c r="B616" s="108"/>
      <c r="C616" s="108"/>
      <c r="D616" s="108"/>
      <c r="E616" s="108"/>
      <c r="F616" s="30"/>
      <c r="G616" s="30"/>
      <c r="H616" s="30"/>
      <c r="I616" s="30"/>
      <c r="J616" s="30"/>
      <c r="K616" s="30"/>
      <c r="L616" s="30"/>
      <c r="M616" s="30"/>
      <c r="N616" s="30"/>
      <c r="O616" s="30"/>
      <c r="P616" s="108"/>
      <c r="Q616" s="30"/>
      <c r="R616" s="30"/>
    </row>
    <row r="617" ht="15.75" customHeight="1">
      <c r="A617" s="108"/>
      <c r="B617" s="108"/>
      <c r="C617" s="108"/>
      <c r="D617" s="108"/>
      <c r="E617" s="108"/>
      <c r="F617" s="30"/>
      <c r="G617" s="30"/>
      <c r="H617" s="30"/>
      <c r="I617" s="30"/>
      <c r="J617" s="30"/>
      <c r="K617" s="30"/>
      <c r="L617" s="30"/>
      <c r="M617" s="30"/>
      <c r="N617" s="30"/>
      <c r="O617" s="30"/>
      <c r="P617" s="108"/>
      <c r="Q617" s="30"/>
      <c r="R617" s="30"/>
    </row>
    <row r="618" ht="15.75" customHeight="1">
      <c r="A618" s="108"/>
      <c r="B618" s="108"/>
      <c r="C618" s="108"/>
      <c r="D618" s="108"/>
      <c r="E618" s="108"/>
      <c r="F618" s="30"/>
      <c r="G618" s="30"/>
      <c r="H618" s="30"/>
      <c r="I618" s="30"/>
      <c r="J618" s="30"/>
      <c r="K618" s="30"/>
      <c r="L618" s="30"/>
      <c r="M618" s="30"/>
      <c r="N618" s="30"/>
      <c r="O618" s="30"/>
      <c r="P618" s="108"/>
      <c r="Q618" s="30"/>
      <c r="R618" s="30"/>
    </row>
    <row r="619" ht="15.75" customHeight="1">
      <c r="A619" s="108"/>
      <c r="B619" s="108"/>
      <c r="C619" s="108"/>
      <c r="D619" s="108"/>
      <c r="E619" s="108"/>
      <c r="F619" s="30"/>
      <c r="G619" s="30"/>
      <c r="H619" s="30"/>
      <c r="I619" s="30"/>
      <c r="J619" s="30"/>
      <c r="K619" s="30"/>
      <c r="L619" s="30"/>
      <c r="M619" s="30"/>
      <c r="N619" s="30"/>
      <c r="O619" s="30"/>
      <c r="P619" s="108"/>
      <c r="Q619" s="30"/>
      <c r="R619" s="30"/>
    </row>
    <row r="620" ht="15.75" customHeight="1">
      <c r="A620" s="108"/>
      <c r="B620" s="108"/>
      <c r="C620" s="108"/>
      <c r="D620" s="108"/>
      <c r="E620" s="108"/>
      <c r="F620" s="30"/>
      <c r="G620" s="30"/>
      <c r="H620" s="30"/>
      <c r="I620" s="30"/>
      <c r="J620" s="30"/>
      <c r="K620" s="30"/>
      <c r="L620" s="30"/>
      <c r="M620" s="30"/>
      <c r="N620" s="30"/>
      <c r="O620" s="30"/>
      <c r="P620" s="108"/>
      <c r="Q620" s="30"/>
      <c r="R620" s="30"/>
    </row>
    <row r="621" ht="15.75" customHeight="1">
      <c r="A621" s="108"/>
      <c r="B621" s="108"/>
      <c r="C621" s="108"/>
      <c r="D621" s="108"/>
      <c r="E621" s="108"/>
      <c r="F621" s="30"/>
      <c r="G621" s="30"/>
      <c r="H621" s="30"/>
      <c r="I621" s="30"/>
      <c r="J621" s="30"/>
      <c r="K621" s="30"/>
      <c r="L621" s="30"/>
      <c r="M621" s="30"/>
      <c r="N621" s="30"/>
      <c r="O621" s="30"/>
      <c r="P621" s="108"/>
      <c r="Q621" s="30"/>
      <c r="R621" s="30"/>
    </row>
    <row r="622" ht="15.75" customHeight="1">
      <c r="A622" s="108"/>
      <c r="B622" s="108"/>
      <c r="C622" s="108"/>
      <c r="D622" s="108"/>
      <c r="E622" s="108"/>
      <c r="F622" s="30"/>
      <c r="G622" s="30"/>
      <c r="H622" s="30"/>
      <c r="I622" s="30"/>
      <c r="J622" s="30"/>
      <c r="K622" s="30"/>
      <c r="L622" s="30"/>
      <c r="M622" s="30"/>
      <c r="N622" s="30"/>
      <c r="O622" s="30"/>
      <c r="P622" s="108"/>
      <c r="Q622" s="30"/>
      <c r="R622" s="30"/>
    </row>
    <row r="623" ht="15.75" customHeight="1">
      <c r="A623" s="108"/>
      <c r="B623" s="108"/>
      <c r="C623" s="108"/>
      <c r="D623" s="108"/>
      <c r="E623" s="108"/>
      <c r="F623" s="30"/>
      <c r="G623" s="30"/>
      <c r="H623" s="30"/>
      <c r="I623" s="30"/>
      <c r="J623" s="30"/>
      <c r="K623" s="30"/>
      <c r="L623" s="30"/>
      <c r="M623" s="30"/>
      <c r="N623" s="30"/>
      <c r="O623" s="30"/>
      <c r="P623" s="108"/>
      <c r="Q623" s="30"/>
      <c r="R623" s="30"/>
    </row>
    <row r="624" ht="15.75" customHeight="1">
      <c r="A624" s="108"/>
      <c r="B624" s="108"/>
      <c r="C624" s="108"/>
      <c r="D624" s="108"/>
      <c r="E624" s="108"/>
      <c r="F624" s="30"/>
      <c r="G624" s="30"/>
      <c r="H624" s="30"/>
      <c r="I624" s="30"/>
      <c r="J624" s="30"/>
      <c r="K624" s="30"/>
      <c r="L624" s="30"/>
      <c r="M624" s="30"/>
      <c r="N624" s="30"/>
      <c r="O624" s="30"/>
      <c r="P624" s="108"/>
      <c r="Q624" s="30"/>
      <c r="R624" s="30"/>
    </row>
    <row r="625" ht="15.75" customHeight="1">
      <c r="A625" s="108"/>
      <c r="B625" s="108"/>
      <c r="C625" s="108"/>
      <c r="D625" s="108"/>
      <c r="E625" s="108"/>
      <c r="F625" s="30"/>
      <c r="G625" s="30"/>
      <c r="H625" s="30"/>
      <c r="I625" s="30"/>
      <c r="J625" s="30"/>
      <c r="K625" s="30"/>
      <c r="L625" s="30"/>
      <c r="M625" s="30"/>
      <c r="N625" s="30"/>
      <c r="O625" s="30"/>
      <c r="P625" s="108"/>
      <c r="Q625" s="30"/>
      <c r="R625" s="30"/>
    </row>
    <row r="626" ht="15.75" customHeight="1">
      <c r="A626" s="108"/>
      <c r="B626" s="108"/>
      <c r="C626" s="108"/>
      <c r="D626" s="108"/>
      <c r="E626" s="108"/>
      <c r="F626" s="30"/>
      <c r="G626" s="30"/>
      <c r="H626" s="30"/>
      <c r="I626" s="30"/>
      <c r="J626" s="30"/>
      <c r="K626" s="30"/>
      <c r="L626" s="30"/>
      <c r="M626" s="30"/>
      <c r="N626" s="30"/>
      <c r="O626" s="30"/>
      <c r="P626" s="108"/>
      <c r="Q626" s="30"/>
      <c r="R626" s="30"/>
    </row>
    <row r="627" ht="15.75" customHeight="1">
      <c r="A627" s="108"/>
      <c r="B627" s="108"/>
      <c r="C627" s="108"/>
      <c r="D627" s="108"/>
      <c r="E627" s="108"/>
      <c r="F627" s="30"/>
      <c r="G627" s="30"/>
      <c r="H627" s="30"/>
      <c r="I627" s="30"/>
      <c r="J627" s="30"/>
      <c r="K627" s="30"/>
      <c r="L627" s="30"/>
      <c r="M627" s="30"/>
      <c r="N627" s="30"/>
      <c r="O627" s="30"/>
      <c r="P627" s="108"/>
      <c r="Q627" s="30"/>
      <c r="R627" s="30"/>
    </row>
    <row r="628" ht="15.75" customHeight="1">
      <c r="A628" s="108"/>
      <c r="B628" s="108"/>
      <c r="C628" s="108"/>
      <c r="D628" s="108"/>
      <c r="E628" s="108"/>
      <c r="F628" s="30"/>
      <c r="G628" s="30"/>
      <c r="H628" s="30"/>
      <c r="I628" s="30"/>
      <c r="J628" s="30"/>
      <c r="K628" s="30"/>
      <c r="L628" s="30"/>
      <c r="M628" s="30"/>
      <c r="N628" s="30"/>
      <c r="O628" s="30"/>
      <c r="P628" s="108"/>
      <c r="Q628" s="30"/>
      <c r="R628" s="30"/>
    </row>
    <row r="629" ht="15.75" customHeight="1">
      <c r="A629" s="108"/>
      <c r="B629" s="108"/>
      <c r="C629" s="108"/>
      <c r="D629" s="108"/>
      <c r="E629" s="108"/>
      <c r="F629" s="30"/>
      <c r="G629" s="30"/>
      <c r="H629" s="30"/>
      <c r="I629" s="30"/>
      <c r="J629" s="30"/>
      <c r="K629" s="30"/>
      <c r="L629" s="30"/>
      <c r="M629" s="30"/>
      <c r="N629" s="30"/>
      <c r="O629" s="30"/>
      <c r="P629" s="108"/>
      <c r="Q629" s="30"/>
      <c r="R629" s="30"/>
    </row>
    <row r="630" ht="15.75" customHeight="1">
      <c r="A630" s="108"/>
      <c r="B630" s="108"/>
      <c r="C630" s="108"/>
      <c r="D630" s="108"/>
      <c r="E630" s="108"/>
      <c r="F630" s="30"/>
      <c r="G630" s="30"/>
      <c r="H630" s="30"/>
      <c r="I630" s="30"/>
      <c r="J630" s="30"/>
      <c r="K630" s="30"/>
      <c r="L630" s="30"/>
      <c r="M630" s="30"/>
      <c r="N630" s="30"/>
      <c r="O630" s="30"/>
      <c r="P630" s="108"/>
      <c r="Q630" s="30"/>
      <c r="R630" s="30"/>
    </row>
    <row r="631" ht="15.75" customHeight="1">
      <c r="A631" s="108"/>
      <c r="B631" s="108"/>
      <c r="C631" s="108"/>
      <c r="D631" s="108"/>
      <c r="E631" s="108"/>
      <c r="F631" s="30"/>
      <c r="G631" s="30"/>
      <c r="H631" s="30"/>
      <c r="I631" s="30"/>
      <c r="J631" s="30"/>
      <c r="K631" s="30"/>
      <c r="L631" s="30"/>
      <c r="M631" s="30"/>
      <c r="N631" s="30"/>
      <c r="O631" s="30"/>
      <c r="P631" s="108"/>
      <c r="Q631" s="30"/>
      <c r="R631" s="30"/>
    </row>
    <row r="632" ht="15.75" customHeight="1">
      <c r="A632" s="108"/>
      <c r="B632" s="108"/>
      <c r="C632" s="108"/>
      <c r="D632" s="108"/>
      <c r="E632" s="108"/>
      <c r="F632" s="30"/>
      <c r="G632" s="30"/>
      <c r="H632" s="30"/>
      <c r="I632" s="30"/>
      <c r="J632" s="30"/>
      <c r="K632" s="30"/>
      <c r="L632" s="30"/>
      <c r="M632" s="30"/>
      <c r="N632" s="30"/>
      <c r="O632" s="30"/>
      <c r="P632" s="108"/>
      <c r="Q632" s="30"/>
      <c r="R632" s="30"/>
    </row>
    <row r="633" ht="15.75" customHeight="1">
      <c r="A633" s="108"/>
      <c r="B633" s="108"/>
      <c r="C633" s="108"/>
      <c r="D633" s="108"/>
      <c r="E633" s="108"/>
      <c r="F633" s="30"/>
      <c r="G633" s="30"/>
      <c r="H633" s="30"/>
      <c r="I633" s="30"/>
      <c r="J633" s="30"/>
      <c r="K633" s="30"/>
      <c r="L633" s="30"/>
      <c r="M633" s="30"/>
      <c r="N633" s="30"/>
      <c r="O633" s="30"/>
      <c r="P633" s="108"/>
      <c r="Q633" s="30"/>
      <c r="R633" s="30"/>
    </row>
    <row r="634" ht="15.75" customHeight="1">
      <c r="A634" s="108"/>
      <c r="B634" s="108"/>
      <c r="C634" s="108"/>
      <c r="D634" s="108"/>
      <c r="E634" s="108"/>
      <c r="F634" s="30"/>
      <c r="G634" s="30"/>
      <c r="H634" s="30"/>
      <c r="I634" s="30"/>
      <c r="J634" s="30"/>
      <c r="K634" s="30"/>
      <c r="L634" s="30"/>
      <c r="M634" s="30"/>
      <c r="N634" s="30"/>
      <c r="O634" s="30"/>
      <c r="P634" s="108"/>
      <c r="Q634" s="30"/>
      <c r="R634" s="30"/>
    </row>
    <row r="635" ht="15.75" customHeight="1">
      <c r="A635" s="108"/>
      <c r="B635" s="108"/>
      <c r="C635" s="108"/>
      <c r="D635" s="108"/>
      <c r="E635" s="108"/>
      <c r="F635" s="30"/>
      <c r="G635" s="30"/>
      <c r="H635" s="30"/>
      <c r="I635" s="30"/>
      <c r="J635" s="30"/>
      <c r="K635" s="30"/>
      <c r="L635" s="30"/>
      <c r="M635" s="30"/>
      <c r="N635" s="30"/>
      <c r="O635" s="30"/>
      <c r="P635" s="108"/>
      <c r="Q635" s="30"/>
      <c r="R635" s="30"/>
    </row>
    <row r="636" ht="15.75" customHeight="1">
      <c r="A636" s="108"/>
      <c r="B636" s="108"/>
      <c r="C636" s="108"/>
      <c r="D636" s="108"/>
      <c r="E636" s="108"/>
      <c r="F636" s="30"/>
      <c r="G636" s="30"/>
      <c r="H636" s="30"/>
      <c r="I636" s="30"/>
      <c r="J636" s="30"/>
      <c r="K636" s="30"/>
      <c r="L636" s="30"/>
      <c r="M636" s="30"/>
      <c r="N636" s="30"/>
      <c r="O636" s="30"/>
      <c r="P636" s="108"/>
      <c r="Q636" s="30"/>
      <c r="R636" s="30"/>
    </row>
    <row r="637" ht="15.75" customHeight="1">
      <c r="A637" s="108"/>
      <c r="B637" s="108"/>
      <c r="C637" s="108"/>
      <c r="D637" s="108"/>
      <c r="E637" s="108"/>
      <c r="F637" s="30"/>
      <c r="G637" s="30"/>
      <c r="H637" s="30"/>
      <c r="I637" s="30"/>
      <c r="J637" s="30"/>
      <c r="K637" s="30"/>
      <c r="L637" s="30"/>
      <c r="M637" s="30"/>
      <c r="N637" s="30"/>
      <c r="O637" s="30"/>
      <c r="P637" s="108"/>
      <c r="Q637" s="30"/>
      <c r="R637" s="30"/>
    </row>
    <row r="638" ht="15.75" customHeight="1">
      <c r="A638" s="108"/>
      <c r="B638" s="108"/>
      <c r="C638" s="108"/>
      <c r="D638" s="108"/>
      <c r="E638" s="108"/>
      <c r="F638" s="30"/>
      <c r="G638" s="30"/>
      <c r="H638" s="30"/>
      <c r="I638" s="30"/>
      <c r="J638" s="30"/>
      <c r="K638" s="30"/>
      <c r="L638" s="30"/>
      <c r="M638" s="30"/>
      <c r="N638" s="30"/>
      <c r="O638" s="30"/>
      <c r="P638" s="108"/>
      <c r="Q638" s="30"/>
      <c r="R638" s="30"/>
    </row>
    <row r="639" ht="15.75" customHeight="1">
      <c r="A639" s="108"/>
      <c r="B639" s="108"/>
      <c r="C639" s="108"/>
      <c r="D639" s="108"/>
      <c r="E639" s="108"/>
      <c r="F639" s="30"/>
      <c r="G639" s="30"/>
      <c r="H639" s="30"/>
      <c r="I639" s="30"/>
      <c r="J639" s="30"/>
      <c r="K639" s="30"/>
      <c r="L639" s="30"/>
      <c r="M639" s="30"/>
      <c r="N639" s="30"/>
      <c r="O639" s="30"/>
      <c r="P639" s="108"/>
      <c r="Q639" s="30"/>
      <c r="R639" s="30"/>
    </row>
    <row r="640" ht="15.75" customHeight="1">
      <c r="A640" s="108"/>
      <c r="B640" s="108"/>
      <c r="C640" s="108"/>
      <c r="D640" s="108"/>
      <c r="E640" s="108"/>
      <c r="F640" s="30"/>
      <c r="G640" s="30"/>
      <c r="H640" s="30"/>
      <c r="I640" s="30"/>
      <c r="J640" s="30"/>
      <c r="K640" s="30"/>
      <c r="L640" s="30"/>
      <c r="M640" s="30"/>
      <c r="N640" s="30"/>
      <c r="O640" s="30"/>
      <c r="P640" s="108"/>
      <c r="Q640" s="30"/>
      <c r="R640" s="30"/>
    </row>
    <row r="641" ht="15.75" customHeight="1">
      <c r="A641" s="108"/>
      <c r="B641" s="108"/>
      <c r="C641" s="108"/>
      <c r="D641" s="108"/>
      <c r="E641" s="108"/>
      <c r="F641" s="30"/>
      <c r="G641" s="30"/>
      <c r="H641" s="30"/>
      <c r="I641" s="30"/>
      <c r="J641" s="30"/>
      <c r="K641" s="30"/>
      <c r="L641" s="30"/>
      <c r="M641" s="30"/>
      <c r="N641" s="30"/>
      <c r="O641" s="30"/>
      <c r="P641" s="108"/>
      <c r="Q641" s="30"/>
      <c r="R641" s="30"/>
    </row>
    <row r="642" ht="15.75" customHeight="1">
      <c r="A642" s="108"/>
      <c r="B642" s="108"/>
      <c r="C642" s="108"/>
      <c r="D642" s="108"/>
      <c r="E642" s="108"/>
      <c r="F642" s="30"/>
      <c r="G642" s="30"/>
      <c r="H642" s="30"/>
      <c r="I642" s="30"/>
      <c r="J642" s="30"/>
      <c r="K642" s="30"/>
      <c r="L642" s="30"/>
      <c r="M642" s="30"/>
      <c r="N642" s="30"/>
      <c r="O642" s="30"/>
      <c r="P642" s="108"/>
      <c r="Q642" s="30"/>
      <c r="R642" s="30"/>
    </row>
    <row r="643" ht="15.75" customHeight="1">
      <c r="A643" s="108"/>
      <c r="B643" s="108"/>
      <c r="C643" s="108"/>
      <c r="D643" s="108"/>
      <c r="E643" s="108"/>
      <c r="F643" s="30"/>
      <c r="G643" s="30"/>
      <c r="H643" s="30"/>
      <c r="I643" s="30"/>
      <c r="J643" s="30"/>
      <c r="K643" s="30"/>
      <c r="L643" s="30"/>
      <c r="M643" s="30"/>
      <c r="N643" s="30"/>
      <c r="O643" s="30"/>
      <c r="P643" s="108"/>
      <c r="Q643" s="30"/>
      <c r="R643" s="30"/>
    </row>
    <row r="644" ht="15.75" customHeight="1">
      <c r="A644" s="108"/>
      <c r="B644" s="108"/>
      <c r="C644" s="108"/>
      <c r="D644" s="108"/>
      <c r="E644" s="108"/>
      <c r="F644" s="30"/>
      <c r="G644" s="30"/>
      <c r="H644" s="30"/>
      <c r="I644" s="30"/>
      <c r="J644" s="30"/>
      <c r="K644" s="30"/>
      <c r="L644" s="30"/>
      <c r="M644" s="30"/>
      <c r="N644" s="30"/>
      <c r="O644" s="30"/>
      <c r="P644" s="108"/>
      <c r="Q644" s="30"/>
      <c r="R644" s="30"/>
    </row>
    <row r="645" ht="15.75" customHeight="1">
      <c r="A645" s="108"/>
      <c r="B645" s="108"/>
      <c r="C645" s="108"/>
      <c r="D645" s="108"/>
      <c r="E645" s="108"/>
      <c r="F645" s="30"/>
      <c r="G645" s="30"/>
      <c r="H645" s="30"/>
      <c r="I645" s="30"/>
      <c r="J645" s="30"/>
      <c r="K645" s="30"/>
      <c r="L645" s="30"/>
      <c r="M645" s="30"/>
      <c r="N645" s="30"/>
      <c r="O645" s="30"/>
      <c r="P645" s="108"/>
      <c r="Q645" s="30"/>
      <c r="R645" s="30"/>
    </row>
    <row r="646" ht="15.75" customHeight="1">
      <c r="A646" s="108"/>
      <c r="B646" s="108"/>
      <c r="C646" s="108"/>
      <c r="D646" s="108"/>
      <c r="E646" s="108"/>
      <c r="F646" s="30"/>
      <c r="G646" s="30"/>
      <c r="H646" s="30"/>
      <c r="I646" s="30"/>
      <c r="J646" s="30"/>
      <c r="K646" s="30"/>
      <c r="L646" s="30"/>
      <c r="M646" s="30"/>
      <c r="N646" s="30"/>
      <c r="O646" s="30"/>
      <c r="P646" s="108"/>
      <c r="Q646" s="30"/>
      <c r="R646" s="30"/>
    </row>
    <row r="647" ht="15.75" customHeight="1">
      <c r="A647" s="108"/>
      <c r="B647" s="108"/>
      <c r="C647" s="108"/>
      <c r="D647" s="108"/>
      <c r="E647" s="108"/>
      <c r="F647" s="30"/>
      <c r="G647" s="30"/>
      <c r="H647" s="30"/>
      <c r="I647" s="30"/>
      <c r="J647" s="30"/>
      <c r="K647" s="30"/>
      <c r="L647" s="30"/>
      <c r="M647" s="30"/>
      <c r="N647" s="30"/>
      <c r="O647" s="30"/>
      <c r="P647" s="108"/>
      <c r="Q647" s="30"/>
      <c r="R647" s="30"/>
    </row>
    <row r="648" ht="15.75" customHeight="1">
      <c r="A648" s="108"/>
      <c r="B648" s="108"/>
      <c r="C648" s="108"/>
      <c r="D648" s="108"/>
      <c r="E648" s="108"/>
      <c r="F648" s="30"/>
      <c r="G648" s="30"/>
      <c r="H648" s="30"/>
      <c r="I648" s="30"/>
      <c r="J648" s="30"/>
      <c r="K648" s="30"/>
      <c r="L648" s="30"/>
      <c r="M648" s="30"/>
      <c r="N648" s="30"/>
      <c r="O648" s="30"/>
      <c r="P648" s="108"/>
      <c r="Q648" s="30"/>
      <c r="R648" s="30"/>
    </row>
    <row r="649" ht="15.75" customHeight="1">
      <c r="A649" s="108"/>
      <c r="B649" s="108"/>
      <c r="C649" s="108"/>
      <c r="D649" s="108"/>
      <c r="E649" s="108"/>
      <c r="F649" s="30"/>
      <c r="G649" s="30"/>
      <c r="H649" s="30"/>
      <c r="I649" s="30"/>
      <c r="J649" s="30"/>
      <c r="K649" s="30"/>
      <c r="L649" s="30"/>
      <c r="M649" s="30"/>
      <c r="N649" s="30"/>
      <c r="O649" s="30"/>
      <c r="P649" s="108"/>
      <c r="Q649" s="30"/>
      <c r="R649" s="30"/>
    </row>
    <row r="650" ht="15.75" customHeight="1">
      <c r="A650" s="108"/>
      <c r="B650" s="108"/>
      <c r="C650" s="108"/>
      <c r="D650" s="108"/>
      <c r="E650" s="108"/>
      <c r="F650" s="30"/>
      <c r="G650" s="30"/>
      <c r="H650" s="30"/>
      <c r="I650" s="30"/>
      <c r="J650" s="30"/>
      <c r="K650" s="30"/>
      <c r="L650" s="30"/>
      <c r="M650" s="30"/>
      <c r="N650" s="30"/>
      <c r="O650" s="30"/>
      <c r="P650" s="108"/>
      <c r="Q650" s="30"/>
      <c r="R650" s="30"/>
    </row>
    <row r="651" ht="15.75" customHeight="1">
      <c r="A651" s="108"/>
      <c r="B651" s="108"/>
      <c r="C651" s="108"/>
      <c r="D651" s="108"/>
      <c r="E651" s="108"/>
      <c r="F651" s="30"/>
      <c r="G651" s="30"/>
      <c r="H651" s="30"/>
      <c r="I651" s="30"/>
      <c r="J651" s="30"/>
      <c r="K651" s="30"/>
      <c r="L651" s="30"/>
      <c r="M651" s="30"/>
      <c r="N651" s="30"/>
      <c r="O651" s="30"/>
      <c r="P651" s="108"/>
      <c r="Q651" s="30"/>
      <c r="R651" s="30"/>
    </row>
    <row r="652" ht="15.75" customHeight="1">
      <c r="A652" s="108"/>
      <c r="B652" s="108"/>
      <c r="C652" s="108"/>
      <c r="D652" s="108"/>
      <c r="E652" s="108"/>
      <c r="F652" s="30"/>
      <c r="G652" s="30"/>
      <c r="H652" s="30"/>
      <c r="I652" s="30"/>
      <c r="J652" s="30"/>
      <c r="K652" s="30"/>
      <c r="L652" s="30"/>
      <c r="M652" s="30"/>
      <c r="N652" s="30"/>
      <c r="O652" s="30"/>
      <c r="P652" s="108"/>
      <c r="Q652" s="30"/>
      <c r="R652" s="30"/>
    </row>
    <row r="653" ht="15.75" customHeight="1">
      <c r="A653" s="108"/>
      <c r="B653" s="108"/>
      <c r="C653" s="108"/>
      <c r="D653" s="108"/>
      <c r="E653" s="108"/>
      <c r="F653" s="30"/>
      <c r="G653" s="30"/>
      <c r="H653" s="30"/>
      <c r="I653" s="30"/>
      <c r="J653" s="30"/>
      <c r="K653" s="30"/>
      <c r="L653" s="30"/>
      <c r="M653" s="30"/>
      <c r="N653" s="30"/>
      <c r="O653" s="30"/>
      <c r="P653" s="108"/>
      <c r="Q653" s="30"/>
      <c r="R653" s="30"/>
    </row>
    <row r="654" ht="15.75" customHeight="1">
      <c r="A654" s="108"/>
      <c r="B654" s="108"/>
      <c r="C654" s="108"/>
      <c r="D654" s="108"/>
      <c r="E654" s="108"/>
      <c r="F654" s="30"/>
      <c r="G654" s="30"/>
      <c r="H654" s="30"/>
      <c r="I654" s="30"/>
      <c r="J654" s="30"/>
      <c r="K654" s="30"/>
      <c r="L654" s="30"/>
      <c r="M654" s="30"/>
      <c r="N654" s="30"/>
      <c r="O654" s="30"/>
      <c r="P654" s="108"/>
      <c r="Q654" s="30"/>
      <c r="R654" s="30"/>
    </row>
    <row r="655" ht="15.75" customHeight="1">
      <c r="A655" s="108"/>
      <c r="B655" s="108"/>
      <c r="C655" s="108"/>
      <c r="D655" s="108"/>
      <c r="E655" s="108"/>
      <c r="F655" s="30"/>
      <c r="G655" s="30"/>
      <c r="H655" s="30"/>
      <c r="I655" s="30"/>
      <c r="J655" s="30"/>
      <c r="K655" s="30"/>
      <c r="L655" s="30"/>
      <c r="M655" s="30"/>
      <c r="N655" s="30"/>
      <c r="O655" s="30"/>
      <c r="P655" s="108"/>
      <c r="Q655" s="30"/>
      <c r="R655" s="30"/>
    </row>
    <row r="656" ht="15.75" customHeight="1">
      <c r="A656" s="108"/>
      <c r="B656" s="108"/>
      <c r="C656" s="108"/>
      <c r="D656" s="108"/>
      <c r="E656" s="108"/>
      <c r="F656" s="30"/>
      <c r="G656" s="30"/>
      <c r="H656" s="30"/>
      <c r="I656" s="30"/>
      <c r="J656" s="30"/>
      <c r="K656" s="30"/>
      <c r="L656" s="30"/>
      <c r="M656" s="30"/>
      <c r="N656" s="30"/>
      <c r="O656" s="30"/>
      <c r="P656" s="108"/>
      <c r="Q656" s="30"/>
      <c r="R656" s="30"/>
    </row>
    <row r="657" ht="15.75" customHeight="1">
      <c r="A657" s="108"/>
      <c r="B657" s="108"/>
      <c r="C657" s="108"/>
      <c r="D657" s="108"/>
      <c r="E657" s="108"/>
      <c r="F657" s="30"/>
      <c r="G657" s="30"/>
      <c r="H657" s="30"/>
      <c r="I657" s="30"/>
      <c r="J657" s="30"/>
      <c r="K657" s="30"/>
      <c r="L657" s="30"/>
      <c r="M657" s="30"/>
      <c r="N657" s="30"/>
      <c r="O657" s="30"/>
      <c r="P657" s="108"/>
      <c r="Q657" s="30"/>
      <c r="R657" s="30"/>
    </row>
    <row r="658" ht="15.75" customHeight="1">
      <c r="A658" s="108"/>
      <c r="B658" s="108"/>
      <c r="C658" s="108"/>
      <c r="D658" s="108"/>
      <c r="E658" s="108"/>
      <c r="F658" s="30"/>
      <c r="G658" s="30"/>
      <c r="H658" s="30"/>
      <c r="I658" s="30"/>
      <c r="J658" s="30"/>
      <c r="K658" s="30"/>
      <c r="L658" s="30"/>
      <c r="M658" s="30"/>
      <c r="N658" s="30"/>
      <c r="O658" s="30"/>
      <c r="P658" s="108"/>
      <c r="Q658" s="30"/>
      <c r="R658" s="30"/>
    </row>
    <row r="659" ht="15.75" customHeight="1">
      <c r="A659" s="108"/>
      <c r="B659" s="108"/>
      <c r="C659" s="108"/>
      <c r="D659" s="108"/>
      <c r="E659" s="108"/>
      <c r="F659" s="30"/>
      <c r="G659" s="30"/>
      <c r="H659" s="30"/>
      <c r="I659" s="30"/>
      <c r="J659" s="30"/>
      <c r="K659" s="30"/>
      <c r="L659" s="30"/>
      <c r="M659" s="30"/>
      <c r="N659" s="30"/>
      <c r="O659" s="30"/>
      <c r="P659" s="108"/>
      <c r="Q659" s="30"/>
      <c r="R659" s="30"/>
    </row>
    <row r="660" ht="15.75" customHeight="1">
      <c r="A660" s="108"/>
      <c r="B660" s="108"/>
      <c r="C660" s="108"/>
      <c r="D660" s="108"/>
      <c r="E660" s="108"/>
      <c r="F660" s="30"/>
      <c r="G660" s="30"/>
      <c r="H660" s="30"/>
      <c r="I660" s="30"/>
      <c r="J660" s="30"/>
      <c r="K660" s="30"/>
      <c r="L660" s="30"/>
      <c r="M660" s="30"/>
      <c r="N660" s="30"/>
      <c r="O660" s="30"/>
      <c r="P660" s="108"/>
      <c r="Q660" s="30"/>
      <c r="R660" s="30"/>
    </row>
    <row r="661" ht="15.75" customHeight="1">
      <c r="A661" s="108"/>
      <c r="B661" s="108"/>
      <c r="C661" s="108"/>
      <c r="D661" s="108"/>
      <c r="E661" s="108"/>
      <c r="F661" s="30"/>
      <c r="G661" s="30"/>
      <c r="H661" s="30"/>
      <c r="I661" s="30"/>
      <c r="J661" s="30"/>
      <c r="K661" s="30"/>
      <c r="L661" s="30"/>
      <c r="M661" s="30"/>
      <c r="N661" s="30"/>
      <c r="O661" s="30"/>
      <c r="P661" s="108"/>
      <c r="Q661" s="30"/>
      <c r="R661" s="30"/>
    </row>
    <row r="662" ht="15.75" customHeight="1">
      <c r="A662" s="108"/>
      <c r="B662" s="108"/>
      <c r="C662" s="108"/>
      <c r="D662" s="108"/>
      <c r="E662" s="108"/>
      <c r="F662" s="30"/>
      <c r="G662" s="30"/>
      <c r="H662" s="30"/>
      <c r="I662" s="30"/>
      <c r="J662" s="30"/>
      <c r="K662" s="30"/>
      <c r="L662" s="30"/>
      <c r="M662" s="30"/>
      <c r="N662" s="30"/>
      <c r="O662" s="30"/>
      <c r="P662" s="108"/>
      <c r="Q662" s="30"/>
      <c r="R662" s="30"/>
    </row>
    <row r="663" ht="15.75" customHeight="1">
      <c r="A663" s="108"/>
      <c r="B663" s="108"/>
      <c r="C663" s="108"/>
      <c r="D663" s="108"/>
      <c r="E663" s="108"/>
      <c r="F663" s="30"/>
      <c r="G663" s="30"/>
      <c r="H663" s="30"/>
      <c r="I663" s="30"/>
      <c r="J663" s="30"/>
      <c r="K663" s="30"/>
      <c r="L663" s="30"/>
      <c r="M663" s="30"/>
      <c r="N663" s="30"/>
      <c r="O663" s="30"/>
      <c r="P663" s="108"/>
      <c r="Q663" s="30"/>
      <c r="R663" s="30"/>
    </row>
    <row r="664" ht="15.75" customHeight="1">
      <c r="A664" s="108"/>
      <c r="B664" s="108"/>
      <c r="C664" s="108"/>
      <c r="D664" s="108"/>
      <c r="E664" s="108"/>
      <c r="F664" s="30"/>
      <c r="G664" s="30"/>
      <c r="H664" s="30"/>
      <c r="I664" s="30"/>
      <c r="J664" s="30"/>
      <c r="K664" s="30"/>
      <c r="L664" s="30"/>
      <c r="M664" s="30"/>
      <c r="N664" s="30"/>
      <c r="O664" s="30"/>
      <c r="P664" s="108"/>
      <c r="Q664" s="30"/>
      <c r="R664" s="30"/>
    </row>
    <row r="665" ht="15.75" customHeight="1">
      <c r="A665" s="108"/>
      <c r="B665" s="108"/>
      <c r="C665" s="108"/>
      <c r="D665" s="108"/>
      <c r="E665" s="108"/>
      <c r="F665" s="30"/>
      <c r="G665" s="30"/>
      <c r="H665" s="30"/>
      <c r="I665" s="30"/>
      <c r="J665" s="30"/>
      <c r="K665" s="30"/>
      <c r="L665" s="30"/>
      <c r="M665" s="30"/>
      <c r="N665" s="30"/>
      <c r="O665" s="30"/>
      <c r="P665" s="108"/>
      <c r="Q665" s="30"/>
      <c r="R665" s="30"/>
    </row>
    <row r="666" ht="15.75" customHeight="1">
      <c r="A666" s="108"/>
      <c r="B666" s="108"/>
      <c r="C666" s="108"/>
      <c r="D666" s="108"/>
      <c r="E666" s="108"/>
      <c r="F666" s="30"/>
      <c r="G666" s="30"/>
      <c r="H666" s="30"/>
      <c r="I666" s="30"/>
      <c r="J666" s="30"/>
      <c r="K666" s="30"/>
      <c r="L666" s="30"/>
      <c r="M666" s="30"/>
      <c r="N666" s="30"/>
      <c r="O666" s="30"/>
      <c r="P666" s="108"/>
      <c r="Q666" s="30"/>
      <c r="R666" s="30"/>
    </row>
    <row r="667" ht="15.75" customHeight="1">
      <c r="A667" s="108"/>
      <c r="B667" s="108"/>
      <c r="C667" s="108"/>
      <c r="D667" s="108"/>
      <c r="E667" s="108"/>
      <c r="F667" s="30"/>
      <c r="G667" s="30"/>
      <c r="H667" s="30"/>
      <c r="I667" s="30"/>
      <c r="J667" s="30"/>
      <c r="K667" s="30"/>
      <c r="L667" s="30"/>
      <c r="M667" s="30"/>
      <c r="N667" s="30"/>
      <c r="O667" s="30"/>
      <c r="P667" s="108"/>
      <c r="Q667" s="30"/>
      <c r="R667" s="30"/>
    </row>
    <row r="668" ht="15.75" customHeight="1">
      <c r="A668" s="108"/>
      <c r="B668" s="108"/>
      <c r="C668" s="108"/>
      <c r="D668" s="108"/>
      <c r="E668" s="108"/>
      <c r="F668" s="30"/>
      <c r="G668" s="30"/>
      <c r="H668" s="30"/>
      <c r="I668" s="30"/>
      <c r="J668" s="30"/>
      <c r="K668" s="30"/>
      <c r="L668" s="30"/>
      <c r="M668" s="30"/>
      <c r="N668" s="30"/>
      <c r="O668" s="30"/>
      <c r="P668" s="108"/>
      <c r="Q668" s="30"/>
      <c r="R668" s="30"/>
    </row>
    <row r="669" ht="15.75" customHeight="1">
      <c r="A669" s="108"/>
      <c r="B669" s="108"/>
      <c r="C669" s="108"/>
      <c r="D669" s="108"/>
      <c r="E669" s="108"/>
      <c r="F669" s="30"/>
      <c r="G669" s="30"/>
      <c r="H669" s="30"/>
      <c r="I669" s="30"/>
      <c r="J669" s="30"/>
      <c r="K669" s="30"/>
      <c r="L669" s="30"/>
      <c r="M669" s="30"/>
      <c r="N669" s="30"/>
      <c r="O669" s="30"/>
      <c r="P669" s="108"/>
      <c r="Q669" s="30"/>
      <c r="R669" s="30"/>
    </row>
    <row r="670" ht="15.75" customHeight="1">
      <c r="A670" s="108"/>
      <c r="B670" s="108"/>
      <c r="C670" s="108"/>
      <c r="D670" s="108"/>
      <c r="E670" s="108"/>
      <c r="F670" s="30"/>
      <c r="G670" s="30"/>
      <c r="H670" s="30"/>
      <c r="I670" s="30"/>
      <c r="J670" s="30"/>
      <c r="K670" s="30"/>
      <c r="L670" s="30"/>
      <c r="M670" s="30"/>
      <c r="N670" s="30"/>
      <c r="O670" s="30"/>
      <c r="P670" s="108"/>
      <c r="Q670" s="30"/>
      <c r="R670" s="30"/>
    </row>
    <row r="671" ht="15.75" customHeight="1">
      <c r="A671" s="108"/>
      <c r="B671" s="108"/>
      <c r="C671" s="108"/>
      <c r="D671" s="108"/>
      <c r="E671" s="108"/>
      <c r="F671" s="30"/>
      <c r="G671" s="30"/>
      <c r="H671" s="30"/>
      <c r="I671" s="30"/>
      <c r="J671" s="30"/>
      <c r="K671" s="30"/>
      <c r="L671" s="30"/>
      <c r="M671" s="30"/>
      <c r="N671" s="30"/>
      <c r="O671" s="30"/>
      <c r="P671" s="108"/>
      <c r="Q671" s="30"/>
      <c r="R671" s="30"/>
    </row>
    <row r="672" ht="15.75" customHeight="1">
      <c r="A672" s="108"/>
      <c r="B672" s="108"/>
      <c r="C672" s="108"/>
      <c r="D672" s="108"/>
      <c r="E672" s="108"/>
      <c r="F672" s="30"/>
      <c r="G672" s="30"/>
      <c r="H672" s="30"/>
      <c r="I672" s="30"/>
      <c r="J672" s="30"/>
      <c r="K672" s="30"/>
      <c r="L672" s="30"/>
      <c r="M672" s="30"/>
      <c r="N672" s="30"/>
      <c r="O672" s="30"/>
      <c r="P672" s="108"/>
      <c r="Q672" s="30"/>
      <c r="R672" s="30"/>
    </row>
    <row r="673" ht="15.75" customHeight="1">
      <c r="A673" s="108"/>
      <c r="B673" s="108"/>
      <c r="C673" s="108"/>
      <c r="D673" s="108"/>
      <c r="E673" s="108"/>
      <c r="F673" s="30"/>
      <c r="G673" s="30"/>
      <c r="H673" s="30"/>
      <c r="I673" s="30"/>
      <c r="J673" s="30"/>
      <c r="K673" s="30"/>
      <c r="L673" s="30"/>
      <c r="M673" s="30"/>
      <c r="N673" s="30"/>
      <c r="O673" s="30"/>
      <c r="P673" s="108"/>
      <c r="Q673" s="30"/>
      <c r="R673" s="30"/>
    </row>
    <row r="674" ht="15.75" customHeight="1">
      <c r="A674" s="108"/>
      <c r="B674" s="108"/>
      <c r="C674" s="108"/>
      <c r="D674" s="108"/>
      <c r="E674" s="108"/>
      <c r="F674" s="30"/>
      <c r="G674" s="30"/>
      <c r="H674" s="30"/>
      <c r="I674" s="30"/>
      <c r="J674" s="30"/>
      <c r="K674" s="30"/>
      <c r="L674" s="30"/>
      <c r="M674" s="30"/>
      <c r="N674" s="30"/>
      <c r="O674" s="30"/>
      <c r="P674" s="108"/>
      <c r="Q674" s="30"/>
      <c r="R674" s="30"/>
    </row>
    <row r="675" ht="15.75" customHeight="1">
      <c r="A675" s="108"/>
      <c r="B675" s="108"/>
      <c r="C675" s="108"/>
      <c r="D675" s="108"/>
      <c r="E675" s="108"/>
      <c r="F675" s="30"/>
      <c r="G675" s="30"/>
      <c r="H675" s="30"/>
      <c r="I675" s="30"/>
      <c r="J675" s="30"/>
      <c r="K675" s="30"/>
      <c r="L675" s="30"/>
      <c r="M675" s="30"/>
      <c r="N675" s="30"/>
      <c r="O675" s="30"/>
      <c r="P675" s="108"/>
      <c r="Q675" s="30"/>
      <c r="R675" s="30"/>
    </row>
    <row r="676" ht="15.75" customHeight="1">
      <c r="A676" s="108"/>
      <c r="B676" s="108"/>
      <c r="C676" s="108"/>
      <c r="D676" s="108"/>
      <c r="E676" s="108"/>
      <c r="F676" s="30"/>
      <c r="G676" s="30"/>
      <c r="H676" s="30"/>
      <c r="I676" s="30"/>
      <c r="J676" s="30"/>
      <c r="K676" s="30"/>
      <c r="L676" s="30"/>
      <c r="M676" s="30"/>
      <c r="N676" s="30"/>
      <c r="O676" s="30"/>
      <c r="P676" s="108"/>
      <c r="Q676" s="30"/>
      <c r="R676" s="30"/>
    </row>
    <row r="677" ht="15.75" customHeight="1">
      <c r="A677" s="108"/>
      <c r="B677" s="108"/>
      <c r="C677" s="108"/>
      <c r="D677" s="108"/>
      <c r="E677" s="108"/>
      <c r="F677" s="30"/>
      <c r="G677" s="30"/>
      <c r="H677" s="30"/>
      <c r="I677" s="30"/>
      <c r="J677" s="30"/>
      <c r="K677" s="30"/>
      <c r="L677" s="30"/>
      <c r="M677" s="30"/>
      <c r="N677" s="30"/>
      <c r="O677" s="30"/>
      <c r="P677" s="108"/>
      <c r="Q677" s="30"/>
      <c r="R677" s="30"/>
    </row>
    <row r="678" ht="15.75" customHeight="1">
      <c r="A678" s="108"/>
      <c r="B678" s="108"/>
      <c r="C678" s="108"/>
      <c r="D678" s="108"/>
      <c r="E678" s="108"/>
      <c r="F678" s="30"/>
      <c r="G678" s="30"/>
      <c r="H678" s="30"/>
      <c r="I678" s="30"/>
      <c r="J678" s="30"/>
      <c r="K678" s="30"/>
      <c r="L678" s="30"/>
      <c r="M678" s="30"/>
      <c r="N678" s="30"/>
      <c r="O678" s="30"/>
      <c r="P678" s="108"/>
      <c r="Q678" s="30"/>
      <c r="R678" s="30"/>
    </row>
    <row r="679" ht="15.75" customHeight="1">
      <c r="A679" s="108"/>
      <c r="B679" s="108"/>
      <c r="C679" s="108"/>
      <c r="D679" s="108"/>
      <c r="E679" s="108"/>
      <c r="F679" s="30"/>
      <c r="G679" s="30"/>
      <c r="H679" s="30"/>
      <c r="I679" s="30"/>
      <c r="J679" s="30"/>
      <c r="K679" s="30"/>
      <c r="L679" s="30"/>
      <c r="M679" s="30"/>
      <c r="N679" s="30"/>
      <c r="O679" s="30"/>
      <c r="P679" s="108"/>
      <c r="Q679" s="30"/>
      <c r="R679" s="30"/>
    </row>
    <row r="680" ht="15.75" customHeight="1">
      <c r="A680" s="108"/>
      <c r="B680" s="108"/>
      <c r="C680" s="108"/>
      <c r="D680" s="108"/>
      <c r="E680" s="108"/>
      <c r="F680" s="30"/>
      <c r="G680" s="30"/>
      <c r="H680" s="30"/>
      <c r="I680" s="30"/>
      <c r="J680" s="30"/>
      <c r="K680" s="30"/>
      <c r="L680" s="30"/>
      <c r="M680" s="30"/>
      <c r="N680" s="30"/>
      <c r="O680" s="30"/>
      <c r="P680" s="108"/>
      <c r="Q680" s="30"/>
      <c r="R680" s="30"/>
    </row>
    <row r="681" ht="15.75" customHeight="1">
      <c r="A681" s="108"/>
      <c r="B681" s="108"/>
      <c r="C681" s="108"/>
      <c r="D681" s="108"/>
      <c r="E681" s="108"/>
      <c r="F681" s="30"/>
      <c r="G681" s="30"/>
      <c r="H681" s="30"/>
      <c r="I681" s="30"/>
      <c r="J681" s="30"/>
      <c r="K681" s="30"/>
      <c r="L681" s="30"/>
      <c r="M681" s="30"/>
      <c r="N681" s="30"/>
      <c r="O681" s="30"/>
      <c r="P681" s="108"/>
      <c r="Q681" s="30"/>
      <c r="R681" s="30"/>
    </row>
    <row r="682" ht="15.75" customHeight="1">
      <c r="A682" s="108"/>
      <c r="B682" s="108"/>
      <c r="C682" s="108"/>
      <c r="D682" s="108"/>
      <c r="E682" s="108"/>
      <c r="F682" s="30"/>
      <c r="G682" s="30"/>
      <c r="H682" s="30"/>
      <c r="I682" s="30"/>
      <c r="J682" s="30"/>
      <c r="K682" s="30"/>
      <c r="L682" s="30"/>
      <c r="M682" s="30"/>
      <c r="N682" s="30"/>
      <c r="O682" s="30"/>
      <c r="P682" s="108"/>
      <c r="Q682" s="30"/>
      <c r="R682" s="30"/>
    </row>
    <row r="683" ht="15.75" customHeight="1">
      <c r="A683" s="108"/>
      <c r="B683" s="108"/>
      <c r="C683" s="108"/>
      <c r="D683" s="108"/>
      <c r="E683" s="108"/>
      <c r="F683" s="30"/>
      <c r="G683" s="30"/>
      <c r="H683" s="30"/>
      <c r="I683" s="30"/>
      <c r="J683" s="30"/>
      <c r="K683" s="30"/>
      <c r="L683" s="30"/>
      <c r="M683" s="30"/>
      <c r="N683" s="30"/>
      <c r="O683" s="30"/>
      <c r="P683" s="108"/>
      <c r="Q683" s="30"/>
      <c r="R683" s="30"/>
    </row>
    <row r="684" ht="15.75" customHeight="1">
      <c r="A684" s="108"/>
      <c r="B684" s="108"/>
      <c r="C684" s="108"/>
      <c r="D684" s="108"/>
      <c r="E684" s="108"/>
      <c r="F684" s="30"/>
      <c r="G684" s="30"/>
      <c r="H684" s="30"/>
      <c r="I684" s="30"/>
      <c r="J684" s="30"/>
      <c r="K684" s="30"/>
      <c r="L684" s="30"/>
      <c r="M684" s="30"/>
      <c r="N684" s="30"/>
      <c r="O684" s="30"/>
      <c r="P684" s="108"/>
      <c r="Q684" s="30"/>
      <c r="R684" s="30"/>
    </row>
    <row r="685" ht="15.75" customHeight="1">
      <c r="A685" s="108"/>
      <c r="B685" s="108"/>
      <c r="C685" s="108"/>
      <c r="D685" s="108"/>
      <c r="E685" s="108"/>
      <c r="F685" s="30"/>
      <c r="G685" s="30"/>
      <c r="H685" s="30"/>
      <c r="I685" s="30"/>
      <c r="J685" s="30"/>
      <c r="K685" s="30"/>
      <c r="L685" s="30"/>
      <c r="M685" s="30"/>
      <c r="N685" s="30"/>
      <c r="O685" s="30"/>
      <c r="P685" s="108"/>
      <c r="Q685" s="30"/>
      <c r="R685" s="30"/>
    </row>
    <row r="686" ht="15.75" customHeight="1">
      <c r="A686" s="108"/>
      <c r="B686" s="108"/>
      <c r="C686" s="108"/>
      <c r="D686" s="108"/>
      <c r="E686" s="108"/>
      <c r="F686" s="30"/>
      <c r="G686" s="30"/>
      <c r="H686" s="30"/>
      <c r="I686" s="30"/>
      <c r="J686" s="30"/>
      <c r="K686" s="30"/>
      <c r="L686" s="30"/>
      <c r="M686" s="30"/>
      <c r="N686" s="30"/>
      <c r="O686" s="30"/>
      <c r="P686" s="108"/>
      <c r="Q686" s="30"/>
      <c r="R686" s="30"/>
    </row>
    <row r="687" ht="15.75" customHeight="1">
      <c r="A687" s="108"/>
      <c r="B687" s="108"/>
      <c r="C687" s="108"/>
      <c r="D687" s="108"/>
      <c r="E687" s="108"/>
      <c r="F687" s="30"/>
      <c r="G687" s="30"/>
      <c r="H687" s="30"/>
      <c r="I687" s="30"/>
      <c r="J687" s="30"/>
      <c r="K687" s="30"/>
      <c r="L687" s="30"/>
      <c r="M687" s="30"/>
      <c r="N687" s="30"/>
      <c r="O687" s="30"/>
      <c r="P687" s="108"/>
      <c r="Q687" s="30"/>
      <c r="R687" s="30"/>
    </row>
    <row r="688" ht="15.75" customHeight="1">
      <c r="A688" s="108"/>
      <c r="B688" s="108"/>
      <c r="C688" s="108"/>
      <c r="D688" s="108"/>
      <c r="E688" s="108"/>
      <c r="F688" s="30"/>
      <c r="G688" s="30"/>
      <c r="H688" s="30"/>
      <c r="I688" s="30"/>
      <c r="J688" s="30"/>
      <c r="K688" s="30"/>
      <c r="L688" s="30"/>
      <c r="M688" s="30"/>
      <c r="N688" s="30"/>
      <c r="O688" s="30"/>
      <c r="P688" s="108"/>
      <c r="Q688" s="30"/>
      <c r="R688" s="30"/>
    </row>
    <row r="689" ht="15.75" customHeight="1">
      <c r="A689" s="108"/>
      <c r="B689" s="108"/>
      <c r="C689" s="108"/>
      <c r="D689" s="108"/>
      <c r="E689" s="108"/>
      <c r="F689" s="30"/>
      <c r="G689" s="30"/>
      <c r="H689" s="30"/>
      <c r="I689" s="30"/>
      <c r="J689" s="30"/>
      <c r="K689" s="30"/>
      <c r="L689" s="30"/>
      <c r="M689" s="30"/>
      <c r="N689" s="30"/>
      <c r="O689" s="30"/>
      <c r="P689" s="108"/>
      <c r="Q689" s="30"/>
      <c r="R689" s="30"/>
    </row>
    <row r="690" ht="15.75" customHeight="1">
      <c r="A690" s="108"/>
      <c r="B690" s="108"/>
      <c r="C690" s="108"/>
      <c r="D690" s="108"/>
      <c r="E690" s="108"/>
      <c r="F690" s="30"/>
      <c r="G690" s="30"/>
      <c r="H690" s="30"/>
      <c r="I690" s="30"/>
      <c r="J690" s="30"/>
      <c r="K690" s="30"/>
      <c r="L690" s="30"/>
      <c r="M690" s="30"/>
      <c r="N690" s="30"/>
      <c r="O690" s="30"/>
      <c r="P690" s="108"/>
      <c r="Q690" s="30"/>
      <c r="R690" s="30"/>
    </row>
    <row r="691" ht="15.75" customHeight="1">
      <c r="A691" s="108"/>
      <c r="B691" s="108"/>
      <c r="C691" s="108"/>
      <c r="D691" s="108"/>
      <c r="E691" s="108"/>
      <c r="F691" s="30"/>
      <c r="G691" s="30"/>
      <c r="H691" s="30"/>
      <c r="I691" s="30"/>
      <c r="J691" s="30"/>
      <c r="K691" s="30"/>
      <c r="L691" s="30"/>
      <c r="M691" s="30"/>
      <c r="N691" s="30"/>
      <c r="O691" s="30"/>
      <c r="P691" s="108"/>
      <c r="Q691" s="30"/>
      <c r="R691" s="30"/>
    </row>
    <row r="692" ht="15.75" customHeight="1">
      <c r="A692" s="108"/>
      <c r="B692" s="108"/>
      <c r="C692" s="108"/>
      <c r="D692" s="108"/>
      <c r="E692" s="108"/>
      <c r="F692" s="30"/>
      <c r="G692" s="30"/>
      <c r="H692" s="30"/>
      <c r="I692" s="30"/>
      <c r="J692" s="30"/>
      <c r="K692" s="30"/>
      <c r="L692" s="30"/>
      <c r="M692" s="30"/>
      <c r="N692" s="30"/>
      <c r="O692" s="30"/>
      <c r="P692" s="108"/>
      <c r="Q692" s="30"/>
      <c r="R692" s="30"/>
    </row>
    <row r="693" ht="15.75" customHeight="1">
      <c r="A693" s="108"/>
      <c r="B693" s="108"/>
      <c r="C693" s="108"/>
      <c r="D693" s="108"/>
      <c r="E693" s="108"/>
      <c r="F693" s="30"/>
      <c r="G693" s="30"/>
      <c r="H693" s="30"/>
      <c r="I693" s="30"/>
      <c r="J693" s="30"/>
      <c r="K693" s="30"/>
      <c r="L693" s="30"/>
      <c r="M693" s="30"/>
      <c r="N693" s="30"/>
      <c r="O693" s="30"/>
      <c r="P693" s="108"/>
      <c r="Q693" s="30"/>
      <c r="R693" s="30"/>
    </row>
    <row r="694" ht="15.75" customHeight="1">
      <c r="A694" s="108"/>
      <c r="B694" s="108"/>
      <c r="C694" s="108"/>
      <c r="D694" s="108"/>
      <c r="E694" s="108"/>
      <c r="F694" s="30"/>
      <c r="G694" s="30"/>
      <c r="H694" s="30"/>
      <c r="I694" s="30"/>
      <c r="J694" s="30"/>
      <c r="K694" s="30"/>
      <c r="L694" s="30"/>
      <c r="M694" s="30"/>
      <c r="N694" s="30"/>
      <c r="O694" s="30"/>
      <c r="P694" s="108"/>
      <c r="Q694" s="30"/>
      <c r="R694" s="30"/>
    </row>
    <row r="695" ht="15.75" customHeight="1">
      <c r="A695" s="108"/>
      <c r="B695" s="108"/>
      <c r="C695" s="108"/>
      <c r="D695" s="108"/>
      <c r="E695" s="108"/>
      <c r="F695" s="30"/>
      <c r="G695" s="30"/>
      <c r="H695" s="30"/>
      <c r="I695" s="30"/>
      <c r="J695" s="30"/>
      <c r="K695" s="30"/>
      <c r="L695" s="30"/>
      <c r="M695" s="30"/>
      <c r="N695" s="30"/>
      <c r="O695" s="30"/>
      <c r="P695" s="108"/>
      <c r="Q695" s="30"/>
      <c r="R695" s="30"/>
    </row>
    <row r="696" ht="15.75" customHeight="1">
      <c r="A696" s="108"/>
      <c r="B696" s="108"/>
      <c r="C696" s="108"/>
      <c r="D696" s="108"/>
      <c r="E696" s="108"/>
      <c r="F696" s="30"/>
      <c r="G696" s="30"/>
      <c r="H696" s="30"/>
      <c r="I696" s="30"/>
      <c r="J696" s="30"/>
      <c r="K696" s="30"/>
      <c r="L696" s="30"/>
      <c r="M696" s="30"/>
      <c r="N696" s="30"/>
      <c r="O696" s="30"/>
      <c r="P696" s="108"/>
      <c r="Q696" s="30"/>
      <c r="R696" s="30"/>
    </row>
    <row r="697" ht="15.75" customHeight="1">
      <c r="A697" s="108"/>
      <c r="B697" s="108"/>
      <c r="C697" s="108"/>
      <c r="D697" s="108"/>
      <c r="E697" s="108"/>
      <c r="F697" s="30"/>
      <c r="G697" s="30"/>
      <c r="H697" s="30"/>
      <c r="I697" s="30"/>
      <c r="J697" s="30"/>
      <c r="K697" s="30"/>
      <c r="L697" s="30"/>
      <c r="M697" s="30"/>
      <c r="N697" s="30"/>
      <c r="O697" s="30"/>
      <c r="P697" s="108"/>
      <c r="Q697" s="30"/>
      <c r="R697" s="30"/>
    </row>
    <row r="698" ht="15.75" customHeight="1">
      <c r="A698" s="108"/>
      <c r="B698" s="108"/>
      <c r="C698" s="108"/>
      <c r="D698" s="108"/>
      <c r="E698" s="108"/>
      <c r="F698" s="30"/>
      <c r="G698" s="30"/>
      <c r="H698" s="30"/>
      <c r="I698" s="30"/>
      <c r="J698" s="30"/>
      <c r="K698" s="30"/>
      <c r="L698" s="30"/>
      <c r="M698" s="30"/>
      <c r="N698" s="30"/>
      <c r="O698" s="30"/>
      <c r="P698" s="108"/>
      <c r="Q698" s="30"/>
      <c r="R698" s="30"/>
    </row>
    <row r="699" ht="15.75" customHeight="1">
      <c r="A699" s="108"/>
      <c r="B699" s="108"/>
      <c r="C699" s="108"/>
      <c r="D699" s="108"/>
      <c r="E699" s="108"/>
      <c r="F699" s="30"/>
      <c r="G699" s="30"/>
      <c r="H699" s="30"/>
      <c r="I699" s="30"/>
      <c r="J699" s="30"/>
      <c r="K699" s="30"/>
      <c r="L699" s="30"/>
      <c r="M699" s="30"/>
      <c r="N699" s="30"/>
      <c r="O699" s="30"/>
      <c r="P699" s="108"/>
      <c r="Q699" s="30"/>
      <c r="R699" s="30"/>
    </row>
    <row r="700" ht="15.75" customHeight="1">
      <c r="A700" s="108"/>
      <c r="B700" s="108"/>
      <c r="C700" s="108"/>
      <c r="D700" s="108"/>
      <c r="E700" s="108"/>
      <c r="F700" s="30"/>
      <c r="G700" s="30"/>
      <c r="H700" s="30"/>
      <c r="I700" s="30"/>
      <c r="J700" s="30"/>
      <c r="K700" s="30"/>
      <c r="L700" s="30"/>
      <c r="M700" s="30"/>
      <c r="N700" s="30"/>
      <c r="O700" s="30"/>
      <c r="P700" s="108"/>
      <c r="Q700" s="30"/>
      <c r="R700" s="30"/>
    </row>
    <row r="701" ht="15.75" customHeight="1">
      <c r="A701" s="108"/>
      <c r="B701" s="108"/>
      <c r="C701" s="108"/>
      <c r="D701" s="108"/>
      <c r="E701" s="108"/>
      <c r="F701" s="30"/>
      <c r="G701" s="30"/>
      <c r="H701" s="30"/>
      <c r="I701" s="30"/>
      <c r="J701" s="30"/>
      <c r="K701" s="30"/>
      <c r="L701" s="30"/>
      <c r="M701" s="30"/>
      <c r="N701" s="30"/>
      <c r="O701" s="30"/>
      <c r="P701" s="108"/>
      <c r="Q701" s="30"/>
      <c r="R701" s="30"/>
    </row>
    <row r="702" ht="15.75" customHeight="1">
      <c r="A702" s="108"/>
      <c r="B702" s="108"/>
      <c r="C702" s="108"/>
      <c r="D702" s="108"/>
      <c r="E702" s="108"/>
      <c r="F702" s="30"/>
      <c r="G702" s="30"/>
      <c r="H702" s="30"/>
      <c r="I702" s="30"/>
      <c r="J702" s="30"/>
      <c r="K702" s="30"/>
      <c r="L702" s="30"/>
      <c r="M702" s="30"/>
      <c r="N702" s="30"/>
      <c r="O702" s="30"/>
      <c r="P702" s="108"/>
      <c r="Q702" s="30"/>
      <c r="R702" s="30"/>
    </row>
    <row r="703" ht="15.75" customHeight="1">
      <c r="A703" s="108"/>
      <c r="B703" s="108"/>
      <c r="C703" s="108"/>
      <c r="D703" s="108"/>
      <c r="E703" s="108"/>
      <c r="F703" s="30"/>
      <c r="G703" s="30"/>
      <c r="H703" s="30"/>
      <c r="I703" s="30"/>
      <c r="J703" s="30"/>
      <c r="K703" s="30"/>
      <c r="L703" s="30"/>
      <c r="M703" s="30"/>
      <c r="N703" s="30"/>
      <c r="O703" s="30"/>
      <c r="P703" s="108"/>
      <c r="Q703" s="30"/>
      <c r="R703" s="30"/>
    </row>
    <row r="704" ht="15.75" customHeight="1">
      <c r="A704" s="108"/>
      <c r="B704" s="108"/>
      <c r="C704" s="108"/>
      <c r="D704" s="108"/>
      <c r="E704" s="108"/>
      <c r="F704" s="30"/>
      <c r="G704" s="30"/>
      <c r="H704" s="30"/>
      <c r="I704" s="30"/>
      <c r="J704" s="30"/>
      <c r="K704" s="30"/>
      <c r="L704" s="30"/>
      <c r="M704" s="30"/>
      <c r="N704" s="30"/>
      <c r="O704" s="30"/>
      <c r="P704" s="108"/>
      <c r="Q704" s="30"/>
      <c r="R704" s="30"/>
    </row>
    <row r="705" ht="15.75" customHeight="1">
      <c r="A705" s="108"/>
      <c r="B705" s="108"/>
      <c r="C705" s="108"/>
      <c r="D705" s="108"/>
      <c r="E705" s="108"/>
      <c r="F705" s="30"/>
      <c r="G705" s="30"/>
      <c r="H705" s="30"/>
      <c r="I705" s="30"/>
      <c r="J705" s="30"/>
      <c r="K705" s="30"/>
      <c r="L705" s="30"/>
      <c r="M705" s="30"/>
      <c r="N705" s="30"/>
      <c r="O705" s="30"/>
      <c r="P705" s="108"/>
      <c r="Q705" s="30"/>
      <c r="R705" s="30"/>
    </row>
    <row r="706" ht="15.75" customHeight="1">
      <c r="A706" s="108"/>
      <c r="B706" s="108"/>
      <c r="C706" s="108"/>
      <c r="D706" s="108"/>
      <c r="E706" s="108"/>
      <c r="F706" s="30"/>
      <c r="G706" s="30"/>
      <c r="H706" s="30"/>
      <c r="I706" s="30"/>
      <c r="J706" s="30"/>
      <c r="K706" s="30"/>
      <c r="L706" s="30"/>
      <c r="M706" s="30"/>
      <c r="N706" s="30"/>
      <c r="O706" s="30"/>
      <c r="P706" s="108"/>
      <c r="Q706" s="30"/>
      <c r="R706" s="30"/>
    </row>
    <row r="707" ht="15.75" customHeight="1">
      <c r="A707" s="108"/>
      <c r="B707" s="108"/>
      <c r="C707" s="108"/>
      <c r="D707" s="108"/>
      <c r="E707" s="108"/>
      <c r="F707" s="30"/>
      <c r="G707" s="30"/>
      <c r="H707" s="30"/>
      <c r="I707" s="30"/>
      <c r="J707" s="30"/>
      <c r="K707" s="30"/>
      <c r="L707" s="30"/>
      <c r="M707" s="30"/>
      <c r="N707" s="30"/>
      <c r="O707" s="30"/>
      <c r="P707" s="108"/>
      <c r="Q707" s="30"/>
      <c r="R707" s="30"/>
    </row>
    <row r="708" ht="15.75" customHeight="1">
      <c r="A708" s="108"/>
      <c r="B708" s="108"/>
      <c r="C708" s="108"/>
      <c r="D708" s="108"/>
      <c r="E708" s="108"/>
      <c r="F708" s="30"/>
      <c r="G708" s="30"/>
      <c r="H708" s="30"/>
      <c r="I708" s="30"/>
      <c r="J708" s="30"/>
      <c r="K708" s="30"/>
      <c r="L708" s="30"/>
      <c r="M708" s="30"/>
      <c r="N708" s="30"/>
      <c r="O708" s="30"/>
      <c r="P708" s="108"/>
      <c r="Q708" s="30"/>
      <c r="R708" s="30"/>
    </row>
    <row r="709" ht="15.75" customHeight="1">
      <c r="A709" s="108"/>
      <c r="B709" s="108"/>
      <c r="C709" s="108"/>
      <c r="D709" s="108"/>
      <c r="E709" s="108"/>
      <c r="F709" s="30"/>
      <c r="G709" s="30"/>
      <c r="H709" s="30"/>
      <c r="I709" s="30"/>
      <c r="J709" s="30"/>
      <c r="K709" s="30"/>
      <c r="L709" s="30"/>
      <c r="M709" s="30"/>
      <c r="N709" s="30"/>
      <c r="O709" s="30"/>
      <c r="P709" s="108"/>
      <c r="Q709" s="30"/>
      <c r="R709" s="30"/>
    </row>
    <row r="710" ht="15.75" customHeight="1">
      <c r="A710" s="108"/>
      <c r="B710" s="108"/>
      <c r="C710" s="108"/>
      <c r="D710" s="108"/>
      <c r="E710" s="108"/>
      <c r="F710" s="30"/>
      <c r="G710" s="30"/>
      <c r="H710" s="30"/>
      <c r="I710" s="30"/>
      <c r="J710" s="30"/>
      <c r="K710" s="30"/>
      <c r="L710" s="30"/>
      <c r="M710" s="30"/>
      <c r="N710" s="30"/>
      <c r="O710" s="30"/>
      <c r="P710" s="108"/>
      <c r="Q710" s="30"/>
      <c r="R710" s="30"/>
    </row>
    <row r="711" ht="15.75" customHeight="1">
      <c r="A711" s="108"/>
      <c r="B711" s="108"/>
      <c r="C711" s="108"/>
      <c r="D711" s="108"/>
      <c r="E711" s="108"/>
      <c r="F711" s="30"/>
      <c r="G711" s="30"/>
      <c r="H711" s="30"/>
      <c r="I711" s="30"/>
      <c r="J711" s="30"/>
      <c r="K711" s="30"/>
      <c r="L711" s="30"/>
      <c r="M711" s="30"/>
      <c r="N711" s="30"/>
      <c r="O711" s="30"/>
      <c r="P711" s="108"/>
      <c r="Q711" s="30"/>
      <c r="R711" s="30"/>
    </row>
    <row r="712" ht="15.75" customHeight="1">
      <c r="A712" s="108"/>
      <c r="B712" s="108"/>
      <c r="C712" s="108"/>
      <c r="D712" s="108"/>
      <c r="E712" s="108"/>
      <c r="F712" s="30"/>
      <c r="G712" s="30"/>
      <c r="H712" s="30"/>
      <c r="I712" s="30"/>
      <c r="J712" s="30"/>
      <c r="K712" s="30"/>
      <c r="L712" s="30"/>
      <c r="M712" s="30"/>
      <c r="N712" s="30"/>
      <c r="O712" s="30"/>
      <c r="P712" s="108"/>
      <c r="Q712" s="30"/>
      <c r="R712" s="30"/>
    </row>
    <row r="713" ht="15.75" customHeight="1">
      <c r="A713" s="108"/>
      <c r="B713" s="108"/>
      <c r="C713" s="108"/>
      <c r="D713" s="108"/>
      <c r="E713" s="108"/>
      <c r="F713" s="30"/>
      <c r="G713" s="30"/>
      <c r="H713" s="30"/>
      <c r="I713" s="30"/>
      <c r="J713" s="30"/>
      <c r="K713" s="30"/>
      <c r="L713" s="30"/>
      <c r="M713" s="30"/>
      <c r="N713" s="30"/>
      <c r="O713" s="30"/>
      <c r="P713" s="108"/>
      <c r="Q713" s="30"/>
      <c r="R713" s="30"/>
    </row>
    <row r="714" ht="15.75" customHeight="1">
      <c r="A714" s="108"/>
      <c r="B714" s="108"/>
      <c r="C714" s="108"/>
      <c r="D714" s="108"/>
      <c r="E714" s="108"/>
      <c r="F714" s="30"/>
      <c r="G714" s="30"/>
      <c r="H714" s="30"/>
      <c r="I714" s="30"/>
      <c r="J714" s="30"/>
      <c r="K714" s="30"/>
      <c r="L714" s="30"/>
      <c r="M714" s="30"/>
      <c r="N714" s="30"/>
      <c r="O714" s="30"/>
      <c r="P714" s="108"/>
      <c r="Q714" s="30"/>
      <c r="R714" s="30"/>
    </row>
    <row r="715" ht="15.75" customHeight="1">
      <c r="A715" s="108"/>
      <c r="B715" s="108"/>
      <c r="C715" s="108"/>
      <c r="D715" s="108"/>
      <c r="E715" s="108"/>
      <c r="F715" s="30"/>
      <c r="G715" s="30"/>
      <c r="H715" s="30"/>
      <c r="I715" s="30"/>
      <c r="J715" s="30"/>
      <c r="K715" s="30"/>
      <c r="L715" s="30"/>
      <c r="M715" s="30"/>
      <c r="N715" s="30"/>
      <c r="O715" s="30"/>
      <c r="P715" s="108"/>
      <c r="Q715" s="30"/>
      <c r="R715" s="30"/>
    </row>
    <row r="716" ht="15.75" customHeight="1">
      <c r="A716" s="108"/>
      <c r="B716" s="108"/>
      <c r="C716" s="108"/>
      <c r="D716" s="108"/>
      <c r="E716" s="108"/>
      <c r="F716" s="30"/>
      <c r="G716" s="30"/>
      <c r="H716" s="30"/>
      <c r="I716" s="30"/>
      <c r="J716" s="30"/>
      <c r="K716" s="30"/>
      <c r="L716" s="30"/>
      <c r="M716" s="30"/>
      <c r="N716" s="30"/>
      <c r="O716" s="30"/>
      <c r="P716" s="108"/>
      <c r="Q716" s="30"/>
      <c r="R716" s="30"/>
    </row>
    <row r="717" ht="15.75" customHeight="1">
      <c r="A717" s="108"/>
      <c r="B717" s="108"/>
      <c r="C717" s="108"/>
      <c r="D717" s="108"/>
      <c r="E717" s="108"/>
      <c r="F717" s="30"/>
      <c r="G717" s="30"/>
      <c r="H717" s="30"/>
      <c r="I717" s="30"/>
      <c r="J717" s="30"/>
      <c r="K717" s="30"/>
      <c r="L717" s="30"/>
      <c r="M717" s="30"/>
      <c r="N717" s="30"/>
      <c r="O717" s="30"/>
      <c r="P717" s="108"/>
      <c r="Q717" s="30"/>
      <c r="R717" s="30"/>
    </row>
    <row r="718" ht="15.75" customHeight="1">
      <c r="A718" s="108"/>
      <c r="B718" s="108"/>
      <c r="C718" s="108"/>
      <c r="D718" s="108"/>
      <c r="E718" s="108"/>
      <c r="F718" s="30"/>
      <c r="G718" s="30"/>
      <c r="H718" s="30"/>
      <c r="I718" s="30"/>
      <c r="J718" s="30"/>
      <c r="K718" s="30"/>
      <c r="L718" s="30"/>
      <c r="M718" s="30"/>
      <c r="N718" s="30"/>
      <c r="O718" s="30"/>
      <c r="P718" s="108"/>
      <c r="Q718" s="30"/>
      <c r="R718" s="30"/>
    </row>
    <row r="719" ht="15.75" customHeight="1">
      <c r="A719" s="108"/>
      <c r="B719" s="108"/>
      <c r="C719" s="108"/>
      <c r="D719" s="108"/>
      <c r="E719" s="108"/>
      <c r="F719" s="30"/>
      <c r="G719" s="30"/>
      <c r="H719" s="30"/>
      <c r="I719" s="30"/>
      <c r="J719" s="30"/>
      <c r="K719" s="30"/>
      <c r="L719" s="30"/>
      <c r="M719" s="30"/>
      <c r="N719" s="30"/>
      <c r="O719" s="30"/>
      <c r="P719" s="108"/>
      <c r="Q719" s="30"/>
      <c r="R719" s="30"/>
    </row>
    <row r="720" ht="15.75" customHeight="1">
      <c r="A720" s="108"/>
      <c r="B720" s="108"/>
      <c r="C720" s="108"/>
      <c r="D720" s="108"/>
      <c r="E720" s="108"/>
      <c r="F720" s="30"/>
      <c r="G720" s="30"/>
      <c r="H720" s="30"/>
      <c r="I720" s="30"/>
      <c r="J720" s="30"/>
      <c r="K720" s="30"/>
      <c r="L720" s="30"/>
      <c r="M720" s="30"/>
      <c r="N720" s="30"/>
      <c r="O720" s="30"/>
      <c r="P720" s="108"/>
      <c r="Q720" s="30"/>
      <c r="R720" s="30"/>
    </row>
    <row r="721" ht="15.75" customHeight="1">
      <c r="A721" s="108"/>
      <c r="B721" s="108"/>
      <c r="C721" s="108"/>
      <c r="D721" s="108"/>
      <c r="E721" s="108"/>
      <c r="F721" s="30"/>
      <c r="G721" s="30"/>
      <c r="H721" s="30"/>
      <c r="I721" s="30"/>
      <c r="J721" s="30"/>
      <c r="K721" s="30"/>
      <c r="L721" s="30"/>
      <c r="M721" s="30"/>
      <c r="N721" s="30"/>
      <c r="O721" s="30"/>
      <c r="P721" s="108"/>
      <c r="Q721" s="30"/>
      <c r="R721" s="30"/>
    </row>
    <row r="722" ht="15.75" customHeight="1">
      <c r="A722" s="108"/>
      <c r="B722" s="108"/>
      <c r="C722" s="108"/>
      <c r="D722" s="108"/>
      <c r="E722" s="108"/>
      <c r="F722" s="30"/>
      <c r="G722" s="30"/>
      <c r="H722" s="30"/>
      <c r="I722" s="30"/>
      <c r="J722" s="30"/>
      <c r="K722" s="30"/>
      <c r="L722" s="30"/>
      <c r="M722" s="30"/>
      <c r="N722" s="30"/>
      <c r="O722" s="30"/>
      <c r="P722" s="108"/>
      <c r="Q722" s="30"/>
      <c r="R722" s="30"/>
    </row>
    <row r="723" ht="15.75" customHeight="1">
      <c r="A723" s="108"/>
      <c r="B723" s="108"/>
      <c r="C723" s="108"/>
      <c r="D723" s="108"/>
      <c r="E723" s="108"/>
      <c r="F723" s="30"/>
      <c r="G723" s="30"/>
      <c r="H723" s="30"/>
      <c r="I723" s="30"/>
      <c r="J723" s="30"/>
      <c r="K723" s="30"/>
      <c r="L723" s="30"/>
      <c r="M723" s="30"/>
      <c r="N723" s="30"/>
      <c r="O723" s="30"/>
      <c r="P723" s="108"/>
      <c r="Q723" s="30"/>
      <c r="R723" s="30"/>
    </row>
    <row r="724" ht="15.75" customHeight="1">
      <c r="A724" s="108"/>
      <c r="B724" s="108"/>
      <c r="C724" s="108"/>
      <c r="D724" s="108"/>
      <c r="E724" s="108"/>
      <c r="F724" s="30"/>
      <c r="G724" s="30"/>
      <c r="H724" s="30"/>
      <c r="I724" s="30"/>
      <c r="J724" s="30"/>
      <c r="K724" s="30"/>
      <c r="L724" s="30"/>
      <c r="M724" s="30"/>
      <c r="N724" s="30"/>
      <c r="O724" s="30"/>
      <c r="P724" s="108"/>
      <c r="Q724" s="30"/>
      <c r="R724" s="30"/>
    </row>
    <row r="725" ht="15.75" customHeight="1">
      <c r="A725" s="108"/>
      <c r="B725" s="108"/>
      <c r="C725" s="108"/>
      <c r="D725" s="108"/>
      <c r="E725" s="108"/>
      <c r="F725" s="30"/>
      <c r="G725" s="30"/>
      <c r="H725" s="30"/>
      <c r="I725" s="30"/>
      <c r="J725" s="30"/>
      <c r="K725" s="30"/>
      <c r="L725" s="30"/>
      <c r="M725" s="30"/>
      <c r="N725" s="30"/>
      <c r="O725" s="30"/>
      <c r="P725" s="108"/>
      <c r="Q725" s="30"/>
      <c r="R725" s="30"/>
    </row>
    <row r="726" ht="15.75" customHeight="1">
      <c r="A726" s="108"/>
      <c r="B726" s="108"/>
      <c r="C726" s="108"/>
      <c r="D726" s="108"/>
      <c r="E726" s="108"/>
      <c r="F726" s="30"/>
      <c r="G726" s="30"/>
      <c r="H726" s="30"/>
      <c r="I726" s="30"/>
      <c r="J726" s="30"/>
      <c r="K726" s="30"/>
      <c r="L726" s="30"/>
      <c r="M726" s="30"/>
      <c r="N726" s="30"/>
      <c r="O726" s="30"/>
      <c r="P726" s="108"/>
      <c r="Q726" s="30"/>
      <c r="R726" s="30"/>
    </row>
    <row r="727" ht="15.75" customHeight="1">
      <c r="A727" s="108"/>
      <c r="B727" s="108"/>
      <c r="C727" s="108"/>
      <c r="D727" s="108"/>
      <c r="E727" s="108"/>
      <c r="F727" s="30"/>
      <c r="G727" s="30"/>
      <c r="H727" s="30"/>
      <c r="I727" s="30"/>
      <c r="J727" s="30"/>
      <c r="K727" s="30"/>
      <c r="L727" s="30"/>
      <c r="M727" s="30"/>
      <c r="N727" s="30"/>
      <c r="O727" s="30"/>
      <c r="P727" s="108"/>
      <c r="Q727" s="30"/>
      <c r="R727" s="30"/>
    </row>
    <row r="728" ht="15.75" customHeight="1">
      <c r="A728" s="108"/>
      <c r="B728" s="108"/>
      <c r="C728" s="108"/>
      <c r="D728" s="108"/>
      <c r="E728" s="108"/>
      <c r="F728" s="30"/>
      <c r="G728" s="30"/>
      <c r="H728" s="30"/>
      <c r="I728" s="30"/>
      <c r="J728" s="30"/>
      <c r="K728" s="30"/>
      <c r="L728" s="30"/>
      <c r="M728" s="30"/>
      <c r="N728" s="30"/>
      <c r="O728" s="30"/>
      <c r="P728" s="108"/>
      <c r="Q728" s="30"/>
      <c r="R728" s="30"/>
    </row>
    <row r="729" ht="15.75" customHeight="1">
      <c r="A729" s="108"/>
      <c r="B729" s="108"/>
      <c r="C729" s="108"/>
      <c r="D729" s="108"/>
      <c r="E729" s="108"/>
      <c r="F729" s="30"/>
      <c r="G729" s="30"/>
      <c r="H729" s="30"/>
      <c r="I729" s="30"/>
      <c r="J729" s="30"/>
      <c r="K729" s="30"/>
      <c r="L729" s="30"/>
      <c r="M729" s="30"/>
      <c r="N729" s="30"/>
      <c r="O729" s="30"/>
      <c r="P729" s="108"/>
      <c r="Q729" s="30"/>
      <c r="R729" s="30"/>
    </row>
    <row r="730" ht="15.75" customHeight="1">
      <c r="A730" s="108"/>
      <c r="B730" s="108"/>
      <c r="C730" s="108"/>
      <c r="D730" s="108"/>
      <c r="E730" s="108"/>
      <c r="F730" s="30"/>
      <c r="G730" s="30"/>
      <c r="H730" s="30"/>
      <c r="I730" s="30"/>
      <c r="J730" s="30"/>
      <c r="K730" s="30"/>
      <c r="L730" s="30"/>
      <c r="M730" s="30"/>
      <c r="N730" s="30"/>
      <c r="O730" s="30"/>
      <c r="P730" s="108"/>
      <c r="Q730" s="30"/>
      <c r="R730" s="30"/>
    </row>
    <row r="731" ht="15.75" customHeight="1">
      <c r="A731" s="108"/>
      <c r="B731" s="108"/>
      <c r="C731" s="108"/>
      <c r="D731" s="108"/>
      <c r="E731" s="108"/>
      <c r="F731" s="30"/>
      <c r="G731" s="30"/>
      <c r="H731" s="30"/>
      <c r="I731" s="30"/>
      <c r="J731" s="30"/>
      <c r="K731" s="30"/>
      <c r="L731" s="30"/>
      <c r="M731" s="30"/>
      <c r="N731" s="30"/>
      <c r="O731" s="30"/>
      <c r="P731" s="108"/>
      <c r="Q731" s="30"/>
      <c r="R731" s="30"/>
    </row>
    <row r="732" ht="15.75" customHeight="1">
      <c r="A732" s="108"/>
      <c r="B732" s="108"/>
      <c r="C732" s="108"/>
      <c r="D732" s="108"/>
      <c r="E732" s="108"/>
      <c r="F732" s="30"/>
      <c r="G732" s="30"/>
      <c r="H732" s="30"/>
      <c r="I732" s="30"/>
      <c r="J732" s="30"/>
      <c r="K732" s="30"/>
      <c r="L732" s="30"/>
      <c r="M732" s="30"/>
      <c r="N732" s="30"/>
      <c r="O732" s="30"/>
      <c r="P732" s="108"/>
      <c r="Q732" s="30"/>
      <c r="R732" s="30"/>
    </row>
    <row r="733" ht="15.75" customHeight="1">
      <c r="A733" s="108"/>
      <c r="B733" s="108"/>
      <c r="C733" s="108"/>
      <c r="D733" s="108"/>
      <c r="E733" s="108"/>
      <c r="F733" s="30"/>
      <c r="G733" s="30"/>
      <c r="H733" s="30"/>
      <c r="I733" s="30"/>
      <c r="J733" s="30"/>
      <c r="K733" s="30"/>
      <c r="L733" s="30"/>
      <c r="M733" s="30"/>
      <c r="N733" s="30"/>
      <c r="O733" s="30"/>
      <c r="P733" s="108"/>
      <c r="Q733" s="30"/>
      <c r="R733" s="30"/>
    </row>
    <row r="734" ht="15.75" customHeight="1">
      <c r="A734" s="108"/>
      <c r="B734" s="108"/>
      <c r="C734" s="108"/>
      <c r="D734" s="108"/>
      <c r="E734" s="108"/>
      <c r="F734" s="30"/>
      <c r="G734" s="30"/>
      <c r="H734" s="30"/>
      <c r="I734" s="30"/>
      <c r="J734" s="30"/>
      <c r="K734" s="30"/>
      <c r="L734" s="30"/>
      <c r="M734" s="30"/>
      <c r="N734" s="30"/>
      <c r="O734" s="30"/>
      <c r="P734" s="108"/>
      <c r="Q734" s="30"/>
      <c r="R734" s="30"/>
    </row>
    <row r="735" ht="15.75" customHeight="1">
      <c r="A735" s="108"/>
      <c r="B735" s="108"/>
      <c r="C735" s="108"/>
      <c r="D735" s="108"/>
      <c r="E735" s="108"/>
      <c r="F735" s="30"/>
      <c r="G735" s="30"/>
      <c r="H735" s="30"/>
      <c r="I735" s="30"/>
      <c r="J735" s="30"/>
      <c r="K735" s="30"/>
      <c r="L735" s="30"/>
      <c r="M735" s="30"/>
      <c r="N735" s="30"/>
      <c r="O735" s="30"/>
      <c r="P735" s="108"/>
      <c r="Q735" s="30"/>
      <c r="R735" s="30"/>
    </row>
    <row r="736" ht="15.75" customHeight="1">
      <c r="A736" s="108"/>
      <c r="B736" s="108"/>
      <c r="C736" s="108"/>
      <c r="D736" s="108"/>
      <c r="E736" s="108"/>
      <c r="F736" s="30"/>
      <c r="G736" s="30"/>
      <c r="H736" s="30"/>
      <c r="I736" s="30"/>
      <c r="J736" s="30"/>
      <c r="K736" s="30"/>
      <c r="L736" s="30"/>
      <c r="M736" s="30"/>
      <c r="N736" s="30"/>
      <c r="O736" s="30"/>
      <c r="P736" s="108"/>
      <c r="Q736" s="30"/>
      <c r="R736" s="30"/>
    </row>
    <row r="737" ht="15.75" customHeight="1">
      <c r="A737" s="108"/>
      <c r="B737" s="108"/>
      <c r="C737" s="108"/>
      <c r="D737" s="108"/>
      <c r="E737" s="108"/>
      <c r="F737" s="30"/>
      <c r="G737" s="30"/>
      <c r="H737" s="30"/>
      <c r="I737" s="30"/>
      <c r="J737" s="30"/>
      <c r="K737" s="30"/>
      <c r="L737" s="30"/>
      <c r="M737" s="30"/>
      <c r="N737" s="30"/>
      <c r="O737" s="30"/>
      <c r="P737" s="108"/>
      <c r="Q737" s="30"/>
      <c r="R737" s="30"/>
    </row>
    <row r="738" ht="15.75" customHeight="1">
      <c r="A738" s="108"/>
      <c r="B738" s="108"/>
      <c r="C738" s="108"/>
      <c r="D738" s="108"/>
      <c r="E738" s="108"/>
      <c r="F738" s="30"/>
      <c r="G738" s="30"/>
      <c r="H738" s="30"/>
      <c r="I738" s="30"/>
      <c r="J738" s="30"/>
      <c r="K738" s="30"/>
      <c r="L738" s="30"/>
      <c r="M738" s="30"/>
      <c r="N738" s="30"/>
      <c r="O738" s="30"/>
      <c r="P738" s="108"/>
      <c r="Q738" s="30"/>
      <c r="R738" s="30"/>
    </row>
    <row r="739" ht="15.75" customHeight="1">
      <c r="A739" s="108"/>
      <c r="B739" s="108"/>
      <c r="C739" s="108"/>
      <c r="D739" s="108"/>
      <c r="E739" s="108"/>
      <c r="F739" s="30"/>
      <c r="G739" s="30"/>
      <c r="H739" s="30"/>
      <c r="I739" s="30"/>
      <c r="J739" s="30"/>
      <c r="K739" s="30"/>
      <c r="L739" s="30"/>
      <c r="M739" s="30"/>
      <c r="N739" s="30"/>
      <c r="O739" s="30"/>
      <c r="P739" s="108"/>
      <c r="Q739" s="30"/>
      <c r="R739" s="30"/>
    </row>
    <row r="740" ht="15.75" customHeight="1">
      <c r="A740" s="108"/>
      <c r="B740" s="108"/>
      <c r="C740" s="108"/>
      <c r="D740" s="108"/>
      <c r="E740" s="108"/>
      <c r="F740" s="30"/>
      <c r="G740" s="30"/>
      <c r="H740" s="30"/>
      <c r="I740" s="30"/>
      <c r="J740" s="30"/>
      <c r="K740" s="30"/>
      <c r="L740" s="30"/>
      <c r="M740" s="30"/>
      <c r="N740" s="30"/>
      <c r="O740" s="30"/>
      <c r="P740" s="108"/>
      <c r="Q740" s="30"/>
      <c r="R740" s="30"/>
    </row>
    <row r="741" ht="15.75" customHeight="1">
      <c r="A741" s="108"/>
      <c r="B741" s="108"/>
      <c r="C741" s="108"/>
      <c r="D741" s="108"/>
      <c r="E741" s="108"/>
      <c r="F741" s="30"/>
      <c r="G741" s="30"/>
      <c r="H741" s="30"/>
      <c r="I741" s="30"/>
      <c r="J741" s="30"/>
      <c r="K741" s="30"/>
      <c r="L741" s="30"/>
      <c r="M741" s="30"/>
      <c r="N741" s="30"/>
      <c r="O741" s="30"/>
      <c r="P741" s="108"/>
      <c r="Q741" s="30"/>
      <c r="R741" s="30"/>
    </row>
    <row r="742" ht="15.75" customHeight="1">
      <c r="A742" s="108"/>
      <c r="B742" s="108"/>
      <c r="C742" s="108"/>
      <c r="D742" s="108"/>
      <c r="E742" s="108"/>
      <c r="F742" s="30"/>
      <c r="G742" s="30"/>
      <c r="H742" s="30"/>
      <c r="I742" s="30"/>
      <c r="J742" s="30"/>
      <c r="K742" s="30"/>
      <c r="L742" s="30"/>
      <c r="M742" s="30"/>
      <c r="N742" s="30"/>
      <c r="O742" s="30"/>
      <c r="P742" s="108"/>
      <c r="Q742" s="30"/>
      <c r="R742" s="30"/>
    </row>
    <row r="743" ht="15.75" customHeight="1">
      <c r="A743" s="108"/>
      <c r="B743" s="108"/>
      <c r="C743" s="108"/>
      <c r="D743" s="108"/>
      <c r="E743" s="108"/>
      <c r="F743" s="30"/>
      <c r="G743" s="30"/>
      <c r="H743" s="30"/>
      <c r="I743" s="30"/>
      <c r="J743" s="30"/>
      <c r="K743" s="30"/>
      <c r="L743" s="30"/>
      <c r="M743" s="30"/>
      <c r="N743" s="30"/>
      <c r="O743" s="30"/>
      <c r="P743" s="108"/>
      <c r="Q743" s="30"/>
      <c r="R743" s="30"/>
    </row>
    <row r="744" ht="15.75" customHeight="1">
      <c r="A744" s="108"/>
      <c r="B744" s="108"/>
      <c r="C744" s="108"/>
      <c r="D744" s="108"/>
      <c r="E744" s="108"/>
      <c r="F744" s="30"/>
      <c r="G744" s="30"/>
      <c r="H744" s="30"/>
      <c r="I744" s="30"/>
      <c r="J744" s="30"/>
      <c r="K744" s="30"/>
      <c r="L744" s="30"/>
      <c r="M744" s="30"/>
      <c r="N744" s="30"/>
      <c r="O744" s="30"/>
      <c r="P744" s="108"/>
      <c r="Q744" s="30"/>
      <c r="R744" s="30"/>
    </row>
    <row r="745" ht="15.75" customHeight="1">
      <c r="A745" s="108"/>
      <c r="B745" s="108"/>
      <c r="C745" s="108"/>
      <c r="D745" s="108"/>
      <c r="E745" s="108"/>
      <c r="F745" s="30"/>
      <c r="G745" s="30"/>
      <c r="H745" s="30"/>
      <c r="I745" s="30"/>
      <c r="J745" s="30"/>
      <c r="K745" s="30"/>
      <c r="L745" s="30"/>
      <c r="M745" s="30"/>
      <c r="N745" s="30"/>
      <c r="O745" s="30"/>
      <c r="P745" s="108"/>
      <c r="Q745" s="30"/>
      <c r="R745" s="30"/>
    </row>
    <row r="746" ht="15.75" customHeight="1">
      <c r="A746" s="108"/>
      <c r="B746" s="108"/>
      <c r="C746" s="108"/>
      <c r="D746" s="108"/>
      <c r="E746" s="108"/>
      <c r="F746" s="30"/>
      <c r="G746" s="30"/>
      <c r="H746" s="30"/>
      <c r="I746" s="30"/>
      <c r="J746" s="30"/>
      <c r="K746" s="30"/>
      <c r="L746" s="30"/>
      <c r="M746" s="30"/>
      <c r="N746" s="30"/>
      <c r="O746" s="30"/>
      <c r="P746" s="108"/>
      <c r="Q746" s="30"/>
      <c r="R746" s="30"/>
    </row>
    <row r="747" ht="15.75" customHeight="1">
      <c r="A747" s="108"/>
      <c r="B747" s="108"/>
      <c r="C747" s="108"/>
      <c r="D747" s="108"/>
      <c r="E747" s="108"/>
      <c r="F747" s="30"/>
      <c r="G747" s="30"/>
      <c r="H747" s="30"/>
      <c r="I747" s="30"/>
      <c r="J747" s="30"/>
      <c r="K747" s="30"/>
      <c r="L747" s="30"/>
      <c r="M747" s="30"/>
      <c r="N747" s="30"/>
      <c r="O747" s="30"/>
      <c r="P747" s="108"/>
      <c r="Q747" s="30"/>
      <c r="R747" s="30"/>
    </row>
    <row r="748" ht="15.75" customHeight="1">
      <c r="A748" s="108"/>
      <c r="B748" s="108"/>
      <c r="C748" s="108"/>
      <c r="D748" s="108"/>
      <c r="E748" s="108"/>
      <c r="F748" s="30"/>
      <c r="G748" s="30"/>
      <c r="H748" s="30"/>
      <c r="I748" s="30"/>
      <c r="J748" s="30"/>
      <c r="K748" s="30"/>
      <c r="L748" s="30"/>
      <c r="M748" s="30"/>
      <c r="N748" s="30"/>
      <c r="O748" s="30"/>
      <c r="P748" s="108"/>
      <c r="Q748" s="30"/>
      <c r="R748" s="30"/>
    </row>
    <row r="749" ht="15.75" customHeight="1">
      <c r="A749" s="108"/>
      <c r="B749" s="108"/>
      <c r="C749" s="108"/>
      <c r="D749" s="108"/>
      <c r="E749" s="108"/>
      <c r="F749" s="30"/>
      <c r="G749" s="30"/>
      <c r="H749" s="30"/>
      <c r="I749" s="30"/>
      <c r="J749" s="30"/>
      <c r="K749" s="30"/>
      <c r="L749" s="30"/>
      <c r="M749" s="30"/>
      <c r="N749" s="30"/>
      <c r="O749" s="30"/>
      <c r="P749" s="108"/>
      <c r="Q749" s="30"/>
      <c r="R749" s="30"/>
    </row>
    <row r="750" ht="15.75" customHeight="1">
      <c r="A750" s="108"/>
      <c r="B750" s="108"/>
      <c r="C750" s="108"/>
      <c r="D750" s="108"/>
      <c r="E750" s="108"/>
      <c r="F750" s="30"/>
      <c r="G750" s="30"/>
      <c r="H750" s="30"/>
      <c r="I750" s="30"/>
      <c r="J750" s="30"/>
      <c r="K750" s="30"/>
      <c r="L750" s="30"/>
      <c r="M750" s="30"/>
      <c r="N750" s="30"/>
      <c r="O750" s="30"/>
      <c r="P750" s="108"/>
      <c r="Q750" s="30"/>
      <c r="R750" s="30"/>
    </row>
    <row r="751" ht="15.75" customHeight="1">
      <c r="A751" s="108"/>
      <c r="B751" s="108"/>
      <c r="C751" s="108"/>
      <c r="D751" s="108"/>
      <c r="E751" s="108"/>
      <c r="F751" s="30"/>
      <c r="G751" s="30"/>
      <c r="H751" s="30"/>
      <c r="I751" s="30"/>
      <c r="J751" s="30"/>
      <c r="K751" s="30"/>
      <c r="L751" s="30"/>
      <c r="M751" s="30"/>
      <c r="N751" s="30"/>
      <c r="O751" s="30"/>
      <c r="P751" s="108"/>
      <c r="Q751" s="30"/>
      <c r="R751" s="30"/>
    </row>
    <row r="752" ht="15.75" customHeight="1">
      <c r="A752" s="108"/>
      <c r="B752" s="108"/>
      <c r="C752" s="108"/>
      <c r="D752" s="108"/>
      <c r="E752" s="108"/>
      <c r="F752" s="30"/>
      <c r="G752" s="30"/>
      <c r="H752" s="30"/>
      <c r="I752" s="30"/>
      <c r="J752" s="30"/>
      <c r="K752" s="30"/>
      <c r="L752" s="30"/>
      <c r="M752" s="30"/>
      <c r="N752" s="30"/>
      <c r="O752" s="30"/>
      <c r="P752" s="108"/>
      <c r="Q752" s="30"/>
      <c r="R752" s="30"/>
    </row>
    <row r="753" ht="15.75" customHeight="1">
      <c r="A753" s="108"/>
      <c r="B753" s="108"/>
      <c r="C753" s="108"/>
      <c r="D753" s="108"/>
      <c r="E753" s="108"/>
      <c r="F753" s="30"/>
      <c r="G753" s="30"/>
      <c r="H753" s="30"/>
      <c r="I753" s="30"/>
      <c r="J753" s="30"/>
      <c r="K753" s="30"/>
      <c r="L753" s="30"/>
      <c r="M753" s="30"/>
      <c r="N753" s="30"/>
      <c r="O753" s="30"/>
      <c r="P753" s="108"/>
      <c r="Q753" s="30"/>
      <c r="R753" s="30"/>
    </row>
    <row r="754" ht="15.75" customHeight="1">
      <c r="A754" s="108"/>
      <c r="B754" s="108"/>
      <c r="C754" s="108"/>
      <c r="D754" s="108"/>
      <c r="E754" s="108"/>
      <c r="F754" s="30"/>
      <c r="G754" s="30"/>
      <c r="H754" s="30"/>
      <c r="I754" s="30"/>
      <c r="J754" s="30"/>
      <c r="K754" s="30"/>
      <c r="L754" s="30"/>
      <c r="M754" s="30"/>
      <c r="N754" s="30"/>
      <c r="O754" s="30"/>
      <c r="P754" s="108"/>
      <c r="Q754" s="30"/>
      <c r="R754" s="30"/>
    </row>
    <row r="755" ht="15.75" customHeight="1">
      <c r="A755" s="108"/>
      <c r="B755" s="108"/>
      <c r="C755" s="108"/>
      <c r="D755" s="108"/>
      <c r="E755" s="108"/>
      <c r="F755" s="30"/>
      <c r="G755" s="30"/>
      <c r="H755" s="30"/>
      <c r="I755" s="30"/>
      <c r="J755" s="30"/>
      <c r="K755" s="30"/>
      <c r="L755" s="30"/>
      <c r="M755" s="30"/>
      <c r="N755" s="30"/>
      <c r="O755" s="30"/>
      <c r="P755" s="108"/>
      <c r="Q755" s="30"/>
      <c r="R755" s="30"/>
    </row>
    <row r="756" ht="15.75" customHeight="1">
      <c r="A756" s="108"/>
      <c r="B756" s="108"/>
      <c r="C756" s="108"/>
      <c r="D756" s="108"/>
      <c r="E756" s="108"/>
      <c r="F756" s="30"/>
      <c r="G756" s="30"/>
      <c r="H756" s="30"/>
      <c r="I756" s="30"/>
      <c r="J756" s="30"/>
      <c r="K756" s="30"/>
      <c r="L756" s="30"/>
      <c r="M756" s="30"/>
      <c r="N756" s="30"/>
      <c r="O756" s="30"/>
      <c r="P756" s="108"/>
      <c r="Q756" s="30"/>
      <c r="R756" s="30"/>
    </row>
    <row r="757" ht="15.75" customHeight="1">
      <c r="A757" s="108"/>
      <c r="B757" s="108"/>
      <c r="C757" s="108"/>
      <c r="D757" s="108"/>
      <c r="E757" s="108"/>
      <c r="F757" s="30"/>
      <c r="G757" s="30"/>
      <c r="H757" s="30"/>
      <c r="I757" s="30"/>
      <c r="J757" s="30"/>
      <c r="K757" s="30"/>
      <c r="L757" s="30"/>
      <c r="M757" s="30"/>
      <c r="N757" s="30"/>
      <c r="O757" s="30"/>
      <c r="P757" s="108"/>
      <c r="Q757" s="30"/>
      <c r="R757" s="30"/>
    </row>
    <row r="758" ht="15.75" customHeight="1">
      <c r="A758" s="108"/>
      <c r="B758" s="108"/>
      <c r="C758" s="108"/>
      <c r="D758" s="108"/>
      <c r="E758" s="108"/>
      <c r="F758" s="30"/>
      <c r="G758" s="30"/>
      <c r="H758" s="30"/>
      <c r="I758" s="30"/>
      <c r="J758" s="30"/>
      <c r="K758" s="30"/>
      <c r="L758" s="30"/>
      <c r="M758" s="30"/>
      <c r="N758" s="30"/>
      <c r="O758" s="30"/>
      <c r="P758" s="108"/>
      <c r="Q758" s="30"/>
      <c r="R758" s="30"/>
    </row>
    <row r="759" ht="15.75" customHeight="1">
      <c r="A759" s="108"/>
      <c r="B759" s="108"/>
      <c r="C759" s="108"/>
      <c r="D759" s="108"/>
      <c r="E759" s="108"/>
      <c r="F759" s="30"/>
      <c r="G759" s="30"/>
      <c r="H759" s="30"/>
      <c r="I759" s="30"/>
      <c r="J759" s="30"/>
      <c r="K759" s="30"/>
      <c r="L759" s="30"/>
      <c r="M759" s="30"/>
      <c r="N759" s="30"/>
      <c r="O759" s="30"/>
      <c r="P759" s="108"/>
      <c r="Q759" s="30"/>
      <c r="R759" s="30"/>
    </row>
    <row r="760" ht="15.75" customHeight="1">
      <c r="A760" s="108"/>
      <c r="B760" s="108"/>
      <c r="C760" s="108"/>
      <c r="D760" s="108"/>
      <c r="E760" s="108"/>
      <c r="F760" s="30"/>
      <c r="G760" s="30"/>
      <c r="H760" s="30"/>
      <c r="I760" s="30"/>
      <c r="J760" s="30"/>
      <c r="K760" s="30"/>
      <c r="L760" s="30"/>
      <c r="M760" s="30"/>
      <c r="N760" s="30"/>
      <c r="O760" s="30"/>
      <c r="P760" s="108"/>
      <c r="Q760" s="30"/>
      <c r="R760" s="30"/>
    </row>
    <row r="761" ht="15.75" customHeight="1">
      <c r="A761" s="108"/>
      <c r="B761" s="108"/>
      <c r="C761" s="108"/>
      <c r="D761" s="108"/>
      <c r="E761" s="108"/>
      <c r="F761" s="30"/>
      <c r="G761" s="30"/>
      <c r="H761" s="30"/>
      <c r="I761" s="30"/>
      <c r="J761" s="30"/>
      <c r="K761" s="30"/>
      <c r="L761" s="30"/>
      <c r="M761" s="30"/>
      <c r="N761" s="30"/>
      <c r="O761" s="30"/>
      <c r="P761" s="108"/>
      <c r="Q761" s="30"/>
      <c r="R761" s="30"/>
    </row>
    <row r="762" ht="15.75" customHeight="1">
      <c r="A762" s="108"/>
      <c r="B762" s="108"/>
      <c r="C762" s="108"/>
      <c r="D762" s="108"/>
      <c r="E762" s="108"/>
      <c r="F762" s="30"/>
      <c r="G762" s="30"/>
      <c r="H762" s="30"/>
      <c r="I762" s="30"/>
      <c r="J762" s="30"/>
      <c r="K762" s="30"/>
      <c r="L762" s="30"/>
      <c r="M762" s="30"/>
      <c r="N762" s="30"/>
      <c r="O762" s="30"/>
      <c r="P762" s="108"/>
      <c r="Q762" s="30"/>
      <c r="R762" s="30"/>
    </row>
    <row r="763" ht="15.75" customHeight="1">
      <c r="A763" s="108"/>
      <c r="B763" s="108"/>
      <c r="C763" s="108"/>
      <c r="D763" s="108"/>
      <c r="E763" s="108"/>
      <c r="F763" s="30"/>
      <c r="G763" s="30"/>
      <c r="H763" s="30"/>
      <c r="I763" s="30"/>
      <c r="J763" s="30"/>
      <c r="K763" s="30"/>
      <c r="L763" s="30"/>
      <c r="M763" s="30"/>
      <c r="N763" s="30"/>
      <c r="O763" s="30"/>
      <c r="P763" s="108"/>
      <c r="Q763" s="30"/>
      <c r="R763" s="30"/>
    </row>
    <row r="764" ht="15.75" customHeight="1">
      <c r="A764" s="108"/>
      <c r="B764" s="108"/>
      <c r="C764" s="108"/>
      <c r="D764" s="108"/>
      <c r="E764" s="108"/>
      <c r="F764" s="30"/>
      <c r="G764" s="30"/>
      <c r="H764" s="30"/>
      <c r="I764" s="30"/>
      <c r="J764" s="30"/>
      <c r="K764" s="30"/>
      <c r="L764" s="30"/>
      <c r="M764" s="30"/>
      <c r="N764" s="30"/>
      <c r="O764" s="30"/>
      <c r="P764" s="108"/>
      <c r="Q764" s="30"/>
      <c r="R764" s="30"/>
    </row>
    <row r="765" ht="15.75" customHeight="1">
      <c r="A765" s="108"/>
      <c r="B765" s="108"/>
      <c r="C765" s="108"/>
      <c r="D765" s="108"/>
      <c r="E765" s="108"/>
      <c r="F765" s="30"/>
      <c r="G765" s="30"/>
      <c r="H765" s="30"/>
      <c r="I765" s="30"/>
      <c r="J765" s="30"/>
      <c r="K765" s="30"/>
      <c r="L765" s="30"/>
      <c r="M765" s="30"/>
      <c r="N765" s="30"/>
      <c r="O765" s="30"/>
      <c r="P765" s="108"/>
      <c r="Q765" s="30"/>
      <c r="R765" s="30"/>
    </row>
    <row r="766" ht="15.75" customHeight="1">
      <c r="A766" s="108"/>
      <c r="B766" s="108"/>
      <c r="C766" s="108"/>
      <c r="D766" s="108"/>
      <c r="E766" s="108"/>
      <c r="F766" s="30"/>
      <c r="G766" s="30"/>
      <c r="H766" s="30"/>
      <c r="I766" s="30"/>
      <c r="J766" s="30"/>
      <c r="K766" s="30"/>
      <c r="L766" s="30"/>
      <c r="M766" s="30"/>
      <c r="N766" s="30"/>
      <c r="O766" s="30"/>
      <c r="P766" s="108"/>
      <c r="Q766" s="30"/>
      <c r="R766" s="30"/>
    </row>
    <row r="767" ht="15.75" customHeight="1">
      <c r="A767" s="108"/>
      <c r="B767" s="108"/>
      <c r="C767" s="108"/>
      <c r="D767" s="108"/>
      <c r="E767" s="108"/>
      <c r="F767" s="30"/>
      <c r="G767" s="30"/>
      <c r="H767" s="30"/>
      <c r="I767" s="30"/>
      <c r="J767" s="30"/>
      <c r="K767" s="30"/>
      <c r="L767" s="30"/>
      <c r="M767" s="30"/>
      <c r="N767" s="30"/>
      <c r="O767" s="30"/>
      <c r="P767" s="108"/>
      <c r="Q767" s="30"/>
      <c r="R767" s="30"/>
    </row>
    <row r="768" ht="15.75" customHeight="1">
      <c r="A768" s="108"/>
      <c r="B768" s="108"/>
      <c r="C768" s="108"/>
      <c r="D768" s="108"/>
      <c r="E768" s="108"/>
      <c r="F768" s="30"/>
      <c r="G768" s="30"/>
      <c r="H768" s="30"/>
      <c r="I768" s="30"/>
      <c r="J768" s="30"/>
      <c r="K768" s="30"/>
      <c r="L768" s="30"/>
      <c r="M768" s="30"/>
      <c r="N768" s="30"/>
      <c r="O768" s="30"/>
      <c r="P768" s="108"/>
      <c r="Q768" s="30"/>
      <c r="R768" s="30"/>
    </row>
    <row r="769" ht="15.75" customHeight="1">
      <c r="A769" s="108"/>
      <c r="B769" s="108"/>
      <c r="C769" s="108"/>
      <c r="D769" s="108"/>
      <c r="E769" s="108"/>
      <c r="F769" s="30"/>
      <c r="G769" s="30"/>
      <c r="H769" s="30"/>
      <c r="I769" s="30"/>
      <c r="J769" s="30"/>
      <c r="K769" s="30"/>
      <c r="L769" s="30"/>
      <c r="M769" s="30"/>
      <c r="N769" s="30"/>
      <c r="O769" s="30"/>
      <c r="P769" s="108"/>
      <c r="Q769" s="30"/>
      <c r="R769" s="30"/>
    </row>
    <row r="770" ht="15.75" customHeight="1">
      <c r="A770" s="108"/>
      <c r="B770" s="108"/>
      <c r="C770" s="108"/>
      <c r="D770" s="108"/>
      <c r="E770" s="108"/>
      <c r="F770" s="30"/>
      <c r="G770" s="30"/>
      <c r="H770" s="30"/>
      <c r="I770" s="30"/>
      <c r="J770" s="30"/>
      <c r="K770" s="30"/>
      <c r="L770" s="30"/>
      <c r="M770" s="30"/>
      <c r="N770" s="30"/>
      <c r="O770" s="30"/>
      <c r="P770" s="108"/>
      <c r="Q770" s="30"/>
      <c r="R770" s="30"/>
    </row>
    <row r="771" ht="15.75" customHeight="1">
      <c r="A771" s="108"/>
      <c r="B771" s="108"/>
      <c r="C771" s="108"/>
      <c r="D771" s="108"/>
      <c r="E771" s="108"/>
      <c r="F771" s="30"/>
      <c r="G771" s="30"/>
      <c r="H771" s="30"/>
      <c r="I771" s="30"/>
      <c r="J771" s="30"/>
      <c r="K771" s="30"/>
      <c r="L771" s="30"/>
      <c r="M771" s="30"/>
      <c r="N771" s="30"/>
      <c r="O771" s="30"/>
      <c r="P771" s="108"/>
      <c r="Q771" s="30"/>
      <c r="R771" s="30"/>
    </row>
    <row r="772" ht="15.75" customHeight="1">
      <c r="A772" s="108"/>
      <c r="B772" s="108"/>
      <c r="C772" s="108"/>
      <c r="D772" s="108"/>
      <c r="E772" s="108"/>
      <c r="F772" s="30"/>
      <c r="G772" s="30"/>
      <c r="H772" s="30"/>
      <c r="I772" s="30"/>
      <c r="J772" s="30"/>
      <c r="K772" s="30"/>
      <c r="L772" s="30"/>
      <c r="M772" s="30"/>
      <c r="N772" s="30"/>
      <c r="O772" s="30"/>
      <c r="P772" s="108"/>
      <c r="Q772" s="30"/>
      <c r="R772" s="30"/>
    </row>
    <row r="773" ht="15.75" customHeight="1">
      <c r="A773" s="108"/>
      <c r="B773" s="108"/>
      <c r="C773" s="108"/>
      <c r="D773" s="108"/>
      <c r="E773" s="108"/>
      <c r="F773" s="30"/>
      <c r="G773" s="30"/>
      <c r="H773" s="30"/>
      <c r="I773" s="30"/>
      <c r="J773" s="30"/>
      <c r="K773" s="30"/>
      <c r="L773" s="30"/>
      <c r="M773" s="30"/>
      <c r="N773" s="30"/>
      <c r="O773" s="30"/>
      <c r="P773" s="108"/>
      <c r="Q773" s="30"/>
      <c r="R773" s="30"/>
    </row>
    <row r="774" ht="15.75" customHeight="1">
      <c r="A774" s="108"/>
      <c r="B774" s="108"/>
      <c r="C774" s="108"/>
      <c r="D774" s="108"/>
      <c r="E774" s="108"/>
      <c r="F774" s="30"/>
      <c r="G774" s="30"/>
      <c r="H774" s="30"/>
      <c r="I774" s="30"/>
      <c r="J774" s="30"/>
      <c r="K774" s="30"/>
      <c r="L774" s="30"/>
      <c r="M774" s="30"/>
      <c r="N774" s="30"/>
      <c r="O774" s="30"/>
      <c r="P774" s="108"/>
      <c r="Q774" s="30"/>
      <c r="R774" s="30"/>
    </row>
    <row r="775" ht="15.75" customHeight="1">
      <c r="A775" s="108"/>
      <c r="B775" s="108"/>
      <c r="C775" s="108"/>
      <c r="D775" s="108"/>
      <c r="E775" s="108"/>
      <c r="F775" s="30"/>
      <c r="G775" s="30"/>
      <c r="H775" s="30"/>
      <c r="I775" s="30"/>
      <c r="J775" s="30"/>
      <c r="K775" s="30"/>
      <c r="L775" s="30"/>
      <c r="M775" s="30"/>
      <c r="N775" s="30"/>
      <c r="O775" s="30"/>
      <c r="P775" s="108"/>
      <c r="Q775" s="30"/>
      <c r="R775" s="30"/>
    </row>
    <row r="776" ht="15.75" customHeight="1">
      <c r="A776" s="108"/>
      <c r="B776" s="108"/>
      <c r="C776" s="108"/>
      <c r="D776" s="108"/>
      <c r="E776" s="108"/>
      <c r="F776" s="30"/>
      <c r="G776" s="30"/>
      <c r="H776" s="30"/>
      <c r="I776" s="30"/>
      <c r="J776" s="30"/>
      <c r="K776" s="30"/>
      <c r="L776" s="30"/>
      <c r="M776" s="30"/>
      <c r="N776" s="30"/>
      <c r="O776" s="30"/>
      <c r="P776" s="108"/>
      <c r="Q776" s="30"/>
      <c r="R776" s="30"/>
    </row>
    <row r="777" ht="15.75" customHeight="1">
      <c r="A777" s="108"/>
      <c r="B777" s="108"/>
      <c r="C777" s="108"/>
      <c r="D777" s="108"/>
      <c r="E777" s="108"/>
      <c r="F777" s="30"/>
      <c r="G777" s="30"/>
      <c r="H777" s="30"/>
      <c r="I777" s="30"/>
      <c r="J777" s="30"/>
      <c r="K777" s="30"/>
      <c r="L777" s="30"/>
      <c r="M777" s="30"/>
      <c r="N777" s="30"/>
      <c r="O777" s="30"/>
      <c r="P777" s="108"/>
      <c r="Q777" s="30"/>
      <c r="R777" s="30"/>
    </row>
    <row r="778" ht="15.75" customHeight="1">
      <c r="A778" s="108"/>
      <c r="B778" s="108"/>
      <c r="C778" s="108"/>
      <c r="D778" s="108"/>
      <c r="E778" s="108"/>
      <c r="F778" s="30"/>
      <c r="G778" s="30"/>
      <c r="H778" s="30"/>
      <c r="I778" s="30"/>
      <c r="J778" s="30"/>
      <c r="K778" s="30"/>
      <c r="L778" s="30"/>
      <c r="M778" s="30"/>
      <c r="N778" s="30"/>
      <c r="O778" s="30"/>
      <c r="P778" s="108"/>
      <c r="Q778" s="30"/>
      <c r="R778" s="30"/>
    </row>
    <row r="779" ht="15.75" customHeight="1">
      <c r="A779" s="108"/>
      <c r="B779" s="108"/>
      <c r="C779" s="108"/>
      <c r="D779" s="108"/>
      <c r="E779" s="108"/>
      <c r="F779" s="30"/>
      <c r="G779" s="30"/>
      <c r="H779" s="30"/>
      <c r="I779" s="30"/>
      <c r="J779" s="30"/>
      <c r="K779" s="30"/>
      <c r="L779" s="30"/>
      <c r="M779" s="30"/>
      <c r="N779" s="30"/>
      <c r="O779" s="30"/>
      <c r="P779" s="108"/>
      <c r="Q779" s="30"/>
      <c r="R779" s="30"/>
    </row>
    <row r="780" ht="15.75" customHeight="1">
      <c r="A780" s="108"/>
      <c r="B780" s="108"/>
      <c r="C780" s="108"/>
      <c r="D780" s="108"/>
      <c r="E780" s="108"/>
      <c r="F780" s="30"/>
      <c r="G780" s="30"/>
      <c r="H780" s="30"/>
      <c r="I780" s="30"/>
      <c r="J780" s="30"/>
      <c r="K780" s="30"/>
      <c r="L780" s="30"/>
      <c r="M780" s="30"/>
      <c r="N780" s="30"/>
      <c r="O780" s="30"/>
      <c r="P780" s="108"/>
      <c r="Q780" s="30"/>
      <c r="R780" s="30"/>
    </row>
    <row r="781" ht="15.75" customHeight="1">
      <c r="A781" s="108"/>
      <c r="B781" s="108"/>
      <c r="C781" s="108"/>
      <c r="D781" s="108"/>
      <c r="E781" s="108"/>
      <c r="F781" s="30"/>
      <c r="G781" s="30"/>
      <c r="H781" s="30"/>
      <c r="I781" s="30"/>
      <c r="J781" s="30"/>
      <c r="K781" s="30"/>
      <c r="L781" s="30"/>
      <c r="M781" s="30"/>
      <c r="N781" s="30"/>
      <c r="O781" s="30"/>
      <c r="P781" s="108"/>
      <c r="Q781" s="30"/>
      <c r="R781" s="30"/>
    </row>
    <row r="782" ht="15.75" customHeight="1">
      <c r="A782" s="108"/>
      <c r="B782" s="108"/>
      <c r="C782" s="108"/>
      <c r="D782" s="108"/>
      <c r="E782" s="108"/>
      <c r="F782" s="30"/>
      <c r="G782" s="30"/>
      <c r="H782" s="30"/>
      <c r="I782" s="30"/>
      <c r="J782" s="30"/>
      <c r="K782" s="30"/>
      <c r="L782" s="30"/>
      <c r="M782" s="30"/>
      <c r="N782" s="30"/>
      <c r="O782" s="30"/>
      <c r="P782" s="108"/>
      <c r="Q782" s="30"/>
      <c r="R782" s="30"/>
    </row>
    <row r="783" ht="15.75" customHeight="1">
      <c r="A783" s="108"/>
      <c r="B783" s="108"/>
      <c r="C783" s="108"/>
      <c r="D783" s="108"/>
      <c r="E783" s="108"/>
      <c r="F783" s="30"/>
      <c r="G783" s="30"/>
      <c r="H783" s="30"/>
      <c r="I783" s="30"/>
      <c r="J783" s="30"/>
      <c r="K783" s="30"/>
      <c r="L783" s="30"/>
      <c r="M783" s="30"/>
      <c r="N783" s="30"/>
      <c r="O783" s="30"/>
      <c r="P783" s="108"/>
      <c r="Q783" s="30"/>
      <c r="R783" s="30"/>
    </row>
    <row r="784" ht="15.75" customHeight="1">
      <c r="A784" s="108"/>
      <c r="B784" s="108"/>
      <c r="C784" s="108"/>
      <c r="D784" s="108"/>
      <c r="E784" s="108"/>
      <c r="F784" s="30"/>
      <c r="G784" s="30"/>
      <c r="H784" s="30"/>
      <c r="I784" s="30"/>
      <c r="J784" s="30"/>
      <c r="K784" s="30"/>
      <c r="L784" s="30"/>
      <c r="M784" s="30"/>
      <c r="N784" s="30"/>
      <c r="O784" s="30"/>
      <c r="P784" s="108"/>
      <c r="Q784" s="30"/>
      <c r="R784" s="30"/>
    </row>
    <row r="785" ht="15.75" customHeight="1">
      <c r="A785" s="108"/>
      <c r="B785" s="108"/>
      <c r="C785" s="108"/>
      <c r="D785" s="108"/>
      <c r="E785" s="108"/>
      <c r="F785" s="30"/>
      <c r="G785" s="30"/>
      <c r="H785" s="30"/>
      <c r="I785" s="30"/>
      <c r="J785" s="30"/>
      <c r="K785" s="30"/>
      <c r="L785" s="30"/>
      <c r="M785" s="30"/>
      <c r="N785" s="30"/>
      <c r="O785" s="30"/>
      <c r="P785" s="108"/>
      <c r="Q785" s="30"/>
      <c r="R785" s="30"/>
    </row>
    <row r="786" ht="15.75" customHeight="1">
      <c r="A786" s="108"/>
      <c r="B786" s="108"/>
      <c r="C786" s="108"/>
      <c r="D786" s="108"/>
      <c r="E786" s="108"/>
      <c r="F786" s="30"/>
      <c r="G786" s="30"/>
      <c r="H786" s="30"/>
      <c r="I786" s="30"/>
      <c r="J786" s="30"/>
      <c r="K786" s="30"/>
      <c r="L786" s="30"/>
      <c r="M786" s="30"/>
      <c r="N786" s="30"/>
      <c r="O786" s="30"/>
      <c r="P786" s="108"/>
      <c r="Q786" s="30"/>
      <c r="R786" s="30"/>
    </row>
    <row r="787" ht="15.75" customHeight="1">
      <c r="A787" s="108"/>
      <c r="B787" s="108"/>
      <c r="C787" s="108"/>
      <c r="D787" s="108"/>
      <c r="E787" s="108"/>
      <c r="F787" s="30"/>
      <c r="G787" s="30"/>
      <c r="H787" s="30"/>
      <c r="I787" s="30"/>
      <c r="J787" s="30"/>
      <c r="K787" s="30"/>
      <c r="L787" s="30"/>
      <c r="M787" s="30"/>
      <c r="N787" s="30"/>
      <c r="O787" s="30"/>
      <c r="P787" s="108"/>
      <c r="Q787" s="30"/>
      <c r="R787" s="30"/>
    </row>
    <row r="788" ht="15.75" customHeight="1">
      <c r="A788" s="108"/>
      <c r="B788" s="108"/>
      <c r="C788" s="108"/>
      <c r="D788" s="108"/>
      <c r="E788" s="108"/>
      <c r="F788" s="30"/>
      <c r="G788" s="30"/>
      <c r="H788" s="30"/>
      <c r="I788" s="30"/>
      <c r="J788" s="30"/>
      <c r="K788" s="30"/>
      <c r="L788" s="30"/>
      <c r="M788" s="30"/>
      <c r="N788" s="30"/>
      <c r="O788" s="30"/>
      <c r="P788" s="108"/>
      <c r="Q788" s="30"/>
      <c r="R788" s="30"/>
    </row>
    <row r="789" ht="15.75" customHeight="1">
      <c r="A789" s="108"/>
      <c r="B789" s="108"/>
      <c r="C789" s="108"/>
      <c r="D789" s="108"/>
      <c r="E789" s="108"/>
      <c r="F789" s="30"/>
      <c r="G789" s="30"/>
      <c r="H789" s="30"/>
      <c r="I789" s="30"/>
      <c r="J789" s="30"/>
      <c r="K789" s="30"/>
      <c r="L789" s="30"/>
      <c r="M789" s="30"/>
      <c r="N789" s="30"/>
      <c r="O789" s="30"/>
      <c r="P789" s="108"/>
      <c r="Q789" s="30"/>
      <c r="R789" s="30"/>
    </row>
    <row r="790" ht="15.75" customHeight="1">
      <c r="A790" s="108"/>
      <c r="B790" s="108"/>
      <c r="C790" s="108"/>
      <c r="D790" s="108"/>
      <c r="E790" s="108"/>
      <c r="F790" s="30"/>
      <c r="G790" s="30"/>
      <c r="H790" s="30"/>
      <c r="I790" s="30"/>
      <c r="J790" s="30"/>
      <c r="K790" s="30"/>
      <c r="L790" s="30"/>
      <c r="M790" s="30"/>
      <c r="N790" s="30"/>
      <c r="O790" s="30"/>
      <c r="P790" s="108"/>
      <c r="Q790" s="30"/>
      <c r="R790" s="30"/>
    </row>
    <row r="791" ht="15.75" customHeight="1">
      <c r="A791" s="108"/>
      <c r="B791" s="108"/>
      <c r="C791" s="108"/>
      <c r="D791" s="108"/>
      <c r="E791" s="108"/>
      <c r="F791" s="30"/>
      <c r="G791" s="30"/>
      <c r="H791" s="30"/>
      <c r="I791" s="30"/>
      <c r="J791" s="30"/>
      <c r="K791" s="30"/>
      <c r="L791" s="30"/>
      <c r="M791" s="30"/>
      <c r="N791" s="30"/>
      <c r="O791" s="30"/>
      <c r="P791" s="108"/>
      <c r="Q791" s="30"/>
      <c r="R791" s="30"/>
    </row>
    <row r="792" ht="15.75" customHeight="1">
      <c r="A792" s="108"/>
      <c r="B792" s="108"/>
      <c r="C792" s="108"/>
      <c r="D792" s="108"/>
      <c r="E792" s="108"/>
      <c r="F792" s="30"/>
      <c r="G792" s="30"/>
      <c r="H792" s="30"/>
      <c r="I792" s="30"/>
      <c r="J792" s="30"/>
      <c r="K792" s="30"/>
      <c r="L792" s="30"/>
      <c r="M792" s="30"/>
      <c r="N792" s="30"/>
      <c r="O792" s="30"/>
      <c r="P792" s="108"/>
      <c r="Q792" s="30"/>
      <c r="R792" s="30"/>
    </row>
    <row r="793" ht="15.75" customHeight="1">
      <c r="A793" s="108"/>
      <c r="B793" s="108"/>
      <c r="C793" s="108"/>
      <c r="D793" s="108"/>
      <c r="E793" s="108"/>
      <c r="F793" s="30"/>
      <c r="G793" s="30"/>
      <c r="H793" s="30"/>
      <c r="I793" s="30"/>
      <c r="J793" s="30"/>
      <c r="K793" s="30"/>
      <c r="L793" s="30"/>
      <c r="M793" s="30"/>
      <c r="N793" s="30"/>
      <c r="O793" s="30"/>
      <c r="P793" s="108"/>
      <c r="Q793" s="30"/>
      <c r="R793" s="30"/>
    </row>
    <row r="794" ht="15.75" customHeight="1">
      <c r="A794" s="108"/>
      <c r="B794" s="108"/>
      <c r="C794" s="108"/>
      <c r="D794" s="108"/>
      <c r="E794" s="108"/>
      <c r="F794" s="30"/>
      <c r="G794" s="30"/>
      <c r="H794" s="30"/>
      <c r="I794" s="30"/>
      <c r="J794" s="30"/>
      <c r="K794" s="30"/>
      <c r="L794" s="30"/>
      <c r="M794" s="30"/>
      <c r="N794" s="30"/>
      <c r="O794" s="30"/>
      <c r="P794" s="108"/>
      <c r="Q794" s="30"/>
      <c r="R794" s="30"/>
    </row>
    <row r="795" ht="15.75" customHeight="1">
      <c r="A795" s="108"/>
      <c r="B795" s="108"/>
      <c r="C795" s="108"/>
      <c r="D795" s="108"/>
      <c r="E795" s="108"/>
      <c r="F795" s="30"/>
      <c r="G795" s="30"/>
      <c r="H795" s="30"/>
      <c r="I795" s="30"/>
      <c r="J795" s="30"/>
      <c r="K795" s="30"/>
      <c r="L795" s="30"/>
      <c r="M795" s="30"/>
      <c r="N795" s="30"/>
      <c r="O795" s="30"/>
      <c r="P795" s="108"/>
      <c r="Q795" s="30"/>
      <c r="R795" s="30"/>
    </row>
    <row r="796" ht="15.75" customHeight="1">
      <c r="A796" s="108"/>
      <c r="B796" s="108"/>
      <c r="C796" s="108"/>
      <c r="D796" s="108"/>
      <c r="E796" s="108"/>
      <c r="F796" s="30"/>
      <c r="G796" s="30"/>
      <c r="H796" s="30"/>
      <c r="I796" s="30"/>
      <c r="J796" s="30"/>
      <c r="K796" s="30"/>
      <c r="L796" s="30"/>
      <c r="M796" s="30"/>
      <c r="N796" s="30"/>
      <c r="O796" s="30"/>
      <c r="P796" s="108"/>
      <c r="Q796" s="30"/>
      <c r="R796" s="30"/>
    </row>
    <row r="797" ht="15.75" customHeight="1">
      <c r="A797" s="108"/>
      <c r="B797" s="108"/>
      <c r="C797" s="108"/>
      <c r="D797" s="108"/>
      <c r="E797" s="108"/>
      <c r="F797" s="30"/>
      <c r="G797" s="30"/>
      <c r="H797" s="30"/>
      <c r="I797" s="30"/>
      <c r="J797" s="30"/>
      <c r="K797" s="30"/>
      <c r="L797" s="30"/>
      <c r="M797" s="30"/>
      <c r="N797" s="30"/>
      <c r="O797" s="30"/>
      <c r="P797" s="108"/>
      <c r="Q797" s="30"/>
      <c r="R797" s="30"/>
    </row>
    <row r="798" ht="15.75" customHeight="1">
      <c r="A798" s="108"/>
      <c r="B798" s="108"/>
      <c r="C798" s="108"/>
      <c r="D798" s="108"/>
      <c r="E798" s="108"/>
      <c r="F798" s="30"/>
      <c r="G798" s="30"/>
      <c r="H798" s="30"/>
      <c r="I798" s="30"/>
      <c r="J798" s="30"/>
      <c r="K798" s="30"/>
      <c r="L798" s="30"/>
      <c r="M798" s="30"/>
      <c r="N798" s="30"/>
      <c r="O798" s="30"/>
      <c r="P798" s="108"/>
      <c r="Q798" s="30"/>
      <c r="R798" s="30"/>
    </row>
    <row r="799" ht="15.75" customHeight="1">
      <c r="A799" s="108"/>
      <c r="B799" s="108"/>
      <c r="C799" s="108"/>
      <c r="D799" s="108"/>
      <c r="E799" s="108"/>
      <c r="F799" s="30"/>
      <c r="G799" s="30"/>
      <c r="H799" s="30"/>
      <c r="I799" s="30"/>
      <c r="J799" s="30"/>
      <c r="K799" s="30"/>
      <c r="L799" s="30"/>
      <c r="M799" s="30"/>
      <c r="N799" s="30"/>
      <c r="O799" s="30"/>
      <c r="P799" s="108"/>
      <c r="Q799" s="30"/>
      <c r="R799" s="30"/>
    </row>
    <row r="800" ht="15.75" customHeight="1">
      <c r="A800" s="108"/>
      <c r="B800" s="108"/>
      <c r="C800" s="108"/>
      <c r="D800" s="108"/>
      <c r="E800" s="108"/>
      <c r="F800" s="30"/>
      <c r="G800" s="30"/>
      <c r="H800" s="30"/>
      <c r="I800" s="30"/>
      <c r="J800" s="30"/>
      <c r="K800" s="30"/>
      <c r="L800" s="30"/>
      <c r="M800" s="30"/>
      <c r="N800" s="30"/>
      <c r="O800" s="30"/>
      <c r="P800" s="108"/>
      <c r="Q800" s="30"/>
      <c r="R800" s="30"/>
    </row>
    <row r="801" ht="15.75" customHeight="1">
      <c r="A801" s="108"/>
      <c r="B801" s="108"/>
      <c r="C801" s="108"/>
      <c r="D801" s="108"/>
      <c r="E801" s="108"/>
      <c r="F801" s="30"/>
      <c r="G801" s="30"/>
      <c r="H801" s="30"/>
      <c r="I801" s="30"/>
      <c r="J801" s="30"/>
      <c r="K801" s="30"/>
      <c r="L801" s="30"/>
      <c r="M801" s="30"/>
      <c r="N801" s="30"/>
      <c r="O801" s="30"/>
      <c r="P801" s="108"/>
      <c r="Q801" s="30"/>
      <c r="R801" s="30"/>
    </row>
    <row r="802" ht="15.75" customHeight="1">
      <c r="A802" s="108"/>
      <c r="B802" s="108"/>
      <c r="C802" s="108"/>
      <c r="D802" s="108"/>
      <c r="E802" s="108"/>
      <c r="F802" s="30"/>
      <c r="G802" s="30"/>
      <c r="H802" s="30"/>
      <c r="I802" s="30"/>
      <c r="J802" s="30"/>
      <c r="K802" s="30"/>
      <c r="L802" s="30"/>
      <c r="M802" s="30"/>
      <c r="N802" s="30"/>
      <c r="O802" s="30"/>
      <c r="P802" s="108"/>
      <c r="Q802" s="30"/>
      <c r="R802" s="30"/>
    </row>
    <row r="803" ht="15.75" customHeight="1">
      <c r="A803" s="108"/>
      <c r="B803" s="108"/>
      <c r="C803" s="108"/>
      <c r="D803" s="108"/>
      <c r="E803" s="108"/>
      <c r="F803" s="30"/>
      <c r="G803" s="30"/>
      <c r="H803" s="30"/>
      <c r="I803" s="30"/>
      <c r="J803" s="30"/>
      <c r="K803" s="30"/>
      <c r="L803" s="30"/>
      <c r="M803" s="30"/>
      <c r="N803" s="30"/>
      <c r="O803" s="30"/>
      <c r="P803" s="108"/>
      <c r="Q803" s="30"/>
      <c r="R803" s="30"/>
    </row>
    <row r="804" ht="15.75" customHeight="1">
      <c r="A804" s="108"/>
      <c r="B804" s="108"/>
      <c r="C804" s="108"/>
      <c r="D804" s="108"/>
      <c r="E804" s="108"/>
      <c r="F804" s="30"/>
      <c r="G804" s="30"/>
      <c r="H804" s="30"/>
      <c r="I804" s="30"/>
      <c r="J804" s="30"/>
      <c r="K804" s="30"/>
      <c r="L804" s="30"/>
      <c r="M804" s="30"/>
      <c r="N804" s="30"/>
      <c r="O804" s="30"/>
      <c r="P804" s="108"/>
      <c r="Q804" s="30"/>
      <c r="R804" s="30"/>
    </row>
    <row r="805" ht="15.75" customHeight="1">
      <c r="A805" s="108"/>
      <c r="B805" s="108"/>
      <c r="C805" s="108"/>
      <c r="D805" s="108"/>
      <c r="E805" s="108"/>
      <c r="F805" s="30"/>
      <c r="G805" s="30"/>
      <c r="H805" s="30"/>
      <c r="I805" s="30"/>
      <c r="J805" s="30"/>
      <c r="K805" s="30"/>
      <c r="L805" s="30"/>
      <c r="M805" s="30"/>
      <c r="N805" s="30"/>
      <c r="O805" s="30"/>
      <c r="P805" s="108"/>
      <c r="Q805" s="30"/>
      <c r="R805" s="30"/>
    </row>
    <row r="806" ht="15.75" customHeight="1">
      <c r="A806" s="108"/>
      <c r="B806" s="108"/>
      <c r="C806" s="108"/>
      <c r="D806" s="108"/>
      <c r="E806" s="108"/>
      <c r="F806" s="30"/>
      <c r="G806" s="30"/>
      <c r="H806" s="30"/>
      <c r="I806" s="30"/>
      <c r="J806" s="30"/>
      <c r="K806" s="30"/>
      <c r="L806" s="30"/>
      <c r="M806" s="30"/>
      <c r="N806" s="30"/>
      <c r="O806" s="30"/>
      <c r="P806" s="108"/>
      <c r="Q806" s="30"/>
      <c r="R806" s="30"/>
    </row>
    <row r="807" ht="15.75" customHeight="1">
      <c r="A807" s="108"/>
      <c r="B807" s="108"/>
      <c r="C807" s="108"/>
      <c r="D807" s="108"/>
      <c r="E807" s="108"/>
      <c r="F807" s="30"/>
      <c r="G807" s="30"/>
      <c r="H807" s="30"/>
      <c r="I807" s="30"/>
      <c r="J807" s="30"/>
      <c r="K807" s="30"/>
      <c r="L807" s="30"/>
      <c r="M807" s="30"/>
      <c r="N807" s="30"/>
      <c r="O807" s="30"/>
      <c r="P807" s="108"/>
      <c r="Q807" s="30"/>
      <c r="R807" s="30"/>
    </row>
    <row r="808" ht="15.75" customHeight="1">
      <c r="A808" s="108"/>
      <c r="B808" s="108"/>
      <c r="C808" s="108"/>
      <c r="D808" s="108"/>
      <c r="E808" s="108"/>
      <c r="F808" s="30"/>
      <c r="G808" s="30"/>
      <c r="H808" s="30"/>
      <c r="I808" s="30"/>
      <c r="J808" s="30"/>
      <c r="K808" s="30"/>
      <c r="L808" s="30"/>
      <c r="M808" s="30"/>
      <c r="N808" s="30"/>
      <c r="O808" s="30"/>
      <c r="P808" s="108"/>
      <c r="Q808" s="30"/>
      <c r="R808" s="30"/>
    </row>
    <row r="809" ht="15.75" customHeight="1">
      <c r="A809" s="108"/>
      <c r="B809" s="108"/>
      <c r="C809" s="108"/>
      <c r="D809" s="108"/>
      <c r="E809" s="108"/>
      <c r="F809" s="30"/>
      <c r="G809" s="30"/>
      <c r="H809" s="30"/>
      <c r="I809" s="30"/>
      <c r="J809" s="30"/>
      <c r="K809" s="30"/>
      <c r="L809" s="30"/>
      <c r="M809" s="30"/>
      <c r="N809" s="30"/>
      <c r="O809" s="30"/>
      <c r="P809" s="108"/>
      <c r="Q809" s="30"/>
      <c r="R809" s="30"/>
    </row>
    <row r="810" ht="15.75" customHeight="1">
      <c r="A810" s="108"/>
      <c r="B810" s="108"/>
      <c r="C810" s="108"/>
      <c r="D810" s="108"/>
      <c r="E810" s="108"/>
      <c r="F810" s="30"/>
      <c r="G810" s="30"/>
      <c r="H810" s="30"/>
      <c r="I810" s="30"/>
      <c r="J810" s="30"/>
      <c r="K810" s="30"/>
      <c r="L810" s="30"/>
      <c r="M810" s="30"/>
      <c r="N810" s="30"/>
      <c r="O810" s="30"/>
      <c r="P810" s="108"/>
      <c r="Q810" s="30"/>
      <c r="R810" s="30"/>
    </row>
    <row r="811" ht="15.75" customHeight="1">
      <c r="A811" s="108"/>
      <c r="B811" s="108"/>
      <c r="C811" s="108"/>
      <c r="D811" s="108"/>
      <c r="E811" s="108"/>
      <c r="F811" s="30"/>
      <c r="G811" s="30"/>
      <c r="H811" s="30"/>
      <c r="I811" s="30"/>
      <c r="J811" s="30"/>
      <c r="K811" s="30"/>
      <c r="L811" s="30"/>
      <c r="M811" s="30"/>
      <c r="N811" s="30"/>
      <c r="O811" s="30"/>
      <c r="P811" s="108"/>
      <c r="Q811" s="30"/>
      <c r="R811" s="30"/>
    </row>
    <row r="812" ht="15.75" customHeight="1">
      <c r="A812" s="108"/>
      <c r="B812" s="108"/>
      <c r="C812" s="108"/>
      <c r="D812" s="108"/>
      <c r="E812" s="108"/>
      <c r="F812" s="30"/>
      <c r="G812" s="30"/>
      <c r="H812" s="30"/>
      <c r="I812" s="30"/>
      <c r="J812" s="30"/>
      <c r="K812" s="30"/>
      <c r="L812" s="30"/>
      <c r="M812" s="30"/>
      <c r="N812" s="30"/>
      <c r="O812" s="30"/>
      <c r="P812" s="108"/>
      <c r="Q812" s="30"/>
      <c r="R812" s="30"/>
    </row>
    <row r="813" ht="15.75" customHeight="1">
      <c r="A813" s="108"/>
      <c r="B813" s="108"/>
      <c r="C813" s="108"/>
      <c r="D813" s="108"/>
      <c r="E813" s="108"/>
      <c r="F813" s="30"/>
      <c r="G813" s="30"/>
      <c r="H813" s="30"/>
      <c r="I813" s="30"/>
      <c r="J813" s="30"/>
      <c r="K813" s="30"/>
      <c r="L813" s="30"/>
      <c r="M813" s="30"/>
      <c r="N813" s="30"/>
      <c r="O813" s="30"/>
      <c r="P813" s="108"/>
      <c r="Q813" s="30"/>
      <c r="R813" s="30"/>
    </row>
    <row r="814" ht="15.75" customHeight="1">
      <c r="A814" s="108"/>
      <c r="B814" s="108"/>
      <c r="C814" s="108"/>
      <c r="D814" s="108"/>
      <c r="E814" s="108"/>
      <c r="F814" s="30"/>
      <c r="G814" s="30"/>
      <c r="H814" s="30"/>
      <c r="I814" s="30"/>
      <c r="J814" s="30"/>
      <c r="K814" s="30"/>
      <c r="L814" s="30"/>
      <c r="M814" s="30"/>
      <c r="N814" s="30"/>
      <c r="O814" s="30"/>
      <c r="P814" s="108"/>
      <c r="Q814" s="30"/>
      <c r="R814" s="30"/>
    </row>
    <row r="815" ht="15.75" customHeight="1">
      <c r="A815" s="108"/>
      <c r="B815" s="108"/>
      <c r="C815" s="108"/>
      <c r="D815" s="108"/>
      <c r="E815" s="108"/>
      <c r="F815" s="30"/>
      <c r="G815" s="30"/>
      <c r="H815" s="30"/>
      <c r="I815" s="30"/>
      <c r="J815" s="30"/>
      <c r="K815" s="30"/>
      <c r="L815" s="30"/>
      <c r="M815" s="30"/>
      <c r="N815" s="30"/>
      <c r="O815" s="30"/>
      <c r="P815" s="108"/>
      <c r="Q815" s="30"/>
      <c r="R815" s="30"/>
    </row>
    <row r="816" ht="15.75" customHeight="1">
      <c r="A816" s="108"/>
      <c r="B816" s="108"/>
      <c r="C816" s="108"/>
      <c r="D816" s="108"/>
      <c r="E816" s="108"/>
      <c r="F816" s="30"/>
      <c r="G816" s="30"/>
      <c r="H816" s="30"/>
      <c r="I816" s="30"/>
      <c r="J816" s="30"/>
      <c r="K816" s="30"/>
      <c r="L816" s="30"/>
      <c r="M816" s="30"/>
      <c r="N816" s="30"/>
      <c r="O816" s="30"/>
      <c r="P816" s="108"/>
      <c r="Q816" s="30"/>
      <c r="R816" s="30"/>
    </row>
    <row r="817" ht="15.75" customHeight="1">
      <c r="A817" s="108"/>
      <c r="B817" s="108"/>
      <c r="C817" s="108"/>
      <c r="D817" s="108"/>
      <c r="E817" s="108"/>
      <c r="F817" s="30"/>
      <c r="G817" s="30"/>
      <c r="H817" s="30"/>
      <c r="I817" s="30"/>
      <c r="J817" s="30"/>
      <c r="K817" s="30"/>
      <c r="L817" s="30"/>
      <c r="M817" s="30"/>
      <c r="N817" s="30"/>
      <c r="O817" s="30"/>
      <c r="P817" s="108"/>
      <c r="Q817" s="30"/>
      <c r="R817" s="30"/>
    </row>
    <row r="818" ht="15.75" customHeight="1">
      <c r="A818" s="108"/>
      <c r="B818" s="108"/>
      <c r="C818" s="108"/>
      <c r="D818" s="108"/>
      <c r="E818" s="108"/>
      <c r="F818" s="30"/>
      <c r="G818" s="30"/>
      <c r="H818" s="30"/>
      <c r="I818" s="30"/>
      <c r="J818" s="30"/>
      <c r="K818" s="30"/>
      <c r="L818" s="30"/>
      <c r="M818" s="30"/>
      <c r="N818" s="30"/>
      <c r="O818" s="30"/>
      <c r="P818" s="108"/>
      <c r="Q818" s="30"/>
      <c r="R818" s="30"/>
    </row>
    <row r="819" ht="15.75" customHeight="1">
      <c r="A819" s="108"/>
      <c r="B819" s="108"/>
      <c r="C819" s="108"/>
      <c r="D819" s="108"/>
      <c r="E819" s="108"/>
      <c r="F819" s="30"/>
      <c r="G819" s="30"/>
      <c r="H819" s="30"/>
      <c r="I819" s="30"/>
      <c r="J819" s="30"/>
      <c r="K819" s="30"/>
      <c r="L819" s="30"/>
      <c r="M819" s="30"/>
      <c r="N819" s="30"/>
      <c r="O819" s="30"/>
      <c r="P819" s="108"/>
      <c r="Q819" s="30"/>
      <c r="R819" s="30"/>
    </row>
    <row r="820" ht="15.75" customHeight="1">
      <c r="A820" s="108"/>
      <c r="B820" s="108"/>
      <c r="C820" s="108"/>
      <c r="D820" s="108"/>
      <c r="E820" s="108"/>
      <c r="F820" s="30"/>
      <c r="G820" s="30"/>
      <c r="H820" s="30"/>
      <c r="I820" s="30"/>
      <c r="J820" s="30"/>
      <c r="K820" s="30"/>
      <c r="L820" s="30"/>
      <c r="M820" s="30"/>
      <c r="N820" s="30"/>
      <c r="O820" s="30"/>
      <c r="P820" s="108"/>
      <c r="Q820" s="30"/>
      <c r="R820" s="30"/>
    </row>
    <row r="821" ht="15.75" customHeight="1">
      <c r="A821" s="108"/>
      <c r="B821" s="108"/>
      <c r="C821" s="108"/>
      <c r="D821" s="108"/>
      <c r="E821" s="108"/>
      <c r="F821" s="30"/>
      <c r="G821" s="30"/>
      <c r="H821" s="30"/>
      <c r="I821" s="30"/>
      <c r="J821" s="30"/>
      <c r="K821" s="30"/>
      <c r="L821" s="30"/>
      <c r="M821" s="30"/>
      <c r="N821" s="30"/>
      <c r="O821" s="30"/>
      <c r="P821" s="108"/>
      <c r="Q821" s="30"/>
      <c r="R821" s="30"/>
    </row>
    <row r="822" ht="15.75" customHeight="1">
      <c r="A822" s="108"/>
      <c r="B822" s="108"/>
      <c r="C822" s="108"/>
      <c r="D822" s="108"/>
      <c r="E822" s="108"/>
      <c r="F822" s="30"/>
      <c r="G822" s="30"/>
      <c r="H822" s="30"/>
      <c r="I822" s="30"/>
      <c r="J822" s="30"/>
      <c r="K822" s="30"/>
      <c r="L822" s="30"/>
      <c r="M822" s="30"/>
      <c r="N822" s="30"/>
      <c r="O822" s="30"/>
      <c r="P822" s="108"/>
      <c r="Q822" s="30"/>
      <c r="R822" s="30"/>
    </row>
    <row r="823" ht="15.75" customHeight="1">
      <c r="A823" s="108"/>
      <c r="B823" s="108"/>
      <c r="C823" s="108"/>
      <c r="D823" s="108"/>
      <c r="E823" s="108"/>
      <c r="F823" s="30"/>
      <c r="G823" s="30"/>
      <c r="H823" s="30"/>
      <c r="I823" s="30"/>
      <c r="J823" s="30"/>
      <c r="K823" s="30"/>
      <c r="L823" s="30"/>
      <c r="M823" s="30"/>
      <c r="N823" s="30"/>
      <c r="O823" s="30"/>
      <c r="P823" s="108"/>
      <c r="Q823" s="30"/>
      <c r="R823" s="30"/>
    </row>
    <row r="824" ht="15.75" customHeight="1">
      <c r="A824" s="108"/>
      <c r="B824" s="108"/>
      <c r="C824" s="108"/>
      <c r="D824" s="108"/>
      <c r="E824" s="108"/>
      <c r="F824" s="30"/>
      <c r="G824" s="30"/>
      <c r="H824" s="30"/>
      <c r="I824" s="30"/>
      <c r="J824" s="30"/>
      <c r="K824" s="30"/>
      <c r="L824" s="30"/>
      <c r="M824" s="30"/>
      <c r="N824" s="30"/>
      <c r="O824" s="30"/>
      <c r="P824" s="108"/>
      <c r="Q824" s="30"/>
      <c r="R824" s="30"/>
    </row>
    <row r="825" ht="15.75" customHeight="1">
      <c r="A825" s="108"/>
      <c r="B825" s="108"/>
      <c r="C825" s="108"/>
      <c r="D825" s="108"/>
      <c r="E825" s="108"/>
      <c r="F825" s="30"/>
      <c r="G825" s="30"/>
      <c r="H825" s="30"/>
      <c r="I825" s="30"/>
      <c r="J825" s="30"/>
      <c r="K825" s="30"/>
      <c r="L825" s="30"/>
      <c r="M825" s="30"/>
      <c r="N825" s="30"/>
      <c r="O825" s="30"/>
      <c r="P825" s="108"/>
      <c r="Q825" s="30"/>
      <c r="R825" s="30"/>
    </row>
    <row r="826" ht="15.75" customHeight="1">
      <c r="A826" s="108"/>
      <c r="B826" s="108"/>
      <c r="C826" s="108"/>
      <c r="D826" s="108"/>
      <c r="E826" s="108"/>
      <c r="F826" s="30"/>
      <c r="G826" s="30"/>
      <c r="H826" s="30"/>
      <c r="I826" s="30"/>
      <c r="J826" s="30"/>
      <c r="K826" s="30"/>
      <c r="L826" s="30"/>
      <c r="M826" s="30"/>
      <c r="N826" s="30"/>
      <c r="O826" s="30"/>
      <c r="P826" s="108"/>
      <c r="Q826" s="30"/>
      <c r="R826" s="30"/>
    </row>
    <row r="827" ht="15.75" customHeight="1">
      <c r="A827" s="108"/>
      <c r="B827" s="108"/>
      <c r="C827" s="108"/>
      <c r="D827" s="108"/>
      <c r="E827" s="108"/>
      <c r="F827" s="30"/>
      <c r="G827" s="30"/>
      <c r="H827" s="30"/>
      <c r="I827" s="30"/>
      <c r="J827" s="30"/>
      <c r="K827" s="30"/>
      <c r="L827" s="30"/>
      <c r="M827" s="30"/>
      <c r="N827" s="30"/>
      <c r="O827" s="30"/>
      <c r="P827" s="108"/>
      <c r="Q827" s="30"/>
      <c r="R827" s="30"/>
    </row>
    <row r="828" ht="15.75" customHeight="1">
      <c r="A828" s="108"/>
      <c r="B828" s="108"/>
      <c r="C828" s="108"/>
      <c r="D828" s="108"/>
      <c r="E828" s="108"/>
      <c r="F828" s="30"/>
      <c r="G828" s="30"/>
      <c r="H828" s="30"/>
      <c r="I828" s="30"/>
      <c r="J828" s="30"/>
      <c r="K828" s="30"/>
      <c r="L828" s="30"/>
      <c r="M828" s="30"/>
      <c r="N828" s="30"/>
      <c r="O828" s="30"/>
      <c r="P828" s="108"/>
      <c r="Q828" s="30"/>
      <c r="R828" s="30"/>
    </row>
    <row r="829" ht="15.75" customHeight="1">
      <c r="A829" s="108"/>
      <c r="B829" s="108"/>
      <c r="C829" s="108"/>
      <c r="D829" s="108"/>
      <c r="E829" s="108"/>
      <c r="F829" s="30"/>
      <c r="G829" s="30"/>
      <c r="H829" s="30"/>
      <c r="I829" s="30"/>
      <c r="J829" s="30"/>
      <c r="K829" s="30"/>
      <c r="L829" s="30"/>
      <c r="M829" s="30"/>
      <c r="N829" s="30"/>
      <c r="O829" s="30"/>
      <c r="P829" s="108"/>
      <c r="Q829" s="30"/>
      <c r="R829" s="30"/>
    </row>
    <row r="830" ht="15.75" customHeight="1">
      <c r="A830" s="108"/>
      <c r="B830" s="108"/>
      <c r="C830" s="108"/>
      <c r="D830" s="108"/>
      <c r="E830" s="108"/>
      <c r="F830" s="30"/>
      <c r="G830" s="30"/>
      <c r="H830" s="30"/>
      <c r="I830" s="30"/>
      <c r="J830" s="30"/>
      <c r="K830" s="30"/>
      <c r="L830" s="30"/>
      <c r="M830" s="30"/>
      <c r="N830" s="30"/>
      <c r="O830" s="30"/>
      <c r="P830" s="108"/>
      <c r="Q830" s="30"/>
      <c r="R830" s="30"/>
    </row>
    <row r="831" ht="15.75" customHeight="1">
      <c r="A831" s="108"/>
      <c r="B831" s="108"/>
      <c r="C831" s="108"/>
      <c r="D831" s="108"/>
      <c r="E831" s="108"/>
      <c r="F831" s="30"/>
      <c r="G831" s="30"/>
      <c r="H831" s="30"/>
      <c r="I831" s="30"/>
      <c r="J831" s="30"/>
      <c r="K831" s="30"/>
      <c r="L831" s="30"/>
      <c r="M831" s="30"/>
      <c r="N831" s="30"/>
      <c r="O831" s="30"/>
      <c r="P831" s="108"/>
      <c r="Q831" s="30"/>
      <c r="R831" s="30"/>
    </row>
    <row r="832" ht="15.75" customHeight="1">
      <c r="A832" s="108"/>
      <c r="B832" s="108"/>
      <c r="C832" s="108"/>
      <c r="D832" s="108"/>
      <c r="E832" s="108"/>
      <c r="F832" s="30"/>
      <c r="G832" s="30"/>
      <c r="H832" s="30"/>
      <c r="I832" s="30"/>
      <c r="J832" s="30"/>
      <c r="K832" s="30"/>
      <c r="L832" s="30"/>
      <c r="M832" s="30"/>
      <c r="N832" s="30"/>
      <c r="O832" s="30"/>
      <c r="P832" s="108"/>
      <c r="Q832" s="30"/>
      <c r="R832" s="30"/>
    </row>
    <row r="833" ht="15.75" customHeight="1">
      <c r="A833" s="108"/>
      <c r="B833" s="108"/>
      <c r="C833" s="108"/>
      <c r="D833" s="108"/>
      <c r="E833" s="108"/>
      <c r="F833" s="30"/>
      <c r="G833" s="30"/>
      <c r="H833" s="30"/>
      <c r="I833" s="30"/>
      <c r="J833" s="30"/>
      <c r="K833" s="30"/>
      <c r="L833" s="30"/>
      <c r="M833" s="30"/>
      <c r="N833" s="30"/>
      <c r="O833" s="30"/>
      <c r="P833" s="108"/>
      <c r="Q833" s="30"/>
      <c r="R833" s="30"/>
    </row>
    <row r="834" ht="15.75" customHeight="1">
      <c r="A834" s="108"/>
      <c r="B834" s="108"/>
      <c r="C834" s="108"/>
      <c r="D834" s="108"/>
      <c r="E834" s="108"/>
      <c r="F834" s="30"/>
      <c r="G834" s="30"/>
      <c r="H834" s="30"/>
      <c r="I834" s="30"/>
      <c r="J834" s="30"/>
      <c r="K834" s="30"/>
      <c r="L834" s="30"/>
      <c r="M834" s="30"/>
      <c r="N834" s="30"/>
      <c r="O834" s="30"/>
      <c r="P834" s="108"/>
      <c r="Q834" s="30"/>
      <c r="R834" s="30"/>
    </row>
    <row r="835" ht="15.75" customHeight="1">
      <c r="A835" s="108"/>
      <c r="B835" s="108"/>
      <c r="C835" s="108"/>
      <c r="D835" s="108"/>
      <c r="E835" s="108"/>
      <c r="F835" s="30"/>
      <c r="G835" s="30"/>
      <c r="H835" s="30"/>
      <c r="I835" s="30"/>
      <c r="J835" s="30"/>
      <c r="K835" s="30"/>
      <c r="L835" s="30"/>
      <c r="M835" s="30"/>
      <c r="N835" s="30"/>
      <c r="O835" s="30"/>
      <c r="P835" s="108"/>
      <c r="Q835" s="30"/>
      <c r="R835" s="30"/>
    </row>
    <row r="836" ht="15.75" customHeight="1">
      <c r="A836" s="108"/>
      <c r="B836" s="108"/>
      <c r="C836" s="108"/>
      <c r="D836" s="108"/>
      <c r="E836" s="108"/>
      <c r="F836" s="30"/>
      <c r="G836" s="30"/>
      <c r="H836" s="30"/>
      <c r="I836" s="30"/>
      <c r="J836" s="30"/>
      <c r="K836" s="30"/>
      <c r="L836" s="30"/>
      <c r="M836" s="30"/>
      <c r="N836" s="30"/>
      <c r="O836" s="30"/>
      <c r="P836" s="108"/>
      <c r="Q836" s="30"/>
      <c r="R836" s="30"/>
    </row>
    <row r="837" ht="15.75" customHeight="1">
      <c r="A837" s="108"/>
      <c r="B837" s="108"/>
      <c r="C837" s="108"/>
      <c r="D837" s="108"/>
      <c r="E837" s="108"/>
      <c r="F837" s="30"/>
      <c r="G837" s="30"/>
      <c r="H837" s="30"/>
      <c r="I837" s="30"/>
      <c r="J837" s="30"/>
      <c r="K837" s="30"/>
      <c r="L837" s="30"/>
      <c r="M837" s="30"/>
      <c r="N837" s="30"/>
      <c r="O837" s="30"/>
      <c r="P837" s="108"/>
      <c r="Q837" s="30"/>
      <c r="R837" s="30"/>
    </row>
    <row r="838" ht="15.75" customHeight="1">
      <c r="A838" s="108"/>
      <c r="B838" s="108"/>
      <c r="C838" s="108"/>
      <c r="D838" s="108"/>
      <c r="E838" s="108"/>
      <c r="F838" s="30"/>
      <c r="G838" s="30"/>
      <c r="H838" s="30"/>
      <c r="I838" s="30"/>
      <c r="J838" s="30"/>
      <c r="K838" s="30"/>
      <c r="L838" s="30"/>
      <c r="M838" s="30"/>
      <c r="N838" s="30"/>
      <c r="O838" s="30"/>
      <c r="P838" s="108"/>
      <c r="Q838" s="30"/>
      <c r="R838" s="30"/>
    </row>
    <row r="839" ht="15.75" customHeight="1">
      <c r="A839" s="108"/>
      <c r="B839" s="108"/>
      <c r="C839" s="108"/>
      <c r="D839" s="108"/>
      <c r="E839" s="108"/>
      <c r="F839" s="30"/>
      <c r="G839" s="30"/>
      <c r="H839" s="30"/>
      <c r="I839" s="30"/>
      <c r="J839" s="30"/>
      <c r="K839" s="30"/>
      <c r="L839" s="30"/>
      <c r="M839" s="30"/>
      <c r="N839" s="30"/>
      <c r="O839" s="30"/>
      <c r="P839" s="108"/>
      <c r="Q839" s="30"/>
      <c r="R839" s="30"/>
    </row>
    <row r="840" ht="15.75" customHeight="1">
      <c r="A840" s="108"/>
      <c r="B840" s="108"/>
      <c r="C840" s="108"/>
      <c r="D840" s="108"/>
      <c r="E840" s="108"/>
      <c r="F840" s="30"/>
      <c r="G840" s="30"/>
      <c r="H840" s="30"/>
      <c r="I840" s="30"/>
      <c r="J840" s="30"/>
      <c r="K840" s="30"/>
      <c r="L840" s="30"/>
      <c r="M840" s="30"/>
      <c r="N840" s="30"/>
      <c r="O840" s="30"/>
      <c r="P840" s="108"/>
      <c r="Q840" s="30"/>
      <c r="R840" s="30"/>
    </row>
    <row r="841" ht="15.75" customHeight="1">
      <c r="A841" s="108"/>
      <c r="B841" s="108"/>
      <c r="C841" s="108"/>
      <c r="D841" s="108"/>
      <c r="E841" s="108"/>
      <c r="F841" s="30"/>
      <c r="G841" s="30"/>
      <c r="H841" s="30"/>
      <c r="I841" s="30"/>
      <c r="J841" s="30"/>
      <c r="K841" s="30"/>
      <c r="L841" s="30"/>
      <c r="M841" s="30"/>
      <c r="N841" s="30"/>
      <c r="O841" s="30"/>
      <c r="P841" s="108"/>
      <c r="Q841" s="30"/>
      <c r="R841" s="30"/>
    </row>
    <row r="842" ht="15.75" customHeight="1">
      <c r="A842" s="108"/>
      <c r="B842" s="108"/>
      <c r="C842" s="108"/>
      <c r="D842" s="108"/>
      <c r="E842" s="108"/>
      <c r="F842" s="30"/>
      <c r="G842" s="30"/>
      <c r="H842" s="30"/>
      <c r="I842" s="30"/>
      <c r="J842" s="30"/>
      <c r="K842" s="30"/>
      <c r="L842" s="30"/>
      <c r="M842" s="30"/>
      <c r="N842" s="30"/>
      <c r="O842" s="30"/>
      <c r="P842" s="108"/>
      <c r="Q842" s="30"/>
      <c r="R842" s="30"/>
    </row>
    <row r="843" ht="15.75" customHeight="1">
      <c r="A843" s="108"/>
      <c r="B843" s="108"/>
      <c r="C843" s="108"/>
      <c r="D843" s="108"/>
      <c r="E843" s="108"/>
      <c r="F843" s="30"/>
      <c r="G843" s="30"/>
      <c r="H843" s="30"/>
      <c r="I843" s="30"/>
      <c r="J843" s="30"/>
      <c r="K843" s="30"/>
      <c r="L843" s="30"/>
      <c r="M843" s="30"/>
      <c r="N843" s="30"/>
      <c r="O843" s="30"/>
      <c r="P843" s="108"/>
      <c r="Q843" s="30"/>
      <c r="R843" s="30"/>
    </row>
    <row r="844" ht="15.75" customHeight="1">
      <c r="A844" s="108"/>
      <c r="B844" s="108"/>
      <c r="C844" s="108"/>
      <c r="D844" s="108"/>
      <c r="E844" s="108"/>
      <c r="F844" s="30"/>
      <c r="G844" s="30"/>
      <c r="H844" s="30"/>
      <c r="I844" s="30"/>
      <c r="J844" s="30"/>
      <c r="K844" s="30"/>
      <c r="L844" s="30"/>
      <c r="M844" s="30"/>
      <c r="N844" s="30"/>
      <c r="O844" s="30"/>
      <c r="P844" s="108"/>
      <c r="Q844" s="30"/>
      <c r="R844" s="30"/>
    </row>
    <row r="845" ht="15.75" customHeight="1">
      <c r="A845" s="108"/>
      <c r="B845" s="108"/>
      <c r="C845" s="108"/>
      <c r="D845" s="108"/>
      <c r="E845" s="108"/>
      <c r="F845" s="30"/>
      <c r="G845" s="30"/>
      <c r="H845" s="30"/>
      <c r="I845" s="30"/>
      <c r="J845" s="30"/>
      <c r="K845" s="30"/>
      <c r="L845" s="30"/>
      <c r="M845" s="30"/>
      <c r="N845" s="30"/>
      <c r="O845" s="30"/>
      <c r="P845" s="108"/>
      <c r="Q845" s="30"/>
      <c r="R845" s="30"/>
    </row>
    <row r="846" ht="15.75" customHeight="1">
      <c r="A846" s="108"/>
      <c r="B846" s="108"/>
      <c r="C846" s="108"/>
      <c r="D846" s="108"/>
      <c r="E846" s="108"/>
      <c r="F846" s="30"/>
      <c r="G846" s="30"/>
      <c r="H846" s="30"/>
      <c r="I846" s="30"/>
      <c r="J846" s="30"/>
      <c r="K846" s="30"/>
      <c r="L846" s="30"/>
      <c r="M846" s="30"/>
      <c r="N846" s="30"/>
      <c r="O846" s="30"/>
      <c r="P846" s="108"/>
      <c r="Q846" s="30"/>
      <c r="R846" s="30"/>
    </row>
    <row r="847" ht="15.75" customHeight="1">
      <c r="A847" s="108"/>
      <c r="B847" s="108"/>
      <c r="C847" s="108"/>
      <c r="D847" s="108"/>
      <c r="E847" s="108"/>
      <c r="F847" s="30"/>
      <c r="G847" s="30"/>
      <c r="H847" s="30"/>
      <c r="I847" s="30"/>
      <c r="J847" s="30"/>
      <c r="K847" s="30"/>
      <c r="L847" s="30"/>
      <c r="M847" s="30"/>
      <c r="N847" s="30"/>
      <c r="O847" s="30"/>
      <c r="P847" s="108"/>
      <c r="Q847" s="30"/>
      <c r="R847" s="30"/>
    </row>
    <row r="848" ht="15.75" customHeight="1">
      <c r="A848" s="108"/>
      <c r="B848" s="108"/>
      <c r="C848" s="108"/>
      <c r="D848" s="108"/>
      <c r="E848" s="108"/>
      <c r="F848" s="30"/>
      <c r="G848" s="30"/>
      <c r="H848" s="30"/>
      <c r="I848" s="30"/>
      <c r="J848" s="30"/>
      <c r="K848" s="30"/>
      <c r="L848" s="30"/>
      <c r="M848" s="30"/>
      <c r="N848" s="30"/>
      <c r="O848" s="30"/>
      <c r="P848" s="108"/>
      <c r="Q848" s="30"/>
      <c r="R848" s="30"/>
    </row>
    <row r="849" ht="15.75" customHeight="1">
      <c r="A849" s="108"/>
      <c r="B849" s="108"/>
      <c r="C849" s="108"/>
      <c r="D849" s="108"/>
      <c r="E849" s="108"/>
      <c r="F849" s="30"/>
      <c r="G849" s="30"/>
      <c r="H849" s="30"/>
      <c r="I849" s="30"/>
      <c r="J849" s="30"/>
      <c r="K849" s="30"/>
      <c r="L849" s="30"/>
      <c r="M849" s="30"/>
      <c r="N849" s="30"/>
      <c r="O849" s="30"/>
      <c r="P849" s="108"/>
      <c r="Q849" s="30"/>
      <c r="R849" s="30"/>
    </row>
    <row r="850" ht="15.75" customHeight="1">
      <c r="A850" s="108"/>
      <c r="B850" s="108"/>
      <c r="C850" s="108"/>
      <c r="D850" s="108"/>
      <c r="E850" s="108"/>
      <c r="F850" s="30"/>
      <c r="G850" s="30"/>
      <c r="H850" s="30"/>
      <c r="I850" s="30"/>
      <c r="J850" s="30"/>
      <c r="K850" s="30"/>
      <c r="L850" s="30"/>
      <c r="M850" s="30"/>
      <c r="N850" s="30"/>
      <c r="O850" s="30"/>
      <c r="P850" s="108"/>
      <c r="Q850" s="30"/>
      <c r="R850" s="30"/>
    </row>
    <row r="851" ht="15.75" customHeight="1">
      <c r="A851" s="108"/>
      <c r="B851" s="108"/>
      <c r="C851" s="108"/>
      <c r="D851" s="108"/>
      <c r="E851" s="108"/>
      <c r="F851" s="30"/>
      <c r="G851" s="30"/>
      <c r="H851" s="30"/>
      <c r="I851" s="30"/>
      <c r="J851" s="30"/>
      <c r="K851" s="30"/>
      <c r="L851" s="30"/>
      <c r="M851" s="30"/>
      <c r="N851" s="30"/>
      <c r="O851" s="30"/>
      <c r="P851" s="108"/>
      <c r="Q851" s="30"/>
      <c r="R851" s="30"/>
    </row>
    <row r="852" ht="15.75" customHeight="1">
      <c r="A852" s="108"/>
      <c r="B852" s="108"/>
      <c r="C852" s="108"/>
      <c r="D852" s="108"/>
      <c r="E852" s="108"/>
      <c r="F852" s="30"/>
      <c r="G852" s="30"/>
      <c r="H852" s="30"/>
      <c r="I852" s="30"/>
      <c r="J852" s="30"/>
      <c r="K852" s="30"/>
      <c r="L852" s="30"/>
      <c r="M852" s="30"/>
      <c r="N852" s="30"/>
      <c r="O852" s="30"/>
      <c r="P852" s="108"/>
      <c r="Q852" s="30"/>
      <c r="R852" s="30"/>
    </row>
    <row r="853" ht="15.75" customHeight="1">
      <c r="A853" s="108"/>
      <c r="B853" s="108"/>
      <c r="C853" s="108"/>
      <c r="D853" s="108"/>
      <c r="E853" s="108"/>
      <c r="F853" s="30"/>
      <c r="G853" s="30"/>
      <c r="H853" s="30"/>
      <c r="I853" s="30"/>
      <c r="J853" s="30"/>
      <c r="K853" s="30"/>
      <c r="L853" s="30"/>
      <c r="M853" s="30"/>
      <c r="N853" s="30"/>
      <c r="O853" s="30"/>
      <c r="P853" s="108"/>
      <c r="Q853" s="30"/>
      <c r="R853" s="30"/>
    </row>
    <row r="854" ht="15.75" customHeight="1">
      <c r="A854" s="108"/>
      <c r="B854" s="108"/>
      <c r="C854" s="108"/>
      <c r="D854" s="108"/>
      <c r="E854" s="108"/>
      <c r="F854" s="30"/>
      <c r="G854" s="30"/>
      <c r="H854" s="30"/>
      <c r="I854" s="30"/>
      <c r="J854" s="30"/>
      <c r="K854" s="30"/>
      <c r="L854" s="30"/>
      <c r="M854" s="30"/>
      <c r="N854" s="30"/>
      <c r="O854" s="30"/>
      <c r="P854" s="108"/>
      <c r="Q854" s="30"/>
      <c r="R854" s="30"/>
    </row>
    <row r="855" ht="15.75" customHeight="1">
      <c r="A855" s="108"/>
      <c r="B855" s="108"/>
      <c r="C855" s="108"/>
      <c r="D855" s="108"/>
      <c r="E855" s="108"/>
      <c r="F855" s="30"/>
      <c r="G855" s="30"/>
      <c r="H855" s="30"/>
      <c r="I855" s="30"/>
      <c r="J855" s="30"/>
      <c r="K855" s="30"/>
      <c r="L855" s="30"/>
      <c r="M855" s="30"/>
      <c r="N855" s="30"/>
      <c r="O855" s="30"/>
      <c r="P855" s="108"/>
      <c r="Q855" s="30"/>
      <c r="R855" s="30"/>
    </row>
    <row r="856" ht="15.75" customHeight="1">
      <c r="A856" s="108"/>
      <c r="B856" s="108"/>
      <c r="C856" s="108"/>
      <c r="D856" s="108"/>
      <c r="E856" s="108"/>
      <c r="F856" s="30"/>
      <c r="G856" s="30"/>
      <c r="H856" s="30"/>
      <c r="I856" s="30"/>
      <c r="J856" s="30"/>
      <c r="K856" s="30"/>
      <c r="L856" s="30"/>
      <c r="M856" s="30"/>
      <c r="N856" s="30"/>
      <c r="O856" s="30"/>
      <c r="P856" s="108"/>
      <c r="Q856" s="30"/>
      <c r="R856" s="30"/>
    </row>
    <row r="857" ht="15.75" customHeight="1">
      <c r="A857" s="108"/>
      <c r="B857" s="108"/>
      <c r="C857" s="108"/>
      <c r="D857" s="108"/>
      <c r="E857" s="108"/>
      <c r="F857" s="30"/>
      <c r="G857" s="30"/>
      <c r="H857" s="30"/>
      <c r="I857" s="30"/>
      <c r="J857" s="30"/>
      <c r="K857" s="30"/>
      <c r="L857" s="30"/>
      <c r="M857" s="30"/>
      <c r="N857" s="30"/>
      <c r="O857" s="30"/>
      <c r="P857" s="108"/>
      <c r="Q857" s="30"/>
      <c r="R857" s="30"/>
    </row>
    <row r="858" ht="15.75" customHeight="1">
      <c r="A858" s="108"/>
      <c r="B858" s="108"/>
      <c r="C858" s="108"/>
      <c r="D858" s="108"/>
      <c r="E858" s="108"/>
      <c r="F858" s="30"/>
      <c r="G858" s="30"/>
      <c r="H858" s="30"/>
      <c r="I858" s="30"/>
      <c r="J858" s="30"/>
      <c r="K858" s="30"/>
      <c r="L858" s="30"/>
      <c r="M858" s="30"/>
      <c r="N858" s="30"/>
      <c r="O858" s="30"/>
      <c r="P858" s="108"/>
      <c r="Q858" s="30"/>
      <c r="R858" s="30"/>
    </row>
    <row r="859" ht="15.75" customHeight="1">
      <c r="A859" s="108"/>
      <c r="B859" s="108"/>
      <c r="C859" s="108"/>
      <c r="D859" s="108"/>
      <c r="E859" s="108"/>
      <c r="F859" s="30"/>
      <c r="G859" s="30"/>
      <c r="H859" s="30"/>
      <c r="I859" s="30"/>
      <c r="J859" s="30"/>
      <c r="K859" s="30"/>
      <c r="L859" s="30"/>
      <c r="M859" s="30"/>
      <c r="N859" s="30"/>
      <c r="O859" s="30"/>
      <c r="P859" s="108"/>
      <c r="Q859" s="30"/>
      <c r="R859" s="30"/>
    </row>
    <row r="860" ht="15.75" customHeight="1">
      <c r="A860" s="108"/>
      <c r="B860" s="108"/>
      <c r="C860" s="108"/>
      <c r="D860" s="108"/>
      <c r="E860" s="108"/>
      <c r="F860" s="30"/>
      <c r="G860" s="30"/>
      <c r="H860" s="30"/>
      <c r="I860" s="30"/>
      <c r="J860" s="30"/>
      <c r="K860" s="30"/>
      <c r="L860" s="30"/>
      <c r="M860" s="30"/>
      <c r="N860" s="30"/>
      <c r="O860" s="30"/>
      <c r="P860" s="108"/>
      <c r="Q860" s="30"/>
      <c r="R860" s="30"/>
    </row>
    <row r="861" ht="15.75" customHeight="1">
      <c r="A861" s="108"/>
      <c r="B861" s="108"/>
      <c r="C861" s="108"/>
      <c r="D861" s="108"/>
      <c r="E861" s="108"/>
      <c r="F861" s="30"/>
      <c r="G861" s="30"/>
      <c r="H861" s="30"/>
      <c r="I861" s="30"/>
      <c r="J861" s="30"/>
      <c r="K861" s="30"/>
      <c r="L861" s="30"/>
      <c r="M861" s="30"/>
      <c r="N861" s="30"/>
      <c r="O861" s="30"/>
      <c r="P861" s="108"/>
      <c r="Q861" s="30"/>
      <c r="R861" s="30"/>
    </row>
    <row r="862" ht="15.75" customHeight="1">
      <c r="A862" s="108"/>
      <c r="B862" s="108"/>
      <c r="C862" s="108"/>
      <c r="D862" s="108"/>
      <c r="E862" s="108"/>
      <c r="F862" s="30"/>
      <c r="G862" s="30"/>
      <c r="H862" s="30"/>
      <c r="I862" s="30"/>
      <c r="J862" s="30"/>
      <c r="K862" s="30"/>
      <c r="L862" s="30"/>
      <c r="M862" s="30"/>
      <c r="N862" s="30"/>
      <c r="O862" s="30"/>
      <c r="P862" s="108"/>
      <c r="Q862" s="30"/>
      <c r="R862" s="30"/>
    </row>
    <row r="863" ht="15.75" customHeight="1">
      <c r="A863" s="108"/>
      <c r="B863" s="108"/>
      <c r="C863" s="108"/>
      <c r="D863" s="108"/>
      <c r="E863" s="108"/>
      <c r="F863" s="30"/>
      <c r="G863" s="30"/>
      <c r="H863" s="30"/>
      <c r="I863" s="30"/>
      <c r="J863" s="30"/>
      <c r="K863" s="30"/>
      <c r="L863" s="30"/>
      <c r="M863" s="30"/>
      <c r="N863" s="30"/>
      <c r="O863" s="30"/>
      <c r="P863" s="108"/>
      <c r="Q863" s="30"/>
      <c r="R863" s="30"/>
    </row>
    <row r="864" ht="15.75" customHeight="1">
      <c r="A864" s="108"/>
      <c r="B864" s="108"/>
      <c r="C864" s="108"/>
      <c r="D864" s="108"/>
      <c r="E864" s="108"/>
      <c r="F864" s="30"/>
      <c r="G864" s="30"/>
      <c r="H864" s="30"/>
      <c r="I864" s="30"/>
      <c r="J864" s="30"/>
      <c r="K864" s="30"/>
      <c r="L864" s="30"/>
      <c r="M864" s="30"/>
      <c r="N864" s="30"/>
      <c r="O864" s="30"/>
      <c r="P864" s="108"/>
      <c r="Q864" s="30"/>
      <c r="R864" s="30"/>
    </row>
    <row r="865" ht="15.75" customHeight="1">
      <c r="A865" s="108"/>
      <c r="B865" s="108"/>
      <c r="C865" s="108"/>
      <c r="D865" s="108"/>
      <c r="E865" s="108"/>
      <c r="F865" s="30"/>
      <c r="G865" s="30"/>
      <c r="H865" s="30"/>
      <c r="I865" s="30"/>
      <c r="J865" s="30"/>
      <c r="K865" s="30"/>
      <c r="L865" s="30"/>
      <c r="M865" s="30"/>
      <c r="N865" s="30"/>
      <c r="O865" s="30"/>
      <c r="P865" s="108"/>
      <c r="Q865" s="30"/>
      <c r="R865" s="30"/>
    </row>
    <row r="866" ht="15.75" customHeight="1">
      <c r="A866" s="108"/>
      <c r="B866" s="108"/>
      <c r="C866" s="108"/>
      <c r="D866" s="108"/>
      <c r="E866" s="108"/>
      <c r="F866" s="30"/>
      <c r="G866" s="30"/>
      <c r="H866" s="30"/>
      <c r="I866" s="30"/>
      <c r="J866" s="30"/>
      <c r="K866" s="30"/>
      <c r="L866" s="30"/>
      <c r="M866" s="30"/>
      <c r="N866" s="30"/>
      <c r="O866" s="30"/>
      <c r="P866" s="108"/>
      <c r="Q866" s="30"/>
      <c r="R866" s="30"/>
    </row>
    <row r="867" ht="15.75" customHeight="1">
      <c r="A867" s="108"/>
      <c r="B867" s="108"/>
      <c r="C867" s="108"/>
      <c r="D867" s="108"/>
      <c r="E867" s="108"/>
      <c r="F867" s="30"/>
      <c r="G867" s="30"/>
      <c r="H867" s="30"/>
      <c r="I867" s="30"/>
      <c r="J867" s="30"/>
      <c r="K867" s="30"/>
      <c r="L867" s="30"/>
      <c r="M867" s="30"/>
      <c r="N867" s="30"/>
      <c r="O867" s="30"/>
      <c r="P867" s="108"/>
      <c r="Q867" s="30"/>
      <c r="R867" s="30"/>
    </row>
    <row r="868" ht="15.75" customHeight="1">
      <c r="A868" s="108"/>
      <c r="B868" s="108"/>
      <c r="C868" s="108"/>
      <c r="D868" s="108"/>
      <c r="E868" s="108"/>
      <c r="F868" s="30"/>
      <c r="G868" s="30"/>
      <c r="H868" s="30"/>
      <c r="I868" s="30"/>
      <c r="J868" s="30"/>
      <c r="K868" s="30"/>
      <c r="L868" s="30"/>
      <c r="M868" s="30"/>
      <c r="N868" s="30"/>
      <c r="O868" s="30"/>
      <c r="P868" s="108"/>
      <c r="Q868" s="30"/>
      <c r="R868" s="30"/>
    </row>
    <row r="869" ht="15.75" customHeight="1">
      <c r="A869" s="108"/>
      <c r="B869" s="108"/>
      <c r="C869" s="108"/>
      <c r="D869" s="108"/>
      <c r="E869" s="108"/>
      <c r="F869" s="30"/>
      <c r="G869" s="30"/>
      <c r="H869" s="30"/>
      <c r="I869" s="30"/>
      <c r="J869" s="30"/>
      <c r="K869" s="30"/>
      <c r="L869" s="30"/>
      <c r="M869" s="30"/>
      <c r="N869" s="30"/>
      <c r="O869" s="30"/>
      <c r="P869" s="108"/>
      <c r="Q869" s="30"/>
      <c r="R869" s="30"/>
    </row>
    <row r="870" ht="15.75" customHeight="1">
      <c r="A870" s="108"/>
      <c r="B870" s="108"/>
      <c r="C870" s="108"/>
      <c r="D870" s="108"/>
      <c r="E870" s="108"/>
      <c r="F870" s="30"/>
      <c r="G870" s="30"/>
      <c r="H870" s="30"/>
      <c r="I870" s="30"/>
      <c r="J870" s="30"/>
      <c r="K870" s="30"/>
      <c r="L870" s="30"/>
      <c r="M870" s="30"/>
      <c r="N870" s="30"/>
      <c r="O870" s="30"/>
      <c r="P870" s="108"/>
      <c r="Q870" s="30"/>
      <c r="R870" s="30"/>
    </row>
    <row r="871" ht="15.75" customHeight="1">
      <c r="A871" s="108"/>
      <c r="B871" s="108"/>
      <c r="C871" s="108"/>
      <c r="D871" s="108"/>
      <c r="E871" s="108"/>
      <c r="F871" s="30"/>
      <c r="G871" s="30"/>
      <c r="H871" s="30"/>
      <c r="I871" s="30"/>
      <c r="J871" s="30"/>
      <c r="K871" s="30"/>
      <c r="L871" s="30"/>
      <c r="M871" s="30"/>
      <c r="N871" s="30"/>
      <c r="O871" s="30"/>
      <c r="P871" s="108"/>
      <c r="Q871" s="30"/>
      <c r="R871" s="30"/>
    </row>
    <row r="872" ht="15.75" customHeight="1">
      <c r="A872" s="108"/>
      <c r="B872" s="108"/>
      <c r="C872" s="108"/>
      <c r="D872" s="108"/>
      <c r="E872" s="108"/>
      <c r="F872" s="30"/>
      <c r="G872" s="30"/>
      <c r="H872" s="30"/>
      <c r="I872" s="30"/>
      <c r="J872" s="30"/>
      <c r="K872" s="30"/>
      <c r="L872" s="30"/>
      <c r="M872" s="30"/>
      <c r="N872" s="30"/>
      <c r="O872" s="30"/>
      <c r="P872" s="108"/>
      <c r="Q872" s="30"/>
      <c r="R872" s="30"/>
    </row>
    <row r="873" ht="15.75" customHeight="1">
      <c r="A873" s="108"/>
      <c r="B873" s="108"/>
      <c r="C873" s="108"/>
      <c r="D873" s="108"/>
      <c r="E873" s="108"/>
      <c r="F873" s="30"/>
      <c r="G873" s="30"/>
      <c r="H873" s="30"/>
      <c r="I873" s="30"/>
      <c r="J873" s="30"/>
      <c r="K873" s="30"/>
      <c r="L873" s="30"/>
      <c r="M873" s="30"/>
      <c r="N873" s="30"/>
      <c r="O873" s="30"/>
      <c r="P873" s="108"/>
      <c r="Q873" s="30"/>
      <c r="R873" s="30"/>
    </row>
    <row r="874" ht="15.75" customHeight="1">
      <c r="A874" s="108"/>
      <c r="B874" s="108"/>
      <c r="C874" s="108"/>
      <c r="D874" s="108"/>
      <c r="E874" s="108"/>
      <c r="F874" s="30"/>
      <c r="G874" s="30"/>
      <c r="H874" s="30"/>
      <c r="I874" s="30"/>
      <c r="J874" s="30"/>
      <c r="K874" s="30"/>
      <c r="L874" s="30"/>
      <c r="M874" s="30"/>
      <c r="N874" s="30"/>
      <c r="O874" s="30"/>
      <c r="P874" s="108"/>
      <c r="Q874" s="30"/>
      <c r="R874" s="30"/>
    </row>
    <row r="875" ht="15.75" customHeight="1">
      <c r="A875" s="108"/>
      <c r="B875" s="108"/>
      <c r="C875" s="108"/>
      <c r="D875" s="108"/>
      <c r="E875" s="108"/>
      <c r="F875" s="30"/>
      <c r="G875" s="30"/>
      <c r="H875" s="30"/>
      <c r="I875" s="30"/>
      <c r="J875" s="30"/>
      <c r="K875" s="30"/>
      <c r="L875" s="30"/>
      <c r="M875" s="30"/>
      <c r="N875" s="30"/>
      <c r="O875" s="30"/>
      <c r="P875" s="108"/>
      <c r="Q875" s="30"/>
      <c r="R875" s="30"/>
    </row>
    <row r="876" ht="15.75" customHeight="1">
      <c r="A876" s="108"/>
      <c r="B876" s="108"/>
      <c r="C876" s="108"/>
      <c r="D876" s="108"/>
      <c r="E876" s="108"/>
      <c r="F876" s="30"/>
      <c r="G876" s="30"/>
      <c r="H876" s="30"/>
      <c r="I876" s="30"/>
      <c r="J876" s="30"/>
      <c r="K876" s="30"/>
      <c r="L876" s="30"/>
      <c r="M876" s="30"/>
      <c r="N876" s="30"/>
      <c r="O876" s="30"/>
      <c r="P876" s="108"/>
      <c r="Q876" s="30"/>
      <c r="R876" s="30"/>
    </row>
    <row r="877" ht="15.75" customHeight="1">
      <c r="A877" s="108"/>
      <c r="B877" s="108"/>
      <c r="C877" s="108"/>
      <c r="D877" s="108"/>
      <c r="E877" s="108"/>
      <c r="F877" s="30"/>
      <c r="G877" s="30"/>
      <c r="H877" s="30"/>
      <c r="I877" s="30"/>
      <c r="J877" s="30"/>
      <c r="K877" s="30"/>
      <c r="L877" s="30"/>
      <c r="M877" s="30"/>
      <c r="N877" s="30"/>
      <c r="O877" s="30"/>
      <c r="P877" s="108"/>
      <c r="Q877" s="30"/>
      <c r="R877" s="30"/>
    </row>
    <row r="878" ht="15.75" customHeight="1">
      <c r="A878" s="108"/>
      <c r="B878" s="108"/>
      <c r="C878" s="108"/>
      <c r="D878" s="108"/>
      <c r="E878" s="108"/>
      <c r="F878" s="30"/>
      <c r="G878" s="30"/>
      <c r="H878" s="30"/>
      <c r="I878" s="30"/>
      <c r="J878" s="30"/>
      <c r="K878" s="30"/>
      <c r="L878" s="30"/>
      <c r="M878" s="30"/>
      <c r="N878" s="30"/>
      <c r="O878" s="30"/>
      <c r="P878" s="108"/>
      <c r="Q878" s="30"/>
      <c r="R878" s="30"/>
    </row>
    <row r="879" ht="15.75" customHeight="1">
      <c r="A879" s="108"/>
      <c r="B879" s="108"/>
      <c r="C879" s="108"/>
      <c r="D879" s="108"/>
      <c r="E879" s="108"/>
      <c r="F879" s="30"/>
      <c r="G879" s="30"/>
      <c r="H879" s="30"/>
      <c r="I879" s="30"/>
      <c r="J879" s="30"/>
      <c r="K879" s="30"/>
      <c r="L879" s="30"/>
      <c r="M879" s="30"/>
      <c r="N879" s="30"/>
      <c r="O879" s="30"/>
      <c r="P879" s="108"/>
      <c r="Q879" s="30"/>
      <c r="R879" s="30"/>
    </row>
    <row r="880" ht="15.75" customHeight="1">
      <c r="A880" s="108"/>
      <c r="B880" s="108"/>
      <c r="C880" s="108"/>
      <c r="D880" s="108"/>
      <c r="E880" s="108"/>
      <c r="F880" s="30"/>
      <c r="G880" s="30"/>
      <c r="H880" s="30"/>
      <c r="I880" s="30"/>
      <c r="J880" s="30"/>
      <c r="K880" s="30"/>
      <c r="L880" s="30"/>
      <c r="M880" s="30"/>
      <c r="N880" s="30"/>
      <c r="O880" s="30"/>
      <c r="P880" s="108"/>
      <c r="Q880" s="30"/>
      <c r="R880" s="30"/>
    </row>
    <row r="881" ht="15.75" customHeight="1">
      <c r="A881" s="108"/>
      <c r="B881" s="108"/>
      <c r="C881" s="108"/>
      <c r="D881" s="108"/>
      <c r="E881" s="108"/>
      <c r="F881" s="30"/>
      <c r="G881" s="30"/>
      <c r="H881" s="30"/>
      <c r="I881" s="30"/>
      <c r="J881" s="30"/>
      <c r="K881" s="30"/>
      <c r="L881" s="30"/>
      <c r="M881" s="30"/>
      <c r="N881" s="30"/>
      <c r="O881" s="30"/>
      <c r="P881" s="108"/>
      <c r="Q881" s="30"/>
      <c r="R881" s="30"/>
    </row>
    <row r="882" ht="15.75" customHeight="1">
      <c r="A882" s="108"/>
      <c r="B882" s="108"/>
      <c r="C882" s="108"/>
      <c r="D882" s="108"/>
      <c r="E882" s="108"/>
      <c r="F882" s="30"/>
      <c r="G882" s="30"/>
      <c r="H882" s="30"/>
      <c r="I882" s="30"/>
      <c r="J882" s="30"/>
      <c r="K882" s="30"/>
      <c r="L882" s="30"/>
      <c r="M882" s="30"/>
      <c r="N882" s="30"/>
      <c r="O882" s="30"/>
      <c r="P882" s="108"/>
      <c r="Q882" s="30"/>
      <c r="R882" s="30"/>
    </row>
    <row r="883" ht="15.75" customHeight="1">
      <c r="A883" s="108"/>
      <c r="B883" s="108"/>
      <c r="C883" s="108"/>
      <c r="D883" s="108"/>
      <c r="E883" s="108"/>
      <c r="F883" s="30"/>
      <c r="G883" s="30"/>
      <c r="H883" s="30"/>
      <c r="I883" s="30"/>
      <c r="J883" s="30"/>
      <c r="K883" s="30"/>
      <c r="L883" s="30"/>
      <c r="M883" s="30"/>
      <c r="N883" s="30"/>
      <c r="O883" s="30"/>
      <c r="P883" s="108"/>
      <c r="Q883" s="30"/>
      <c r="R883" s="30"/>
    </row>
    <row r="884" ht="15.75" customHeight="1">
      <c r="A884" s="108"/>
      <c r="B884" s="108"/>
      <c r="C884" s="108"/>
      <c r="D884" s="108"/>
      <c r="E884" s="108"/>
      <c r="F884" s="30"/>
      <c r="G884" s="30"/>
      <c r="H884" s="30"/>
      <c r="I884" s="30"/>
      <c r="J884" s="30"/>
      <c r="K884" s="30"/>
      <c r="L884" s="30"/>
      <c r="M884" s="30"/>
      <c r="N884" s="30"/>
      <c r="O884" s="30"/>
      <c r="P884" s="108"/>
      <c r="Q884" s="30"/>
      <c r="R884" s="30"/>
    </row>
    <row r="885" ht="15.75" customHeight="1">
      <c r="A885" s="108"/>
      <c r="B885" s="108"/>
      <c r="C885" s="108"/>
      <c r="D885" s="108"/>
      <c r="E885" s="108"/>
      <c r="F885" s="30"/>
      <c r="G885" s="30"/>
      <c r="H885" s="30"/>
      <c r="I885" s="30"/>
      <c r="J885" s="30"/>
      <c r="K885" s="30"/>
      <c r="L885" s="30"/>
      <c r="M885" s="30"/>
      <c r="N885" s="30"/>
      <c r="O885" s="30"/>
      <c r="P885" s="108"/>
      <c r="Q885" s="30"/>
      <c r="R885" s="30"/>
    </row>
    <row r="886" ht="15.75" customHeight="1">
      <c r="A886" s="108"/>
      <c r="B886" s="108"/>
      <c r="C886" s="108"/>
      <c r="D886" s="108"/>
      <c r="E886" s="108"/>
      <c r="F886" s="30"/>
      <c r="G886" s="30"/>
      <c r="H886" s="30"/>
      <c r="I886" s="30"/>
      <c r="J886" s="30"/>
      <c r="K886" s="30"/>
      <c r="L886" s="30"/>
      <c r="M886" s="30"/>
      <c r="N886" s="30"/>
      <c r="O886" s="30"/>
      <c r="P886" s="108"/>
      <c r="Q886" s="30"/>
      <c r="R886" s="30"/>
    </row>
    <row r="887" ht="15.75" customHeight="1">
      <c r="A887" s="108"/>
      <c r="B887" s="108"/>
      <c r="C887" s="108"/>
      <c r="D887" s="108"/>
      <c r="E887" s="108"/>
      <c r="F887" s="30"/>
      <c r="G887" s="30"/>
      <c r="H887" s="30"/>
      <c r="I887" s="30"/>
      <c r="J887" s="30"/>
      <c r="K887" s="30"/>
      <c r="L887" s="30"/>
      <c r="M887" s="30"/>
      <c r="N887" s="30"/>
      <c r="O887" s="30"/>
      <c r="P887" s="108"/>
      <c r="Q887" s="30"/>
      <c r="R887" s="30"/>
    </row>
    <row r="888" ht="15.75" customHeight="1">
      <c r="A888" s="108"/>
      <c r="B888" s="108"/>
      <c r="C888" s="108"/>
      <c r="D888" s="108"/>
      <c r="E888" s="108"/>
      <c r="F888" s="30"/>
      <c r="G888" s="30"/>
      <c r="H888" s="30"/>
      <c r="I888" s="30"/>
      <c r="J888" s="30"/>
      <c r="K888" s="30"/>
      <c r="L888" s="30"/>
      <c r="M888" s="30"/>
      <c r="N888" s="30"/>
      <c r="O888" s="30"/>
      <c r="P888" s="108"/>
      <c r="Q888" s="30"/>
      <c r="R888" s="30"/>
    </row>
    <row r="889" ht="15.75" customHeight="1">
      <c r="A889" s="108"/>
      <c r="B889" s="108"/>
      <c r="C889" s="108"/>
      <c r="D889" s="108"/>
      <c r="E889" s="108"/>
      <c r="F889" s="30"/>
      <c r="G889" s="30"/>
      <c r="H889" s="30"/>
      <c r="I889" s="30"/>
      <c r="J889" s="30"/>
      <c r="K889" s="30"/>
      <c r="L889" s="30"/>
      <c r="M889" s="30"/>
      <c r="N889" s="30"/>
      <c r="O889" s="30"/>
      <c r="P889" s="108"/>
      <c r="Q889" s="30"/>
      <c r="R889" s="30"/>
    </row>
    <row r="890" ht="15.75" customHeight="1">
      <c r="A890" s="108"/>
      <c r="B890" s="108"/>
      <c r="C890" s="108"/>
      <c r="D890" s="108"/>
      <c r="E890" s="108"/>
      <c r="F890" s="30"/>
      <c r="G890" s="30"/>
      <c r="H890" s="30"/>
      <c r="I890" s="30"/>
      <c r="J890" s="30"/>
      <c r="K890" s="30"/>
      <c r="L890" s="30"/>
      <c r="M890" s="30"/>
      <c r="N890" s="30"/>
      <c r="O890" s="30"/>
      <c r="P890" s="108"/>
      <c r="Q890" s="30"/>
      <c r="R890" s="30"/>
    </row>
    <row r="891" ht="15.75" customHeight="1">
      <c r="A891" s="108"/>
      <c r="B891" s="108"/>
      <c r="C891" s="108"/>
      <c r="D891" s="108"/>
      <c r="E891" s="108"/>
      <c r="F891" s="30"/>
      <c r="G891" s="30"/>
      <c r="H891" s="30"/>
      <c r="I891" s="30"/>
      <c r="J891" s="30"/>
      <c r="K891" s="30"/>
      <c r="L891" s="30"/>
      <c r="M891" s="30"/>
      <c r="N891" s="30"/>
      <c r="O891" s="30"/>
      <c r="P891" s="108"/>
      <c r="Q891" s="30"/>
      <c r="R891" s="30"/>
    </row>
    <row r="892" ht="15.75" customHeight="1">
      <c r="A892" s="108"/>
      <c r="B892" s="108"/>
      <c r="C892" s="108"/>
      <c r="D892" s="108"/>
      <c r="E892" s="108"/>
      <c r="F892" s="30"/>
      <c r="G892" s="30"/>
      <c r="H892" s="30"/>
      <c r="I892" s="30"/>
      <c r="J892" s="30"/>
      <c r="K892" s="30"/>
      <c r="L892" s="30"/>
      <c r="M892" s="30"/>
      <c r="N892" s="30"/>
      <c r="O892" s="30"/>
      <c r="P892" s="108"/>
      <c r="Q892" s="30"/>
      <c r="R892" s="30"/>
    </row>
    <row r="893" ht="15.75" customHeight="1">
      <c r="A893" s="108"/>
      <c r="B893" s="108"/>
      <c r="C893" s="108"/>
      <c r="D893" s="108"/>
      <c r="E893" s="108"/>
      <c r="F893" s="30"/>
      <c r="G893" s="30"/>
      <c r="H893" s="30"/>
      <c r="I893" s="30"/>
      <c r="J893" s="30"/>
      <c r="K893" s="30"/>
      <c r="L893" s="30"/>
      <c r="M893" s="30"/>
      <c r="N893" s="30"/>
      <c r="O893" s="30"/>
      <c r="P893" s="108"/>
      <c r="Q893" s="30"/>
      <c r="R893" s="30"/>
    </row>
    <row r="894" ht="15.75" customHeight="1">
      <c r="A894" s="108"/>
      <c r="B894" s="108"/>
      <c r="C894" s="108"/>
      <c r="D894" s="108"/>
      <c r="E894" s="108"/>
      <c r="F894" s="30"/>
      <c r="G894" s="30"/>
      <c r="H894" s="30"/>
      <c r="I894" s="30"/>
      <c r="J894" s="30"/>
      <c r="K894" s="30"/>
      <c r="L894" s="30"/>
      <c r="M894" s="30"/>
      <c r="N894" s="30"/>
      <c r="O894" s="30"/>
      <c r="P894" s="108"/>
      <c r="Q894" s="30"/>
      <c r="R894" s="30"/>
    </row>
    <row r="895" ht="15.75" customHeight="1">
      <c r="A895" s="108"/>
      <c r="B895" s="108"/>
      <c r="C895" s="108"/>
      <c r="D895" s="108"/>
      <c r="E895" s="108"/>
      <c r="F895" s="30"/>
      <c r="G895" s="30"/>
      <c r="H895" s="30"/>
      <c r="I895" s="30"/>
      <c r="J895" s="30"/>
      <c r="K895" s="30"/>
      <c r="L895" s="30"/>
      <c r="M895" s="30"/>
      <c r="N895" s="30"/>
      <c r="O895" s="30"/>
      <c r="P895" s="108"/>
      <c r="Q895" s="30"/>
      <c r="R895" s="30"/>
    </row>
    <row r="896" ht="15.75" customHeight="1">
      <c r="A896" s="108"/>
      <c r="B896" s="108"/>
      <c r="C896" s="108"/>
      <c r="D896" s="108"/>
      <c r="E896" s="108"/>
      <c r="F896" s="30"/>
      <c r="G896" s="30"/>
      <c r="H896" s="30"/>
      <c r="I896" s="30"/>
      <c r="J896" s="30"/>
      <c r="K896" s="30"/>
      <c r="L896" s="30"/>
      <c r="M896" s="30"/>
      <c r="N896" s="30"/>
      <c r="O896" s="30"/>
      <c r="P896" s="108"/>
      <c r="Q896" s="30"/>
      <c r="R896" s="30"/>
    </row>
    <row r="897" ht="15.75" customHeight="1">
      <c r="A897" s="108"/>
      <c r="B897" s="108"/>
      <c r="C897" s="108"/>
      <c r="D897" s="108"/>
      <c r="E897" s="108"/>
      <c r="F897" s="30"/>
      <c r="G897" s="30"/>
      <c r="H897" s="30"/>
      <c r="I897" s="30"/>
      <c r="J897" s="30"/>
      <c r="K897" s="30"/>
      <c r="L897" s="30"/>
      <c r="M897" s="30"/>
      <c r="N897" s="30"/>
      <c r="O897" s="30"/>
      <c r="P897" s="108"/>
      <c r="Q897" s="30"/>
      <c r="R897" s="30"/>
    </row>
    <row r="898" ht="15.75" customHeight="1">
      <c r="A898" s="108"/>
      <c r="B898" s="108"/>
      <c r="C898" s="108"/>
      <c r="D898" s="108"/>
      <c r="E898" s="108"/>
      <c r="F898" s="30"/>
      <c r="G898" s="30"/>
      <c r="H898" s="30"/>
      <c r="I898" s="30"/>
      <c r="J898" s="30"/>
      <c r="K898" s="30"/>
      <c r="L898" s="30"/>
      <c r="M898" s="30"/>
      <c r="N898" s="30"/>
      <c r="O898" s="30"/>
      <c r="P898" s="108"/>
      <c r="Q898" s="30"/>
      <c r="R898" s="30"/>
    </row>
    <row r="899" ht="15.75" customHeight="1">
      <c r="A899" s="108"/>
      <c r="B899" s="108"/>
      <c r="C899" s="108"/>
      <c r="D899" s="108"/>
      <c r="E899" s="108"/>
      <c r="F899" s="30"/>
      <c r="G899" s="30"/>
      <c r="H899" s="30"/>
      <c r="I899" s="30"/>
      <c r="J899" s="30"/>
      <c r="K899" s="30"/>
      <c r="L899" s="30"/>
      <c r="M899" s="30"/>
      <c r="N899" s="30"/>
      <c r="O899" s="30"/>
      <c r="P899" s="108"/>
      <c r="Q899" s="30"/>
      <c r="R899" s="30"/>
    </row>
    <row r="900" ht="15.75" customHeight="1">
      <c r="A900" s="108"/>
      <c r="B900" s="108"/>
      <c r="C900" s="108"/>
      <c r="D900" s="108"/>
      <c r="E900" s="108"/>
      <c r="F900" s="30"/>
      <c r="G900" s="30"/>
      <c r="H900" s="30"/>
      <c r="I900" s="30"/>
      <c r="J900" s="30"/>
      <c r="K900" s="30"/>
      <c r="L900" s="30"/>
      <c r="M900" s="30"/>
      <c r="N900" s="30"/>
      <c r="O900" s="30"/>
      <c r="P900" s="108"/>
      <c r="Q900" s="30"/>
      <c r="R900" s="30"/>
    </row>
    <row r="901" ht="15.75" customHeight="1">
      <c r="A901" s="108"/>
      <c r="B901" s="108"/>
      <c r="C901" s="108"/>
      <c r="D901" s="108"/>
      <c r="E901" s="108"/>
      <c r="F901" s="30"/>
      <c r="G901" s="30"/>
      <c r="H901" s="30"/>
      <c r="I901" s="30"/>
      <c r="J901" s="30"/>
      <c r="K901" s="30"/>
      <c r="L901" s="30"/>
      <c r="M901" s="30"/>
      <c r="N901" s="30"/>
      <c r="O901" s="30"/>
      <c r="P901" s="108"/>
      <c r="Q901" s="30"/>
      <c r="R901" s="30"/>
    </row>
    <row r="902" ht="15.75" customHeight="1">
      <c r="A902" s="108"/>
      <c r="B902" s="108"/>
      <c r="C902" s="108"/>
      <c r="D902" s="108"/>
      <c r="E902" s="108"/>
      <c r="F902" s="30"/>
      <c r="G902" s="30"/>
      <c r="H902" s="30"/>
      <c r="I902" s="30"/>
      <c r="J902" s="30"/>
      <c r="K902" s="30"/>
      <c r="L902" s="30"/>
      <c r="M902" s="30"/>
      <c r="N902" s="30"/>
      <c r="O902" s="30"/>
      <c r="P902" s="108"/>
      <c r="Q902" s="30"/>
      <c r="R902" s="30"/>
    </row>
    <row r="903" ht="15.75" customHeight="1">
      <c r="A903" s="108"/>
      <c r="B903" s="108"/>
      <c r="C903" s="108"/>
      <c r="D903" s="108"/>
      <c r="E903" s="108"/>
      <c r="F903" s="30"/>
      <c r="G903" s="30"/>
      <c r="H903" s="30"/>
      <c r="I903" s="30"/>
      <c r="J903" s="30"/>
      <c r="K903" s="30"/>
      <c r="L903" s="30"/>
      <c r="M903" s="30"/>
      <c r="N903" s="30"/>
      <c r="O903" s="30"/>
      <c r="P903" s="108"/>
      <c r="Q903" s="30"/>
      <c r="R903" s="30"/>
    </row>
    <row r="904" ht="15.75" customHeight="1">
      <c r="A904" s="108"/>
      <c r="B904" s="108"/>
      <c r="C904" s="108"/>
      <c r="D904" s="108"/>
      <c r="E904" s="108"/>
      <c r="F904" s="30"/>
      <c r="G904" s="30"/>
      <c r="H904" s="30"/>
      <c r="I904" s="30"/>
      <c r="J904" s="30"/>
      <c r="K904" s="30"/>
      <c r="L904" s="30"/>
      <c r="M904" s="30"/>
      <c r="N904" s="30"/>
      <c r="O904" s="30"/>
      <c r="P904" s="108"/>
      <c r="Q904" s="30"/>
      <c r="R904" s="30"/>
    </row>
    <row r="905" ht="15.75" customHeight="1">
      <c r="A905" s="108"/>
      <c r="B905" s="108"/>
      <c r="C905" s="108"/>
      <c r="D905" s="108"/>
      <c r="E905" s="108"/>
      <c r="F905" s="30"/>
      <c r="G905" s="30"/>
      <c r="H905" s="30"/>
      <c r="I905" s="30"/>
      <c r="J905" s="30"/>
      <c r="K905" s="30"/>
      <c r="L905" s="30"/>
      <c r="M905" s="30"/>
      <c r="N905" s="30"/>
      <c r="O905" s="30"/>
      <c r="P905" s="108"/>
      <c r="Q905" s="30"/>
      <c r="R905" s="30"/>
    </row>
    <row r="906" ht="15.75" customHeight="1">
      <c r="A906" s="108"/>
      <c r="B906" s="108"/>
      <c r="C906" s="108"/>
      <c r="D906" s="108"/>
      <c r="E906" s="108"/>
      <c r="F906" s="30"/>
      <c r="G906" s="30"/>
      <c r="H906" s="30"/>
      <c r="I906" s="30"/>
      <c r="J906" s="30"/>
      <c r="K906" s="30"/>
      <c r="L906" s="30"/>
      <c r="M906" s="30"/>
      <c r="N906" s="30"/>
      <c r="O906" s="30"/>
      <c r="P906" s="108"/>
      <c r="Q906" s="30"/>
      <c r="R906" s="30"/>
    </row>
    <row r="907" ht="15.75" customHeight="1">
      <c r="A907" s="108"/>
      <c r="B907" s="108"/>
      <c r="C907" s="108"/>
      <c r="D907" s="108"/>
      <c r="E907" s="108"/>
      <c r="F907" s="30"/>
      <c r="G907" s="30"/>
      <c r="H907" s="30"/>
      <c r="I907" s="30"/>
      <c r="J907" s="30"/>
      <c r="K907" s="30"/>
      <c r="L907" s="30"/>
      <c r="M907" s="30"/>
      <c r="N907" s="30"/>
      <c r="O907" s="30"/>
      <c r="P907" s="108"/>
      <c r="Q907" s="30"/>
      <c r="R907" s="30"/>
    </row>
    <row r="908" ht="15.75" customHeight="1">
      <c r="A908" s="108"/>
      <c r="B908" s="108"/>
      <c r="C908" s="108"/>
      <c r="D908" s="108"/>
      <c r="E908" s="108"/>
      <c r="F908" s="30"/>
      <c r="G908" s="30"/>
      <c r="H908" s="30"/>
      <c r="I908" s="30"/>
      <c r="J908" s="30"/>
      <c r="K908" s="30"/>
      <c r="L908" s="30"/>
      <c r="M908" s="30"/>
      <c r="N908" s="30"/>
      <c r="O908" s="30"/>
      <c r="P908" s="108"/>
      <c r="Q908" s="30"/>
      <c r="R908" s="30"/>
    </row>
    <row r="909" ht="15.75" customHeight="1">
      <c r="A909" s="108"/>
      <c r="B909" s="108"/>
      <c r="C909" s="108"/>
      <c r="D909" s="108"/>
      <c r="E909" s="108"/>
      <c r="F909" s="30"/>
      <c r="G909" s="30"/>
      <c r="H909" s="30"/>
      <c r="I909" s="30"/>
      <c r="J909" s="30"/>
      <c r="K909" s="30"/>
      <c r="L909" s="30"/>
      <c r="M909" s="30"/>
      <c r="N909" s="30"/>
      <c r="O909" s="30"/>
      <c r="P909" s="108"/>
      <c r="Q909" s="30"/>
      <c r="R909" s="30"/>
    </row>
    <row r="910" ht="15.75" customHeight="1">
      <c r="A910" s="108"/>
      <c r="B910" s="108"/>
      <c r="C910" s="108"/>
      <c r="D910" s="108"/>
      <c r="E910" s="108"/>
      <c r="F910" s="30"/>
      <c r="G910" s="30"/>
      <c r="H910" s="30"/>
      <c r="I910" s="30"/>
      <c r="J910" s="30"/>
      <c r="K910" s="30"/>
      <c r="L910" s="30"/>
      <c r="M910" s="30"/>
      <c r="N910" s="30"/>
      <c r="O910" s="30"/>
      <c r="P910" s="108"/>
      <c r="Q910" s="30"/>
      <c r="R910" s="30"/>
    </row>
    <row r="911" ht="15.75" customHeight="1">
      <c r="A911" s="108"/>
      <c r="B911" s="108"/>
      <c r="C911" s="108"/>
      <c r="D911" s="108"/>
      <c r="E911" s="108"/>
      <c r="F911" s="30"/>
      <c r="G911" s="30"/>
      <c r="H911" s="30"/>
      <c r="I911" s="30"/>
      <c r="J911" s="30"/>
      <c r="K911" s="30"/>
      <c r="L911" s="30"/>
      <c r="M911" s="30"/>
      <c r="N911" s="30"/>
      <c r="O911" s="30"/>
      <c r="P911" s="108"/>
      <c r="Q911" s="30"/>
      <c r="R911" s="30"/>
    </row>
    <row r="912" ht="15.75" customHeight="1">
      <c r="A912" s="108"/>
      <c r="B912" s="108"/>
      <c r="C912" s="108"/>
      <c r="D912" s="108"/>
      <c r="E912" s="108"/>
      <c r="F912" s="30"/>
      <c r="G912" s="30"/>
      <c r="H912" s="30"/>
      <c r="I912" s="30"/>
      <c r="J912" s="30"/>
      <c r="K912" s="30"/>
      <c r="L912" s="30"/>
      <c r="M912" s="30"/>
      <c r="N912" s="30"/>
      <c r="O912" s="30"/>
      <c r="P912" s="108"/>
      <c r="Q912" s="30"/>
      <c r="R912" s="30"/>
    </row>
    <row r="913" ht="15.75" customHeight="1">
      <c r="A913" s="108"/>
      <c r="B913" s="108"/>
      <c r="C913" s="108"/>
      <c r="D913" s="108"/>
      <c r="E913" s="108"/>
      <c r="F913" s="30"/>
      <c r="G913" s="30"/>
      <c r="H913" s="30"/>
      <c r="I913" s="30"/>
      <c r="J913" s="30"/>
      <c r="K913" s="30"/>
      <c r="L913" s="30"/>
      <c r="M913" s="30"/>
      <c r="N913" s="30"/>
      <c r="O913" s="30"/>
      <c r="P913" s="108"/>
      <c r="Q913" s="30"/>
      <c r="R913" s="30"/>
    </row>
    <row r="914" ht="15.75" customHeight="1">
      <c r="A914" s="108"/>
      <c r="B914" s="108"/>
      <c r="C914" s="108"/>
      <c r="D914" s="108"/>
      <c r="E914" s="108"/>
      <c r="F914" s="30"/>
      <c r="G914" s="30"/>
      <c r="H914" s="30"/>
      <c r="I914" s="30"/>
      <c r="J914" s="30"/>
      <c r="K914" s="30"/>
      <c r="L914" s="30"/>
      <c r="M914" s="30"/>
      <c r="N914" s="30"/>
      <c r="O914" s="30"/>
      <c r="P914" s="108"/>
      <c r="Q914" s="30"/>
      <c r="R914" s="30"/>
    </row>
    <row r="915" ht="15.75" customHeight="1">
      <c r="A915" s="108"/>
      <c r="B915" s="108"/>
      <c r="C915" s="108"/>
      <c r="D915" s="108"/>
      <c r="E915" s="108"/>
      <c r="F915" s="30"/>
      <c r="G915" s="30"/>
      <c r="H915" s="30"/>
      <c r="I915" s="30"/>
      <c r="J915" s="30"/>
      <c r="K915" s="30"/>
      <c r="L915" s="30"/>
      <c r="M915" s="30"/>
      <c r="N915" s="30"/>
      <c r="O915" s="30"/>
      <c r="P915" s="108"/>
      <c r="Q915" s="30"/>
      <c r="R915" s="30"/>
    </row>
    <row r="916" ht="15.75" customHeight="1">
      <c r="A916" s="108"/>
      <c r="B916" s="108"/>
      <c r="C916" s="108"/>
      <c r="D916" s="108"/>
      <c r="E916" s="108"/>
      <c r="F916" s="30"/>
      <c r="G916" s="30"/>
      <c r="H916" s="30"/>
      <c r="I916" s="30"/>
      <c r="J916" s="30"/>
      <c r="K916" s="30"/>
      <c r="L916" s="30"/>
      <c r="M916" s="30"/>
      <c r="N916" s="30"/>
      <c r="O916" s="30"/>
      <c r="P916" s="108"/>
      <c r="Q916" s="30"/>
      <c r="R916" s="30"/>
    </row>
    <row r="917" ht="15.75" customHeight="1">
      <c r="A917" s="108"/>
      <c r="B917" s="108"/>
      <c r="C917" s="108"/>
      <c r="D917" s="108"/>
      <c r="E917" s="108"/>
      <c r="F917" s="30"/>
      <c r="G917" s="30"/>
      <c r="H917" s="30"/>
      <c r="I917" s="30"/>
      <c r="J917" s="30"/>
      <c r="K917" s="30"/>
      <c r="L917" s="30"/>
      <c r="M917" s="30"/>
      <c r="N917" s="30"/>
      <c r="O917" s="30"/>
      <c r="P917" s="108"/>
      <c r="Q917" s="30"/>
      <c r="R917" s="30"/>
    </row>
    <row r="918" ht="15.75" customHeight="1">
      <c r="A918" s="108"/>
      <c r="B918" s="108"/>
      <c r="C918" s="108"/>
      <c r="D918" s="108"/>
      <c r="E918" s="108"/>
      <c r="F918" s="30"/>
      <c r="G918" s="30"/>
      <c r="H918" s="30"/>
      <c r="I918" s="30"/>
      <c r="J918" s="30"/>
      <c r="K918" s="30"/>
      <c r="L918" s="30"/>
      <c r="M918" s="30"/>
      <c r="N918" s="30"/>
      <c r="O918" s="30"/>
      <c r="P918" s="108"/>
      <c r="Q918" s="30"/>
      <c r="R918" s="30"/>
    </row>
    <row r="919" ht="15.75" customHeight="1">
      <c r="A919" s="108"/>
      <c r="B919" s="108"/>
      <c r="C919" s="108"/>
      <c r="D919" s="108"/>
      <c r="E919" s="108"/>
      <c r="F919" s="30"/>
      <c r="G919" s="30"/>
      <c r="H919" s="30"/>
      <c r="I919" s="30"/>
      <c r="J919" s="30"/>
      <c r="K919" s="30"/>
      <c r="L919" s="30"/>
      <c r="M919" s="30"/>
      <c r="N919" s="30"/>
      <c r="O919" s="30"/>
      <c r="P919" s="108"/>
      <c r="Q919" s="30"/>
      <c r="R919" s="30"/>
    </row>
    <row r="920" ht="15.75" customHeight="1">
      <c r="A920" s="108"/>
      <c r="B920" s="108"/>
      <c r="C920" s="108"/>
      <c r="D920" s="108"/>
      <c r="E920" s="108"/>
      <c r="F920" s="30"/>
      <c r="G920" s="30"/>
      <c r="H920" s="30"/>
      <c r="I920" s="30"/>
      <c r="J920" s="30"/>
      <c r="K920" s="30"/>
      <c r="L920" s="30"/>
      <c r="M920" s="30"/>
      <c r="N920" s="30"/>
      <c r="O920" s="30"/>
      <c r="P920" s="108"/>
      <c r="Q920" s="30"/>
      <c r="R920" s="30"/>
    </row>
    <row r="921" ht="15.75" customHeight="1">
      <c r="A921" s="108"/>
      <c r="B921" s="108"/>
      <c r="C921" s="108"/>
      <c r="D921" s="108"/>
      <c r="E921" s="108"/>
      <c r="F921" s="30"/>
      <c r="G921" s="30"/>
      <c r="H921" s="30"/>
      <c r="I921" s="30"/>
      <c r="J921" s="30"/>
      <c r="K921" s="30"/>
      <c r="L921" s="30"/>
      <c r="M921" s="30"/>
      <c r="N921" s="30"/>
      <c r="O921" s="30"/>
      <c r="P921" s="108"/>
      <c r="Q921" s="30"/>
      <c r="R921" s="30"/>
    </row>
    <row r="922" ht="15.75" customHeight="1">
      <c r="A922" s="108"/>
      <c r="B922" s="108"/>
      <c r="C922" s="108"/>
      <c r="D922" s="108"/>
      <c r="E922" s="108"/>
      <c r="F922" s="30"/>
      <c r="G922" s="30"/>
      <c r="H922" s="30"/>
      <c r="I922" s="30"/>
      <c r="J922" s="30"/>
      <c r="K922" s="30"/>
      <c r="L922" s="30"/>
      <c r="M922" s="30"/>
      <c r="N922" s="30"/>
      <c r="O922" s="30"/>
      <c r="P922" s="108"/>
      <c r="Q922" s="30"/>
      <c r="R922" s="30"/>
    </row>
    <row r="923" ht="15.75" customHeight="1">
      <c r="A923" s="108"/>
      <c r="B923" s="108"/>
      <c r="C923" s="108"/>
      <c r="D923" s="108"/>
      <c r="E923" s="108"/>
      <c r="F923" s="30"/>
      <c r="G923" s="30"/>
      <c r="H923" s="30"/>
      <c r="I923" s="30"/>
      <c r="J923" s="30"/>
      <c r="K923" s="30"/>
      <c r="L923" s="30"/>
      <c r="M923" s="30"/>
      <c r="N923" s="30"/>
      <c r="O923" s="30"/>
      <c r="P923" s="108"/>
      <c r="Q923" s="30"/>
      <c r="R923" s="30"/>
    </row>
    <row r="924" ht="15.75" customHeight="1">
      <c r="A924" s="108"/>
      <c r="B924" s="108"/>
      <c r="C924" s="108"/>
      <c r="D924" s="108"/>
      <c r="E924" s="108"/>
      <c r="F924" s="30"/>
      <c r="G924" s="30"/>
      <c r="H924" s="30"/>
      <c r="I924" s="30"/>
      <c r="J924" s="30"/>
      <c r="K924" s="30"/>
      <c r="L924" s="30"/>
      <c r="M924" s="30"/>
      <c r="N924" s="30"/>
      <c r="O924" s="30"/>
      <c r="P924" s="108"/>
      <c r="Q924" s="30"/>
      <c r="R924" s="30"/>
    </row>
    <row r="925" ht="15.75" customHeight="1">
      <c r="A925" s="108"/>
      <c r="B925" s="108"/>
      <c r="C925" s="108"/>
      <c r="D925" s="108"/>
      <c r="E925" s="108"/>
      <c r="F925" s="30"/>
      <c r="G925" s="30"/>
      <c r="H925" s="30"/>
      <c r="I925" s="30"/>
      <c r="J925" s="30"/>
      <c r="K925" s="30"/>
      <c r="L925" s="30"/>
      <c r="M925" s="30"/>
      <c r="N925" s="30"/>
      <c r="O925" s="30"/>
      <c r="P925" s="108"/>
      <c r="Q925" s="30"/>
      <c r="R925" s="30"/>
    </row>
    <row r="926" ht="15.75" customHeight="1">
      <c r="A926" s="108"/>
      <c r="B926" s="108"/>
      <c r="C926" s="108"/>
      <c r="D926" s="108"/>
      <c r="E926" s="108"/>
      <c r="F926" s="30"/>
      <c r="G926" s="30"/>
      <c r="H926" s="30"/>
      <c r="I926" s="30"/>
      <c r="J926" s="30"/>
      <c r="K926" s="30"/>
      <c r="L926" s="30"/>
      <c r="M926" s="30"/>
      <c r="N926" s="30"/>
      <c r="O926" s="30"/>
      <c r="P926" s="108"/>
      <c r="Q926" s="30"/>
      <c r="R926" s="30"/>
    </row>
    <row r="927" ht="15.75" customHeight="1">
      <c r="A927" s="108"/>
      <c r="B927" s="108"/>
      <c r="C927" s="108"/>
      <c r="D927" s="108"/>
      <c r="E927" s="108"/>
      <c r="F927" s="30"/>
      <c r="G927" s="30"/>
      <c r="H927" s="30"/>
      <c r="I927" s="30"/>
      <c r="J927" s="30"/>
      <c r="K927" s="30"/>
      <c r="L927" s="30"/>
      <c r="M927" s="30"/>
      <c r="N927" s="30"/>
      <c r="O927" s="30"/>
      <c r="P927" s="108"/>
      <c r="Q927" s="30"/>
      <c r="R927" s="30"/>
    </row>
    <row r="928" ht="15.75" customHeight="1">
      <c r="A928" s="108"/>
      <c r="B928" s="108"/>
      <c r="C928" s="108"/>
      <c r="D928" s="108"/>
      <c r="E928" s="108"/>
      <c r="F928" s="30"/>
      <c r="G928" s="30"/>
      <c r="H928" s="30"/>
      <c r="I928" s="30"/>
      <c r="J928" s="30"/>
      <c r="K928" s="30"/>
      <c r="L928" s="30"/>
      <c r="M928" s="30"/>
      <c r="N928" s="30"/>
      <c r="O928" s="30"/>
      <c r="P928" s="108"/>
      <c r="Q928" s="30"/>
      <c r="R928" s="30"/>
    </row>
    <row r="929" ht="15.75" customHeight="1">
      <c r="A929" s="108"/>
      <c r="B929" s="108"/>
      <c r="C929" s="108"/>
      <c r="D929" s="108"/>
      <c r="E929" s="108"/>
      <c r="F929" s="30"/>
      <c r="G929" s="30"/>
      <c r="H929" s="30"/>
      <c r="I929" s="30"/>
      <c r="J929" s="30"/>
      <c r="K929" s="30"/>
      <c r="L929" s="30"/>
      <c r="M929" s="30"/>
      <c r="N929" s="30"/>
      <c r="O929" s="30"/>
      <c r="P929" s="108"/>
      <c r="Q929" s="30"/>
      <c r="R929" s="30"/>
    </row>
    <row r="930" ht="15.75" customHeight="1">
      <c r="A930" s="108"/>
      <c r="B930" s="108"/>
      <c r="C930" s="108"/>
      <c r="D930" s="108"/>
      <c r="E930" s="108"/>
      <c r="F930" s="30"/>
      <c r="G930" s="30"/>
      <c r="H930" s="30"/>
      <c r="I930" s="30"/>
      <c r="J930" s="30"/>
      <c r="K930" s="30"/>
      <c r="L930" s="30"/>
      <c r="M930" s="30"/>
      <c r="N930" s="30"/>
      <c r="O930" s="30"/>
      <c r="P930" s="108"/>
      <c r="Q930" s="30"/>
      <c r="R930" s="30"/>
    </row>
    <row r="931" ht="15.75" customHeight="1">
      <c r="A931" s="108"/>
      <c r="B931" s="108"/>
      <c r="C931" s="108"/>
      <c r="D931" s="108"/>
      <c r="E931" s="108"/>
      <c r="F931" s="30"/>
      <c r="G931" s="30"/>
      <c r="H931" s="30"/>
      <c r="I931" s="30"/>
      <c r="J931" s="30"/>
      <c r="K931" s="30"/>
      <c r="L931" s="30"/>
      <c r="M931" s="30"/>
      <c r="N931" s="30"/>
      <c r="O931" s="30"/>
      <c r="P931" s="108"/>
      <c r="Q931" s="30"/>
      <c r="R931" s="30"/>
    </row>
    <row r="932" ht="15.75" customHeight="1">
      <c r="A932" s="108"/>
      <c r="B932" s="108"/>
      <c r="C932" s="108"/>
      <c r="D932" s="108"/>
      <c r="E932" s="108"/>
      <c r="F932" s="30"/>
      <c r="G932" s="30"/>
      <c r="H932" s="30"/>
      <c r="I932" s="30"/>
      <c r="J932" s="30"/>
      <c r="K932" s="30"/>
      <c r="L932" s="30"/>
      <c r="M932" s="30"/>
      <c r="N932" s="30"/>
      <c r="O932" s="30"/>
      <c r="P932" s="108"/>
      <c r="Q932" s="30"/>
      <c r="R932" s="30"/>
    </row>
    <row r="933" ht="15.75" customHeight="1">
      <c r="A933" s="108"/>
      <c r="B933" s="108"/>
      <c r="C933" s="108"/>
      <c r="D933" s="108"/>
      <c r="E933" s="108"/>
      <c r="F933" s="30"/>
      <c r="G933" s="30"/>
      <c r="H933" s="30"/>
      <c r="I933" s="30"/>
      <c r="J933" s="30"/>
      <c r="K933" s="30"/>
      <c r="L933" s="30"/>
      <c r="M933" s="30"/>
      <c r="N933" s="30"/>
      <c r="O933" s="30"/>
      <c r="P933" s="108"/>
      <c r="Q933" s="30"/>
      <c r="R933" s="30"/>
    </row>
    <row r="934" ht="15.75" customHeight="1">
      <c r="A934" s="108"/>
      <c r="B934" s="108"/>
      <c r="C934" s="108"/>
      <c r="D934" s="108"/>
      <c r="E934" s="108"/>
      <c r="F934" s="30"/>
      <c r="G934" s="30"/>
      <c r="H934" s="30"/>
      <c r="I934" s="30"/>
      <c r="J934" s="30"/>
      <c r="K934" s="30"/>
      <c r="L934" s="30"/>
      <c r="M934" s="30"/>
      <c r="N934" s="30"/>
      <c r="O934" s="30"/>
      <c r="P934" s="108"/>
      <c r="Q934" s="30"/>
      <c r="R934" s="30"/>
    </row>
    <row r="935" ht="15.75" customHeight="1">
      <c r="A935" s="108"/>
      <c r="B935" s="108"/>
      <c r="C935" s="108"/>
      <c r="D935" s="108"/>
      <c r="E935" s="108"/>
      <c r="F935" s="30"/>
      <c r="G935" s="30"/>
      <c r="H935" s="30"/>
      <c r="I935" s="30"/>
      <c r="J935" s="30"/>
      <c r="K935" s="30"/>
      <c r="L935" s="30"/>
      <c r="M935" s="30"/>
      <c r="N935" s="30"/>
      <c r="O935" s="30"/>
      <c r="P935" s="108"/>
      <c r="Q935" s="30"/>
      <c r="R935" s="30"/>
    </row>
    <row r="936" ht="15.75" customHeight="1">
      <c r="A936" s="108"/>
      <c r="B936" s="108"/>
      <c r="C936" s="108"/>
      <c r="D936" s="108"/>
      <c r="E936" s="108"/>
      <c r="F936" s="30"/>
      <c r="G936" s="30"/>
      <c r="H936" s="30"/>
      <c r="I936" s="30"/>
      <c r="J936" s="30"/>
      <c r="K936" s="30"/>
      <c r="L936" s="30"/>
      <c r="M936" s="30"/>
      <c r="N936" s="30"/>
      <c r="O936" s="30"/>
      <c r="P936" s="108"/>
      <c r="Q936" s="30"/>
      <c r="R936" s="30"/>
    </row>
    <row r="937" ht="15.75" customHeight="1">
      <c r="A937" s="108"/>
      <c r="B937" s="108"/>
      <c r="C937" s="108"/>
      <c r="D937" s="108"/>
      <c r="E937" s="108"/>
      <c r="F937" s="30"/>
      <c r="G937" s="30"/>
      <c r="H937" s="30"/>
      <c r="I937" s="30"/>
      <c r="J937" s="30"/>
      <c r="K937" s="30"/>
      <c r="L937" s="30"/>
      <c r="M937" s="30"/>
      <c r="N937" s="30"/>
      <c r="O937" s="30"/>
      <c r="P937" s="108"/>
      <c r="Q937" s="30"/>
      <c r="R937" s="30"/>
    </row>
    <row r="938" ht="15.75" customHeight="1">
      <c r="A938" s="108"/>
      <c r="B938" s="108"/>
      <c r="C938" s="108"/>
      <c r="D938" s="108"/>
      <c r="E938" s="108"/>
      <c r="F938" s="30"/>
      <c r="G938" s="30"/>
      <c r="H938" s="30"/>
      <c r="I938" s="30"/>
      <c r="J938" s="30"/>
      <c r="K938" s="30"/>
      <c r="L938" s="30"/>
      <c r="M938" s="30"/>
      <c r="N938" s="30"/>
      <c r="O938" s="30"/>
      <c r="P938" s="108"/>
      <c r="Q938" s="30"/>
      <c r="R938" s="30"/>
    </row>
    <row r="939" ht="15.75" customHeight="1">
      <c r="A939" s="108"/>
      <c r="B939" s="108"/>
      <c r="C939" s="108"/>
      <c r="D939" s="108"/>
      <c r="E939" s="108"/>
      <c r="F939" s="30"/>
      <c r="G939" s="30"/>
      <c r="H939" s="30"/>
      <c r="I939" s="30"/>
      <c r="J939" s="30"/>
      <c r="K939" s="30"/>
      <c r="L939" s="30"/>
      <c r="M939" s="30"/>
      <c r="N939" s="30"/>
      <c r="O939" s="30"/>
      <c r="P939" s="108"/>
      <c r="Q939" s="30"/>
      <c r="R939" s="30"/>
    </row>
    <row r="940" ht="15.75" customHeight="1">
      <c r="A940" s="108"/>
      <c r="B940" s="108"/>
      <c r="C940" s="108"/>
      <c r="D940" s="108"/>
      <c r="E940" s="108"/>
      <c r="F940" s="30"/>
      <c r="G940" s="30"/>
      <c r="H940" s="30"/>
      <c r="I940" s="30"/>
      <c r="J940" s="30"/>
      <c r="K940" s="30"/>
      <c r="L940" s="30"/>
      <c r="M940" s="30"/>
      <c r="N940" s="30"/>
      <c r="O940" s="30"/>
      <c r="P940" s="108"/>
      <c r="Q940" s="30"/>
      <c r="R940" s="30"/>
    </row>
    <row r="941" ht="15.75" customHeight="1">
      <c r="A941" s="108"/>
      <c r="B941" s="108"/>
      <c r="C941" s="108"/>
      <c r="D941" s="108"/>
      <c r="E941" s="108"/>
      <c r="F941" s="30"/>
      <c r="G941" s="30"/>
      <c r="H941" s="30"/>
      <c r="I941" s="30"/>
      <c r="J941" s="30"/>
      <c r="K941" s="30"/>
      <c r="L941" s="30"/>
      <c r="M941" s="30"/>
      <c r="N941" s="30"/>
      <c r="O941" s="30"/>
      <c r="P941" s="108"/>
      <c r="Q941" s="30"/>
      <c r="R941" s="30"/>
    </row>
    <row r="942" ht="15.75" customHeight="1">
      <c r="A942" s="108"/>
      <c r="B942" s="108"/>
      <c r="C942" s="108"/>
      <c r="D942" s="108"/>
      <c r="E942" s="108"/>
      <c r="F942" s="30"/>
      <c r="G942" s="30"/>
      <c r="H942" s="30"/>
      <c r="I942" s="30"/>
      <c r="J942" s="30"/>
      <c r="K942" s="30"/>
      <c r="L942" s="30"/>
      <c r="M942" s="30"/>
      <c r="N942" s="30"/>
      <c r="O942" s="30"/>
      <c r="P942" s="108"/>
      <c r="Q942" s="30"/>
      <c r="R942" s="30"/>
    </row>
    <row r="943" ht="15.75" customHeight="1">
      <c r="A943" s="108"/>
      <c r="B943" s="108"/>
      <c r="C943" s="108"/>
      <c r="D943" s="108"/>
      <c r="E943" s="108"/>
      <c r="F943" s="30"/>
      <c r="G943" s="30"/>
      <c r="H943" s="30"/>
      <c r="I943" s="30"/>
      <c r="J943" s="30"/>
      <c r="K943" s="30"/>
      <c r="L943" s="30"/>
      <c r="M943" s="30"/>
      <c r="N943" s="30"/>
      <c r="O943" s="30"/>
      <c r="P943" s="108"/>
      <c r="Q943" s="30"/>
      <c r="R943" s="30"/>
    </row>
    <row r="944" ht="15.75" customHeight="1">
      <c r="A944" s="108"/>
      <c r="B944" s="108"/>
      <c r="C944" s="108"/>
      <c r="D944" s="108"/>
      <c r="E944" s="108"/>
      <c r="F944" s="30"/>
      <c r="G944" s="30"/>
      <c r="H944" s="30"/>
      <c r="I944" s="30"/>
      <c r="J944" s="30"/>
      <c r="K944" s="30"/>
      <c r="L944" s="30"/>
      <c r="M944" s="30"/>
      <c r="N944" s="30"/>
      <c r="O944" s="30"/>
      <c r="P944" s="108"/>
      <c r="Q944" s="30"/>
      <c r="R944" s="30"/>
    </row>
    <row r="945" ht="15.75" customHeight="1">
      <c r="A945" s="108"/>
      <c r="B945" s="108"/>
      <c r="C945" s="108"/>
      <c r="D945" s="108"/>
      <c r="E945" s="108"/>
      <c r="F945" s="30"/>
      <c r="G945" s="30"/>
      <c r="H945" s="30"/>
      <c r="I945" s="30"/>
      <c r="J945" s="30"/>
      <c r="K945" s="30"/>
      <c r="L945" s="30"/>
      <c r="M945" s="30"/>
      <c r="N945" s="30"/>
      <c r="O945" s="30"/>
      <c r="P945" s="108"/>
      <c r="Q945" s="30"/>
      <c r="R945" s="30"/>
    </row>
    <row r="946" ht="15.75" customHeight="1">
      <c r="A946" s="108"/>
      <c r="B946" s="108"/>
      <c r="C946" s="108"/>
      <c r="D946" s="108"/>
      <c r="E946" s="108"/>
      <c r="F946" s="30"/>
      <c r="G946" s="30"/>
      <c r="H946" s="30"/>
      <c r="I946" s="30"/>
      <c r="J946" s="30"/>
      <c r="K946" s="30"/>
      <c r="L946" s="30"/>
      <c r="M946" s="30"/>
      <c r="N946" s="30"/>
      <c r="O946" s="30"/>
      <c r="P946" s="108"/>
      <c r="Q946" s="30"/>
      <c r="R946" s="30"/>
    </row>
    <row r="947" ht="15.75" customHeight="1">
      <c r="A947" s="108"/>
      <c r="B947" s="108"/>
      <c r="C947" s="108"/>
      <c r="D947" s="108"/>
      <c r="E947" s="108"/>
      <c r="F947" s="30"/>
      <c r="G947" s="30"/>
      <c r="H947" s="30"/>
      <c r="I947" s="30"/>
      <c r="J947" s="30"/>
      <c r="K947" s="30"/>
      <c r="L947" s="30"/>
      <c r="M947" s="30"/>
      <c r="N947" s="30"/>
      <c r="O947" s="30"/>
      <c r="P947" s="108"/>
      <c r="Q947" s="30"/>
      <c r="R947" s="30"/>
    </row>
    <row r="948" ht="15.75" customHeight="1">
      <c r="A948" s="108"/>
      <c r="B948" s="108"/>
      <c r="C948" s="108"/>
      <c r="D948" s="108"/>
      <c r="E948" s="108"/>
      <c r="F948" s="30"/>
      <c r="G948" s="30"/>
      <c r="H948" s="30"/>
      <c r="I948" s="30"/>
      <c r="J948" s="30"/>
      <c r="K948" s="30"/>
      <c r="L948" s="30"/>
      <c r="M948" s="30"/>
      <c r="N948" s="30"/>
      <c r="O948" s="30"/>
      <c r="P948" s="108"/>
      <c r="Q948" s="30"/>
      <c r="R948" s="30"/>
    </row>
    <row r="949" ht="15.75" customHeight="1">
      <c r="A949" s="108"/>
      <c r="B949" s="108"/>
      <c r="C949" s="108"/>
      <c r="D949" s="108"/>
      <c r="E949" s="108"/>
      <c r="F949" s="30"/>
      <c r="G949" s="30"/>
      <c r="H949" s="30"/>
      <c r="I949" s="30"/>
      <c r="J949" s="30"/>
      <c r="K949" s="30"/>
      <c r="L949" s="30"/>
      <c r="M949" s="30"/>
      <c r="N949" s="30"/>
      <c r="O949" s="30"/>
      <c r="P949" s="108"/>
      <c r="Q949" s="30"/>
      <c r="R949" s="30"/>
    </row>
    <row r="950" ht="15.75" customHeight="1">
      <c r="A950" s="108"/>
      <c r="B950" s="108"/>
      <c r="C950" s="108"/>
      <c r="D950" s="108"/>
      <c r="E950" s="108"/>
      <c r="F950" s="30"/>
      <c r="G950" s="30"/>
      <c r="H950" s="30"/>
      <c r="I950" s="30"/>
      <c r="J950" s="30"/>
      <c r="K950" s="30"/>
      <c r="L950" s="30"/>
      <c r="M950" s="30"/>
      <c r="N950" s="30"/>
      <c r="O950" s="30"/>
      <c r="P950" s="108"/>
      <c r="Q950" s="30"/>
      <c r="R950" s="30"/>
    </row>
    <row r="951" ht="15.75" customHeight="1">
      <c r="A951" s="108"/>
      <c r="B951" s="108"/>
      <c r="C951" s="108"/>
      <c r="D951" s="108"/>
      <c r="E951" s="108"/>
      <c r="F951" s="30"/>
      <c r="G951" s="30"/>
      <c r="H951" s="30"/>
      <c r="I951" s="30"/>
      <c r="J951" s="30"/>
      <c r="K951" s="30"/>
      <c r="L951" s="30"/>
      <c r="M951" s="30"/>
      <c r="N951" s="30"/>
      <c r="O951" s="30"/>
      <c r="P951" s="108"/>
      <c r="Q951" s="30"/>
      <c r="R951" s="30"/>
    </row>
    <row r="952" ht="15.75" customHeight="1">
      <c r="A952" s="108"/>
      <c r="B952" s="108"/>
      <c r="C952" s="108"/>
      <c r="D952" s="108"/>
      <c r="E952" s="108"/>
      <c r="F952" s="30"/>
      <c r="G952" s="30"/>
      <c r="H952" s="30"/>
      <c r="I952" s="30"/>
      <c r="J952" s="30"/>
      <c r="K952" s="30"/>
      <c r="L952" s="30"/>
      <c r="M952" s="30"/>
      <c r="N952" s="30"/>
      <c r="O952" s="30"/>
      <c r="P952" s="108"/>
      <c r="Q952" s="30"/>
      <c r="R952" s="30"/>
    </row>
    <row r="953" ht="15.75" customHeight="1">
      <c r="A953" s="108"/>
      <c r="B953" s="108"/>
      <c r="C953" s="108"/>
      <c r="D953" s="108"/>
      <c r="E953" s="108"/>
      <c r="F953" s="30"/>
      <c r="G953" s="30"/>
      <c r="H953" s="30"/>
      <c r="I953" s="30"/>
      <c r="J953" s="30"/>
      <c r="K953" s="30"/>
      <c r="L953" s="30"/>
      <c r="M953" s="30"/>
      <c r="N953" s="30"/>
      <c r="O953" s="30"/>
      <c r="P953" s="108"/>
      <c r="Q953" s="30"/>
      <c r="R953" s="30"/>
    </row>
    <row r="954" ht="15.75" customHeight="1">
      <c r="A954" s="108"/>
      <c r="B954" s="108"/>
      <c r="C954" s="108"/>
      <c r="D954" s="108"/>
      <c r="E954" s="108"/>
      <c r="F954" s="30"/>
      <c r="G954" s="30"/>
      <c r="H954" s="30"/>
      <c r="I954" s="30"/>
      <c r="J954" s="30"/>
      <c r="K954" s="30"/>
      <c r="L954" s="30"/>
      <c r="M954" s="30"/>
      <c r="N954" s="30"/>
      <c r="O954" s="30"/>
      <c r="P954" s="108"/>
      <c r="Q954" s="30"/>
      <c r="R954" s="30"/>
    </row>
    <row r="955" ht="15.75" customHeight="1">
      <c r="A955" s="108"/>
      <c r="B955" s="108"/>
      <c r="C955" s="108"/>
      <c r="D955" s="108"/>
      <c r="E955" s="108"/>
      <c r="F955" s="30"/>
      <c r="G955" s="30"/>
      <c r="H955" s="30"/>
      <c r="I955" s="30"/>
      <c r="J955" s="30"/>
      <c r="K955" s="30"/>
      <c r="L955" s="30"/>
      <c r="M955" s="30"/>
      <c r="N955" s="30"/>
      <c r="O955" s="30"/>
      <c r="P955" s="108"/>
      <c r="Q955" s="30"/>
      <c r="R955" s="30"/>
    </row>
    <row r="956" ht="15.75" customHeight="1">
      <c r="A956" s="108"/>
      <c r="B956" s="108"/>
      <c r="C956" s="108"/>
      <c r="D956" s="108"/>
      <c r="E956" s="108"/>
      <c r="F956" s="30"/>
      <c r="G956" s="30"/>
      <c r="H956" s="30"/>
      <c r="I956" s="30"/>
      <c r="J956" s="30"/>
      <c r="K956" s="30"/>
      <c r="L956" s="30"/>
      <c r="M956" s="30"/>
      <c r="N956" s="30"/>
      <c r="O956" s="30"/>
      <c r="P956" s="108"/>
      <c r="Q956" s="30"/>
      <c r="R956" s="30"/>
    </row>
    <row r="957" ht="15.75" customHeight="1">
      <c r="A957" s="108"/>
      <c r="B957" s="108"/>
      <c r="C957" s="108"/>
      <c r="D957" s="108"/>
      <c r="E957" s="108"/>
      <c r="F957" s="30"/>
      <c r="G957" s="30"/>
      <c r="H957" s="30"/>
      <c r="I957" s="30"/>
      <c r="J957" s="30"/>
      <c r="K957" s="30"/>
      <c r="L957" s="30"/>
      <c r="M957" s="30"/>
      <c r="N957" s="30"/>
      <c r="O957" s="30"/>
      <c r="P957" s="108"/>
      <c r="Q957" s="30"/>
      <c r="R957" s="30"/>
    </row>
    <row r="958" ht="15.75" customHeight="1">
      <c r="A958" s="108"/>
      <c r="B958" s="108"/>
      <c r="C958" s="108"/>
      <c r="D958" s="108"/>
      <c r="E958" s="108"/>
      <c r="F958" s="30"/>
      <c r="G958" s="30"/>
      <c r="H958" s="30"/>
      <c r="I958" s="30"/>
      <c r="J958" s="30"/>
      <c r="K958" s="30"/>
      <c r="L958" s="30"/>
      <c r="M958" s="30"/>
      <c r="N958" s="30"/>
      <c r="O958" s="30"/>
      <c r="P958" s="108"/>
      <c r="Q958" s="30"/>
      <c r="R958" s="30"/>
    </row>
    <row r="959" ht="15.75" customHeight="1">
      <c r="A959" s="108"/>
      <c r="B959" s="108"/>
      <c r="C959" s="108"/>
      <c r="D959" s="108"/>
      <c r="E959" s="108"/>
      <c r="F959" s="30"/>
      <c r="G959" s="30"/>
      <c r="H959" s="30"/>
      <c r="I959" s="30"/>
      <c r="J959" s="30"/>
      <c r="K959" s="30"/>
      <c r="L959" s="30"/>
      <c r="M959" s="30"/>
      <c r="N959" s="30"/>
      <c r="O959" s="30"/>
      <c r="P959" s="108"/>
      <c r="Q959" s="30"/>
      <c r="R959" s="30"/>
    </row>
    <row r="960" ht="15.75" customHeight="1">
      <c r="A960" s="108"/>
      <c r="B960" s="108"/>
      <c r="C960" s="108"/>
      <c r="D960" s="108"/>
      <c r="E960" s="108"/>
      <c r="F960" s="30"/>
      <c r="G960" s="30"/>
      <c r="H960" s="30"/>
      <c r="I960" s="30"/>
      <c r="J960" s="30"/>
      <c r="K960" s="30"/>
      <c r="L960" s="30"/>
      <c r="M960" s="30"/>
      <c r="N960" s="30"/>
      <c r="O960" s="30"/>
      <c r="P960" s="108"/>
      <c r="Q960" s="30"/>
      <c r="R960" s="30"/>
    </row>
    <row r="961" ht="15.75" customHeight="1">
      <c r="A961" s="108"/>
      <c r="B961" s="108"/>
      <c r="C961" s="108"/>
      <c r="D961" s="108"/>
      <c r="E961" s="108"/>
      <c r="F961" s="30"/>
      <c r="G961" s="30"/>
      <c r="H961" s="30"/>
      <c r="I961" s="30"/>
      <c r="J961" s="30"/>
      <c r="K961" s="30"/>
      <c r="L961" s="30"/>
      <c r="M961" s="30"/>
      <c r="N961" s="30"/>
      <c r="O961" s="30"/>
      <c r="P961" s="108"/>
      <c r="Q961" s="30"/>
      <c r="R961" s="30"/>
    </row>
    <row r="962" ht="15.75" customHeight="1">
      <c r="A962" s="108"/>
      <c r="B962" s="108"/>
      <c r="C962" s="108"/>
      <c r="D962" s="108"/>
      <c r="E962" s="108"/>
      <c r="F962" s="30"/>
      <c r="G962" s="30"/>
      <c r="H962" s="30"/>
      <c r="I962" s="30"/>
      <c r="J962" s="30"/>
      <c r="K962" s="30"/>
      <c r="L962" s="30"/>
      <c r="M962" s="30"/>
      <c r="N962" s="30"/>
      <c r="O962" s="30"/>
      <c r="P962" s="108"/>
      <c r="Q962" s="30"/>
      <c r="R962" s="30"/>
    </row>
    <row r="963" ht="15.75" customHeight="1">
      <c r="A963" s="108"/>
      <c r="B963" s="108"/>
      <c r="C963" s="108"/>
      <c r="D963" s="108"/>
      <c r="E963" s="108"/>
      <c r="F963" s="30"/>
      <c r="G963" s="30"/>
      <c r="H963" s="30"/>
      <c r="I963" s="30"/>
      <c r="J963" s="30"/>
      <c r="K963" s="30"/>
      <c r="L963" s="30"/>
      <c r="M963" s="30"/>
      <c r="N963" s="30"/>
      <c r="O963" s="30"/>
      <c r="P963" s="108"/>
      <c r="Q963" s="30"/>
      <c r="R963" s="30"/>
    </row>
    <row r="964" ht="15.75" customHeight="1">
      <c r="A964" s="108"/>
      <c r="B964" s="108"/>
      <c r="C964" s="108"/>
      <c r="D964" s="108"/>
      <c r="E964" s="108"/>
      <c r="F964" s="30"/>
      <c r="G964" s="30"/>
      <c r="H964" s="30"/>
      <c r="I964" s="30"/>
      <c r="J964" s="30"/>
      <c r="K964" s="30"/>
      <c r="L964" s="30"/>
      <c r="M964" s="30"/>
      <c r="N964" s="30"/>
      <c r="O964" s="30"/>
      <c r="P964" s="108"/>
      <c r="Q964" s="30"/>
      <c r="R964" s="30"/>
    </row>
    <row r="965" ht="15.75" customHeight="1">
      <c r="A965" s="108"/>
      <c r="B965" s="108"/>
      <c r="C965" s="108"/>
      <c r="D965" s="108"/>
      <c r="E965" s="108"/>
      <c r="F965" s="30"/>
      <c r="G965" s="30"/>
      <c r="H965" s="30"/>
      <c r="I965" s="30"/>
      <c r="J965" s="30"/>
      <c r="K965" s="30"/>
      <c r="L965" s="30"/>
      <c r="M965" s="30"/>
      <c r="N965" s="30"/>
      <c r="O965" s="30"/>
      <c r="P965" s="108"/>
      <c r="Q965" s="30"/>
      <c r="R965" s="30"/>
    </row>
    <row r="966" ht="15.75" customHeight="1">
      <c r="A966" s="108"/>
      <c r="B966" s="108"/>
      <c r="C966" s="108"/>
      <c r="D966" s="108"/>
      <c r="E966" s="108"/>
      <c r="F966" s="30"/>
      <c r="G966" s="30"/>
      <c r="H966" s="30"/>
      <c r="I966" s="30"/>
      <c r="J966" s="30"/>
      <c r="K966" s="30"/>
      <c r="L966" s="30"/>
      <c r="M966" s="30"/>
      <c r="N966" s="30"/>
      <c r="O966" s="30"/>
      <c r="P966" s="108"/>
      <c r="Q966" s="30"/>
      <c r="R966" s="30"/>
    </row>
    <row r="967" ht="15.75" customHeight="1">
      <c r="A967" s="108"/>
      <c r="B967" s="108"/>
      <c r="C967" s="108"/>
      <c r="D967" s="108"/>
      <c r="E967" s="108"/>
      <c r="F967" s="30"/>
      <c r="G967" s="30"/>
      <c r="H967" s="30"/>
      <c r="I967" s="30"/>
      <c r="J967" s="30"/>
      <c r="K967" s="30"/>
      <c r="L967" s="30"/>
      <c r="M967" s="30"/>
      <c r="N967" s="30"/>
      <c r="O967" s="30"/>
      <c r="P967" s="108"/>
      <c r="Q967" s="30"/>
      <c r="R967" s="30"/>
    </row>
    <row r="968" ht="15.75" customHeight="1">
      <c r="A968" s="108"/>
      <c r="B968" s="108"/>
      <c r="C968" s="108"/>
      <c r="D968" s="108"/>
      <c r="E968" s="108"/>
      <c r="F968" s="30"/>
      <c r="G968" s="30"/>
      <c r="H968" s="30"/>
      <c r="I968" s="30"/>
      <c r="J968" s="30"/>
      <c r="K968" s="30"/>
      <c r="L968" s="30"/>
      <c r="M968" s="30"/>
      <c r="N968" s="30"/>
      <c r="O968" s="30"/>
      <c r="P968" s="108"/>
      <c r="Q968" s="30"/>
      <c r="R968" s="30"/>
    </row>
    <row r="969" ht="15.75" customHeight="1">
      <c r="A969" s="108"/>
      <c r="B969" s="108"/>
      <c r="C969" s="108"/>
      <c r="D969" s="108"/>
      <c r="E969" s="108"/>
      <c r="F969" s="30"/>
      <c r="G969" s="30"/>
      <c r="H969" s="30"/>
      <c r="I969" s="30"/>
      <c r="J969" s="30"/>
      <c r="K969" s="30"/>
      <c r="L969" s="30"/>
      <c r="M969" s="30"/>
      <c r="N969" s="30"/>
      <c r="O969" s="30"/>
      <c r="P969" s="108"/>
      <c r="Q969" s="30"/>
      <c r="R969" s="30"/>
    </row>
    <row r="970" ht="15.75" customHeight="1">
      <c r="A970" s="108"/>
      <c r="B970" s="108"/>
      <c r="C970" s="108"/>
      <c r="D970" s="108"/>
      <c r="E970" s="108"/>
      <c r="F970" s="30"/>
      <c r="G970" s="30"/>
      <c r="H970" s="30"/>
      <c r="I970" s="30"/>
      <c r="J970" s="30"/>
      <c r="K970" s="30"/>
      <c r="L970" s="30"/>
      <c r="M970" s="30"/>
      <c r="N970" s="30"/>
      <c r="O970" s="30"/>
      <c r="P970" s="108"/>
      <c r="Q970" s="30"/>
      <c r="R970" s="30"/>
    </row>
    <row r="971" ht="15.75" customHeight="1">
      <c r="A971" s="108"/>
      <c r="B971" s="108"/>
      <c r="C971" s="108"/>
      <c r="D971" s="108"/>
      <c r="E971" s="108"/>
      <c r="F971" s="30"/>
      <c r="G971" s="30"/>
      <c r="H971" s="30"/>
      <c r="I971" s="30"/>
      <c r="J971" s="30"/>
      <c r="K971" s="30"/>
      <c r="L971" s="30"/>
      <c r="M971" s="30"/>
      <c r="N971" s="30"/>
      <c r="O971" s="30"/>
      <c r="P971" s="108"/>
      <c r="Q971" s="30"/>
      <c r="R971" s="30"/>
    </row>
    <row r="972" ht="15.75" customHeight="1">
      <c r="A972" s="108"/>
      <c r="B972" s="108"/>
      <c r="C972" s="108"/>
      <c r="D972" s="108"/>
      <c r="E972" s="108"/>
      <c r="F972" s="30"/>
      <c r="G972" s="30"/>
      <c r="H972" s="30"/>
      <c r="I972" s="30"/>
      <c r="J972" s="30"/>
      <c r="K972" s="30"/>
      <c r="L972" s="30"/>
      <c r="M972" s="30"/>
      <c r="N972" s="30"/>
      <c r="O972" s="30"/>
      <c r="P972" s="108"/>
      <c r="Q972" s="30"/>
      <c r="R972" s="30"/>
    </row>
    <row r="973" ht="15.75" customHeight="1">
      <c r="A973" s="108"/>
      <c r="B973" s="108"/>
      <c r="C973" s="108"/>
      <c r="D973" s="108"/>
      <c r="E973" s="108"/>
      <c r="F973" s="30"/>
      <c r="G973" s="30"/>
      <c r="H973" s="30"/>
      <c r="I973" s="30"/>
      <c r="J973" s="30"/>
      <c r="K973" s="30"/>
      <c r="L973" s="30"/>
      <c r="M973" s="30"/>
      <c r="N973" s="30"/>
      <c r="O973" s="30"/>
      <c r="P973" s="108"/>
      <c r="Q973" s="30"/>
      <c r="R973" s="30"/>
    </row>
    <row r="974" ht="15.75" customHeight="1">
      <c r="A974" s="108"/>
      <c r="B974" s="108"/>
      <c r="C974" s="108"/>
      <c r="D974" s="108"/>
      <c r="E974" s="108"/>
      <c r="F974" s="30"/>
      <c r="G974" s="30"/>
      <c r="H974" s="30"/>
      <c r="I974" s="30"/>
      <c r="J974" s="30"/>
      <c r="K974" s="30"/>
      <c r="L974" s="30"/>
      <c r="M974" s="30"/>
      <c r="N974" s="30"/>
      <c r="O974" s="30"/>
      <c r="P974" s="108"/>
      <c r="Q974" s="30"/>
      <c r="R974" s="30"/>
    </row>
    <row r="975" ht="15.75" customHeight="1">
      <c r="A975" s="108"/>
      <c r="B975" s="108"/>
      <c r="C975" s="108"/>
      <c r="D975" s="108"/>
      <c r="E975" s="108"/>
      <c r="F975" s="30"/>
      <c r="G975" s="30"/>
      <c r="H975" s="30"/>
      <c r="I975" s="30"/>
      <c r="J975" s="30"/>
      <c r="K975" s="30"/>
      <c r="L975" s="30"/>
      <c r="M975" s="30"/>
      <c r="N975" s="30"/>
      <c r="O975" s="30"/>
      <c r="P975" s="108"/>
      <c r="Q975" s="30"/>
      <c r="R975" s="30"/>
    </row>
    <row r="976" ht="15.75" customHeight="1">
      <c r="A976" s="108"/>
      <c r="B976" s="108"/>
      <c r="C976" s="108"/>
      <c r="D976" s="108"/>
      <c r="E976" s="108"/>
      <c r="F976" s="30"/>
      <c r="G976" s="30"/>
      <c r="H976" s="30"/>
      <c r="I976" s="30"/>
      <c r="J976" s="30"/>
      <c r="K976" s="30"/>
      <c r="L976" s="30"/>
      <c r="M976" s="30"/>
      <c r="N976" s="30"/>
      <c r="O976" s="30"/>
      <c r="P976" s="108"/>
      <c r="Q976" s="30"/>
      <c r="R976" s="30"/>
    </row>
    <row r="977" ht="15.75" customHeight="1">
      <c r="A977" s="108"/>
      <c r="B977" s="108"/>
      <c r="C977" s="108"/>
      <c r="D977" s="108"/>
      <c r="E977" s="108"/>
      <c r="F977" s="30"/>
      <c r="G977" s="30"/>
      <c r="H977" s="30"/>
      <c r="I977" s="30"/>
      <c r="J977" s="30"/>
      <c r="K977" s="30"/>
      <c r="L977" s="30"/>
      <c r="M977" s="30"/>
      <c r="N977" s="30"/>
      <c r="O977" s="30"/>
      <c r="P977" s="108"/>
      <c r="Q977" s="30"/>
      <c r="R977" s="30"/>
    </row>
    <row r="978" ht="15.75" customHeight="1">
      <c r="A978" s="108"/>
      <c r="B978" s="108"/>
      <c r="C978" s="108"/>
      <c r="D978" s="108"/>
      <c r="E978" s="108"/>
      <c r="F978" s="30"/>
      <c r="G978" s="30"/>
      <c r="H978" s="30"/>
      <c r="I978" s="30"/>
      <c r="J978" s="30"/>
      <c r="K978" s="30"/>
      <c r="L978" s="30"/>
      <c r="M978" s="30"/>
      <c r="N978" s="30"/>
      <c r="O978" s="30"/>
      <c r="P978" s="108"/>
      <c r="Q978" s="30"/>
      <c r="R978" s="30"/>
    </row>
    <row r="979" ht="15.75" customHeight="1">
      <c r="A979" s="108"/>
      <c r="B979" s="108"/>
      <c r="C979" s="108"/>
      <c r="D979" s="108"/>
      <c r="E979" s="108"/>
      <c r="F979" s="30"/>
      <c r="G979" s="30"/>
      <c r="H979" s="30"/>
      <c r="I979" s="30"/>
      <c r="J979" s="30"/>
      <c r="K979" s="30"/>
      <c r="L979" s="30"/>
      <c r="M979" s="30"/>
      <c r="N979" s="30"/>
      <c r="O979" s="30"/>
      <c r="P979" s="108"/>
      <c r="Q979" s="30"/>
      <c r="R979" s="30"/>
    </row>
    <row r="980" ht="15.75" customHeight="1">
      <c r="A980" s="108"/>
      <c r="B980" s="108"/>
      <c r="C980" s="108"/>
      <c r="D980" s="108"/>
      <c r="E980" s="108"/>
      <c r="F980" s="30"/>
      <c r="G980" s="30"/>
      <c r="H980" s="30"/>
      <c r="I980" s="30"/>
      <c r="J980" s="30"/>
      <c r="K980" s="30"/>
      <c r="L980" s="30"/>
      <c r="M980" s="30"/>
      <c r="N980" s="30"/>
      <c r="O980" s="30"/>
      <c r="P980" s="108"/>
      <c r="Q980" s="30"/>
      <c r="R980" s="30"/>
    </row>
    <row r="981" ht="15.75" customHeight="1">
      <c r="A981" s="108"/>
      <c r="B981" s="108"/>
      <c r="C981" s="108"/>
      <c r="D981" s="108"/>
      <c r="E981" s="108"/>
      <c r="F981" s="30"/>
      <c r="G981" s="30"/>
      <c r="H981" s="30"/>
      <c r="I981" s="30"/>
      <c r="J981" s="30"/>
      <c r="K981" s="30"/>
      <c r="L981" s="30"/>
      <c r="M981" s="30"/>
      <c r="N981" s="30"/>
      <c r="O981" s="30"/>
      <c r="P981" s="108"/>
      <c r="Q981" s="30"/>
      <c r="R981" s="30"/>
    </row>
    <row r="982" ht="15.75" customHeight="1">
      <c r="A982" s="108"/>
      <c r="B982" s="108"/>
      <c r="C982" s="108"/>
      <c r="D982" s="108"/>
      <c r="E982" s="108"/>
      <c r="F982" s="30"/>
      <c r="G982" s="30"/>
      <c r="H982" s="30"/>
      <c r="I982" s="30"/>
      <c r="J982" s="30"/>
      <c r="K982" s="30"/>
      <c r="L982" s="30"/>
      <c r="M982" s="30"/>
      <c r="N982" s="30"/>
      <c r="O982" s="30"/>
      <c r="P982" s="108"/>
      <c r="Q982" s="30"/>
      <c r="R982" s="30"/>
    </row>
    <row r="983" ht="15.75" customHeight="1">
      <c r="A983" s="108"/>
      <c r="B983" s="108"/>
      <c r="C983" s="108"/>
      <c r="D983" s="108"/>
      <c r="E983" s="108"/>
      <c r="F983" s="30"/>
      <c r="G983" s="30"/>
      <c r="H983" s="30"/>
      <c r="I983" s="30"/>
      <c r="J983" s="30"/>
      <c r="K983" s="30"/>
      <c r="L983" s="30"/>
      <c r="M983" s="30"/>
      <c r="N983" s="30"/>
      <c r="O983" s="30"/>
      <c r="P983" s="108"/>
      <c r="Q983" s="30"/>
      <c r="R983" s="30"/>
    </row>
    <row r="984" ht="15.75" customHeight="1">
      <c r="A984" s="108"/>
      <c r="B984" s="108"/>
      <c r="C984" s="108"/>
      <c r="D984" s="108"/>
      <c r="E984" s="108"/>
      <c r="F984" s="30"/>
      <c r="G984" s="30"/>
      <c r="H984" s="30"/>
      <c r="I984" s="30"/>
      <c r="J984" s="30"/>
      <c r="K984" s="30"/>
      <c r="L984" s="30"/>
      <c r="M984" s="30"/>
      <c r="N984" s="30"/>
      <c r="O984" s="30"/>
      <c r="P984" s="108"/>
      <c r="Q984" s="30"/>
      <c r="R984" s="30"/>
    </row>
    <row r="985" ht="15.75" customHeight="1">
      <c r="A985" s="108"/>
      <c r="B985" s="108"/>
      <c r="C985" s="108"/>
      <c r="D985" s="108"/>
      <c r="E985" s="108"/>
      <c r="F985" s="30"/>
      <c r="G985" s="30"/>
      <c r="H985" s="30"/>
      <c r="I985" s="30"/>
      <c r="J985" s="30"/>
      <c r="K985" s="30"/>
      <c r="L985" s="30"/>
      <c r="M985" s="30"/>
      <c r="N985" s="30"/>
      <c r="O985" s="30"/>
      <c r="P985" s="108"/>
      <c r="Q985" s="30"/>
      <c r="R985" s="30"/>
    </row>
    <row r="986" ht="15.75" customHeight="1">
      <c r="A986" s="108"/>
      <c r="B986" s="108"/>
      <c r="C986" s="108"/>
      <c r="D986" s="108"/>
      <c r="E986" s="108"/>
      <c r="F986" s="30"/>
      <c r="G986" s="30"/>
      <c r="H986" s="30"/>
      <c r="I986" s="30"/>
      <c r="J986" s="30"/>
      <c r="K986" s="30"/>
      <c r="L986" s="30"/>
      <c r="M986" s="30"/>
      <c r="N986" s="30"/>
      <c r="O986" s="30"/>
      <c r="P986" s="108"/>
      <c r="Q986" s="30"/>
      <c r="R986" s="30"/>
    </row>
    <row r="987" ht="15.75" customHeight="1">
      <c r="A987" s="108"/>
      <c r="B987" s="108"/>
      <c r="C987" s="108"/>
      <c r="D987" s="108"/>
      <c r="E987" s="108"/>
      <c r="F987" s="30"/>
      <c r="G987" s="30"/>
      <c r="H987" s="30"/>
      <c r="I987" s="30"/>
      <c r="J987" s="30"/>
      <c r="K987" s="30"/>
      <c r="L987" s="30"/>
      <c r="M987" s="30"/>
      <c r="N987" s="30"/>
      <c r="O987" s="30"/>
      <c r="P987" s="108"/>
      <c r="Q987" s="30"/>
      <c r="R987" s="30"/>
    </row>
    <row r="988" ht="15.75" customHeight="1">
      <c r="A988" s="108"/>
      <c r="B988" s="108"/>
      <c r="C988" s="108"/>
      <c r="D988" s="108"/>
      <c r="E988" s="108"/>
      <c r="F988" s="30"/>
      <c r="G988" s="30"/>
      <c r="H988" s="30"/>
      <c r="I988" s="30"/>
      <c r="J988" s="30"/>
      <c r="K988" s="30"/>
      <c r="L988" s="30"/>
      <c r="M988" s="30"/>
      <c r="N988" s="30"/>
      <c r="O988" s="30"/>
      <c r="P988" s="108"/>
      <c r="Q988" s="30"/>
      <c r="R988" s="30"/>
    </row>
    <row r="989" ht="15.75" customHeight="1">
      <c r="A989" s="108"/>
      <c r="B989" s="108"/>
      <c r="C989" s="108"/>
      <c r="D989" s="108"/>
      <c r="E989" s="108"/>
      <c r="F989" s="30"/>
      <c r="G989" s="30"/>
      <c r="H989" s="30"/>
      <c r="I989" s="30"/>
      <c r="J989" s="30"/>
      <c r="K989" s="30"/>
      <c r="L989" s="30"/>
      <c r="M989" s="30"/>
      <c r="N989" s="30"/>
      <c r="O989" s="30"/>
      <c r="P989" s="108"/>
      <c r="Q989" s="30"/>
      <c r="R989" s="30"/>
    </row>
    <row r="990" ht="15.75" customHeight="1">
      <c r="A990" s="108"/>
      <c r="B990" s="108"/>
      <c r="C990" s="108"/>
      <c r="D990" s="108"/>
      <c r="E990" s="108"/>
      <c r="F990" s="30"/>
      <c r="G990" s="30"/>
      <c r="H990" s="30"/>
      <c r="I990" s="30"/>
      <c r="J990" s="30"/>
      <c r="K990" s="30"/>
      <c r="L990" s="30"/>
      <c r="M990" s="30"/>
      <c r="N990" s="30"/>
      <c r="O990" s="30"/>
      <c r="P990" s="108"/>
      <c r="Q990" s="30"/>
      <c r="R990" s="30"/>
    </row>
    <row r="991" ht="15.75" customHeight="1">
      <c r="A991" s="108"/>
      <c r="B991" s="108"/>
      <c r="C991" s="108"/>
      <c r="D991" s="108"/>
      <c r="E991" s="108"/>
      <c r="F991" s="30"/>
      <c r="G991" s="30"/>
      <c r="H991" s="30"/>
      <c r="I991" s="30"/>
      <c r="J991" s="30"/>
      <c r="K991" s="30"/>
      <c r="L991" s="30"/>
      <c r="M991" s="30"/>
      <c r="N991" s="30"/>
      <c r="O991" s="30"/>
      <c r="P991" s="108"/>
      <c r="Q991" s="30"/>
      <c r="R991" s="30"/>
    </row>
    <row r="992" ht="15.75" customHeight="1">
      <c r="A992" s="108"/>
      <c r="B992" s="108"/>
      <c r="C992" s="108"/>
      <c r="D992" s="108"/>
      <c r="E992" s="108"/>
      <c r="F992" s="30"/>
      <c r="G992" s="30"/>
      <c r="H992" s="30"/>
      <c r="I992" s="30"/>
      <c r="J992" s="30"/>
      <c r="K992" s="30"/>
      <c r="L992" s="30"/>
      <c r="M992" s="30"/>
      <c r="N992" s="30"/>
      <c r="O992" s="30"/>
      <c r="P992" s="108"/>
      <c r="Q992" s="30"/>
      <c r="R992" s="30"/>
    </row>
    <row r="993" ht="15.75" customHeight="1">
      <c r="A993" s="108"/>
      <c r="B993" s="108"/>
      <c r="C993" s="108"/>
      <c r="D993" s="108"/>
      <c r="E993" s="108"/>
      <c r="F993" s="30"/>
      <c r="G993" s="30"/>
      <c r="H993" s="30"/>
      <c r="I993" s="30"/>
      <c r="J993" s="30"/>
      <c r="K993" s="30"/>
      <c r="L993" s="30"/>
      <c r="M993" s="30"/>
      <c r="N993" s="30"/>
      <c r="O993" s="30"/>
      <c r="P993" s="108"/>
      <c r="Q993" s="30"/>
      <c r="R993" s="30"/>
    </row>
    <row r="994" ht="15.75" customHeight="1">
      <c r="A994" s="108"/>
      <c r="B994" s="108"/>
      <c r="C994" s="108"/>
      <c r="D994" s="108"/>
      <c r="E994" s="108"/>
      <c r="F994" s="30"/>
      <c r="G994" s="30"/>
      <c r="H994" s="30"/>
      <c r="I994" s="30"/>
      <c r="J994" s="30"/>
      <c r="K994" s="30"/>
      <c r="L994" s="30"/>
      <c r="M994" s="30"/>
      <c r="N994" s="30"/>
      <c r="O994" s="30"/>
      <c r="P994" s="108"/>
      <c r="Q994" s="30"/>
      <c r="R994" s="30"/>
    </row>
    <row r="995" ht="15.75" customHeight="1">
      <c r="A995" s="108"/>
      <c r="B995" s="108"/>
      <c r="C995" s="108"/>
      <c r="D995" s="108"/>
      <c r="E995" s="108"/>
      <c r="F995" s="30"/>
      <c r="G995" s="30"/>
      <c r="H995" s="30"/>
      <c r="I995" s="30"/>
      <c r="J995" s="30"/>
      <c r="K995" s="30"/>
      <c r="L995" s="30"/>
      <c r="M995" s="30"/>
      <c r="N995" s="30"/>
      <c r="O995" s="30"/>
      <c r="P995" s="108"/>
      <c r="Q995" s="30"/>
      <c r="R995" s="30"/>
    </row>
    <row r="996" ht="15.75" customHeight="1">
      <c r="A996" s="108"/>
      <c r="B996" s="108"/>
      <c r="C996" s="108"/>
      <c r="D996" s="108"/>
      <c r="E996" s="108"/>
      <c r="F996" s="30"/>
      <c r="G996" s="30"/>
      <c r="H996" s="30"/>
      <c r="I996" s="30"/>
      <c r="J996" s="30"/>
      <c r="K996" s="30"/>
      <c r="L996" s="30"/>
      <c r="M996" s="30"/>
      <c r="N996" s="30"/>
      <c r="O996" s="30"/>
      <c r="P996" s="108"/>
      <c r="Q996" s="30"/>
      <c r="R996" s="30"/>
    </row>
    <row r="997" ht="15.75" customHeight="1">
      <c r="A997" s="108"/>
      <c r="B997" s="108"/>
      <c r="C997" s="108"/>
      <c r="D997" s="108"/>
      <c r="E997" s="108"/>
      <c r="F997" s="30"/>
      <c r="G997" s="30"/>
      <c r="H997" s="30"/>
      <c r="I997" s="30"/>
      <c r="J997" s="30"/>
      <c r="K997" s="30"/>
      <c r="L997" s="30"/>
      <c r="M997" s="30"/>
      <c r="N997" s="30"/>
      <c r="O997" s="30"/>
      <c r="P997" s="108"/>
      <c r="Q997" s="30"/>
      <c r="R997" s="30"/>
    </row>
    <row r="998" ht="15.75" customHeight="1">
      <c r="A998" s="108"/>
      <c r="B998" s="108"/>
      <c r="C998" s="108"/>
      <c r="D998" s="108"/>
      <c r="E998" s="108"/>
      <c r="F998" s="30"/>
      <c r="G998" s="30"/>
      <c r="H998" s="30"/>
      <c r="I998" s="30"/>
      <c r="J998" s="30"/>
      <c r="K998" s="30"/>
      <c r="L998" s="30"/>
      <c r="M998" s="30"/>
      <c r="N998" s="30"/>
      <c r="O998" s="30"/>
      <c r="P998" s="108"/>
      <c r="Q998" s="30"/>
      <c r="R998" s="30"/>
    </row>
    <row r="999" ht="15.75" customHeight="1">
      <c r="A999" s="108"/>
      <c r="B999" s="108"/>
      <c r="C999" s="108"/>
      <c r="D999" s="108"/>
      <c r="E999" s="108"/>
      <c r="F999" s="30"/>
      <c r="G999" s="30"/>
      <c r="H999" s="30"/>
      <c r="I999" s="30"/>
      <c r="J999" s="30"/>
      <c r="K999" s="30"/>
      <c r="L999" s="30"/>
      <c r="M999" s="30"/>
      <c r="N999" s="30"/>
      <c r="O999" s="30"/>
      <c r="P999" s="108"/>
      <c r="Q999" s="30"/>
      <c r="R999" s="30"/>
    </row>
    <row r="1000" ht="15.75" customHeight="1">
      <c r="A1000" s="108"/>
      <c r="B1000" s="108"/>
      <c r="C1000" s="108"/>
      <c r="D1000" s="108"/>
      <c r="E1000" s="108"/>
      <c r="F1000" s="30"/>
      <c r="G1000" s="30"/>
      <c r="H1000" s="30"/>
      <c r="I1000" s="30"/>
      <c r="J1000" s="30"/>
      <c r="K1000" s="30"/>
      <c r="L1000" s="30"/>
      <c r="M1000" s="30"/>
      <c r="N1000" s="30"/>
      <c r="O1000" s="30"/>
      <c r="P1000" s="108"/>
      <c r="Q1000" s="30"/>
      <c r="R1000" s="30"/>
    </row>
    <row r="1001" ht="15.75" customHeight="1">
      <c r="A1001" s="108"/>
      <c r="B1001" s="108"/>
      <c r="C1001" s="108"/>
      <c r="D1001" s="108"/>
      <c r="E1001" s="108"/>
      <c r="F1001" s="30"/>
      <c r="G1001" s="30"/>
      <c r="H1001" s="30"/>
      <c r="I1001" s="30"/>
      <c r="J1001" s="30"/>
      <c r="K1001" s="30"/>
      <c r="L1001" s="30"/>
      <c r="M1001" s="30"/>
      <c r="N1001" s="30"/>
      <c r="O1001" s="30"/>
      <c r="P1001" s="108"/>
      <c r="Q1001" s="30"/>
      <c r="R1001" s="30"/>
    </row>
    <row r="1002" ht="15.75" customHeight="1">
      <c r="A1002" s="108"/>
      <c r="B1002" s="108"/>
      <c r="C1002" s="108"/>
      <c r="D1002" s="108"/>
      <c r="E1002" s="108"/>
      <c r="F1002" s="30"/>
      <c r="G1002" s="30"/>
      <c r="H1002" s="30"/>
      <c r="I1002" s="30"/>
      <c r="J1002" s="30"/>
      <c r="K1002" s="30"/>
      <c r="L1002" s="30"/>
      <c r="M1002" s="30"/>
      <c r="N1002" s="30"/>
      <c r="O1002" s="30"/>
      <c r="P1002" s="108"/>
      <c r="Q1002" s="30"/>
      <c r="R1002" s="30"/>
    </row>
    <row r="1003" ht="15.75" customHeight="1">
      <c r="A1003" s="108"/>
      <c r="B1003" s="108"/>
      <c r="C1003" s="108"/>
      <c r="D1003" s="108"/>
      <c r="E1003" s="108"/>
      <c r="F1003" s="30"/>
      <c r="G1003" s="30"/>
      <c r="H1003" s="30"/>
      <c r="I1003" s="30"/>
      <c r="J1003" s="30"/>
      <c r="K1003" s="30"/>
      <c r="L1003" s="30"/>
      <c r="M1003" s="30"/>
      <c r="N1003" s="30"/>
      <c r="O1003" s="30"/>
      <c r="P1003" s="108"/>
      <c r="Q1003" s="30"/>
      <c r="R1003" s="30"/>
    </row>
    <row r="1004" ht="15.75" customHeight="1">
      <c r="A1004" s="108"/>
      <c r="B1004" s="108"/>
      <c r="C1004" s="108"/>
      <c r="D1004" s="108"/>
      <c r="E1004" s="108"/>
      <c r="F1004" s="30"/>
      <c r="G1004" s="30"/>
      <c r="H1004" s="30"/>
      <c r="I1004" s="30"/>
      <c r="J1004" s="30"/>
      <c r="K1004" s="30"/>
      <c r="L1004" s="30"/>
      <c r="M1004" s="30"/>
      <c r="N1004" s="30"/>
      <c r="O1004" s="30"/>
      <c r="P1004" s="108"/>
      <c r="Q1004" s="30"/>
      <c r="R1004" s="30"/>
    </row>
    <row r="1005" ht="15.75" customHeight="1">
      <c r="A1005" s="108"/>
      <c r="B1005" s="108"/>
      <c r="C1005" s="108"/>
      <c r="D1005" s="108"/>
      <c r="E1005" s="108"/>
      <c r="F1005" s="30"/>
      <c r="G1005" s="30"/>
      <c r="H1005" s="30"/>
      <c r="I1005" s="30"/>
      <c r="J1005" s="30"/>
      <c r="K1005" s="30"/>
      <c r="L1005" s="30"/>
      <c r="M1005" s="30"/>
      <c r="N1005" s="30"/>
      <c r="O1005" s="30"/>
      <c r="P1005" s="108"/>
      <c r="Q1005" s="30"/>
      <c r="R1005" s="30"/>
    </row>
    <row r="1006" ht="15.75" customHeight="1">
      <c r="A1006" s="108"/>
      <c r="B1006" s="108"/>
      <c r="C1006" s="108"/>
      <c r="D1006" s="108"/>
      <c r="E1006" s="108"/>
      <c r="F1006" s="30"/>
      <c r="G1006" s="30"/>
      <c r="H1006" s="30"/>
      <c r="I1006" s="30"/>
      <c r="J1006" s="30"/>
      <c r="K1006" s="30"/>
      <c r="L1006" s="30"/>
      <c r="M1006" s="30"/>
      <c r="N1006" s="30"/>
      <c r="O1006" s="30"/>
      <c r="P1006" s="108"/>
      <c r="Q1006" s="30"/>
      <c r="R1006" s="30"/>
    </row>
    <row r="1007" ht="15.75" customHeight="1">
      <c r="A1007" s="108"/>
      <c r="B1007" s="108"/>
      <c r="C1007" s="108"/>
      <c r="D1007" s="108"/>
      <c r="E1007" s="108"/>
      <c r="F1007" s="30"/>
      <c r="G1007" s="30"/>
      <c r="H1007" s="30"/>
      <c r="I1007" s="30"/>
      <c r="J1007" s="30"/>
      <c r="K1007" s="30"/>
      <c r="L1007" s="30"/>
      <c r="M1007" s="30"/>
      <c r="N1007" s="30"/>
      <c r="O1007" s="30"/>
      <c r="P1007" s="108"/>
      <c r="Q1007" s="30"/>
      <c r="R1007" s="30"/>
    </row>
    <row r="1008" ht="15.75" customHeight="1">
      <c r="A1008" s="108"/>
      <c r="B1008" s="108"/>
      <c r="C1008" s="108"/>
      <c r="D1008" s="108"/>
      <c r="E1008" s="108"/>
      <c r="F1008" s="30"/>
      <c r="G1008" s="30"/>
      <c r="H1008" s="30"/>
      <c r="I1008" s="30"/>
      <c r="J1008" s="30"/>
      <c r="K1008" s="30"/>
      <c r="L1008" s="30"/>
      <c r="M1008" s="30"/>
      <c r="N1008" s="30"/>
      <c r="O1008" s="30"/>
      <c r="P1008" s="108"/>
      <c r="Q1008" s="30"/>
      <c r="R1008" s="30"/>
    </row>
    <row r="1009" ht="15.75" customHeight="1">
      <c r="A1009" s="108"/>
      <c r="B1009" s="108"/>
      <c r="C1009" s="108"/>
      <c r="D1009" s="108"/>
      <c r="E1009" s="108"/>
      <c r="F1009" s="30"/>
      <c r="G1009" s="30"/>
      <c r="H1009" s="30"/>
      <c r="I1009" s="30"/>
      <c r="J1009" s="30"/>
      <c r="K1009" s="30"/>
      <c r="L1009" s="30"/>
      <c r="M1009" s="30"/>
      <c r="N1009" s="30"/>
      <c r="O1009" s="30"/>
      <c r="P1009" s="108"/>
      <c r="Q1009" s="30"/>
      <c r="R1009" s="30"/>
    </row>
    <row r="1010" ht="15.75" customHeight="1">
      <c r="A1010" s="108"/>
      <c r="B1010" s="108"/>
      <c r="C1010" s="108"/>
      <c r="D1010" s="108"/>
      <c r="E1010" s="108"/>
      <c r="F1010" s="30"/>
      <c r="G1010" s="30"/>
      <c r="H1010" s="30"/>
      <c r="I1010" s="30"/>
      <c r="J1010" s="30"/>
      <c r="K1010" s="30"/>
      <c r="L1010" s="30"/>
      <c r="M1010" s="30"/>
      <c r="N1010" s="30"/>
      <c r="O1010" s="30"/>
      <c r="P1010" s="108"/>
      <c r="Q1010" s="30"/>
      <c r="R1010" s="30"/>
    </row>
    <row r="1011" ht="15.75" customHeight="1">
      <c r="A1011" s="108"/>
      <c r="B1011" s="108"/>
      <c r="C1011" s="108"/>
      <c r="D1011" s="108"/>
      <c r="E1011" s="108"/>
      <c r="F1011" s="30"/>
      <c r="G1011" s="30"/>
      <c r="H1011" s="30"/>
      <c r="I1011" s="30"/>
      <c r="J1011" s="30"/>
      <c r="K1011" s="30"/>
      <c r="L1011" s="30"/>
      <c r="M1011" s="30"/>
      <c r="N1011" s="30"/>
      <c r="O1011" s="30"/>
      <c r="P1011" s="108"/>
      <c r="Q1011" s="30"/>
      <c r="R1011" s="30"/>
    </row>
    <row r="1012" ht="15.75" customHeight="1">
      <c r="A1012" s="108"/>
      <c r="B1012" s="108"/>
      <c r="C1012" s="108"/>
      <c r="D1012" s="108"/>
      <c r="E1012" s="108"/>
      <c r="F1012" s="30"/>
      <c r="G1012" s="30"/>
      <c r="H1012" s="30"/>
      <c r="I1012" s="30"/>
      <c r="J1012" s="30"/>
      <c r="K1012" s="30"/>
      <c r="L1012" s="30"/>
      <c r="M1012" s="30"/>
      <c r="N1012" s="30"/>
      <c r="O1012" s="30"/>
      <c r="P1012" s="108"/>
      <c r="Q1012" s="30"/>
      <c r="R1012" s="30"/>
    </row>
    <row r="1013" ht="15.75" customHeight="1">
      <c r="A1013" s="108"/>
      <c r="B1013" s="108"/>
      <c r="C1013" s="108"/>
      <c r="D1013" s="108"/>
      <c r="E1013" s="108"/>
      <c r="F1013" s="30"/>
      <c r="G1013" s="30"/>
      <c r="H1013" s="30"/>
      <c r="I1013" s="30"/>
      <c r="J1013" s="30"/>
      <c r="K1013" s="30"/>
      <c r="L1013" s="30"/>
      <c r="M1013" s="30"/>
      <c r="N1013" s="30"/>
      <c r="O1013" s="30"/>
      <c r="P1013" s="108"/>
      <c r="Q1013" s="30"/>
      <c r="R1013" s="30"/>
    </row>
    <row r="1014" ht="15.75" customHeight="1">
      <c r="A1014" s="108"/>
      <c r="B1014" s="108"/>
      <c r="C1014" s="108"/>
      <c r="D1014" s="108"/>
      <c r="E1014" s="108"/>
      <c r="F1014" s="30"/>
      <c r="G1014" s="30"/>
      <c r="H1014" s="30"/>
      <c r="I1014" s="30"/>
      <c r="J1014" s="30"/>
      <c r="K1014" s="30"/>
      <c r="L1014" s="30"/>
      <c r="M1014" s="30"/>
      <c r="N1014" s="30"/>
      <c r="O1014" s="30"/>
      <c r="P1014" s="108"/>
      <c r="Q1014" s="30"/>
      <c r="R1014" s="30"/>
    </row>
    <row r="1015" ht="15.75" customHeight="1">
      <c r="A1015" s="108"/>
      <c r="B1015" s="108"/>
      <c r="C1015" s="108"/>
      <c r="D1015" s="108"/>
      <c r="E1015" s="108"/>
      <c r="F1015" s="30"/>
      <c r="G1015" s="30"/>
      <c r="H1015" s="30"/>
      <c r="I1015" s="30"/>
      <c r="J1015" s="30"/>
      <c r="K1015" s="30"/>
      <c r="L1015" s="30"/>
      <c r="M1015" s="30"/>
      <c r="N1015" s="30"/>
      <c r="O1015" s="30"/>
      <c r="P1015" s="108"/>
      <c r="Q1015" s="30"/>
      <c r="R1015" s="30"/>
    </row>
    <row r="1016" ht="15.75" customHeight="1">
      <c r="A1016" s="108"/>
      <c r="B1016" s="108"/>
      <c r="C1016" s="108"/>
      <c r="D1016" s="108"/>
      <c r="E1016" s="108"/>
      <c r="F1016" s="30"/>
      <c r="G1016" s="30"/>
      <c r="H1016" s="30"/>
      <c r="I1016" s="30"/>
      <c r="J1016" s="30"/>
      <c r="K1016" s="30"/>
      <c r="L1016" s="30"/>
      <c r="M1016" s="30"/>
      <c r="N1016" s="30"/>
      <c r="O1016" s="30"/>
      <c r="P1016" s="108"/>
      <c r="Q1016" s="30"/>
      <c r="R1016" s="30"/>
    </row>
    <row r="1017" ht="15.75" customHeight="1">
      <c r="A1017" s="108"/>
      <c r="B1017" s="108"/>
      <c r="C1017" s="108"/>
      <c r="D1017" s="108"/>
      <c r="E1017" s="108"/>
      <c r="F1017" s="30"/>
      <c r="G1017" s="30"/>
      <c r="H1017" s="30"/>
      <c r="I1017" s="30"/>
      <c r="J1017" s="30"/>
      <c r="K1017" s="30"/>
      <c r="L1017" s="30"/>
      <c r="M1017" s="30"/>
      <c r="N1017" s="30"/>
      <c r="O1017" s="30"/>
      <c r="P1017" s="108"/>
      <c r="Q1017" s="30"/>
      <c r="R1017" s="30"/>
    </row>
    <row r="1018" ht="15.75" customHeight="1">
      <c r="A1018" s="108"/>
      <c r="B1018" s="108"/>
      <c r="C1018" s="108"/>
      <c r="D1018" s="108"/>
      <c r="E1018" s="108"/>
      <c r="F1018" s="30"/>
      <c r="G1018" s="30"/>
      <c r="H1018" s="30"/>
      <c r="I1018" s="30"/>
      <c r="J1018" s="30"/>
      <c r="K1018" s="30"/>
      <c r="L1018" s="30"/>
      <c r="M1018" s="30"/>
      <c r="N1018" s="30"/>
      <c r="O1018" s="30"/>
      <c r="P1018" s="108"/>
      <c r="Q1018" s="30"/>
      <c r="R1018" s="30"/>
    </row>
    <row r="1019" ht="15.75" customHeight="1">
      <c r="A1019" s="108"/>
      <c r="B1019" s="108"/>
      <c r="C1019" s="108"/>
      <c r="D1019" s="108"/>
      <c r="E1019" s="108"/>
      <c r="F1019" s="30"/>
      <c r="G1019" s="30"/>
      <c r="H1019" s="30"/>
      <c r="I1019" s="30"/>
      <c r="J1019" s="30"/>
      <c r="K1019" s="30"/>
      <c r="L1019" s="30"/>
      <c r="M1019" s="30"/>
      <c r="N1019" s="30"/>
      <c r="O1019" s="30"/>
      <c r="P1019" s="108"/>
      <c r="Q1019" s="30"/>
      <c r="R1019" s="30"/>
    </row>
    <row r="1020" ht="15.75" customHeight="1">
      <c r="A1020" s="108"/>
      <c r="B1020" s="108"/>
      <c r="C1020" s="108"/>
      <c r="D1020" s="108"/>
      <c r="E1020" s="108"/>
      <c r="F1020" s="30"/>
      <c r="G1020" s="30"/>
      <c r="H1020" s="30"/>
      <c r="I1020" s="30"/>
      <c r="J1020" s="30"/>
      <c r="K1020" s="30"/>
      <c r="L1020" s="30"/>
      <c r="M1020" s="30"/>
      <c r="N1020" s="30"/>
      <c r="O1020" s="30"/>
      <c r="P1020" s="108"/>
      <c r="Q1020" s="30"/>
      <c r="R1020" s="30"/>
    </row>
    <row r="1021" ht="15.75" customHeight="1">
      <c r="A1021" s="108"/>
      <c r="B1021" s="108"/>
      <c r="C1021" s="108"/>
      <c r="D1021" s="108"/>
      <c r="E1021" s="108"/>
      <c r="F1021" s="30"/>
      <c r="G1021" s="30"/>
      <c r="H1021" s="30"/>
      <c r="I1021" s="30"/>
      <c r="J1021" s="30"/>
      <c r="K1021" s="30"/>
      <c r="L1021" s="30"/>
      <c r="M1021" s="30"/>
      <c r="N1021" s="30"/>
      <c r="O1021" s="30"/>
      <c r="P1021" s="108"/>
      <c r="Q1021" s="30"/>
      <c r="R1021" s="30"/>
    </row>
    <row r="1022" ht="15.75" customHeight="1">
      <c r="A1022" s="108"/>
      <c r="B1022" s="108"/>
      <c r="C1022" s="108"/>
      <c r="D1022" s="108"/>
      <c r="E1022" s="108"/>
      <c r="F1022" s="30"/>
      <c r="G1022" s="30"/>
      <c r="H1022" s="30"/>
      <c r="I1022" s="30"/>
      <c r="J1022" s="30"/>
      <c r="K1022" s="30"/>
      <c r="L1022" s="30"/>
      <c r="M1022" s="30"/>
      <c r="N1022" s="30"/>
      <c r="O1022" s="30"/>
      <c r="P1022" s="108"/>
      <c r="Q1022" s="30"/>
      <c r="R1022" s="30"/>
    </row>
    <row r="1023" ht="15.75" customHeight="1">
      <c r="A1023" s="108"/>
      <c r="B1023" s="108"/>
      <c r="C1023" s="108"/>
      <c r="D1023" s="108"/>
      <c r="E1023" s="108"/>
      <c r="F1023" s="30"/>
      <c r="G1023" s="30"/>
      <c r="H1023" s="30"/>
      <c r="I1023" s="30"/>
      <c r="J1023" s="30"/>
      <c r="K1023" s="30"/>
      <c r="L1023" s="30"/>
      <c r="M1023" s="30"/>
      <c r="N1023" s="30"/>
      <c r="O1023" s="30"/>
      <c r="P1023" s="108"/>
      <c r="Q1023" s="30"/>
      <c r="R1023" s="30"/>
    </row>
    <row r="1024" ht="15.75" customHeight="1">
      <c r="A1024" s="108"/>
      <c r="B1024" s="108"/>
      <c r="C1024" s="108"/>
      <c r="D1024" s="108"/>
      <c r="E1024" s="108"/>
      <c r="F1024" s="30"/>
      <c r="G1024" s="30"/>
      <c r="H1024" s="30"/>
      <c r="I1024" s="30"/>
      <c r="J1024" s="30"/>
      <c r="K1024" s="30"/>
      <c r="L1024" s="30"/>
      <c r="M1024" s="30"/>
      <c r="N1024" s="30"/>
      <c r="O1024" s="30"/>
      <c r="P1024" s="108"/>
      <c r="Q1024" s="30"/>
      <c r="R1024" s="30"/>
    </row>
    <row r="1025" ht="15.75" customHeight="1">
      <c r="A1025" s="108"/>
      <c r="B1025" s="108"/>
      <c r="C1025" s="108"/>
      <c r="D1025" s="108"/>
      <c r="E1025" s="108"/>
      <c r="F1025" s="30"/>
      <c r="G1025" s="30"/>
      <c r="H1025" s="30"/>
      <c r="I1025" s="30"/>
      <c r="J1025" s="30"/>
      <c r="K1025" s="30"/>
      <c r="L1025" s="30"/>
      <c r="M1025" s="30"/>
      <c r="N1025" s="30"/>
      <c r="O1025" s="30"/>
      <c r="P1025" s="108"/>
      <c r="Q1025" s="30"/>
      <c r="R1025" s="30"/>
    </row>
    <row r="1026" ht="15.75" customHeight="1">
      <c r="A1026" s="108"/>
      <c r="B1026" s="108"/>
      <c r="C1026" s="108"/>
      <c r="D1026" s="108"/>
      <c r="E1026" s="108"/>
      <c r="F1026" s="30"/>
      <c r="G1026" s="30"/>
      <c r="H1026" s="30"/>
      <c r="I1026" s="30"/>
      <c r="J1026" s="30"/>
      <c r="K1026" s="30"/>
      <c r="L1026" s="30"/>
      <c r="M1026" s="30"/>
      <c r="N1026" s="30"/>
      <c r="O1026" s="30"/>
      <c r="P1026" s="108"/>
      <c r="Q1026" s="30"/>
      <c r="R1026" s="30"/>
    </row>
    <row r="1027" ht="15.75" customHeight="1">
      <c r="A1027" s="108"/>
      <c r="B1027" s="108"/>
      <c r="C1027" s="108"/>
      <c r="D1027" s="108"/>
      <c r="E1027" s="108"/>
      <c r="F1027" s="30"/>
      <c r="G1027" s="30"/>
      <c r="H1027" s="30"/>
      <c r="I1027" s="30"/>
      <c r="J1027" s="30"/>
      <c r="K1027" s="30"/>
      <c r="L1027" s="30"/>
      <c r="M1027" s="30"/>
      <c r="N1027" s="30"/>
      <c r="O1027" s="30"/>
      <c r="P1027" s="108"/>
      <c r="Q1027" s="30"/>
      <c r="R1027" s="30"/>
    </row>
    <row r="1028" ht="15.75" customHeight="1">
      <c r="A1028" s="108"/>
      <c r="B1028" s="108"/>
      <c r="C1028" s="108"/>
      <c r="D1028" s="108"/>
      <c r="E1028" s="108"/>
      <c r="F1028" s="30"/>
      <c r="G1028" s="30"/>
      <c r="H1028" s="30"/>
      <c r="I1028" s="30"/>
      <c r="J1028" s="30"/>
      <c r="K1028" s="30"/>
      <c r="L1028" s="30"/>
      <c r="M1028" s="30"/>
      <c r="N1028" s="30"/>
      <c r="O1028" s="30"/>
      <c r="P1028" s="108"/>
      <c r="Q1028" s="30"/>
      <c r="R1028" s="30"/>
    </row>
    <row r="1029" ht="15.75" customHeight="1">
      <c r="A1029" s="108"/>
      <c r="B1029" s="108"/>
      <c r="C1029" s="108"/>
      <c r="D1029" s="108"/>
      <c r="E1029" s="108"/>
      <c r="F1029" s="30"/>
      <c r="G1029" s="30"/>
      <c r="H1029" s="30"/>
      <c r="I1029" s="30"/>
      <c r="J1029" s="30"/>
      <c r="K1029" s="30"/>
      <c r="L1029" s="30"/>
      <c r="M1029" s="30"/>
      <c r="N1029" s="30"/>
      <c r="O1029" s="30"/>
      <c r="P1029" s="108"/>
      <c r="Q1029" s="30"/>
      <c r="R1029" s="30"/>
    </row>
    <row r="1030" ht="15.75" customHeight="1">
      <c r="A1030" s="108"/>
      <c r="B1030" s="108"/>
      <c r="C1030" s="108"/>
      <c r="D1030" s="108"/>
      <c r="E1030" s="108"/>
      <c r="F1030" s="30"/>
      <c r="G1030" s="30"/>
      <c r="H1030" s="30"/>
      <c r="I1030" s="30"/>
      <c r="J1030" s="30"/>
      <c r="K1030" s="30"/>
      <c r="L1030" s="30"/>
      <c r="M1030" s="30"/>
      <c r="N1030" s="30"/>
      <c r="O1030" s="30"/>
      <c r="P1030" s="108"/>
      <c r="Q1030" s="30"/>
      <c r="R1030" s="30"/>
    </row>
    <row r="1031" ht="15.75" customHeight="1">
      <c r="A1031" s="108"/>
      <c r="B1031" s="108"/>
      <c r="C1031" s="108"/>
      <c r="D1031" s="108"/>
      <c r="E1031" s="108"/>
      <c r="F1031" s="30"/>
      <c r="G1031" s="30"/>
      <c r="H1031" s="30"/>
      <c r="I1031" s="30"/>
      <c r="J1031" s="30"/>
      <c r="K1031" s="30"/>
      <c r="L1031" s="30"/>
      <c r="M1031" s="30"/>
      <c r="N1031" s="30"/>
      <c r="O1031" s="30"/>
      <c r="P1031" s="108"/>
      <c r="Q1031" s="30"/>
      <c r="R1031" s="30"/>
    </row>
    <row r="1032" ht="15.75" customHeight="1">
      <c r="A1032" s="108"/>
      <c r="B1032" s="108"/>
      <c r="C1032" s="108"/>
      <c r="D1032" s="108"/>
      <c r="E1032" s="108"/>
      <c r="F1032" s="30"/>
      <c r="G1032" s="30"/>
      <c r="H1032" s="30"/>
      <c r="I1032" s="30"/>
      <c r="J1032" s="30"/>
      <c r="K1032" s="30"/>
      <c r="L1032" s="30"/>
      <c r="M1032" s="30"/>
      <c r="N1032" s="30"/>
      <c r="O1032" s="30"/>
      <c r="P1032" s="108"/>
      <c r="Q1032" s="30"/>
      <c r="R1032" s="30"/>
    </row>
    <row r="1033" ht="15.75" customHeight="1">
      <c r="A1033" s="108"/>
      <c r="B1033" s="108"/>
      <c r="C1033" s="108"/>
      <c r="D1033" s="108"/>
      <c r="E1033" s="108"/>
      <c r="F1033" s="30"/>
      <c r="G1033" s="30"/>
      <c r="H1033" s="30"/>
      <c r="I1033" s="30"/>
      <c r="J1033" s="30"/>
      <c r="K1033" s="30"/>
      <c r="L1033" s="30"/>
      <c r="M1033" s="30"/>
      <c r="N1033" s="30"/>
      <c r="O1033" s="30"/>
      <c r="P1033" s="108"/>
      <c r="Q1033" s="30"/>
      <c r="R1033" s="30"/>
    </row>
    <row r="1034" ht="15.75" customHeight="1">
      <c r="A1034" s="108"/>
      <c r="B1034" s="108"/>
      <c r="C1034" s="108"/>
      <c r="D1034" s="108"/>
      <c r="E1034" s="108"/>
      <c r="F1034" s="30"/>
      <c r="G1034" s="30"/>
      <c r="H1034" s="30"/>
      <c r="I1034" s="30"/>
      <c r="J1034" s="30"/>
      <c r="K1034" s="30"/>
      <c r="L1034" s="30"/>
      <c r="M1034" s="30"/>
      <c r="N1034" s="30"/>
      <c r="O1034" s="30"/>
      <c r="P1034" s="108"/>
      <c r="Q1034" s="30"/>
      <c r="R1034" s="30"/>
    </row>
    <row r="1035" ht="15.75" customHeight="1">
      <c r="A1035" s="108"/>
      <c r="B1035" s="108"/>
      <c r="C1035" s="108"/>
      <c r="D1035" s="108"/>
      <c r="E1035" s="108"/>
      <c r="F1035" s="30"/>
      <c r="G1035" s="30"/>
      <c r="H1035" s="30"/>
      <c r="I1035" s="30"/>
      <c r="J1035" s="30"/>
      <c r="K1035" s="30"/>
      <c r="L1035" s="30"/>
      <c r="M1035" s="30"/>
      <c r="N1035" s="30"/>
      <c r="O1035" s="30"/>
      <c r="P1035" s="108"/>
      <c r="Q1035" s="30"/>
      <c r="R1035" s="30"/>
    </row>
    <row r="1036" ht="15.75" customHeight="1">
      <c r="A1036" s="108"/>
      <c r="B1036" s="108"/>
      <c r="C1036" s="108"/>
      <c r="D1036" s="108"/>
      <c r="E1036" s="108"/>
      <c r="F1036" s="30"/>
      <c r="G1036" s="30"/>
      <c r="H1036" s="30"/>
      <c r="I1036" s="30"/>
      <c r="J1036" s="30"/>
      <c r="K1036" s="30"/>
      <c r="L1036" s="30"/>
      <c r="M1036" s="30"/>
      <c r="N1036" s="30"/>
      <c r="O1036" s="30"/>
      <c r="P1036" s="108"/>
      <c r="Q1036" s="30"/>
      <c r="R1036" s="30"/>
    </row>
    <row r="1037" ht="15.75" customHeight="1">
      <c r="A1037" s="108"/>
      <c r="B1037" s="108"/>
      <c r="C1037" s="108"/>
      <c r="D1037" s="108"/>
      <c r="E1037" s="108"/>
      <c r="F1037" s="30"/>
      <c r="G1037" s="30"/>
      <c r="H1037" s="30"/>
      <c r="I1037" s="30"/>
      <c r="J1037" s="30"/>
      <c r="K1037" s="30"/>
      <c r="L1037" s="30"/>
      <c r="M1037" s="30"/>
      <c r="N1037" s="30"/>
      <c r="O1037" s="30"/>
      <c r="P1037" s="108"/>
      <c r="Q1037" s="30"/>
      <c r="R1037" s="30"/>
    </row>
    <row r="1038" ht="15.75" customHeight="1">
      <c r="A1038" s="108"/>
      <c r="B1038" s="108"/>
      <c r="C1038" s="108"/>
      <c r="D1038" s="108"/>
      <c r="E1038" s="108"/>
      <c r="F1038" s="30"/>
      <c r="G1038" s="30"/>
      <c r="H1038" s="30"/>
      <c r="I1038" s="30"/>
      <c r="J1038" s="30"/>
      <c r="K1038" s="30"/>
      <c r="L1038" s="30"/>
      <c r="M1038" s="30"/>
      <c r="N1038" s="30"/>
      <c r="O1038" s="30"/>
      <c r="P1038" s="108"/>
      <c r="Q1038" s="30"/>
      <c r="R1038" s="30"/>
    </row>
    <row r="1039" ht="15.75" customHeight="1">
      <c r="A1039" s="108"/>
      <c r="B1039" s="108"/>
      <c r="C1039" s="108"/>
      <c r="D1039" s="108"/>
      <c r="E1039" s="108"/>
      <c r="F1039" s="30"/>
      <c r="G1039" s="30"/>
      <c r="H1039" s="30"/>
      <c r="I1039" s="30"/>
      <c r="J1039" s="30"/>
      <c r="K1039" s="30"/>
      <c r="L1039" s="30"/>
      <c r="M1039" s="30"/>
      <c r="N1039" s="30"/>
      <c r="O1039" s="30"/>
      <c r="P1039" s="108"/>
      <c r="Q1039" s="30"/>
      <c r="R1039" s="30"/>
    </row>
    <row r="1040" ht="15.75" customHeight="1">
      <c r="A1040" s="108"/>
      <c r="B1040" s="108"/>
      <c r="C1040" s="108"/>
      <c r="D1040" s="108"/>
      <c r="E1040" s="108"/>
      <c r="F1040" s="30"/>
      <c r="G1040" s="30"/>
      <c r="H1040" s="30"/>
      <c r="I1040" s="30"/>
      <c r="J1040" s="30"/>
      <c r="K1040" s="30"/>
      <c r="L1040" s="30"/>
      <c r="M1040" s="30"/>
      <c r="N1040" s="30"/>
      <c r="O1040" s="30"/>
      <c r="P1040" s="108"/>
      <c r="Q1040" s="30"/>
      <c r="R1040" s="30"/>
    </row>
    <row r="1041" ht="15.75" customHeight="1">
      <c r="A1041" s="108"/>
      <c r="B1041" s="108"/>
      <c r="C1041" s="108"/>
      <c r="D1041" s="108"/>
      <c r="E1041" s="108"/>
      <c r="F1041" s="30"/>
      <c r="G1041" s="30"/>
      <c r="H1041" s="30"/>
      <c r="I1041" s="30"/>
      <c r="J1041" s="30"/>
      <c r="K1041" s="30"/>
      <c r="L1041" s="30"/>
      <c r="M1041" s="30"/>
      <c r="N1041" s="30"/>
      <c r="O1041" s="30"/>
      <c r="P1041" s="108"/>
      <c r="Q1041" s="30"/>
      <c r="R1041" s="30"/>
    </row>
    <row r="1042" ht="15.75" customHeight="1">
      <c r="A1042" s="108"/>
      <c r="B1042" s="108"/>
      <c r="C1042" s="108"/>
      <c r="D1042" s="108"/>
      <c r="E1042" s="108"/>
      <c r="F1042" s="30"/>
      <c r="G1042" s="30"/>
      <c r="H1042" s="30"/>
      <c r="I1042" s="30"/>
      <c r="J1042" s="30"/>
      <c r="K1042" s="30"/>
      <c r="L1042" s="30"/>
      <c r="M1042" s="30"/>
      <c r="N1042" s="30"/>
      <c r="O1042" s="30"/>
      <c r="P1042" s="108"/>
      <c r="Q1042" s="30"/>
      <c r="R1042" s="30"/>
    </row>
    <row r="1043" ht="15.75" customHeight="1">
      <c r="A1043" s="108"/>
      <c r="B1043" s="108"/>
      <c r="C1043" s="108"/>
      <c r="D1043" s="108"/>
      <c r="E1043" s="108"/>
      <c r="F1043" s="30"/>
      <c r="G1043" s="30"/>
      <c r="H1043" s="30"/>
      <c r="I1043" s="30"/>
      <c r="J1043" s="30"/>
      <c r="K1043" s="30"/>
      <c r="L1043" s="30"/>
      <c r="M1043" s="30"/>
      <c r="N1043" s="30"/>
      <c r="O1043" s="30"/>
      <c r="P1043" s="108"/>
      <c r="Q1043" s="30"/>
      <c r="R1043" s="30"/>
    </row>
    <row r="1044" ht="15.75" customHeight="1">
      <c r="A1044" s="108"/>
      <c r="B1044" s="108"/>
      <c r="C1044" s="108"/>
      <c r="D1044" s="108"/>
      <c r="E1044" s="108"/>
      <c r="F1044" s="30"/>
      <c r="G1044" s="30"/>
      <c r="H1044" s="30"/>
      <c r="I1044" s="30"/>
      <c r="J1044" s="30"/>
      <c r="K1044" s="30"/>
      <c r="L1044" s="30"/>
      <c r="M1044" s="30"/>
      <c r="N1044" s="30"/>
      <c r="O1044" s="30"/>
      <c r="P1044" s="108"/>
      <c r="Q1044" s="30"/>
      <c r="R1044" s="30"/>
    </row>
    <row r="1045" ht="15.75" customHeight="1">
      <c r="A1045" s="108"/>
      <c r="B1045" s="108"/>
      <c r="C1045" s="108"/>
      <c r="D1045" s="108"/>
      <c r="E1045" s="108"/>
      <c r="F1045" s="30"/>
      <c r="G1045" s="30"/>
      <c r="H1045" s="30"/>
      <c r="I1045" s="30"/>
      <c r="J1045" s="30"/>
      <c r="K1045" s="30"/>
      <c r="L1045" s="30"/>
      <c r="M1045" s="30"/>
      <c r="N1045" s="30"/>
      <c r="O1045" s="30"/>
      <c r="P1045" s="108"/>
      <c r="Q1045" s="30"/>
      <c r="R1045" s="30"/>
    </row>
    <row r="1046" ht="15.75" customHeight="1">
      <c r="A1046" s="108"/>
      <c r="B1046" s="108"/>
      <c r="C1046" s="108"/>
      <c r="D1046" s="108"/>
      <c r="E1046" s="108"/>
      <c r="F1046" s="30"/>
      <c r="G1046" s="30"/>
      <c r="H1046" s="30"/>
      <c r="I1046" s="30"/>
      <c r="J1046" s="30"/>
      <c r="K1046" s="30"/>
      <c r="L1046" s="30"/>
      <c r="M1046" s="30"/>
      <c r="N1046" s="30"/>
      <c r="O1046" s="30"/>
      <c r="P1046" s="108"/>
      <c r="Q1046" s="30"/>
      <c r="R1046" s="30"/>
    </row>
    <row r="1047" ht="15.75" customHeight="1">
      <c r="A1047" s="108"/>
      <c r="B1047" s="108"/>
      <c r="C1047" s="108"/>
      <c r="D1047" s="108"/>
      <c r="E1047" s="108"/>
      <c r="F1047" s="30"/>
      <c r="G1047" s="30"/>
      <c r="H1047" s="30"/>
      <c r="I1047" s="30"/>
      <c r="J1047" s="30"/>
      <c r="K1047" s="30"/>
      <c r="L1047" s="30"/>
      <c r="M1047" s="30"/>
      <c r="N1047" s="30"/>
      <c r="O1047" s="30"/>
      <c r="P1047" s="108"/>
      <c r="Q1047" s="30"/>
      <c r="R1047" s="30"/>
    </row>
    <row r="1048" ht="15.75" customHeight="1">
      <c r="A1048" s="108"/>
      <c r="B1048" s="108"/>
      <c r="C1048" s="108"/>
      <c r="D1048" s="108"/>
      <c r="E1048" s="108"/>
      <c r="F1048" s="30"/>
      <c r="G1048" s="30"/>
      <c r="H1048" s="30"/>
      <c r="I1048" s="30"/>
      <c r="J1048" s="30"/>
      <c r="K1048" s="30"/>
      <c r="L1048" s="30"/>
      <c r="M1048" s="30"/>
      <c r="N1048" s="30"/>
      <c r="O1048" s="30"/>
      <c r="P1048" s="108"/>
      <c r="Q1048" s="30"/>
      <c r="R1048" s="30"/>
    </row>
    <row r="1049" ht="15.75" customHeight="1">
      <c r="A1049" s="108"/>
      <c r="B1049" s="108"/>
      <c r="C1049" s="108"/>
      <c r="D1049" s="108"/>
      <c r="E1049" s="108"/>
      <c r="F1049" s="30"/>
      <c r="G1049" s="30"/>
      <c r="H1049" s="30"/>
      <c r="I1049" s="30"/>
      <c r="J1049" s="30"/>
      <c r="K1049" s="30"/>
      <c r="L1049" s="30"/>
      <c r="M1049" s="30"/>
      <c r="N1049" s="30"/>
      <c r="O1049" s="30"/>
      <c r="P1049" s="108"/>
      <c r="Q1049" s="30"/>
      <c r="R1049" s="30"/>
    </row>
    <row r="1050" ht="15.75" customHeight="1">
      <c r="A1050" s="108"/>
      <c r="B1050" s="108"/>
      <c r="C1050" s="108"/>
      <c r="D1050" s="108"/>
      <c r="E1050" s="108"/>
      <c r="F1050" s="30"/>
      <c r="G1050" s="30"/>
      <c r="H1050" s="30"/>
      <c r="I1050" s="30"/>
      <c r="J1050" s="30"/>
      <c r="K1050" s="30"/>
      <c r="L1050" s="30"/>
      <c r="M1050" s="30"/>
      <c r="N1050" s="30"/>
      <c r="O1050" s="30"/>
      <c r="P1050" s="108"/>
      <c r="Q1050" s="30"/>
      <c r="R1050" s="30"/>
    </row>
    <row r="1051" ht="15.75" customHeight="1">
      <c r="A1051" s="108"/>
      <c r="B1051" s="108"/>
      <c r="C1051" s="108"/>
      <c r="D1051" s="108"/>
      <c r="E1051" s="108"/>
      <c r="F1051" s="30"/>
      <c r="G1051" s="30"/>
      <c r="H1051" s="30"/>
      <c r="I1051" s="30"/>
      <c r="J1051" s="30"/>
      <c r="K1051" s="30"/>
      <c r="L1051" s="30"/>
      <c r="M1051" s="30"/>
      <c r="N1051" s="30"/>
      <c r="O1051" s="30"/>
      <c r="P1051" s="108"/>
      <c r="Q1051" s="30"/>
      <c r="R1051" s="30"/>
    </row>
    <row r="1052" ht="15.75" customHeight="1">
      <c r="A1052" s="108"/>
      <c r="B1052" s="108"/>
      <c r="C1052" s="108"/>
      <c r="D1052" s="108"/>
      <c r="E1052" s="108"/>
      <c r="F1052" s="30"/>
      <c r="G1052" s="30"/>
      <c r="H1052" s="30"/>
      <c r="I1052" s="30"/>
      <c r="J1052" s="30"/>
      <c r="K1052" s="30"/>
      <c r="L1052" s="30"/>
      <c r="M1052" s="30"/>
      <c r="N1052" s="30"/>
      <c r="O1052" s="30"/>
      <c r="P1052" s="108"/>
      <c r="Q1052" s="30"/>
      <c r="R1052" s="30"/>
    </row>
    <row r="1053" ht="15.75" customHeight="1">
      <c r="A1053" s="108"/>
      <c r="B1053" s="108"/>
      <c r="C1053" s="108"/>
      <c r="D1053" s="108"/>
      <c r="E1053" s="108"/>
      <c r="F1053" s="30"/>
      <c r="G1053" s="30"/>
      <c r="H1053" s="30"/>
      <c r="I1053" s="30"/>
      <c r="J1053" s="30"/>
      <c r="K1053" s="30"/>
      <c r="L1053" s="30"/>
      <c r="M1053" s="30"/>
      <c r="N1053" s="30"/>
      <c r="O1053" s="30"/>
      <c r="P1053" s="108"/>
      <c r="Q1053" s="30"/>
      <c r="R1053" s="30"/>
    </row>
    <row r="1054" ht="15.75" customHeight="1">
      <c r="A1054" s="108"/>
      <c r="B1054" s="108"/>
      <c r="C1054" s="108"/>
      <c r="D1054" s="108"/>
      <c r="E1054" s="108"/>
      <c r="F1054" s="30"/>
      <c r="G1054" s="30"/>
      <c r="H1054" s="30"/>
      <c r="I1054" s="30"/>
      <c r="J1054" s="30"/>
      <c r="K1054" s="30"/>
      <c r="L1054" s="30"/>
      <c r="M1054" s="30"/>
      <c r="N1054" s="30"/>
      <c r="O1054" s="30"/>
      <c r="P1054" s="108"/>
      <c r="Q1054" s="30"/>
      <c r="R1054" s="30"/>
    </row>
    <row r="1055" ht="15.75" customHeight="1">
      <c r="A1055" s="108"/>
      <c r="B1055" s="108"/>
      <c r="C1055" s="108"/>
      <c r="D1055" s="108"/>
      <c r="E1055" s="108"/>
      <c r="F1055" s="30"/>
      <c r="G1055" s="30"/>
      <c r="H1055" s="30"/>
      <c r="I1055" s="30"/>
      <c r="J1055" s="30"/>
      <c r="K1055" s="30"/>
      <c r="L1055" s="30"/>
      <c r="M1055" s="30"/>
      <c r="N1055" s="30"/>
      <c r="O1055" s="30"/>
      <c r="P1055" s="108"/>
      <c r="Q1055" s="30"/>
      <c r="R1055" s="30"/>
    </row>
    <row r="1056" ht="15.75" customHeight="1">
      <c r="A1056" s="108"/>
      <c r="B1056" s="108"/>
      <c r="C1056" s="108"/>
      <c r="D1056" s="108"/>
      <c r="E1056" s="108"/>
      <c r="F1056" s="30"/>
      <c r="G1056" s="30"/>
      <c r="H1056" s="30"/>
      <c r="I1056" s="30"/>
      <c r="J1056" s="30"/>
      <c r="K1056" s="30"/>
      <c r="L1056" s="30"/>
      <c r="M1056" s="30"/>
      <c r="N1056" s="30"/>
      <c r="O1056" s="30"/>
      <c r="P1056" s="108"/>
      <c r="Q1056" s="30"/>
      <c r="R1056" s="30"/>
    </row>
    <row r="1057" ht="15.75" customHeight="1">
      <c r="A1057" s="108"/>
      <c r="B1057" s="108"/>
      <c r="C1057" s="108"/>
      <c r="D1057" s="108"/>
      <c r="E1057" s="108"/>
      <c r="F1057" s="30"/>
      <c r="G1057" s="30"/>
      <c r="H1057" s="30"/>
      <c r="I1057" s="30"/>
      <c r="J1057" s="30"/>
      <c r="K1057" s="30"/>
      <c r="L1057" s="30"/>
      <c r="M1057" s="30"/>
      <c r="N1057" s="30"/>
      <c r="O1057" s="30"/>
      <c r="P1057" s="108"/>
      <c r="Q1057" s="30"/>
      <c r="R1057" s="30"/>
    </row>
    <row r="1058" ht="15.75" customHeight="1">
      <c r="A1058" s="108"/>
      <c r="B1058" s="108"/>
      <c r="C1058" s="108"/>
      <c r="D1058" s="108"/>
      <c r="E1058" s="108"/>
      <c r="F1058" s="30"/>
      <c r="G1058" s="30"/>
      <c r="H1058" s="30"/>
      <c r="I1058" s="30"/>
      <c r="J1058" s="30"/>
      <c r="K1058" s="30"/>
      <c r="L1058" s="30"/>
      <c r="M1058" s="30"/>
      <c r="N1058" s="30"/>
      <c r="O1058" s="30"/>
      <c r="P1058" s="108"/>
      <c r="Q1058" s="30"/>
      <c r="R1058" s="30"/>
    </row>
    <row r="1059" ht="15.75" customHeight="1">
      <c r="A1059" s="108"/>
      <c r="B1059" s="108"/>
      <c r="C1059" s="108"/>
      <c r="D1059" s="108"/>
      <c r="E1059" s="108"/>
      <c r="F1059" s="30"/>
      <c r="G1059" s="30"/>
      <c r="H1059" s="30"/>
      <c r="I1059" s="30"/>
      <c r="J1059" s="30"/>
      <c r="K1059" s="30"/>
      <c r="L1059" s="30"/>
      <c r="M1059" s="30"/>
      <c r="N1059" s="30"/>
      <c r="O1059" s="30"/>
      <c r="P1059" s="108"/>
      <c r="Q1059" s="30"/>
      <c r="R1059" s="30"/>
    </row>
    <row r="1060" ht="15.75" customHeight="1">
      <c r="A1060" s="108"/>
      <c r="B1060" s="108"/>
      <c r="C1060" s="108"/>
      <c r="D1060" s="108"/>
      <c r="E1060" s="108"/>
      <c r="F1060" s="30"/>
      <c r="G1060" s="30"/>
      <c r="H1060" s="30"/>
      <c r="I1060" s="30"/>
      <c r="J1060" s="30"/>
      <c r="K1060" s="30"/>
      <c r="L1060" s="30"/>
      <c r="M1060" s="30"/>
      <c r="N1060" s="30"/>
      <c r="O1060" s="30"/>
      <c r="P1060" s="108"/>
      <c r="Q1060" s="30"/>
      <c r="R1060" s="30"/>
    </row>
    <row r="1061" ht="15.75" customHeight="1">
      <c r="A1061" s="108"/>
      <c r="B1061" s="108"/>
      <c r="C1061" s="108"/>
      <c r="D1061" s="108"/>
      <c r="E1061" s="108"/>
      <c r="F1061" s="30"/>
      <c r="G1061" s="30"/>
      <c r="H1061" s="30"/>
      <c r="I1061" s="30"/>
      <c r="J1061" s="30"/>
      <c r="K1061" s="30"/>
      <c r="L1061" s="30"/>
      <c r="M1061" s="30"/>
      <c r="N1061" s="30"/>
      <c r="O1061" s="30"/>
      <c r="P1061" s="108"/>
      <c r="Q1061" s="30"/>
      <c r="R1061" s="30"/>
    </row>
    <row r="1062" ht="15.75" customHeight="1">
      <c r="A1062" s="108"/>
      <c r="B1062" s="108"/>
      <c r="C1062" s="108"/>
      <c r="D1062" s="108"/>
      <c r="E1062" s="108"/>
      <c r="F1062" s="30"/>
      <c r="G1062" s="30"/>
      <c r="H1062" s="30"/>
      <c r="I1062" s="30"/>
      <c r="J1062" s="30"/>
      <c r="K1062" s="30"/>
      <c r="L1062" s="30"/>
      <c r="M1062" s="30"/>
      <c r="N1062" s="30"/>
      <c r="O1062" s="30"/>
      <c r="P1062" s="108"/>
      <c r="Q1062" s="30"/>
      <c r="R1062" s="30"/>
    </row>
    <row r="1063" ht="15.75" customHeight="1">
      <c r="A1063" s="108"/>
      <c r="B1063" s="108"/>
      <c r="C1063" s="108"/>
      <c r="D1063" s="108"/>
      <c r="E1063" s="108"/>
      <c r="F1063" s="30"/>
      <c r="G1063" s="30"/>
      <c r="H1063" s="30"/>
      <c r="I1063" s="30"/>
      <c r="J1063" s="30"/>
      <c r="K1063" s="30"/>
      <c r="L1063" s="30"/>
      <c r="M1063" s="30"/>
      <c r="N1063" s="30"/>
      <c r="O1063" s="30"/>
      <c r="P1063" s="108"/>
      <c r="Q1063" s="30"/>
      <c r="R1063" s="30"/>
    </row>
    <row r="1064" ht="15.75" customHeight="1">
      <c r="A1064" s="108"/>
      <c r="B1064" s="108"/>
      <c r="C1064" s="108"/>
      <c r="D1064" s="108"/>
      <c r="E1064" s="108"/>
      <c r="F1064" s="30"/>
      <c r="G1064" s="30"/>
      <c r="H1064" s="30"/>
      <c r="I1064" s="30"/>
      <c r="J1064" s="30"/>
      <c r="K1064" s="30"/>
      <c r="L1064" s="30"/>
      <c r="M1064" s="30"/>
      <c r="N1064" s="30"/>
      <c r="O1064" s="30"/>
      <c r="P1064" s="108"/>
      <c r="Q1064" s="30"/>
      <c r="R1064" s="30"/>
    </row>
    <row r="1065" ht="15.75" customHeight="1">
      <c r="A1065" s="108"/>
      <c r="B1065" s="108"/>
      <c r="C1065" s="108"/>
      <c r="D1065" s="108"/>
      <c r="E1065" s="108"/>
      <c r="F1065" s="30"/>
      <c r="G1065" s="30"/>
      <c r="H1065" s="30"/>
      <c r="I1065" s="30"/>
      <c r="J1065" s="30"/>
      <c r="K1065" s="30"/>
      <c r="L1065" s="30"/>
      <c r="M1065" s="30"/>
      <c r="N1065" s="30"/>
      <c r="O1065" s="30"/>
      <c r="P1065" s="108"/>
      <c r="Q1065" s="30"/>
      <c r="R1065" s="30"/>
    </row>
    <row r="1066" ht="15.75" customHeight="1">
      <c r="A1066" s="108"/>
      <c r="B1066" s="108"/>
      <c r="C1066" s="108"/>
      <c r="D1066" s="108"/>
      <c r="E1066" s="108"/>
      <c r="F1066" s="30"/>
      <c r="G1066" s="30"/>
      <c r="H1066" s="30"/>
      <c r="I1066" s="30"/>
      <c r="J1066" s="30"/>
      <c r="K1066" s="30"/>
      <c r="L1066" s="30"/>
      <c r="M1066" s="30"/>
      <c r="N1066" s="30"/>
      <c r="O1066" s="30"/>
      <c r="P1066" s="108"/>
      <c r="Q1066" s="30"/>
      <c r="R1066" s="30"/>
    </row>
    <row r="1067" ht="15.75" customHeight="1">
      <c r="A1067" s="108"/>
      <c r="B1067" s="108"/>
      <c r="C1067" s="108"/>
      <c r="D1067" s="108"/>
      <c r="E1067" s="108"/>
      <c r="F1067" s="30"/>
      <c r="G1067" s="30"/>
      <c r="H1067" s="30"/>
      <c r="I1067" s="30"/>
      <c r="J1067" s="30"/>
      <c r="K1067" s="30"/>
      <c r="L1067" s="30"/>
      <c r="M1067" s="30"/>
      <c r="N1067" s="30"/>
      <c r="O1067" s="30"/>
      <c r="P1067" s="108"/>
      <c r="Q1067" s="30"/>
      <c r="R1067" s="30"/>
    </row>
    <row r="1068" ht="15.75" customHeight="1">
      <c r="A1068" s="108"/>
      <c r="B1068" s="108"/>
      <c r="C1068" s="108"/>
      <c r="D1068" s="108"/>
      <c r="E1068" s="108"/>
      <c r="F1068" s="30"/>
      <c r="G1068" s="30"/>
      <c r="H1068" s="30"/>
      <c r="I1068" s="30"/>
      <c r="J1068" s="30"/>
      <c r="K1068" s="30"/>
      <c r="L1068" s="30"/>
      <c r="M1068" s="30"/>
      <c r="N1068" s="30"/>
      <c r="O1068" s="30"/>
      <c r="P1068" s="108"/>
      <c r="Q1068" s="30"/>
      <c r="R1068" s="30"/>
    </row>
    <row r="1069" ht="15.75" customHeight="1">
      <c r="A1069" s="108"/>
      <c r="B1069" s="108"/>
      <c r="C1069" s="108"/>
      <c r="D1069" s="108"/>
      <c r="E1069" s="108"/>
      <c r="F1069" s="30"/>
      <c r="G1069" s="30"/>
      <c r="H1069" s="30"/>
      <c r="I1069" s="30"/>
      <c r="J1069" s="30"/>
      <c r="K1069" s="30"/>
      <c r="L1069" s="30"/>
      <c r="M1069" s="30"/>
      <c r="N1069" s="30"/>
      <c r="O1069" s="30"/>
      <c r="P1069" s="108"/>
      <c r="Q1069" s="30"/>
      <c r="R1069" s="30"/>
    </row>
    <row r="1070" ht="15.75" customHeight="1">
      <c r="A1070" s="108"/>
      <c r="B1070" s="108"/>
      <c r="C1070" s="108"/>
      <c r="D1070" s="108"/>
      <c r="E1070" s="108"/>
      <c r="F1070" s="30"/>
      <c r="G1070" s="30"/>
      <c r="H1070" s="30"/>
      <c r="I1070" s="30"/>
      <c r="J1070" s="30"/>
      <c r="K1070" s="30"/>
      <c r="L1070" s="30"/>
      <c r="M1070" s="30"/>
      <c r="N1070" s="30"/>
      <c r="O1070" s="30"/>
      <c r="P1070" s="108"/>
      <c r="Q1070" s="30"/>
      <c r="R1070" s="30"/>
    </row>
    <row r="1071" ht="15.75" customHeight="1">
      <c r="A1071" s="108"/>
      <c r="B1071" s="108"/>
      <c r="C1071" s="108"/>
      <c r="D1071" s="108"/>
      <c r="E1071" s="108"/>
      <c r="F1071" s="30"/>
      <c r="G1071" s="30"/>
      <c r="H1071" s="30"/>
      <c r="I1071" s="30"/>
      <c r="J1071" s="30"/>
      <c r="K1071" s="30"/>
      <c r="L1071" s="30"/>
      <c r="M1071" s="30"/>
      <c r="N1071" s="30"/>
      <c r="O1071" s="30"/>
      <c r="P1071" s="108"/>
      <c r="Q1071" s="30"/>
      <c r="R1071" s="30"/>
    </row>
    <row r="1072" ht="15.75" customHeight="1">
      <c r="A1072" s="108"/>
      <c r="B1072" s="108"/>
      <c r="C1072" s="108"/>
      <c r="D1072" s="108"/>
      <c r="E1072" s="108"/>
      <c r="F1072" s="30"/>
      <c r="G1072" s="30"/>
      <c r="H1072" s="30"/>
      <c r="I1072" s="30"/>
      <c r="J1072" s="30"/>
      <c r="K1072" s="30"/>
      <c r="L1072" s="30"/>
      <c r="M1072" s="30"/>
      <c r="N1072" s="30"/>
      <c r="O1072" s="30"/>
      <c r="P1072" s="108"/>
      <c r="Q1072" s="30"/>
      <c r="R1072" s="30"/>
    </row>
    <row r="1073" ht="15.75" customHeight="1">
      <c r="A1073" s="108"/>
      <c r="B1073" s="108"/>
      <c r="C1073" s="108"/>
      <c r="D1073" s="108"/>
      <c r="E1073" s="108"/>
      <c r="F1073" s="30"/>
      <c r="G1073" s="30"/>
      <c r="H1073" s="30"/>
      <c r="I1073" s="30"/>
      <c r="J1073" s="30"/>
      <c r="K1073" s="30"/>
      <c r="L1073" s="30"/>
      <c r="M1073" s="30"/>
      <c r="N1073" s="30"/>
      <c r="O1073" s="30"/>
      <c r="P1073" s="108"/>
      <c r="Q1073" s="30"/>
      <c r="R1073" s="30"/>
    </row>
    <row r="1074" ht="15.75" customHeight="1">
      <c r="A1074" s="108"/>
      <c r="B1074" s="108"/>
      <c r="C1074" s="108"/>
      <c r="D1074" s="108"/>
      <c r="E1074" s="108"/>
      <c r="F1074" s="30"/>
      <c r="G1074" s="30"/>
      <c r="H1074" s="30"/>
      <c r="I1074" s="30"/>
      <c r="J1074" s="30"/>
      <c r="K1074" s="30"/>
      <c r="L1074" s="30"/>
      <c r="M1074" s="30"/>
      <c r="N1074" s="30"/>
      <c r="O1074" s="30"/>
      <c r="P1074" s="108"/>
      <c r="Q1074" s="30"/>
      <c r="R1074" s="30"/>
    </row>
    <row r="1075" ht="15.75" customHeight="1">
      <c r="A1075" s="108"/>
      <c r="B1075" s="108"/>
      <c r="C1075" s="108"/>
      <c r="D1075" s="108"/>
      <c r="E1075" s="108"/>
      <c r="F1075" s="30"/>
      <c r="G1075" s="30"/>
      <c r="H1075" s="30"/>
      <c r="I1075" s="30"/>
      <c r="J1075" s="30"/>
      <c r="K1075" s="30"/>
      <c r="L1075" s="30"/>
      <c r="M1075" s="30"/>
      <c r="N1075" s="30"/>
      <c r="O1075" s="30"/>
      <c r="P1075" s="108"/>
      <c r="Q1075" s="30"/>
      <c r="R1075" s="30"/>
    </row>
    <row r="1076" ht="15.75" customHeight="1">
      <c r="A1076" s="108"/>
      <c r="B1076" s="108"/>
      <c r="C1076" s="108"/>
      <c r="D1076" s="108"/>
      <c r="E1076" s="108"/>
      <c r="F1076" s="30"/>
      <c r="G1076" s="30"/>
      <c r="H1076" s="30"/>
      <c r="I1076" s="30"/>
      <c r="J1076" s="30"/>
      <c r="K1076" s="30"/>
      <c r="L1076" s="30"/>
      <c r="M1076" s="30"/>
      <c r="N1076" s="30"/>
      <c r="O1076" s="30"/>
      <c r="P1076" s="108"/>
      <c r="Q1076" s="30"/>
      <c r="R1076" s="30"/>
    </row>
    <row r="1077" ht="15.75" customHeight="1">
      <c r="A1077" s="108"/>
      <c r="B1077" s="108"/>
      <c r="C1077" s="108"/>
      <c r="D1077" s="108"/>
      <c r="E1077" s="108"/>
      <c r="F1077" s="30"/>
      <c r="G1077" s="30"/>
      <c r="H1077" s="30"/>
      <c r="I1077" s="30"/>
      <c r="J1077" s="30"/>
      <c r="K1077" s="30"/>
      <c r="L1077" s="30"/>
      <c r="M1077" s="30"/>
      <c r="N1077" s="30"/>
      <c r="O1077" s="30"/>
      <c r="P1077" s="108"/>
      <c r="Q1077" s="30"/>
      <c r="R1077" s="30"/>
    </row>
    <row r="1078" ht="15.75" customHeight="1">
      <c r="A1078" s="108"/>
      <c r="B1078" s="108"/>
      <c r="C1078" s="108"/>
      <c r="D1078" s="108"/>
      <c r="E1078" s="108"/>
      <c r="F1078" s="30"/>
      <c r="G1078" s="30"/>
      <c r="H1078" s="30"/>
      <c r="I1078" s="30"/>
      <c r="J1078" s="30"/>
      <c r="K1078" s="30"/>
      <c r="L1078" s="30"/>
      <c r="M1078" s="30"/>
      <c r="N1078" s="30"/>
      <c r="O1078" s="30"/>
      <c r="P1078" s="108"/>
      <c r="Q1078" s="30"/>
      <c r="R1078" s="30"/>
    </row>
    <row r="1079" ht="15.75" customHeight="1">
      <c r="A1079" s="108"/>
      <c r="B1079" s="108"/>
      <c r="C1079" s="108"/>
      <c r="D1079" s="108"/>
      <c r="E1079" s="108"/>
      <c r="F1079" s="30"/>
      <c r="G1079" s="30"/>
      <c r="H1079" s="30"/>
      <c r="I1079" s="30"/>
      <c r="J1079" s="30"/>
      <c r="K1079" s="30"/>
      <c r="L1079" s="30"/>
      <c r="M1079" s="30"/>
      <c r="N1079" s="30"/>
      <c r="O1079" s="30"/>
      <c r="P1079" s="108"/>
      <c r="Q1079" s="30"/>
      <c r="R1079" s="30"/>
    </row>
    <row r="1080" ht="15.75" customHeight="1">
      <c r="A1080" s="108"/>
      <c r="B1080" s="108"/>
      <c r="C1080" s="108"/>
      <c r="D1080" s="108"/>
      <c r="E1080" s="108"/>
      <c r="F1080" s="30"/>
      <c r="G1080" s="30"/>
      <c r="H1080" s="30"/>
      <c r="I1080" s="30"/>
      <c r="J1080" s="30"/>
      <c r="K1080" s="30"/>
      <c r="L1080" s="30"/>
      <c r="M1080" s="30"/>
      <c r="N1080" s="30"/>
      <c r="O1080" s="30"/>
      <c r="P1080" s="108"/>
      <c r="Q1080" s="30"/>
      <c r="R1080" s="30"/>
    </row>
    <row r="1081" ht="15.75" customHeight="1">
      <c r="A1081" s="108"/>
      <c r="B1081" s="108"/>
      <c r="C1081" s="108"/>
      <c r="D1081" s="108"/>
      <c r="E1081" s="108"/>
      <c r="F1081" s="30"/>
      <c r="G1081" s="30"/>
      <c r="H1081" s="30"/>
      <c r="I1081" s="30"/>
      <c r="J1081" s="30"/>
      <c r="K1081" s="30"/>
      <c r="L1081" s="30"/>
      <c r="M1081" s="30"/>
      <c r="N1081" s="30"/>
      <c r="O1081" s="30"/>
      <c r="P1081" s="108"/>
      <c r="Q1081" s="30"/>
      <c r="R1081" s="30"/>
    </row>
    <row r="1082" ht="15.75" customHeight="1">
      <c r="A1082" s="108"/>
      <c r="B1082" s="108"/>
      <c r="C1082" s="108"/>
      <c r="D1082" s="108"/>
      <c r="E1082" s="108"/>
      <c r="F1082" s="30"/>
      <c r="G1082" s="30"/>
      <c r="H1082" s="30"/>
      <c r="I1082" s="30"/>
      <c r="J1082" s="30"/>
      <c r="K1082" s="30"/>
      <c r="L1082" s="30"/>
      <c r="M1082" s="30"/>
      <c r="N1082" s="30"/>
      <c r="O1082" s="30"/>
      <c r="P1082" s="108"/>
      <c r="Q1082" s="30"/>
      <c r="R1082" s="30"/>
    </row>
    <row r="1083" ht="15.75" customHeight="1">
      <c r="A1083" s="108"/>
      <c r="B1083" s="108"/>
      <c r="C1083" s="108"/>
      <c r="D1083" s="108"/>
      <c r="E1083" s="108"/>
      <c r="F1083" s="30"/>
      <c r="G1083" s="30"/>
      <c r="H1083" s="30"/>
      <c r="I1083" s="30"/>
      <c r="J1083" s="30"/>
      <c r="K1083" s="30"/>
      <c r="L1083" s="30"/>
      <c r="M1083" s="30"/>
      <c r="N1083" s="30"/>
      <c r="O1083" s="30"/>
      <c r="P1083" s="108"/>
      <c r="Q1083" s="30"/>
      <c r="R1083" s="30"/>
    </row>
    <row r="1084" ht="15.75" customHeight="1">
      <c r="A1084" s="108"/>
      <c r="B1084" s="108"/>
      <c r="C1084" s="108"/>
      <c r="D1084" s="108"/>
      <c r="E1084" s="108"/>
      <c r="F1084" s="30"/>
      <c r="G1084" s="30"/>
      <c r="H1084" s="30"/>
      <c r="I1084" s="30"/>
      <c r="J1084" s="30"/>
      <c r="K1084" s="30"/>
      <c r="L1084" s="30"/>
      <c r="M1084" s="30"/>
      <c r="N1084" s="30"/>
      <c r="O1084" s="30"/>
      <c r="P1084" s="108"/>
      <c r="Q1084" s="30"/>
      <c r="R1084" s="30"/>
    </row>
    <row r="1085" ht="15.75" customHeight="1">
      <c r="A1085" s="108"/>
      <c r="B1085" s="108"/>
      <c r="C1085" s="108"/>
      <c r="D1085" s="108"/>
      <c r="E1085" s="108"/>
      <c r="F1085" s="30"/>
      <c r="G1085" s="30"/>
      <c r="H1085" s="30"/>
      <c r="I1085" s="30"/>
      <c r="J1085" s="30"/>
      <c r="K1085" s="30"/>
      <c r="L1085" s="30"/>
      <c r="M1085" s="30"/>
      <c r="N1085" s="30"/>
      <c r="O1085" s="30"/>
      <c r="P1085" s="108"/>
      <c r="Q1085" s="30"/>
      <c r="R1085" s="30"/>
    </row>
    <row r="1086" ht="15.75" customHeight="1">
      <c r="A1086" s="108"/>
      <c r="B1086" s="108"/>
      <c r="C1086" s="108"/>
      <c r="D1086" s="108"/>
      <c r="E1086" s="108"/>
      <c r="F1086" s="30"/>
      <c r="G1086" s="30"/>
      <c r="H1086" s="30"/>
      <c r="I1086" s="30"/>
      <c r="J1086" s="30"/>
      <c r="K1086" s="30"/>
      <c r="L1086" s="30"/>
      <c r="M1086" s="30"/>
      <c r="N1086" s="30"/>
      <c r="O1086" s="30"/>
      <c r="P1086" s="108"/>
      <c r="Q1086" s="30"/>
      <c r="R1086" s="30"/>
    </row>
    <row r="1087" ht="15.75" customHeight="1">
      <c r="A1087" s="108"/>
      <c r="B1087" s="108"/>
      <c r="C1087" s="108"/>
      <c r="D1087" s="108"/>
      <c r="E1087" s="108"/>
      <c r="F1087" s="30"/>
      <c r="G1087" s="30"/>
      <c r="H1087" s="30"/>
      <c r="I1087" s="30"/>
      <c r="J1087" s="30"/>
      <c r="K1087" s="30"/>
      <c r="L1087" s="30"/>
      <c r="M1087" s="30"/>
      <c r="N1087" s="30"/>
      <c r="O1087" s="30"/>
      <c r="P1087" s="108"/>
      <c r="Q1087" s="30"/>
      <c r="R1087" s="30"/>
    </row>
    <row r="1088" ht="15.75" customHeight="1">
      <c r="A1088" s="108"/>
      <c r="B1088" s="108"/>
      <c r="C1088" s="108"/>
      <c r="D1088" s="108"/>
      <c r="E1088" s="108"/>
      <c r="F1088" s="30"/>
      <c r="G1088" s="30"/>
      <c r="H1088" s="30"/>
      <c r="I1088" s="30"/>
      <c r="J1088" s="30"/>
      <c r="K1088" s="30"/>
      <c r="L1088" s="30"/>
      <c r="M1088" s="30"/>
      <c r="N1088" s="30"/>
      <c r="O1088" s="30"/>
      <c r="P1088" s="108"/>
      <c r="Q1088" s="30"/>
      <c r="R1088" s="30"/>
    </row>
    <row r="1089" ht="15.75" customHeight="1">
      <c r="A1089" s="108"/>
      <c r="B1089" s="108"/>
      <c r="C1089" s="108"/>
      <c r="D1089" s="108"/>
      <c r="E1089" s="108"/>
      <c r="F1089" s="30"/>
      <c r="G1089" s="30"/>
      <c r="H1089" s="30"/>
      <c r="I1089" s="30"/>
      <c r="J1089" s="30"/>
      <c r="K1089" s="30"/>
      <c r="L1089" s="30"/>
      <c r="M1089" s="30"/>
      <c r="N1089" s="30"/>
      <c r="O1089" s="30"/>
      <c r="P1089" s="108"/>
      <c r="Q1089" s="30"/>
      <c r="R1089" s="30"/>
    </row>
    <row r="1090" ht="15.75" customHeight="1">
      <c r="A1090" s="108"/>
      <c r="B1090" s="108"/>
      <c r="C1090" s="108"/>
      <c r="D1090" s="108"/>
      <c r="E1090" s="108"/>
      <c r="F1090" s="30"/>
      <c r="G1090" s="30"/>
      <c r="H1090" s="30"/>
      <c r="I1090" s="30"/>
      <c r="J1090" s="30"/>
      <c r="K1090" s="30"/>
      <c r="L1090" s="30"/>
      <c r="M1090" s="30"/>
      <c r="N1090" s="30"/>
      <c r="O1090" s="30"/>
      <c r="P1090" s="108"/>
      <c r="Q1090" s="30"/>
      <c r="R1090" s="30"/>
    </row>
    <row r="1091" ht="15.75" customHeight="1">
      <c r="A1091" s="108"/>
      <c r="B1091" s="108"/>
      <c r="C1091" s="108"/>
      <c r="D1091" s="108"/>
      <c r="E1091" s="108"/>
      <c r="F1091" s="30"/>
      <c r="G1091" s="30"/>
      <c r="H1091" s="30"/>
      <c r="I1091" s="30"/>
      <c r="J1091" s="30"/>
      <c r="K1091" s="30"/>
      <c r="L1091" s="30"/>
      <c r="M1091" s="30"/>
      <c r="N1091" s="30"/>
      <c r="O1091" s="30"/>
      <c r="P1091" s="108"/>
      <c r="Q1091" s="30"/>
      <c r="R1091" s="30"/>
    </row>
    <row r="1092" ht="15.75" customHeight="1">
      <c r="A1092" s="108"/>
      <c r="B1092" s="108"/>
      <c r="C1092" s="108"/>
      <c r="D1092" s="108"/>
      <c r="E1092" s="108"/>
      <c r="F1092" s="30"/>
      <c r="G1092" s="30"/>
      <c r="H1092" s="30"/>
      <c r="I1092" s="30"/>
      <c r="J1092" s="30"/>
      <c r="K1092" s="30"/>
      <c r="L1092" s="30"/>
      <c r="M1092" s="30"/>
      <c r="N1092" s="30"/>
      <c r="O1092" s="30"/>
      <c r="P1092" s="108"/>
      <c r="Q1092" s="30"/>
      <c r="R1092" s="30"/>
    </row>
    <row r="1093" ht="15.75" customHeight="1">
      <c r="A1093" s="108"/>
      <c r="B1093" s="108"/>
      <c r="C1093" s="108"/>
      <c r="D1093" s="108"/>
      <c r="E1093" s="108"/>
      <c r="F1093" s="30"/>
      <c r="G1093" s="30"/>
      <c r="H1093" s="30"/>
      <c r="I1093" s="30"/>
      <c r="J1093" s="30"/>
      <c r="K1093" s="30"/>
      <c r="L1093" s="30"/>
      <c r="M1093" s="30"/>
      <c r="N1093" s="30"/>
      <c r="O1093" s="30"/>
      <c r="P1093" s="108"/>
      <c r="Q1093" s="30"/>
      <c r="R1093" s="30"/>
    </row>
    <row r="1094" ht="15.75" customHeight="1">
      <c r="A1094" s="108"/>
      <c r="B1094" s="108"/>
      <c r="C1094" s="108"/>
      <c r="D1094" s="108"/>
      <c r="E1094" s="108"/>
      <c r="F1094" s="30"/>
      <c r="G1094" s="30"/>
      <c r="H1094" s="30"/>
      <c r="I1094" s="30"/>
      <c r="J1094" s="30"/>
      <c r="K1094" s="30"/>
      <c r="L1094" s="30"/>
      <c r="M1094" s="30"/>
      <c r="N1094" s="30"/>
      <c r="O1094" s="30"/>
      <c r="P1094" s="108"/>
      <c r="Q1094" s="30"/>
      <c r="R1094" s="30"/>
    </row>
    <row r="1095" ht="15.75" customHeight="1">
      <c r="A1095" s="108"/>
      <c r="B1095" s="108"/>
      <c r="C1095" s="108"/>
      <c r="D1095" s="108"/>
      <c r="E1095" s="108"/>
      <c r="F1095" s="30"/>
      <c r="G1095" s="30"/>
      <c r="H1095" s="30"/>
      <c r="I1095" s="30"/>
      <c r="J1095" s="30"/>
      <c r="K1095" s="30"/>
      <c r="L1095" s="30"/>
      <c r="M1095" s="30"/>
      <c r="N1095" s="30"/>
      <c r="O1095" s="30"/>
      <c r="P1095" s="108"/>
      <c r="Q1095" s="30"/>
      <c r="R1095" s="30"/>
    </row>
    <row r="1096" ht="15.75" customHeight="1">
      <c r="A1096" s="108"/>
      <c r="B1096" s="108"/>
      <c r="C1096" s="108"/>
      <c r="D1096" s="108"/>
      <c r="E1096" s="108"/>
      <c r="F1096" s="30"/>
      <c r="G1096" s="30"/>
      <c r="H1096" s="30"/>
      <c r="I1096" s="30"/>
      <c r="J1096" s="30"/>
      <c r="K1096" s="30"/>
      <c r="L1096" s="30"/>
      <c r="M1096" s="30"/>
      <c r="N1096" s="30"/>
      <c r="O1096" s="30"/>
      <c r="P1096" s="108"/>
      <c r="Q1096" s="30"/>
      <c r="R1096" s="30"/>
    </row>
    <row r="1097" ht="15.75" customHeight="1">
      <c r="A1097" s="108"/>
      <c r="B1097" s="108"/>
      <c r="C1097" s="108"/>
      <c r="D1097" s="108"/>
      <c r="E1097" s="108"/>
      <c r="F1097" s="30"/>
      <c r="G1097" s="30"/>
      <c r="H1097" s="30"/>
      <c r="I1097" s="30"/>
      <c r="J1097" s="30"/>
      <c r="K1097" s="30"/>
      <c r="L1097" s="30"/>
      <c r="M1097" s="30"/>
      <c r="N1097" s="30"/>
      <c r="O1097" s="30"/>
      <c r="P1097" s="108"/>
      <c r="Q1097" s="30"/>
      <c r="R1097" s="30"/>
    </row>
    <row r="1098" ht="15.75" customHeight="1">
      <c r="A1098" s="108"/>
      <c r="B1098" s="108"/>
      <c r="C1098" s="108"/>
      <c r="D1098" s="108"/>
      <c r="E1098" s="108"/>
      <c r="F1098" s="30"/>
      <c r="G1098" s="30"/>
      <c r="H1098" s="30"/>
      <c r="I1098" s="30"/>
      <c r="J1098" s="30"/>
      <c r="K1098" s="30"/>
      <c r="L1098" s="30"/>
      <c r="M1098" s="30"/>
      <c r="N1098" s="30"/>
      <c r="O1098" s="30"/>
      <c r="P1098" s="108"/>
      <c r="Q1098" s="30"/>
      <c r="R1098" s="30"/>
    </row>
    <row r="1099" ht="15.75" customHeight="1">
      <c r="A1099" s="108"/>
      <c r="B1099" s="108"/>
      <c r="C1099" s="108"/>
      <c r="D1099" s="108"/>
      <c r="E1099" s="108"/>
      <c r="F1099" s="30"/>
      <c r="G1099" s="30"/>
      <c r="H1099" s="30"/>
      <c r="I1099" s="30"/>
      <c r="J1099" s="30"/>
      <c r="K1099" s="30"/>
      <c r="L1099" s="30"/>
      <c r="M1099" s="30"/>
      <c r="N1099" s="30"/>
      <c r="O1099" s="30"/>
      <c r="P1099" s="108"/>
      <c r="Q1099" s="30"/>
      <c r="R1099" s="30"/>
    </row>
    <row r="1100" ht="15.75" customHeight="1">
      <c r="A1100" s="108"/>
      <c r="B1100" s="108"/>
      <c r="C1100" s="108"/>
      <c r="D1100" s="108"/>
      <c r="E1100" s="108"/>
      <c r="F1100" s="30"/>
      <c r="G1100" s="30"/>
      <c r="H1100" s="30"/>
      <c r="I1100" s="30"/>
      <c r="J1100" s="30"/>
      <c r="K1100" s="30"/>
      <c r="L1100" s="30"/>
      <c r="M1100" s="30"/>
      <c r="N1100" s="30"/>
      <c r="O1100" s="30"/>
      <c r="P1100" s="108"/>
      <c r="Q1100" s="30"/>
      <c r="R1100" s="30"/>
    </row>
    <row r="1101" ht="15.75" customHeight="1">
      <c r="A1101" s="108"/>
      <c r="B1101" s="108"/>
      <c r="C1101" s="108"/>
      <c r="D1101" s="108"/>
      <c r="E1101" s="108"/>
      <c r="F1101" s="30"/>
      <c r="G1101" s="30"/>
      <c r="H1101" s="30"/>
      <c r="I1101" s="30"/>
      <c r="J1101" s="30"/>
      <c r="K1101" s="30"/>
      <c r="L1101" s="30"/>
      <c r="M1101" s="30"/>
      <c r="N1101" s="30"/>
      <c r="O1101" s="30"/>
      <c r="P1101" s="108"/>
      <c r="Q1101" s="30"/>
      <c r="R1101" s="30"/>
    </row>
    <row r="1102" ht="15.75" customHeight="1">
      <c r="A1102" s="108"/>
      <c r="B1102" s="108"/>
      <c r="C1102" s="108"/>
      <c r="D1102" s="108"/>
      <c r="E1102" s="108"/>
      <c r="F1102" s="30"/>
      <c r="G1102" s="30"/>
      <c r="H1102" s="30"/>
      <c r="I1102" s="30"/>
      <c r="J1102" s="30"/>
      <c r="K1102" s="30"/>
      <c r="L1102" s="30"/>
      <c r="M1102" s="30"/>
      <c r="N1102" s="30"/>
      <c r="O1102" s="30"/>
      <c r="P1102" s="108"/>
      <c r="Q1102" s="30"/>
      <c r="R1102" s="30"/>
    </row>
    <row r="1103" ht="15.75" customHeight="1">
      <c r="A1103" s="108"/>
      <c r="B1103" s="108"/>
      <c r="C1103" s="108"/>
      <c r="D1103" s="108"/>
      <c r="E1103" s="108"/>
      <c r="F1103" s="30"/>
      <c r="G1103" s="30"/>
      <c r="H1103" s="30"/>
      <c r="I1103" s="30"/>
      <c r="J1103" s="30"/>
      <c r="K1103" s="30"/>
      <c r="L1103" s="30"/>
      <c r="M1103" s="30"/>
      <c r="N1103" s="30"/>
      <c r="O1103" s="30"/>
      <c r="P1103" s="108"/>
      <c r="Q1103" s="30"/>
      <c r="R1103" s="30"/>
    </row>
    <row r="1104" ht="15.75" customHeight="1">
      <c r="A1104" s="108"/>
      <c r="B1104" s="108"/>
      <c r="C1104" s="108"/>
      <c r="D1104" s="108"/>
      <c r="E1104" s="108"/>
      <c r="F1104" s="30"/>
      <c r="G1104" s="30"/>
      <c r="H1104" s="30"/>
      <c r="I1104" s="30"/>
      <c r="J1104" s="30"/>
      <c r="K1104" s="30"/>
      <c r="L1104" s="30"/>
      <c r="M1104" s="30"/>
      <c r="N1104" s="30"/>
      <c r="O1104" s="30"/>
      <c r="P1104" s="108"/>
      <c r="Q1104" s="30"/>
      <c r="R1104" s="30"/>
    </row>
    <row r="1105" ht="15.75" customHeight="1">
      <c r="A1105" s="108"/>
      <c r="B1105" s="108"/>
      <c r="C1105" s="108"/>
      <c r="D1105" s="108"/>
      <c r="E1105" s="108"/>
      <c r="F1105" s="30"/>
      <c r="G1105" s="30"/>
      <c r="H1105" s="30"/>
      <c r="I1105" s="30"/>
      <c r="J1105" s="30"/>
      <c r="K1105" s="30"/>
      <c r="L1105" s="30"/>
      <c r="M1105" s="30"/>
      <c r="N1105" s="30"/>
      <c r="O1105" s="30"/>
      <c r="P1105" s="108"/>
      <c r="Q1105" s="30"/>
      <c r="R1105" s="30"/>
    </row>
    <row r="1106" ht="15.75" customHeight="1">
      <c r="A1106" s="108"/>
      <c r="B1106" s="108"/>
      <c r="C1106" s="108"/>
      <c r="D1106" s="108"/>
      <c r="E1106" s="108"/>
      <c r="F1106" s="30"/>
      <c r="G1106" s="30"/>
      <c r="H1106" s="30"/>
      <c r="I1106" s="30"/>
      <c r="J1106" s="30"/>
      <c r="K1106" s="30"/>
      <c r="L1106" s="30"/>
      <c r="M1106" s="30"/>
      <c r="N1106" s="30"/>
      <c r="O1106" s="30"/>
      <c r="P1106" s="108"/>
      <c r="Q1106" s="30"/>
      <c r="R1106" s="30"/>
    </row>
    <row r="1107" ht="15.75" customHeight="1">
      <c r="A1107" s="108"/>
      <c r="B1107" s="108"/>
      <c r="C1107" s="108"/>
      <c r="D1107" s="108"/>
      <c r="E1107" s="108"/>
      <c r="F1107" s="30"/>
      <c r="G1107" s="30"/>
      <c r="H1107" s="30"/>
      <c r="I1107" s="30"/>
      <c r="J1107" s="30"/>
      <c r="K1107" s="30"/>
      <c r="L1107" s="30"/>
      <c r="M1107" s="30"/>
      <c r="N1107" s="30"/>
      <c r="O1107" s="30"/>
      <c r="P1107" s="108"/>
      <c r="Q1107" s="30"/>
      <c r="R1107" s="30"/>
    </row>
    <row r="1108" ht="15.75" customHeight="1">
      <c r="A1108" s="108"/>
      <c r="B1108" s="108"/>
      <c r="C1108" s="108"/>
      <c r="D1108" s="108"/>
      <c r="E1108" s="108"/>
      <c r="F1108" s="30"/>
      <c r="G1108" s="30"/>
      <c r="H1108" s="30"/>
      <c r="I1108" s="30"/>
      <c r="J1108" s="30"/>
      <c r="K1108" s="30"/>
      <c r="L1108" s="30"/>
      <c r="M1108" s="30"/>
      <c r="N1108" s="30"/>
      <c r="O1108" s="30"/>
      <c r="P1108" s="108"/>
      <c r="Q1108" s="30"/>
      <c r="R1108" s="30"/>
    </row>
    <row r="1109" ht="15.75" customHeight="1">
      <c r="A1109" s="108"/>
      <c r="B1109" s="108"/>
      <c r="C1109" s="108"/>
      <c r="D1109" s="108"/>
      <c r="E1109" s="108"/>
      <c r="F1109" s="30"/>
      <c r="G1109" s="30"/>
      <c r="H1109" s="30"/>
      <c r="I1109" s="30"/>
      <c r="J1109" s="30"/>
      <c r="K1109" s="30"/>
      <c r="L1109" s="30"/>
      <c r="M1109" s="30"/>
      <c r="N1109" s="30"/>
      <c r="O1109" s="30"/>
      <c r="P1109" s="108"/>
      <c r="Q1109" s="30"/>
      <c r="R1109" s="30"/>
    </row>
    <row r="1110" ht="15.75" customHeight="1">
      <c r="A1110" s="108"/>
      <c r="B1110" s="108"/>
      <c r="C1110" s="108"/>
      <c r="D1110" s="108"/>
      <c r="E1110" s="108"/>
      <c r="F1110" s="30"/>
      <c r="G1110" s="30"/>
      <c r="H1110" s="30"/>
      <c r="I1110" s="30"/>
      <c r="J1110" s="30"/>
      <c r="K1110" s="30"/>
      <c r="L1110" s="30"/>
      <c r="M1110" s="30"/>
      <c r="N1110" s="30"/>
      <c r="O1110" s="30"/>
      <c r="P1110" s="108"/>
      <c r="Q1110" s="30"/>
      <c r="R1110" s="30"/>
    </row>
    <row r="1111" ht="15.75" customHeight="1">
      <c r="A1111" s="108"/>
      <c r="B1111" s="108"/>
      <c r="C1111" s="108"/>
      <c r="D1111" s="108"/>
      <c r="E1111" s="108"/>
      <c r="F1111" s="30"/>
      <c r="G1111" s="30"/>
      <c r="H1111" s="30"/>
      <c r="I1111" s="30"/>
      <c r="J1111" s="30"/>
      <c r="K1111" s="30"/>
      <c r="L1111" s="30"/>
      <c r="M1111" s="30"/>
      <c r="N1111" s="30"/>
      <c r="O1111" s="30"/>
      <c r="P1111" s="108"/>
      <c r="Q1111" s="30"/>
      <c r="R1111" s="30"/>
    </row>
    <row r="1112" ht="15.75" customHeight="1">
      <c r="A1112" s="108"/>
      <c r="B1112" s="108"/>
      <c r="C1112" s="108"/>
      <c r="D1112" s="108"/>
      <c r="E1112" s="108"/>
      <c r="F1112" s="30"/>
      <c r="G1112" s="30"/>
      <c r="H1112" s="30"/>
      <c r="I1112" s="30"/>
      <c r="J1112" s="30"/>
      <c r="K1112" s="30"/>
      <c r="L1112" s="30"/>
      <c r="M1112" s="30"/>
      <c r="N1112" s="30"/>
      <c r="O1112" s="30"/>
      <c r="P1112" s="108"/>
      <c r="Q1112" s="30"/>
      <c r="R1112" s="30"/>
    </row>
    <row r="1113" ht="15.75" customHeight="1">
      <c r="A1113" s="108"/>
      <c r="B1113" s="108"/>
      <c r="C1113" s="108"/>
      <c r="D1113" s="108"/>
      <c r="E1113" s="108"/>
      <c r="F1113" s="30"/>
      <c r="G1113" s="30"/>
      <c r="H1113" s="30"/>
      <c r="I1113" s="30"/>
      <c r="J1113" s="30"/>
      <c r="K1113" s="30"/>
      <c r="L1113" s="30"/>
      <c r="M1113" s="30"/>
      <c r="N1113" s="30"/>
      <c r="O1113" s="30"/>
      <c r="P1113" s="108"/>
      <c r="Q1113" s="30"/>
      <c r="R1113" s="30"/>
    </row>
    <row r="1114" ht="15.75" customHeight="1">
      <c r="A1114" s="108"/>
      <c r="B1114" s="108"/>
      <c r="C1114" s="108"/>
      <c r="D1114" s="108"/>
      <c r="E1114" s="108"/>
      <c r="F1114" s="30"/>
      <c r="G1114" s="30"/>
      <c r="H1114" s="30"/>
      <c r="I1114" s="30"/>
      <c r="J1114" s="30"/>
      <c r="K1114" s="30"/>
      <c r="L1114" s="30"/>
      <c r="M1114" s="30"/>
      <c r="N1114" s="30"/>
      <c r="O1114" s="30"/>
      <c r="P1114" s="108"/>
      <c r="Q1114" s="30"/>
      <c r="R1114" s="30"/>
    </row>
    <row r="1115" ht="15.75" customHeight="1">
      <c r="A1115" s="108"/>
      <c r="B1115" s="108"/>
      <c r="C1115" s="108"/>
      <c r="D1115" s="108"/>
      <c r="E1115" s="108"/>
      <c r="F1115" s="30"/>
      <c r="G1115" s="30"/>
      <c r="H1115" s="30"/>
      <c r="I1115" s="30"/>
      <c r="J1115" s="30"/>
      <c r="K1115" s="30"/>
      <c r="L1115" s="30"/>
      <c r="M1115" s="30"/>
      <c r="N1115" s="30"/>
      <c r="O1115" s="30"/>
      <c r="P1115" s="108"/>
      <c r="Q1115" s="30"/>
      <c r="R1115" s="30"/>
    </row>
    <row r="1116" ht="15.75" customHeight="1">
      <c r="A1116" s="108"/>
      <c r="B1116" s="108"/>
      <c r="C1116" s="108"/>
      <c r="D1116" s="108"/>
      <c r="E1116" s="108"/>
      <c r="F1116" s="30"/>
      <c r="G1116" s="30"/>
      <c r="H1116" s="30"/>
      <c r="I1116" s="30"/>
      <c r="J1116" s="30"/>
      <c r="K1116" s="30"/>
      <c r="L1116" s="30"/>
      <c r="M1116" s="30"/>
      <c r="N1116" s="30"/>
      <c r="O1116" s="30"/>
      <c r="P1116" s="108"/>
      <c r="Q1116" s="30"/>
      <c r="R1116" s="30"/>
    </row>
    <row r="1117" ht="15.75" customHeight="1">
      <c r="A1117" s="108"/>
      <c r="B1117" s="108"/>
      <c r="C1117" s="108"/>
      <c r="D1117" s="108"/>
      <c r="E1117" s="108"/>
      <c r="F1117" s="30"/>
      <c r="G1117" s="30"/>
      <c r="H1117" s="30"/>
      <c r="I1117" s="30"/>
      <c r="J1117" s="30"/>
      <c r="K1117" s="30"/>
      <c r="L1117" s="30"/>
      <c r="M1117" s="30"/>
      <c r="N1117" s="30"/>
      <c r="O1117" s="30"/>
      <c r="P1117" s="108"/>
      <c r="Q1117" s="30"/>
      <c r="R1117" s="30"/>
    </row>
    <row r="1118" ht="15.75" customHeight="1">
      <c r="A1118" s="108"/>
      <c r="B1118" s="108"/>
      <c r="C1118" s="108"/>
      <c r="D1118" s="108"/>
      <c r="E1118" s="108"/>
      <c r="F1118" s="30"/>
      <c r="G1118" s="30"/>
      <c r="H1118" s="30"/>
      <c r="I1118" s="30"/>
      <c r="J1118" s="30"/>
      <c r="K1118" s="30"/>
      <c r="L1118" s="30"/>
      <c r="M1118" s="30"/>
      <c r="N1118" s="30"/>
      <c r="O1118" s="30"/>
      <c r="P1118" s="108"/>
      <c r="Q1118" s="30"/>
      <c r="R1118" s="30"/>
    </row>
    <row r="1119" ht="15.75" customHeight="1">
      <c r="A1119" s="108"/>
      <c r="B1119" s="108"/>
      <c r="C1119" s="108"/>
      <c r="D1119" s="108"/>
      <c r="E1119" s="108"/>
      <c r="F1119" s="30"/>
      <c r="G1119" s="30"/>
      <c r="H1119" s="30"/>
      <c r="I1119" s="30"/>
      <c r="J1119" s="30"/>
      <c r="K1119" s="30"/>
      <c r="L1119" s="30"/>
      <c r="M1119" s="30"/>
      <c r="N1119" s="30"/>
      <c r="O1119" s="30"/>
      <c r="P1119" s="108"/>
      <c r="Q1119" s="30"/>
      <c r="R1119" s="30"/>
    </row>
    <row r="1120" ht="15.75" customHeight="1">
      <c r="A1120" s="108"/>
      <c r="B1120" s="108"/>
      <c r="C1120" s="108"/>
      <c r="D1120" s="108"/>
      <c r="E1120" s="108"/>
      <c r="F1120" s="30"/>
      <c r="G1120" s="30"/>
      <c r="H1120" s="30"/>
      <c r="I1120" s="30"/>
      <c r="J1120" s="30"/>
      <c r="K1120" s="30"/>
      <c r="L1120" s="30"/>
      <c r="M1120" s="30"/>
      <c r="N1120" s="30"/>
      <c r="O1120" s="30"/>
      <c r="P1120" s="108"/>
      <c r="Q1120" s="30"/>
      <c r="R1120" s="30"/>
    </row>
    <row r="1121" ht="15.75" customHeight="1">
      <c r="A1121" s="108"/>
      <c r="B1121" s="108"/>
      <c r="C1121" s="108"/>
      <c r="D1121" s="108"/>
      <c r="E1121" s="108"/>
      <c r="F1121" s="30"/>
      <c r="G1121" s="30"/>
      <c r="H1121" s="30"/>
      <c r="I1121" s="30"/>
      <c r="J1121" s="30"/>
      <c r="K1121" s="30"/>
      <c r="L1121" s="30"/>
      <c r="M1121" s="30"/>
      <c r="N1121" s="30"/>
      <c r="O1121" s="30"/>
      <c r="P1121" s="108"/>
      <c r="Q1121" s="30"/>
      <c r="R1121" s="30"/>
    </row>
    <row r="1122" ht="15.75" customHeight="1">
      <c r="A1122" s="108"/>
      <c r="B1122" s="108"/>
      <c r="C1122" s="108"/>
      <c r="D1122" s="108"/>
      <c r="E1122" s="108"/>
      <c r="F1122" s="30"/>
      <c r="G1122" s="30"/>
      <c r="H1122" s="30"/>
      <c r="I1122" s="30"/>
      <c r="J1122" s="30"/>
      <c r="K1122" s="30"/>
      <c r="L1122" s="30"/>
      <c r="M1122" s="30"/>
      <c r="N1122" s="30"/>
      <c r="O1122" s="30"/>
      <c r="P1122" s="108"/>
      <c r="Q1122" s="30"/>
      <c r="R1122" s="30"/>
    </row>
    <row r="1123" ht="15.75" customHeight="1">
      <c r="A1123" s="108"/>
      <c r="B1123" s="108"/>
      <c r="C1123" s="108"/>
      <c r="D1123" s="108"/>
      <c r="E1123" s="108"/>
      <c r="F1123" s="30"/>
      <c r="G1123" s="30"/>
      <c r="H1123" s="30"/>
      <c r="I1123" s="30"/>
      <c r="J1123" s="30"/>
      <c r="K1123" s="30"/>
      <c r="L1123" s="30"/>
      <c r="M1123" s="30"/>
      <c r="N1123" s="30"/>
      <c r="O1123" s="30"/>
      <c r="P1123" s="108"/>
      <c r="Q1123" s="30"/>
      <c r="R1123" s="30"/>
    </row>
    <row r="1124" ht="15.75" customHeight="1">
      <c r="A1124" s="108"/>
      <c r="B1124" s="108"/>
      <c r="C1124" s="108"/>
      <c r="D1124" s="108"/>
      <c r="E1124" s="108"/>
      <c r="F1124" s="30"/>
      <c r="G1124" s="30"/>
      <c r="H1124" s="30"/>
      <c r="I1124" s="30"/>
      <c r="J1124" s="30"/>
      <c r="K1124" s="30"/>
      <c r="L1124" s="30"/>
      <c r="M1124" s="30"/>
      <c r="N1124" s="30"/>
      <c r="O1124" s="30"/>
      <c r="P1124" s="108"/>
      <c r="Q1124" s="30"/>
      <c r="R1124" s="30"/>
    </row>
    <row r="1125" ht="15.75" customHeight="1">
      <c r="A1125" s="108"/>
      <c r="B1125" s="108"/>
      <c r="C1125" s="108"/>
      <c r="D1125" s="108"/>
      <c r="E1125" s="108"/>
      <c r="F1125" s="30"/>
      <c r="G1125" s="30"/>
      <c r="H1125" s="30"/>
      <c r="I1125" s="30"/>
      <c r="J1125" s="30"/>
      <c r="K1125" s="30"/>
      <c r="L1125" s="30"/>
      <c r="M1125" s="30"/>
      <c r="N1125" s="30"/>
      <c r="O1125" s="30"/>
      <c r="P1125" s="108"/>
      <c r="Q1125" s="30"/>
      <c r="R1125" s="30"/>
    </row>
    <row r="1126" ht="15.75" customHeight="1">
      <c r="A1126" s="108"/>
      <c r="B1126" s="108"/>
      <c r="C1126" s="108"/>
      <c r="D1126" s="108"/>
      <c r="E1126" s="108"/>
      <c r="F1126" s="30"/>
      <c r="G1126" s="30"/>
      <c r="H1126" s="30"/>
      <c r="I1126" s="30"/>
      <c r="J1126" s="30"/>
      <c r="K1126" s="30"/>
      <c r="L1126" s="30"/>
      <c r="M1126" s="30"/>
      <c r="N1126" s="30"/>
      <c r="O1126" s="30"/>
      <c r="P1126" s="108"/>
      <c r="Q1126" s="30"/>
      <c r="R1126" s="30"/>
    </row>
    <row r="1127" ht="15.75" customHeight="1">
      <c r="A1127" s="108"/>
      <c r="B1127" s="108"/>
      <c r="C1127" s="108"/>
      <c r="D1127" s="108"/>
      <c r="E1127" s="108"/>
      <c r="F1127" s="30"/>
      <c r="G1127" s="30"/>
      <c r="H1127" s="30"/>
      <c r="I1127" s="30"/>
      <c r="J1127" s="30"/>
      <c r="K1127" s="30"/>
      <c r="L1127" s="30"/>
      <c r="M1127" s="30"/>
      <c r="N1127" s="30"/>
      <c r="O1127" s="30"/>
      <c r="P1127" s="108"/>
      <c r="Q1127" s="30"/>
      <c r="R1127" s="30"/>
    </row>
    <row r="1128" ht="15.75" customHeight="1">
      <c r="A1128" s="108"/>
      <c r="B1128" s="108"/>
      <c r="C1128" s="108"/>
      <c r="D1128" s="108"/>
      <c r="E1128" s="108"/>
      <c r="F1128" s="30"/>
      <c r="G1128" s="30"/>
      <c r="H1128" s="30"/>
      <c r="I1128" s="30"/>
      <c r="J1128" s="30"/>
      <c r="K1128" s="30"/>
      <c r="L1128" s="30"/>
      <c r="M1128" s="30"/>
      <c r="N1128" s="30"/>
      <c r="O1128" s="30"/>
      <c r="P1128" s="108"/>
      <c r="Q1128" s="30"/>
      <c r="R1128" s="30"/>
    </row>
    <row r="1129" ht="15.75" customHeight="1">
      <c r="A1129" s="108"/>
      <c r="B1129" s="108"/>
      <c r="C1129" s="108"/>
      <c r="D1129" s="108"/>
      <c r="E1129" s="108"/>
      <c r="F1129" s="30"/>
      <c r="G1129" s="30"/>
      <c r="H1129" s="30"/>
      <c r="I1129" s="30"/>
      <c r="J1129" s="30"/>
      <c r="K1129" s="30"/>
      <c r="L1129" s="30"/>
      <c r="M1129" s="30"/>
      <c r="N1129" s="30"/>
      <c r="O1129" s="30"/>
      <c r="P1129" s="108"/>
      <c r="Q1129" s="30"/>
      <c r="R1129" s="30"/>
    </row>
    <row r="1130" ht="15.75" customHeight="1">
      <c r="A1130" s="108"/>
      <c r="B1130" s="108"/>
      <c r="C1130" s="108"/>
      <c r="D1130" s="108"/>
      <c r="E1130" s="108"/>
      <c r="F1130" s="30"/>
      <c r="G1130" s="30"/>
      <c r="H1130" s="30"/>
      <c r="I1130" s="30"/>
      <c r="J1130" s="30"/>
      <c r="K1130" s="30"/>
      <c r="L1130" s="30"/>
      <c r="M1130" s="30"/>
      <c r="N1130" s="30"/>
      <c r="O1130" s="30"/>
      <c r="P1130" s="108"/>
      <c r="Q1130" s="30"/>
      <c r="R1130" s="30"/>
    </row>
  </sheetData>
  <autoFilter ref="$A$2:$O$243"/>
  <mergeCells count="53">
    <mergeCell ref="A1:S1"/>
    <mergeCell ref="A13:A23"/>
    <mergeCell ref="B13:B21"/>
    <mergeCell ref="A24:A32"/>
    <mergeCell ref="B24:B28"/>
    <mergeCell ref="B31:B32"/>
    <mergeCell ref="A33:A45"/>
    <mergeCell ref="B33:B42"/>
    <mergeCell ref="B43:B45"/>
    <mergeCell ref="A46:A78"/>
    <mergeCell ref="B46:B58"/>
    <mergeCell ref="B59:B63"/>
    <mergeCell ref="B64:B68"/>
    <mergeCell ref="B69:B76"/>
    <mergeCell ref="A79:A81"/>
    <mergeCell ref="A82:A84"/>
    <mergeCell ref="B82:B84"/>
    <mergeCell ref="A85:A89"/>
    <mergeCell ref="B85:B89"/>
    <mergeCell ref="B90:B91"/>
    <mergeCell ref="B93:B101"/>
    <mergeCell ref="B102:B105"/>
    <mergeCell ref="B106:B108"/>
    <mergeCell ref="B110:B118"/>
    <mergeCell ref="B120:B142"/>
    <mergeCell ref="B144:B145"/>
    <mergeCell ref="B146:B147"/>
    <mergeCell ref="B148:B158"/>
    <mergeCell ref="A172:A187"/>
    <mergeCell ref="A188:A218"/>
    <mergeCell ref="A219:A223"/>
    <mergeCell ref="A224:A236"/>
    <mergeCell ref="A237:A243"/>
    <mergeCell ref="A90:A101"/>
    <mergeCell ref="A102:A105"/>
    <mergeCell ref="A106:A108"/>
    <mergeCell ref="A110:A118"/>
    <mergeCell ref="A119:A147"/>
    <mergeCell ref="A148:A162"/>
    <mergeCell ref="A163:A171"/>
    <mergeCell ref="B219:B220"/>
    <mergeCell ref="B221:B223"/>
    <mergeCell ref="B225:B229"/>
    <mergeCell ref="B231:B236"/>
    <mergeCell ref="B237:B239"/>
    <mergeCell ref="B240:B243"/>
    <mergeCell ref="B159:B162"/>
    <mergeCell ref="B163:B171"/>
    <mergeCell ref="B172:B187"/>
    <mergeCell ref="B188:B207"/>
    <mergeCell ref="B208:B210"/>
    <mergeCell ref="B211:B214"/>
    <mergeCell ref="B215:B218"/>
  </mergeCells>
  <conditionalFormatting sqref="G2:G108 G110:G217 F218 G219:G230 G237:G239 F244:F293 F296:F306 F319:F328 G353:G1130">
    <cfRule type="cellIs" dxfId="0" priority="1" operator="equal">
      <formula>"PASSED"</formula>
    </cfRule>
  </conditionalFormatting>
  <conditionalFormatting sqref="G2:G108 G110:G217 F218 G219:G230 G237:G239 F244:F293 F296:F306 F319:F328 G353:G1130">
    <cfRule type="cellIs" dxfId="1" priority="2" operator="equal">
      <formula>"FAILED"</formula>
    </cfRule>
  </conditionalFormatting>
  <conditionalFormatting sqref="G2:G108 G110:G217 F218 G219:G230 G237:G239 F244:F293 F296:F306 F319:F328 G353:G1130">
    <cfRule type="cellIs" dxfId="2" priority="3" operator="equal">
      <formula>"IN_PROGRESS"</formula>
    </cfRule>
  </conditionalFormatting>
  <conditionalFormatting sqref="G2:G108 G110:G217 F218 G219:G230 G237:G239 F244:F293 F296:F306 F319:F328 G353:G1130">
    <cfRule type="cellIs" dxfId="3" priority="4" operator="equal">
      <formula>"BLOCKED"</formula>
    </cfRule>
  </conditionalFormatting>
  <conditionalFormatting sqref="G13:G108 G110:G217 F218 G219:G230 G237:G239 F244:F293 F296:F306 F319:F328">
    <cfRule type="cellIs" dxfId="4" priority="5" operator="equal">
      <formula>"NOT_STARTED"</formula>
    </cfRule>
  </conditionalFormatting>
  <conditionalFormatting sqref="H2:H339 I13:I339 K13:K339 J110:J339 L110:L243 G218:G339 H353:H1130">
    <cfRule type="cellIs" dxfId="0" priority="6" operator="equal">
      <formula>"PASSED"</formula>
    </cfRule>
  </conditionalFormatting>
  <conditionalFormatting sqref="H2:H339 I13:I339 K13:K339 J110:J339 L110:L243 G218:G339 H353:H1130">
    <cfRule type="cellIs" dxfId="1" priority="7" operator="equal">
      <formula>"FAILED"</formula>
    </cfRule>
  </conditionalFormatting>
  <conditionalFormatting sqref="H2:J339 F13:F328 G13:G339 K13:K339 L110:L243 E218:E328 H353:J1130">
    <cfRule type="cellIs" dxfId="2" priority="8" operator="equal">
      <formula>"IN_PROGRESS"</formula>
    </cfRule>
  </conditionalFormatting>
  <conditionalFormatting sqref="H2:J339 F13:F328 G13:G339 K13:K339 L110:L243 E218:E328 H353:J1130">
    <cfRule type="cellIs" dxfId="3" priority="9" operator="equal">
      <formula>"BLOCKED"</formula>
    </cfRule>
  </conditionalFormatting>
  <conditionalFormatting sqref="H2:J339 F13:F328 G13:G339 K13:K339 L110:L243 E218:E328 H353:J1130">
    <cfRule type="cellIs" dxfId="4" priority="10" operator="equal">
      <formula>"NOT_STARTED"</formula>
    </cfRule>
  </conditionalFormatting>
  <conditionalFormatting sqref="F13:H108 J13:J108 F110:G328 H110:H243 J110:J339 K110:K243 E218:E328 I218:I339">
    <cfRule type="cellIs" dxfId="1" priority="11" operator="equal">
      <formula>"FAILED"</formula>
    </cfRule>
  </conditionalFormatting>
  <conditionalFormatting sqref="F13:H108 J13:J108 F110:G328 H110:H243 J110:J339 K110:K243 E218:E328 I218:I339">
    <cfRule type="cellIs" dxfId="0" priority="12" operator="equal">
      <formula>"PASSED"</formula>
    </cfRule>
  </conditionalFormatting>
  <dataValidations>
    <dataValidation type="list" allowBlank="1" showErrorMessage="1" sqref="G13:G108 G110:G243">
      <formula1>"Critical,Major,Minor,Other"</formula1>
    </dataValidation>
    <dataValidation type="list" allowBlank="1" showErrorMessage="1" sqref="J13:J108 J110:J243">
      <formula1>"YES,NO"</formula1>
    </dataValidation>
    <dataValidation type="list" allowBlank="1" showErrorMessage="1" sqref="F13:F108 F110:F243">
      <formula1>"P1,P2,P3,Other"</formula1>
    </dataValidation>
    <dataValidation type="list" allowBlank="1" showInputMessage="1" prompt="Nhấp và nhập một giá trị từ danh sách các mục" sqref="I13:I108 K13:K108 I110:I243 K110:K243">
      <formula1>"NOT_STARTED,PASSED,FAILED,IN_PROGRESS,BLOCKED"</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61.14"/>
    <col customWidth="1" min="2" max="2" width="53.0"/>
    <col customWidth="1" min="3" max="3" width="55.0"/>
    <col customWidth="1" min="4" max="5" width="12.0"/>
    <col customWidth="1" min="6" max="6" width="32.43"/>
    <col customWidth="1" min="7" max="7" width="36.14"/>
    <col customWidth="1" min="8" max="8" width="35.71"/>
  </cols>
  <sheetData>
    <row r="1" ht="24.0" customHeight="1">
      <c r="A1" s="109" t="s">
        <v>1336</v>
      </c>
      <c r="B1" s="110"/>
      <c r="C1" s="110"/>
      <c r="D1" s="110"/>
      <c r="E1" s="110"/>
      <c r="F1" s="110"/>
      <c r="G1" s="110"/>
      <c r="H1" s="110"/>
      <c r="I1" s="69"/>
      <c r="J1" s="69"/>
      <c r="K1" s="69"/>
      <c r="L1" s="69"/>
      <c r="M1" s="69"/>
      <c r="N1" s="69"/>
      <c r="O1" s="69"/>
      <c r="P1" s="69"/>
      <c r="Q1" s="69"/>
      <c r="R1" s="69"/>
      <c r="S1" s="69"/>
      <c r="T1" s="69"/>
      <c r="U1" s="69"/>
      <c r="V1" s="69"/>
      <c r="W1" s="69"/>
      <c r="X1" s="69"/>
      <c r="Y1" s="69"/>
      <c r="Z1" s="69"/>
    </row>
    <row r="2" ht="18.0" customHeight="1">
      <c r="A2" s="111" t="s">
        <v>36</v>
      </c>
      <c r="B2" s="112" t="s">
        <v>37</v>
      </c>
      <c r="C2" s="112" t="s">
        <v>38</v>
      </c>
      <c r="D2" s="113"/>
      <c r="E2" s="113"/>
      <c r="F2" s="69"/>
      <c r="G2" s="69"/>
      <c r="H2" s="69"/>
      <c r="I2" s="69"/>
      <c r="J2" s="69"/>
      <c r="K2" s="69"/>
      <c r="L2" s="69"/>
      <c r="M2" s="69"/>
      <c r="N2" s="69"/>
      <c r="O2" s="69"/>
      <c r="P2" s="69"/>
      <c r="Q2" s="69"/>
      <c r="R2" s="69"/>
      <c r="S2" s="69"/>
      <c r="T2" s="69"/>
      <c r="U2" s="69"/>
      <c r="V2" s="69"/>
      <c r="W2" s="69"/>
      <c r="X2" s="69"/>
      <c r="Y2" s="69"/>
      <c r="Z2" s="69"/>
    </row>
    <row r="3">
      <c r="A3" s="114" t="s">
        <v>4</v>
      </c>
      <c r="B3" s="114" t="s">
        <v>40</v>
      </c>
      <c r="C3" s="115">
        <f>SUM(C4:C8)</f>
        <v>119</v>
      </c>
      <c r="D3" s="113"/>
      <c r="E3" s="113"/>
      <c r="F3" s="69"/>
      <c r="G3" s="69"/>
      <c r="H3" s="69"/>
      <c r="I3" s="69"/>
      <c r="J3" s="69"/>
      <c r="K3" s="69"/>
      <c r="L3" s="69"/>
      <c r="M3" s="69"/>
      <c r="N3" s="69"/>
      <c r="O3" s="69"/>
      <c r="P3" s="69"/>
      <c r="Q3" s="69"/>
      <c r="R3" s="69"/>
      <c r="S3" s="69"/>
      <c r="T3" s="69"/>
      <c r="U3" s="69"/>
      <c r="V3" s="69"/>
      <c r="W3" s="69"/>
      <c r="X3" s="69"/>
      <c r="Y3" s="69"/>
      <c r="Z3" s="69"/>
    </row>
    <row r="4" ht="18.0" customHeight="1">
      <c r="A4" s="116" t="s">
        <v>6</v>
      </c>
      <c r="B4" s="116" t="s">
        <v>41</v>
      </c>
      <c r="C4" s="117">
        <f>COUNTIF('Regression Suite'!G13:G999,"PASSED")</f>
        <v>0</v>
      </c>
      <c r="D4" s="113"/>
      <c r="E4" s="113"/>
      <c r="F4" s="69"/>
      <c r="G4" s="69"/>
      <c r="H4" s="69"/>
      <c r="I4" s="69"/>
      <c r="J4" s="69"/>
      <c r="K4" s="69"/>
      <c r="L4" s="69"/>
      <c r="M4" s="69"/>
      <c r="N4" s="69"/>
      <c r="O4" s="69"/>
      <c r="P4" s="69"/>
      <c r="Q4" s="69"/>
      <c r="R4" s="69"/>
      <c r="S4" s="69"/>
      <c r="T4" s="69"/>
      <c r="U4" s="69"/>
      <c r="V4" s="69"/>
      <c r="W4" s="69"/>
      <c r="X4" s="69"/>
      <c r="Y4" s="69"/>
      <c r="Z4" s="69"/>
    </row>
    <row r="5" ht="18.0" customHeight="1">
      <c r="A5" s="118" t="s">
        <v>7</v>
      </c>
      <c r="B5" s="118" t="s">
        <v>42</v>
      </c>
      <c r="C5" s="119">
        <f>COUNTIF('Regression Suite'!G13:G999,"FAILED")</f>
        <v>0</v>
      </c>
      <c r="D5" s="113"/>
      <c r="E5" s="113"/>
      <c r="F5" s="69"/>
      <c r="G5" s="69"/>
      <c r="H5" s="69"/>
      <c r="I5" s="69"/>
      <c r="J5" s="69"/>
      <c r="K5" s="69"/>
      <c r="L5" s="69"/>
      <c r="M5" s="69"/>
      <c r="N5" s="69"/>
      <c r="O5" s="69"/>
      <c r="P5" s="69"/>
      <c r="Q5" s="69"/>
      <c r="R5" s="69"/>
      <c r="S5" s="69"/>
      <c r="T5" s="69"/>
      <c r="U5" s="69"/>
      <c r="V5" s="69"/>
      <c r="W5" s="69"/>
      <c r="X5" s="69"/>
      <c r="Y5" s="69"/>
      <c r="Z5" s="69"/>
    </row>
    <row r="6" ht="18.0" customHeight="1">
      <c r="A6" s="120" t="s">
        <v>43</v>
      </c>
      <c r="B6" s="120" t="s">
        <v>1337</v>
      </c>
      <c r="C6" s="121">
        <f>COUNTIF('Regression Suite'!G13:G999,"NOT_STARTED")</f>
        <v>118</v>
      </c>
      <c r="D6" s="113"/>
      <c r="E6" s="113"/>
      <c r="F6" s="69"/>
      <c r="G6" s="69"/>
      <c r="H6" s="69"/>
      <c r="I6" s="69"/>
      <c r="J6" s="69"/>
      <c r="K6" s="69"/>
      <c r="L6" s="69"/>
      <c r="M6" s="69"/>
      <c r="N6" s="69"/>
      <c r="O6" s="69"/>
      <c r="P6" s="69"/>
      <c r="Q6" s="69"/>
      <c r="R6" s="69"/>
      <c r="S6" s="69"/>
      <c r="T6" s="69"/>
      <c r="U6" s="69"/>
      <c r="V6" s="69"/>
      <c r="W6" s="69"/>
      <c r="X6" s="69"/>
      <c r="Y6" s="69"/>
      <c r="Z6" s="69"/>
    </row>
    <row r="7" ht="18.0" customHeight="1">
      <c r="A7" s="122" t="s">
        <v>45</v>
      </c>
      <c r="B7" s="122" t="s">
        <v>1338</v>
      </c>
      <c r="C7" s="123">
        <f>COUNTIF('Regression Suite'!G13:G999,"IN_PROGRESS")</f>
        <v>0</v>
      </c>
      <c r="D7" s="113"/>
      <c r="E7" s="113"/>
      <c r="F7" s="69"/>
      <c r="G7" s="69"/>
      <c r="H7" s="69"/>
      <c r="I7" s="69"/>
      <c r="J7" s="69"/>
      <c r="K7" s="69"/>
      <c r="L7" s="69"/>
      <c r="M7" s="69"/>
      <c r="N7" s="69"/>
      <c r="O7" s="69"/>
      <c r="P7" s="69"/>
      <c r="Q7" s="69"/>
      <c r="R7" s="69"/>
      <c r="S7" s="69"/>
      <c r="T7" s="69"/>
      <c r="U7" s="69"/>
      <c r="V7" s="69"/>
      <c r="W7" s="69"/>
      <c r="X7" s="69"/>
      <c r="Y7" s="69"/>
      <c r="Z7" s="69"/>
    </row>
    <row r="8" ht="18.0" customHeight="1">
      <c r="A8" s="124" t="s">
        <v>10</v>
      </c>
      <c r="B8" s="124" t="s">
        <v>47</v>
      </c>
      <c r="C8" s="125">
        <f>COUNTIF('Regression Suite'!G13:G999,"BLOCKED")</f>
        <v>1</v>
      </c>
      <c r="D8" s="113"/>
      <c r="E8" s="113"/>
      <c r="F8" s="69"/>
      <c r="G8" s="69"/>
      <c r="H8" s="69"/>
      <c r="I8" s="69"/>
      <c r="J8" s="69"/>
      <c r="K8" s="69"/>
      <c r="L8" s="69"/>
      <c r="M8" s="69"/>
      <c r="N8" s="69"/>
      <c r="O8" s="69"/>
      <c r="P8" s="69"/>
      <c r="Q8" s="69"/>
      <c r="R8" s="69"/>
      <c r="S8" s="69"/>
      <c r="T8" s="69"/>
      <c r="U8" s="69"/>
      <c r="V8" s="69"/>
      <c r="W8" s="69"/>
      <c r="X8" s="69"/>
      <c r="Y8" s="69"/>
      <c r="Z8" s="69"/>
    </row>
    <row r="9" ht="18.0" customHeight="1">
      <c r="A9" s="126"/>
      <c r="B9" s="127"/>
      <c r="C9" s="127"/>
      <c r="D9" s="127"/>
      <c r="E9" s="127"/>
      <c r="F9" s="113"/>
      <c r="G9" s="113"/>
      <c r="H9" s="113"/>
      <c r="I9" s="128"/>
      <c r="J9" s="129"/>
      <c r="K9" s="129"/>
      <c r="L9" s="129"/>
      <c r="M9" s="129"/>
      <c r="N9" s="129"/>
      <c r="O9" s="129"/>
      <c r="P9" s="129"/>
      <c r="Q9" s="129"/>
      <c r="R9" s="129"/>
      <c r="S9" s="129"/>
      <c r="T9" s="129"/>
      <c r="U9" s="129"/>
      <c r="V9" s="129"/>
      <c r="W9" s="129"/>
      <c r="X9" s="129"/>
      <c r="Y9" s="129"/>
      <c r="Z9" s="129"/>
    </row>
    <row r="10" ht="18.0" customHeight="1">
      <c r="A10" s="130"/>
      <c r="B10" s="69"/>
      <c r="C10" s="69"/>
      <c r="D10" s="69"/>
      <c r="E10" s="69"/>
      <c r="F10" s="69"/>
      <c r="G10" s="69"/>
      <c r="H10" s="69"/>
      <c r="I10" s="131"/>
      <c r="J10" s="132"/>
      <c r="K10" s="132"/>
      <c r="L10" s="132"/>
      <c r="M10" s="132"/>
      <c r="N10" s="132"/>
      <c r="O10" s="132"/>
      <c r="P10" s="132"/>
      <c r="Q10" s="132"/>
      <c r="R10" s="132"/>
      <c r="S10" s="132"/>
      <c r="T10" s="132"/>
      <c r="U10" s="132"/>
      <c r="V10" s="132"/>
      <c r="W10" s="132"/>
      <c r="X10" s="132"/>
      <c r="Y10" s="132"/>
      <c r="Z10" s="132"/>
    </row>
    <row r="11" ht="17.25" customHeight="1">
      <c r="A11" s="133" t="s">
        <v>1339</v>
      </c>
      <c r="B11" s="69"/>
      <c r="C11" s="69"/>
      <c r="D11" s="69"/>
      <c r="E11" s="69"/>
      <c r="F11" s="69"/>
      <c r="G11" s="69"/>
      <c r="H11" s="69"/>
      <c r="I11" s="131"/>
      <c r="J11" s="132"/>
      <c r="K11" s="132"/>
      <c r="L11" s="132"/>
      <c r="M11" s="132"/>
      <c r="N11" s="132"/>
      <c r="O11" s="132"/>
      <c r="P11" s="132"/>
      <c r="Q11" s="132"/>
      <c r="R11" s="132"/>
      <c r="S11" s="132"/>
      <c r="T11" s="132"/>
      <c r="U11" s="132"/>
      <c r="V11" s="132"/>
      <c r="W11" s="132"/>
      <c r="X11" s="132"/>
      <c r="Y11" s="132"/>
      <c r="Z11" s="132"/>
    </row>
    <row r="12" ht="17.25" customHeight="1">
      <c r="A12" s="134" t="s">
        <v>1340</v>
      </c>
      <c r="B12" s="69"/>
      <c r="C12" s="69"/>
      <c r="D12" s="69"/>
      <c r="E12" s="69"/>
      <c r="F12" s="69"/>
      <c r="G12" s="69"/>
      <c r="H12" s="69"/>
      <c r="I12" s="131"/>
      <c r="J12" s="132"/>
      <c r="K12" s="132"/>
      <c r="L12" s="132"/>
      <c r="M12" s="132"/>
      <c r="N12" s="132"/>
      <c r="O12" s="132"/>
      <c r="P12" s="132"/>
      <c r="Q12" s="132"/>
      <c r="R12" s="132"/>
      <c r="S12" s="132"/>
      <c r="T12" s="132"/>
      <c r="U12" s="132"/>
      <c r="V12" s="132"/>
      <c r="W12" s="132"/>
      <c r="X12" s="132"/>
      <c r="Y12" s="132"/>
      <c r="Z12" s="132"/>
    </row>
    <row r="13" ht="17.25" customHeight="1">
      <c r="A13" s="135" t="s">
        <v>1341</v>
      </c>
      <c r="B13" s="136" t="s">
        <v>1342</v>
      </c>
      <c r="C13" s="137" t="s">
        <v>1343</v>
      </c>
      <c r="D13" s="136" t="s">
        <v>1344</v>
      </c>
      <c r="E13" s="138" t="s">
        <v>30</v>
      </c>
      <c r="F13" s="136" t="s">
        <v>61</v>
      </c>
      <c r="G13" s="136" t="s">
        <v>57</v>
      </c>
      <c r="H13" s="139" t="s">
        <v>1345</v>
      </c>
      <c r="I13" s="131"/>
      <c r="J13" s="132"/>
      <c r="K13" s="132"/>
      <c r="L13" s="132"/>
      <c r="M13" s="132"/>
      <c r="N13" s="132"/>
      <c r="O13" s="132"/>
      <c r="P13" s="132"/>
      <c r="Q13" s="132"/>
      <c r="R13" s="132"/>
      <c r="S13" s="132"/>
      <c r="T13" s="132"/>
      <c r="U13" s="132"/>
      <c r="V13" s="132"/>
      <c r="W13" s="132"/>
      <c r="X13" s="132"/>
      <c r="Y13" s="132"/>
      <c r="Z13" s="132"/>
    </row>
    <row r="14" ht="18.0" customHeight="1">
      <c r="A14" s="140" t="s">
        <v>1346</v>
      </c>
      <c r="B14" s="69"/>
      <c r="C14" s="69"/>
      <c r="D14" s="69"/>
      <c r="E14" s="69"/>
      <c r="F14" s="69"/>
      <c r="G14" s="69"/>
      <c r="H14" s="69"/>
      <c r="I14" s="131"/>
      <c r="J14" s="132"/>
      <c r="K14" s="132"/>
      <c r="L14" s="132"/>
      <c r="M14" s="132"/>
      <c r="N14" s="132"/>
      <c r="O14" s="132"/>
      <c r="P14" s="132"/>
      <c r="Q14" s="132"/>
      <c r="R14" s="132"/>
      <c r="S14" s="132"/>
      <c r="T14" s="132"/>
      <c r="U14" s="132"/>
      <c r="V14" s="132"/>
      <c r="W14" s="132"/>
      <c r="X14" s="132"/>
      <c r="Y14" s="132"/>
      <c r="Z14" s="132"/>
    </row>
    <row r="15" ht="18.0" customHeight="1">
      <c r="A15" s="141" t="s">
        <v>427</v>
      </c>
      <c r="B15" s="142" t="s">
        <v>15</v>
      </c>
      <c r="C15" s="143" t="s">
        <v>428</v>
      </c>
      <c r="D15" s="144" t="s">
        <v>24</v>
      </c>
      <c r="E15" s="138" t="s">
        <v>31</v>
      </c>
      <c r="F15" s="142" t="s">
        <v>16</v>
      </c>
      <c r="G15" s="65" t="s">
        <v>43</v>
      </c>
      <c r="H15" s="145" t="s">
        <v>1347</v>
      </c>
      <c r="I15" s="131"/>
      <c r="J15" s="132"/>
      <c r="K15" s="132"/>
      <c r="L15" s="132"/>
      <c r="M15" s="132"/>
      <c r="N15" s="132"/>
      <c r="O15" s="132"/>
      <c r="P15" s="132"/>
      <c r="Q15" s="132"/>
      <c r="R15" s="132"/>
      <c r="S15" s="132"/>
      <c r="T15" s="132"/>
      <c r="U15" s="132"/>
      <c r="V15" s="132"/>
      <c r="W15" s="132"/>
      <c r="X15" s="132"/>
      <c r="Y15" s="132"/>
      <c r="Z15" s="132"/>
    </row>
    <row r="16" ht="18.0" customHeight="1">
      <c r="A16" s="146" t="s">
        <v>138</v>
      </c>
      <c r="B16" s="147" t="s">
        <v>15</v>
      </c>
      <c r="C16" s="148" t="s">
        <v>139</v>
      </c>
      <c r="D16" s="149" t="s">
        <v>24</v>
      </c>
      <c r="E16" s="138" t="s">
        <v>31</v>
      </c>
      <c r="F16" s="147" t="s">
        <v>16</v>
      </c>
      <c r="G16" s="65" t="s">
        <v>43</v>
      </c>
      <c r="H16" s="145" t="s">
        <v>1348</v>
      </c>
      <c r="I16" s="131"/>
      <c r="J16" s="132"/>
      <c r="K16" s="132"/>
      <c r="L16" s="132"/>
      <c r="M16" s="132"/>
      <c r="N16" s="132"/>
      <c r="O16" s="132"/>
      <c r="P16" s="132"/>
      <c r="Q16" s="132"/>
      <c r="R16" s="132"/>
      <c r="S16" s="132"/>
      <c r="T16" s="132"/>
      <c r="U16" s="132"/>
      <c r="V16" s="132"/>
      <c r="W16" s="132"/>
      <c r="X16" s="132"/>
      <c r="Y16" s="132"/>
      <c r="Z16" s="132"/>
    </row>
    <row r="17" ht="18.0" customHeight="1">
      <c r="A17" s="141" t="s">
        <v>144</v>
      </c>
      <c r="B17" s="142" t="s">
        <v>15</v>
      </c>
      <c r="C17" s="143" t="s">
        <v>145</v>
      </c>
      <c r="D17" s="144" t="s">
        <v>24</v>
      </c>
      <c r="E17" s="138" t="s">
        <v>31</v>
      </c>
      <c r="F17" s="142" t="s">
        <v>16</v>
      </c>
      <c r="G17" s="65" t="s">
        <v>43</v>
      </c>
      <c r="H17" s="145" t="s">
        <v>1349</v>
      </c>
      <c r="I17" s="131"/>
      <c r="J17" s="132"/>
      <c r="K17" s="132"/>
      <c r="L17" s="132"/>
      <c r="M17" s="132"/>
      <c r="N17" s="132"/>
      <c r="O17" s="132"/>
      <c r="P17" s="132"/>
      <c r="Q17" s="132"/>
      <c r="R17" s="132"/>
      <c r="S17" s="132"/>
      <c r="T17" s="132"/>
      <c r="U17" s="132"/>
      <c r="V17" s="132"/>
      <c r="W17" s="132"/>
      <c r="X17" s="132"/>
      <c r="Y17" s="132"/>
      <c r="Z17" s="132"/>
    </row>
    <row r="18" ht="18.0" customHeight="1">
      <c r="A18" s="146" t="s">
        <v>151</v>
      </c>
      <c r="B18" s="147" t="s">
        <v>15</v>
      </c>
      <c r="C18" s="148" t="s">
        <v>152</v>
      </c>
      <c r="D18" s="149" t="s">
        <v>24</v>
      </c>
      <c r="E18" s="138" t="s">
        <v>31</v>
      </c>
      <c r="F18" s="147" t="s">
        <v>16</v>
      </c>
      <c r="G18" s="65" t="s">
        <v>43</v>
      </c>
      <c r="H18" s="145" t="s">
        <v>1350</v>
      </c>
      <c r="I18" s="131"/>
      <c r="J18" s="132"/>
      <c r="K18" s="132"/>
      <c r="L18" s="132"/>
      <c r="M18" s="132"/>
      <c r="N18" s="132"/>
      <c r="O18" s="132"/>
      <c r="P18" s="132"/>
      <c r="Q18" s="132"/>
      <c r="R18" s="132"/>
      <c r="S18" s="132"/>
      <c r="T18" s="132"/>
      <c r="U18" s="132"/>
      <c r="V18" s="132"/>
      <c r="W18" s="132"/>
      <c r="X18" s="132"/>
      <c r="Y18" s="132"/>
      <c r="Z18" s="132"/>
    </row>
    <row r="19" ht="18.0" customHeight="1">
      <c r="A19" s="141" t="s">
        <v>156</v>
      </c>
      <c r="B19" s="142" t="s">
        <v>15</v>
      </c>
      <c r="C19" s="143" t="s">
        <v>157</v>
      </c>
      <c r="D19" s="144" t="s">
        <v>24</v>
      </c>
      <c r="E19" s="138" t="s">
        <v>31</v>
      </c>
      <c r="F19" s="142" t="s">
        <v>16</v>
      </c>
      <c r="G19" s="65" t="s">
        <v>43</v>
      </c>
      <c r="H19" s="145" t="s">
        <v>1351</v>
      </c>
      <c r="I19" s="131"/>
      <c r="J19" s="132"/>
      <c r="K19" s="132"/>
      <c r="L19" s="132"/>
      <c r="M19" s="132"/>
      <c r="N19" s="132"/>
      <c r="O19" s="132"/>
      <c r="P19" s="132"/>
      <c r="Q19" s="132"/>
      <c r="R19" s="132"/>
      <c r="S19" s="132"/>
      <c r="T19" s="132"/>
      <c r="U19" s="132"/>
      <c r="V19" s="132"/>
      <c r="W19" s="132"/>
      <c r="X19" s="132"/>
      <c r="Y19" s="132"/>
      <c r="Z19" s="132"/>
    </row>
    <row r="20" ht="18.0" customHeight="1">
      <c r="A20" s="146" t="s">
        <v>160</v>
      </c>
      <c r="B20" s="147" t="s">
        <v>15</v>
      </c>
      <c r="C20" s="148" t="s">
        <v>161</v>
      </c>
      <c r="D20" s="149" t="s">
        <v>24</v>
      </c>
      <c r="E20" s="138" t="s">
        <v>31</v>
      </c>
      <c r="F20" s="147" t="s">
        <v>16</v>
      </c>
      <c r="G20" s="65" t="s">
        <v>43</v>
      </c>
      <c r="H20" s="145"/>
      <c r="I20" s="131"/>
      <c r="J20" s="132"/>
      <c r="K20" s="132"/>
      <c r="L20" s="132"/>
      <c r="M20" s="132"/>
      <c r="N20" s="132"/>
      <c r="O20" s="132"/>
      <c r="P20" s="132"/>
      <c r="Q20" s="132"/>
      <c r="R20" s="132"/>
      <c r="S20" s="132"/>
      <c r="T20" s="132"/>
      <c r="U20" s="132"/>
      <c r="V20" s="132"/>
      <c r="W20" s="132"/>
      <c r="X20" s="132"/>
      <c r="Y20" s="132"/>
      <c r="Z20" s="132"/>
    </row>
    <row r="21" ht="18.0" customHeight="1">
      <c r="A21" s="141" t="s">
        <v>165</v>
      </c>
      <c r="B21" s="142" t="s">
        <v>15</v>
      </c>
      <c r="C21" s="143" t="s">
        <v>166</v>
      </c>
      <c r="D21" s="144" t="s">
        <v>24</v>
      </c>
      <c r="E21" s="138" t="s">
        <v>31</v>
      </c>
      <c r="F21" s="142" t="s">
        <v>16</v>
      </c>
      <c r="G21" s="65" t="s">
        <v>43</v>
      </c>
      <c r="H21" s="145"/>
      <c r="I21" s="131"/>
      <c r="J21" s="132"/>
      <c r="K21" s="132"/>
      <c r="L21" s="132"/>
      <c r="M21" s="132"/>
      <c r="N21" s="132"/>
      <c r="O21" s="132"/>
      <c r="P21" s="132"/>
      <c r="Q21" s="132"/>
      <c r="R21" s="132"/>
      <c r="S21" s="132"/>
      <c r="T21" s="132"/>
      <c r="U21" s="132"/>
      <c r="V21" s="132"/>
      <c r="W21" s="132"/>
      <c r="X21" s="132"/>
      <c r="Y21" s="132"/>
      <c r="Z21" s="132"/>
    </row>
    <row r="22" ht="18.0" customHeight="1">
      <c r="A22" s="146" t="s">
        <v>259</v>
      </c>
      <c r="B22" s="147" t="s">
        <v>15</v>
      </c>
      <c r="C22" s="148" t="s">
        <v>260</v>
      </c>
      <c r="D22" s="149" t="s">
        <v>24</v>
      </c>
      <c r="E22" s="138" t="s">
        <v>31</v>
      </c>
      <c r="F22" s="147" t="s">
        <v>16</v>
      </c>
      <c r="G22" s="65" t="s">
        <v>43</v>
      </c>
      <c r="H22" s="145" t="s">
        <v>1352</v>
      </c>
      <c r="I22" s="131"/>
      <c r="J22" s="132"/>
      <c r="K22" s="132"/>
      <c r="L22" s="132"/>
      <c r="M22" s="132"/>
      <c r="N22" s="132"/>
      <c r="O22" s="132"/>
      <c r="P22" s="132"/>
      <c r="Q22" s="132"/>
      <c r="R22" s="132"/>
      <c r="S22" s="132"/>
      <c r="T22" s="132"/>
      <c r="U22" s="132"/>
      <c r="V22" s="132"/>
      <c r="W22" s="132"/>
      <c r="X22" s="132"/>
      <c r="Y22" s="132"/>
      <c r="Z22" s="132"/>
    </row>
    <row r="23" ht="18.0" customHeight="1">
      <c r="A23" s="141" t="s">
        <v>264</v>
      </c>
      <c r="B23" s="142" t="s">
        <v>15</v>
      </c>
      <c r="C23" s="143" t="s">
        <v>265</v>
      </c>
      <c r="D23" s="144" t="s">
        <v>24</v>
      </c>
      <c r="E23" s="138" t="s">
        <v>31</v>
      </c>
      <c r="F23" s="142" t="s">
        <v>16</v>
      </c>
      <c r="G23" s="65" t="s">
        <v>43</v>
      </c>
      <c r="H23" s="145" t="s">
        <v>1353</v>
      </c>
      <c r="I23" s="131"/>
      <c r="J23" s="132"/>
      <c r="K23" s="132"/>
      <c r="L23" s="132"/>
      <c r="M23" s="132"/>
      <c r="N23" s="132"/>
      <c r="O23" s="132"/>
      <c r="P23" s="132"/>
      <c r="Q23" s="132"/>
      <c r="R23" s="132"/>
      <c r="S23" s="132"/>
      <c r="T23" s="132"/>
      <c r="U23" s="132"/>
      <c r="V23" s="132"/>
      <c r="W23" s="132"/>
      <c r="X23" s="132"/>
      <c r="Y23" s="132"/>
      <c r="Z23" s="132"/>
    </row>
    <row r="24" ht="18.0" customHeight="1">
      <c r="A24" s="146" t="s">
        <v>268</v>
      </c>
      <c r="B24" s="147" t="s">
        <v>15</v>
      </c>
      <c r="C24" s="148" t="s">
        <v>269</v>
      </c>
      <c r="D24" s="149" t="s">
        <v>24</v>
      </c>
      <c r="E24" s="138" t="s">
        <v>31</v>
      </c>
      <c r="F24" s="147" t="s">
        <v>16</v>
      </c>
      <c r="G24" s="65" t="s">
        <v>43</v>
      </c>
      <c r="H24" s="145" t="s">
        <v>1354</v>
      </c>
      <c r="I24" s="131"/>
      <c r="J24" s="132"/>
      <c r="K24" s="132"/>
      <c r="L24" s="132"/>
      <c r="M24" s="132"/>
      <c r="N24" s="132"/>
      <c r="O24" s="132"/>
      <c r="P24" s="132"/>
      <c r="Q24" s="132"/>
      <c r="R24" s="132"/>
      <c r="S24" s="132"/>
      <c r="T24" s="132"/>
      <c r="U24" s="132"/>
      <c r="V24" s="132"/>
      <c r="W24" s="132"/>
      <c r="X24" s="132"/>
      <c r="Y24" s="132"/>
      <c r="Z24" s="132"/>
    </row>
    <row r="25" ht="18.0" customHeight="1">
      <c r="A25" s="141" t="s">
        <v>272</v>
      </c>
      <c r="B25" s="142" t="s">
        <v>15</v>
      </c>
      <c r="C25" s="143" t="s">
        <v>273</v>
      </c>
      <c r="D25" s="144" t="s">
        <v>24</v>
      </c>
      <c r="E25" s="138" t="s">
        <v>31</v>
      </c>
      <c r="F25" s="142" t="s">
        <v>16</v>
      </c>
      <c r="G25" s="65" t="s">
        <v>43</v>
      </c>
      <c r="H25" s="145" t="s">
        <v>1355</v>
      </c>
      <c r="I25" s="131"/>
      <c r="J25" s="132"/>
      <c r="K25" s="132"/>
      <c r="L25" s="132"/>
      <c r="M25" s="132"/>
      <c r="N25" s="132"/>
      <c r="O25" s="132"/>
      <c r="P25" s="132"/>
      <c r="Q25" s="132"/>
      <c r="R25" s="132"/>
      <c r="S25" s="132"/>
      <c r="T25" s="132"/>
      <c r="U25" s="132"/>
      <c r="V25" s="132"/>
      <c r="W25" s="132"/>
      <c r="X25" s="132"/>
      <c r="Y25" s="132"/>
      <c r="Z25" s="132"/>
    </row>
    <row r="26" ht="18.0" customHeight="1">
      <c r="A26" s="146" t="s">
        <v>277</v>
      </c>
      <c r="B26" s="147" t="s">
        <v>15</v>
      </c>
      <c r="C26" s="148" t="s">
        <v>278</v>
      </c>
      <c r="D26" s="149" t="s">
        <v>24</v>
      </c>
      <c r="E26" s="138" t="s">
        <v>31</v>
      </c>
      <c r="F26" s="147" t="s">
        <v>16</v>
      </c>
      <c r="G26" s="65" t="s">
        <v>43</v>
      </c>
      <c r="H26" s="145" t="s">
        <v>1356</v>
      </c>
      <c r="I26" s="131"/>
      <c r="J26" s="132"/>
      <c r="K26" s="132"/>
      <c r="L26" s="132"/>
      <c r="M26" s="132"/>
      <c r="N26" s="132"/>
      <c r="O26" s="132"/>
      <c r="P26" s="132"/>
      <c r="Q26" s="132"/>
      <c r="R26" s="132"/>
      <c r="S26" s="132"/>
      <c r="T26" s="132"/>
      <c r="U26" s="132"/>
      <c r="V26" s="132"/>
      <c r="W26" s="132"/>
      <c r="X26" s="132"/>
      <c r="Y26" s="132"/>
      <c r="Z26" s="132"/>
    </row>
    <row r="27" ht="18.0" customHeight="1">
      <c r="A27" s="141" t="s">
        <v>282</v>
      </c>
      <c r="B27" s="142" t="s">
        <v>15</v>
      </c>
      <c r="C27" s="143" t="s">
        <v>283</v>
      </c>
      <c r="D27" s="144" t="s">
        <v>24</v>
      </c>
      <c r="E27" s="138" t="s">
        <v>31</v>
      </c>
      <c r="F27" s="142" t="s">
        <v>16</v>
      </c>
      <c r="G27" s="65" t="s">
        <v>43</v>
      </c>
      <c r="H27" s="145" t="s">
        <v>1357</v>
      </c>
      <c r="I27" s="131"/>
      <c r="J27" s="132"/>
      <c r="K27" s="132"/>
      <c r="L27" s="132"/>
      <c r="M27" s="132"/>
      <c r="N27" s="132"/>
      <c r="O27" s="132"/>
      <c r="P27" s="132"/>
      <c r="Q27" s="132"/>
      <c r="R27" s="132"/>
      <c r="S27" s="132"/>
      <c r="T27" s="132"/>
      <c r="U27" s="132"/>
      <c r="V27" s="132"/>
      <c r="W27" s="132"/>
      <c r="X27" s="132"/>
      <c r="Y27" s="132"/>
      <c r="Z27" s="132"/>
    </row>
    <row r="28" ht="18.0" customHeight="1">
      <c r="A28" s="146" t="s">
        <v>286</v>
      </c>
      <c r="B28" s="147" t="s">
        <v>15</v>
      </c>
      <c r="C28" s="148" t="s">
        <v>287</v>
      </c>
      <c r="D28" s="149" t="s">
        <v>24</v>
      </c>
      <c r="E28" s="138" t="s">
        <v>31</v>
      </c>
      <c r="F28" s="147" t="s">
        <v>16</v>
      </c>
      <c r="G28" s="65" t="s">
        <v>43</v>
      </c>
      <c r="H28" s="145" t="s">
        <v>1358</v>
      </c>
      <c r="I28" s="131"/>
      <c r="J28" s="132"/>
      <c r="K28" s="132"/>
      <c r="L28" s="132"/>
      <c r="M28" s="132"/>
      <c r="N28" s="132"/>
      <c r="O28" s="132"/>
      <c r="P28" s="132"/>
      <c r="Q28" s="132"/>
      <c r="R28" s="132"/>
      <c r="S28" s="132"/>
      <c r="T28" s="132"/>
      <c r="U28" s="132"/>
      <c r="V28" s="132"/>
      <c r="W28" s="132"/>
      <c r="X28" s="132"/>
      <c r="Y28" s="132"/>
      <c r="Z28" s="132"/>
    </row>
    <row r="29" ht="18.0" customHeight="1">
      <c r="A29" s="141" t="s">
        <v>290</v>
      </c>
      <c r="B29" s="142" t="s">
        <v>15</v>
      </c>
      <c r="C29" s="143" t="s">
        <v>291</v>
      </c>
      <c r="D29" s="144" t="s">
        <v>24</v>
      </c>
      <c r="E29" s="138" t="s">
        <v>31</v>
      </c>
      <c r="F29" s="142" t="s">
        <v>16</v>
      </c>
      <c r="G29" s="65" t="s">
        <v>43</v>
      </c>
      <c r="H29" s="145" t="s">
        <v>1359</v>
      </c>
      <c r="I29" s="131"/>
      <c r="J29" s="132"/>
      <c r="K29" s="132"/>
      <c r="L29" s="132"/>
      <c r="M29" s="132"/>
      <c r="N29" s="132"/>
      <c r="O29" s="132"/>
      <c r="P29" s="132"/>
      <c r="Q29" s="132"/>
      <c r="R29" s="132"/>
      <c r="S29" s="132"/>
      <c r="T29" s="132"/>
      <c r="U29" s="132"/>
      <c r="V29" s="132"/>
      <c r="W29" s="132"/>
      <c r="X29" s="132"/>
      <c r="Y29" s="132"/>
      <c r="Z29" s="132"/>
    </row>
    <row r="30" ht="18.0" customHeight="1">
      <c r="A30" s="146" t="s">
        <v>295</v>
      </c>
      <c r="B30" s="147" t="s">
        <v>15</v>
      </c>
      <c r="C30" s="148" t="s">
        <v>296</v>
      </c>
      <c r="D30" s="149" t="s">
        <v>24</v>
      </c>
      <c r="E30" s="138" t="s">
        <v>31</v>
      </c>
      <c r="F30" s="147" t="s">
        <v>16</v>
      </c>
      <c r="G30" s="65" t="s">
        <v>43</v>
      </c>
      <c r="H30" s="145" t="s">
        <v>1360</v>
      </c>
      <c r="I30" s="131"/>
      <c r="J30" s="132"/>
      <c r="K30" s="132"/>
      <c r="L30" s="132"/>
      <c r="M30" s="132"/>
      <c r="N30" s="132"/>
      <c r="O30" s="132"/>
      <c r="P30" s="132"/>
      <c r="Q30" s="132"/>
      <c r="R30" s="132"/>
      <c r="S30" s="132"/>
      <c r="T30" s="132"/>
      <c r="U30" s="132"/>
      <c r="V30" s="132"/>
      <c r="W30" s="132"/>
      <c r="X30" s="132"/>
      <c r="Y30" s="132"/>
      <c r="Z30" s="132"/>
    </row>
    <row r="31" ht="18.0" customHeight="1">
      <c r="A31" s="141" t="s">
        <v>300</v>
      </c>
      <c r="B31" s="142" t="s">
        <v>15</v>
      </c>
      <c r="C31" s="143" t="s">
        <v>301</v>
      </c>
      <c r="D31" s="144" t="s">
        <v>24</v>
      </c>
      <c r="E31" s="138" t="s">
        <v>31</v>
      </c>
      <c r="F31" s="142" t="s">
        <v>16</v>
      </c>
      <c r="G31" s="65" t="s">
        <v>43</v>
      </c>
      <c r="H31" s="145" t="s">
        <v>1361</v>
      </c>
      <c r="I31" s="131"/>
      <c r="J31" s="132"/>
      <c r="K31" s="132"/>
      <c r="L31" s="132"/>
      <c r="M31" s="132"/>
      <c r="N31" s="132"/>
      <c r="O31" s="132"/>
      <c r="P31" s="132"/>
      <c r="Q31" s="132"/>
      <c r="R31" s="132"/>
      <c r="S31" s="132"/>
      <c r="T31" s="132"/>
      <c r="U31" s="132"/>
      <c r="V31" s="132"/>
      <c r="W31" s="132"/>
      <c r="X31" s="132"/>
      <c r="Y31" s="132"/>
      <c r="Z31" s="132"/>
    </row>
    <row r="32" ht="18.0" customHeight="1">
      <c r="A32" s="146" t="s">
        <v>305</v>
      </c>
      <c r="B32" s="147" t="s">
        <v>15</v>
      </c>
      <c r="C32" s="148" t="s">
        <v>306</v>
      </c>
      <c r="D32" s="149" t="s">
        <v>24</v>
      </c>
      <c r="E32" s="138" t="s">
        <v>31</v>
      </c>
      <c r="F32" s="147" t="s">
        <v>16</v>
      </c>
      <c r="G32" s="65" t="s">
        <v>43</v>
      </c>
      <c r="H32" s="145" t="s">
        <v>1362</v>
      </c>
      <c r="I32" s="131"/>
      <c r="J32" s="132"/>
      <c r="K32" s="132"/>
      <c r="L32" s="132"/>
      <c r="M32" s="132"/>
      <c r="N32" s="132"/>
      <c r="O32" s="132"/>
      <c r="P32" s="132"/>
      <c r="Q32" s="132"/>
      <c r="R32" s="132"/>
      <c r="S32" s="132"/>
      <c r="T32" s="132"/>
      <c r="U32" s="132"/>
      <c r="V32" s="132"/>
      <c r="W32" s="132"/>
      <c r="X32" s="132"/>
      <c r="Y32" s="132"/>
      <c r="Z32" s="132"/>
    </row>
    <row r="33" ht="18.0" customHeight="1">
      <c r="A33" s="141" t="s">
        <v>309</v>
      </c>
      <c r="B33" s="142" t="s">
        <v>15</v>
      </c>
      <c r="C33" s="143" t="s">
        <v>310</v>
      </c>
      <c r="D33" s="144" t="s">
        <v>24</v>
      </c>
      <c r="E33" s="138" t="s">
        <v>31</v>
      </c>
      <c r="F33" s="142" t="s">
        <v>16</v>
      </c>
      <c r="G33" s="65" t="s">
        <v>43</v>
      </c>
      <c r="H33" s="145" t="s">
        <v>1363</v>
      </c>
      <c r="I33" s="131"/>
      <c r="J33" s="132"/>
      <c r="K33" s="132"/>
      <c r="L33" s="132"/>
      <c r="M33" s="132"/>
      <c r="N33" s="132"/>
      <c r="O33" s="132"/>
      <c r="P33" s="132"/>
      <c r="Q33" s="132"/>
      <c r="R33" s="132"/>
      <c r="S33" s="132"/>
      <c r="T33" s="132"/>
      <c r="U33" s="132"/>
      <c r="V33" s="132"/>
      <c r="W33" s="132"/>
      <c r="X33" s="132"/>
      <c r="Y33" s="132"/>
      <c r="Z33" s="132"/>
    </row>
    <row r="34" ht="18.0" customHeight="1">
      <c r="A34" s="146" t="s">
        <v>315</v>
      </c>
      <c r="B34" s="147" t="s">
        <v>15</v>
      </c>
      <c r="C34" s="148" t="s">
        <v>316</v>
      </c>
      <c r="D34" s="149" t="s">
        <v>24</v>
      </c>
      <c r="E34" s="138" t="s">
        <v>31</v>
      </c>
      <c r="F34" s="147" t="s">
        <v>16</v>
      </c>
      <c r="G34" s="65" t="s">
        <v>43</v>
      </c>
      <c r="H34" s="145" t="s">
        <v>1364</v>
      </c>
      <c r="I34" s="131"/>
      <c r="J34" s="132"/>
      <c r="K34" s="132"/>
      <c r="L34" s="132"/>
      <c r="M34" s="132"/>
      <c r="N34" s="132"/>
      <c r="O34" s="132"/>
      <c r="P34" s="132"/>
      <c r="Q34" s="132"/>
      <c r="R34" s="132"/>
      <c r="S34" s="132"/>
      <c r="T34" s="132"/>
      <c r="U34" s="132"/>
      <c r="V34" s="132"/>
      <c r="W34" s="132"/>
      <c r="X34" s="132"/>
      <c r="Y34" s="132"/>
      <c r="Z34" s="132"/>
    </row>
    <row r="35" ht="18.0" customHeight="1">
      <c r="A35" s="141" t="s">
        <v>321</v>
      </c>
      <c r="B35" s="142" t="s">
        <v>15</v>
      </c>
      <c r="C35" s="143" t="s">
        <v>322</v>
      </c>
      <c r="D35" s="144" t="s">
        <v>24</v>
      </c>
      <c r="E35" s="138" t="s">
        <v>31</v>
      </c>
      <c r="F35" s="142" t="s">
        <v>16</v>
      </c>
      <c r="G35" s="65" t="s">
        <v>43</v>
      </c>
      <c r="H35" s="145" t="s">
        <v>1365</v>
      </c>
      <c r="I35" s="131"/>
      <c r="J35" s="132"/>
      <c r="K35" s="132"/>
      <c r="L35" s="132"/>
      <c r="M35" s="132"/>
      <c r="N35" s="132"/>
      <c r="O35" s="132"/>
      <c r="P35" s="132"/>
      <c r="Q35" s="132"/>
      <c r="R35" s="132"/>
      <c r="S35" s="132"/>
      <c r="T35" s="132"/>
      <c r="U35" s="132"/>
      <c r="V35" s="132"/>
      <c r="W35" s="132"/>
      <c r="X35" s="132"/>
      <c r="Y35" s="132"/>
      <c r="Z35" s="132"/>
    </row>
    <row r="36" ht="18.0" customHeight="1">
      <c r="A36" s="146" t="s">
        <v>327</v>
      </c>
      <c r="B36" s="147" t="s">
        <v>15</v>
      </c>
      <c r="C36" s="148" t="s">
        <v>328</v>
      </c>
      <c r="D36" s="149" t="s">
        <v>24</v>
      </c>
      <c r="E36" s="138" t="s">
        <v>31</v>
      </c>
      <c r="F36" s="147" t="s">
        <v>16</v>
      </c>
      <c r="G36" s="65" t="s">
        <v>43</v>
      </c>
      <c r="H36" s="145" t="s">
        <v>1366</v>
      </c>
      <c r="I36" s="131"/>
      <c r="J36" s="132"/>
      <c r="K36" s="132"/>
      <c r="L36" s="132"/>
      <c r="M36" s="132"/>
      <c r="N36" s="132"/>
      <c r="O36" s="132"/>
      <c r="P36" s="132"/>
      <c r="Q36" s="132"/>
      <c r="R36" s="132"/>
      <c r="S36" s="132"/>
      <c r="T36" s="132"/>
      <c r="U36" s="132"/>
      <c r="V36" s="132"/>
      <c r="W36" s="132"/>
      <c r="X36" s="132"/>
      <c r="Y36" s="132"/>
      <c r="Z36" s="132"/>
    </row>
    <row r="37" ht="18.0" customHeight="1">
      <c r="A37" s="141" t="s">
        <v>332</v>
      </c>
      <c r="B37" s="142" t="s">
        <v>15</v>
      </c>
      <c r="C37" s="143" t="s">
        <v>333</v>
      </c>
      <c r="D37" s="144" t="s">
        <v>24</v>
      </c>
      <c r="E37" s="138" t="s">
        <v>31</v>
      </c>
      <c r="F37" s="142" t="s">
        <v>16</v>
      </c>
      <c r="G37" s="65" t="s">
        <v>43</v>
      </c>
      <c r="H37" s="145" t="s">
        <v>1367</v>
      </c>
      <c r="I37" s="131"/>
      <c r="J37" s="132"/>
      <c r="K37" s="132"/>
      <c r="L37" s="132"/>
      <c r="M37" s="132"/>
      <c r="N37" s="132"/>
      <c r="O37" s="132"/>
      <c r="P37" s="132"/>
      <c r="Q37" s="132"/>
      <c r="R37" s="132"/>
      <c r="S37" s="132"/>
      <c r="T37" s="132"/>
      <c r="U37" s="132"/>
      <c r="V37" s="132"/>
      <c r="W37" s="132"/>
      <c r="X37" s="132"/>
      <c r="Y37" s="132"/>
      <c r="Z37" s="132"/>
    </row>
    <row r="38" ht="18.0" customHeight="1">
      <c r="A38" s="146" t="s">
        <v>338</v>
      </c>
      <c r="B38" s="147" t="s">
        <v>15</v>
      </c>
      <c r="C38" s="148" t="s">
        <v>339</v>
      </c>
      <c r="D38" s="149" t="s">
        <v>24</v>
      </c>
      <c r="E38" s="138" t="s">
        <v>31</v>
      </c>
      <c r="F38" s="147" t="s">
        <v>16</v>
      </c>
      <c r="G38" s="65" t="s">
        <v>43</v>
      </c>
      <c r="H38" s="145"/>
      <c r="I38" s="131"/>
      <c r="J38" s="132"/>
      <c r="K38" s="132"/>
      <c r="L38" s="132"/>
      <c r="M38" s="132"/>
      <c r="N38" s="132"/>
      <c r="O38" s="132"/>
      <c r="P38" s="132"/>
      <c r="Q38" s="132"/>
      <c r="R38" s="132"/>
      <c r="S38" s="132"/>
      <c r="T38" s="132"/>
      <c r="U38" s="132"/>
      <c r="V38" s="132"/>
      <c r="W38" s="132"/>
      <c r="X38" s="132"/>
      <c r="Y38" s="132"/>
      <c r="Z38" s="132"/>
    </row>
    <row r="39" ht="18.0" customHeight="1">
      <c r="A39" s="141" t="s">
        <v>343</v>
      </c>
      <c r="B39" s="142" t="s">
        <v>15</v>
      </c>
      <c r="C39" s="143" t="s">
        <v>344</v>
      </c>
      <c r="D39" s="144" t="s">
        <v>24</v>
      </c>
      <c r="E39" s="138" t="s">
        <v>31</v>
      </c>
      <c r="F39" s="142" t="s">
        <v>16</v>
      </c>
      <c r="G39" s="65" t="s">
        <v>43</v>
      </c>
      <c r="H39" s="145"/>
      <c r="I39" s="131"/>
      <c r="J39" s="132"/>
      <c r="K39" s="132"/>
      <c r="L39" s="132"/>
      <c r="M39" s="132"/>
      <c r="N39" s="132"/>
      <c r="O39" s="132"/>
      <c r="P39" s="132"/>
      <c r="Q39" s="132"/>
      <c r="R39" s="132"/>
      <c r="S39" s="132"/>
      <c r="T39" s="132"/>
      <c r="U39" s="132"/>
      <c r="V39" s="132"/>
      <c r="W39" s="132"/>
      <c r="X39" s="132"/>
      <c r="Y39" s="132"/>
      <c r="Z39" s="132"/>
    </row>
    <row r="40" ht="18.0" customHeight="1">
      <c r="A40" s="146" t="s">
        <v>192</v>
      </c>
      <c r="B40" s="147" t="s">
        <v>15</v>
      </c>
      <c r="C40" s="148" t="s">
        <v>193</v>
      </c>
      <c r="D40" s="149" t="s">
        <v>24</v>
      </c>
      <c r="E40" s="138" t="s">
        <v>31</v>
      </c>
      <c r="F40" s="147" t="s">
        <v>16</v>
      </c>
      <c r="G40" s="65" t="s">
        <v>43</v>
      </c>
      <c r="H40" s="145" t="s">
        <v>1368</v>
      </c>
      <c r="I40" s="131"/>
      <c r="J40" s="132"/>
      <c r="K40" s="132"/>
      <c r="L40" s="132"/>
      <c r="M40" s="132"/>
      <c r="N40" s="132"/>
      <c r="O40" s="132"/>
      <c r="P40" s="132"/>
      <c r="Q40" s="132"/>
      <c r="R40" s="132"/>
      <c r="S40" s="132"/>
      <c r="T40" s="132"/>
      <c r="U40" s="132"/>
      <c r="V40" s="132"/>
      <c r="W40" s="132"/>
      <c r="X40" s="132"/>
      <c r="Y40" s="132"/>
      <c r="Z40" s="132"/>
    </row>
    <row r="41" ht="18.0" customHeight="1">
      <c r="A41" s="141" t="s">
        <v>198</v>
      </c>
      <c r="B41" s="142" t="s">
        <v>15</v>
      </c>
      <c r="C41" s="143" t="s">
        <v>199</v>
      </c>
      <c r="D41" s="144" t="s">
        <v>24</v>
      </c>
      <c r="E41" s="138" t="s">
        <v>31</v>
      </c>
      <c r="F41" s="142" t="s">
        <v>16</v>
      </c>
      <c r="G41" s="65" t="s">
        <v>43</v>
      </c>
      <c r="H41" s="145" t="s">
        <v>1369</v>
      </c>
      <c r="I41" s="131"/>
      <c r="J41" s="132"/>
      <c r="K41" s="132"/>
      <c r="L41" s="132"/>
      <c r="M41" s="132"/>
      <c r="N41" s="132"/>
      <c r="O41" s="132"/>
      <c r="P41" s="132"/>
      <c r="Q41" s="132"/>
      <c r="R41" s="132"/>
      <c r="S41" s="132"/>
      <c r="T41" s="132"/>
      <c r="U41" s="132"/>
      <c r="V41" s="132"/>
      <c r="W41" s="132"/>
      <c r="X41" s="132"/>
      <c r="Y41" s="132"/>
      <c r="Z41" s="132"/>
    </row>
    <row r="42" ht="18.0" customHeight="1">
      <c r="A42" s="146" t="s">
        <v>203</v>
      </c>
      <c r="B42" s="147" t="s">
        <v>15</v>
      </c>
      <c r="C42" s="148" t="s">
        <v>204</v>
      </c>
      <c r="D42" s="149" t="s">
        <v>24</v>
      </c>
      <c r="E42" s="138" t="s">
        <v>31</v>
      </c>
      <c r="F42" s="147" t="s">
        <v>16</v>
      </c>
      <c r="G42" s="65" t="s">
        <v>43</v>
      </c>
      <c r="H42" s="145" t="s">
        <v>1370</v>
      </c>
      <c r="I42" s="131"/>
      <c r="J42" s="132"/>
      <c r="K42" s="132"/>
      <c r="L42" s="132"/>
      <c r="M42" s="132"/>
      <c r="N42" s="132"/>
      <c r="O42" s="132"/>
      <c r="P42" s="132"/>
      <c r="Q42" s="132"/>
      <c r="R42" s="132"/>
      <c r="S42" s="132"/>
      <c r="T42" s="132"/>
      <c r="U42" s="132"/>
      <c r="V42" s="132"/>
      <c r="W42" s="132"/>
      <c r="X42" s="132"/>
      <c r="Y42" s="132"/>
      <c r="Z42" s="132"/>
    </row>
    <row r="43" ht="18.0" customHeight="1">
      <c r="A43" s="141" t="s">
        <v>208</v>
      </c>
      <c r="B43" s="142" t="s">
        <v>15</v>
      </c>
      <c r="C43" s="143" t="s">
        <v>209</v>
      </c>
      <c r="D43" s="144" t="s">
        <v>24</v>
      </c>
      <c r="E43" s="138" t="s">
        <v>31</v>
      </c>
      <c r="F43" s="142" t="s">
        <v>16</v>
      </c>
      <c r="G43" s="65" t="s">
        <v>43</v>
      </c>
      <c r="H43" s="145" t="s">
        <v>1371</v>
      </c>
      <c r="I43" s="131"/>
      <c r="J43" s="132"/>
      <c r="K43" s="132"/>
      <c r="L43" s="132"/>
      <c r="M43" s="132"/>
      <c r="N43" s="132"/>
      <c r="O43" s="132"/>
      <c r="P43" s="132"/>
      <c r="Q43" s="132"/>
      <c r="R43" s="132"/>
      <c r="S43" s="132"/>
      <c r="T43" s="132"/>
      <c r="U43" s="132"/>
      <c r="V43" s="132"/>
      <c r="W43" s="132"/>
      <c r="X43" s="132"/>
      <c r="Y43" s="132"/>
      <c r="Z43" s="132"/>
    </row>
    <row r="44" ht="18.0" customHeight="1">
      <c r="A44" s="146" t="s">
        <v>213</v>
      </c>
      <c r="B44" s="147" t="s">
        <v>15</v>
      </c>
      <c r="C44" s="148" t="s">
        <v>214</v>
      </c>
      <c r="D44" s="149" t="s">
        <v>24</v>
      </c>
      <c r="E44" s="138" t="s">
        <v>31</v>
      </c>
      <c r="F44" s="147" t="s">
        <v>16</v>
      </c>
      <c r="G44" s="65" t="s">
        <v>43</v>
      </c>
      <c r="H44" s="145" t="s">
        <v>1372</v>
      </c>
      <c r="I44" s="131"/>
      <c r="J44" s="132"/>
      <c r="K44" s="132"/>
      <c r="L44" s="132"/>
      <c r="M44" s="132"/>
      <c r="N44" s="132"/>
      <c r="O44" s="132"/>
      <c r="P44" s="132"/>
      <c r="Q44" s="132"/>
      <c r="R44" s="132"/>
      <c r="S44" s="132"/>
      <c r="T44" s="132"/>
      <c r="U44" s="132"/>
      <c r="V44" s="132"/>
      <c r="W44" s="132"/>
      <c r="X44" s="132"/>
      <c r="Y44" s="132"/>
      <c r="Z44" s="132"/>
    </row>
    <row r="45" ht="18.0" customHeight="1">
      <c r="A45" s="141" t="s">
        <v>219</v>
      </c>
      <c r="B45" s="142" t="s">
        <v>15</v>
      </c>
      <c r="C45" s="143" t="s">
        <v>220</v>
      </c>
      <c r="D45" s="144" t="s">
        <v>24</v>
      </c>
      <c r="E45" s="138" t="s">
        <v>31</v>
      </c>
      <c r="F45" s="142" t="s">
        <v>16</v>
      </c>
      <c r="G45" s="65" t="s">
        <v>43</v>
      </c>
      <c r="H45" s="145" t="s">
        <v>1373</v>
      </c>
      <c r="I45" s="131"/>
      <c r="J45" s="132"/>
      <c r="K45" s="132"/>
      <c r="L45" s="132"/>
      <c r="M45" s="132"/>
      <c r="N45" s="132"/>
      <c r="O45" s="132"/>
      <c r="P45" s="132"/>
      <c r="Q45" s="132"/>
      <c r="R45" s="132"/>
      <c r="S45" s="132"/>
      <c r="T45" s="132"/>
      <c r="U45" s="132"/>
      <c r="V45" s="132"/>
      <c r="W45" s="132"/>
      <c r="X45" s="132"/>
      <c r="Y45" s="132"/>
      <c r="Z45" s="132"/>
    </row>
    <row r="46" ht="18.0" customHeight="1">
      <c r="A46" s="146" t="s">
        <v>68</v>
      </c>
      <c r="B46" s="147" t="s">
        <v>15</v>
      </c>
      <c r="C46" s="148" t="s">
        <v>69</v>
      </c>
      <c r="D46" s="149" t="s">
        <v>24</v>
      </c>
      <c r="E46" s="138" t="s">
        <v>31</v>
      </c>
      <c r="F46" s="147" t="s">
        <v>16</v>
      </c>
      <c r="G46" s="65" t="s">
        <v>43</v>
      </c>
      <c r="H46" s="145" t="s">
        <v>1374</v>
      </c>
      <c r="I46" s="131"/>
      <c r="J46" s="132"/>
      <c r="K46" s="132"/>
      <c r="L46" s="132"/>
      <c r="M46" s="132"/>
      <c r="N46" s="132"/>
      <c r="O46" s="132"/>
      <c r="P46" s="132"/>
      <c r="Q46" s="132"/>
      <c r="R46" s="132"/>
      <c r="S46" s="132"/>
      <c r="T46" s="132"/>
      <c r="U46" s="132"/>
      <c r="V46" s="132"/>
      <c r="W46" s="132"/>
      <c r="X46" s="132"/>
      <c r="Y46" s="132"/>
      <c r="Z46" s="132"/>
    </row>
    <row r="47" ht="18.0" customHeight="1">
      <c r="A47" s="141" t="s">
        <v>78</v>
      </c>
      <c r="B47" s="142" t="s">
        <v>15</v>
      </c>
      <c r="C47" s="143" t="s">
        <v>79</v>
      </c>
      <c r="D47" s="144" t="s">
        <v>24</v>
      </c>
      <c r="E47" s="138" t="s">
        <v>31</v>
      </c>
      <c r="F47" s="142" t="s">
        <v>16</v>
      </c>
      <c r="G47" s="65" t="s">
        <v>43</v>
      </c>
      <c r="H47" s="145" t="s">
        <v>1375</v>
      </c>
      <c r="I47" s="131"/>
      <c r="J47" s="132"/>
      <c r="K47" s="132"/>
      <c r="L47" s="132"/>
      <c r="M47" s="132"/>
      <c r="N47" s="132"/>
      <c r="O47" s="132"/>
      <c r="P47" s="132"/>
      <c r="Q47" s="132"/>
      <c r="R47" s="132"/>
      <c r="S47" s="132"/>
      <c r="T47" s="132"/>
      <c r="U47" s="132"/>
      <c r="V47" s="132"/>
      <c r="W47" s="132"/>
      <c r="X47" s="132"/>
      <c r="Y47" s="132"/>
      <c r="Z47" s="132"/>
    </row>
    <row r="48" ht="18.0" customHeight="1">
      <c r="A48" s="146" t="s">
        <v>85</v>
      </c>
      <c r="B48" s="147" t="s">
        <v>15</v>
      </c>
      <c r="C48" s="148" t="s">
        <v>86</v>
      </c>
      <c r="D48" s="149" t="s">
        <v>24</v>
      </c>
      <c r="E48" s="138" t="s">
        <v>31</v>
      </c>
      <c r="F48" s="147" t="s">
        <v>16</v>
      </c>
      <c r="G48" s="65" t="s">
        <v>43</v>
      </c>
      <c r="H48" s="145" t="s">
        <v>1376</v>
      </c>
      <c r="I48" s="131"/>
      <c r="J48" s="132"/>
      <c r="K48" s="132"/>
      <c r="L48" s="132"/>
      <c r="M48" s="132"/>
      <c r="N48" s="132"/>
      <c r="O48" s="132"/>
      <c r="P48" s="132"/>
      <c r="Q48" s="132"/>
      <c r="R48" s="132"/>
      <c r="S48" s="132"/>
      <c r="T48" s="132"/>
      <c r="U48" s="132"/>
      <c r="V48" s="132"/>
      <c r="W48" s="132"/>
      <c r="X48" s="132"/>
      <c r="Y48" s="132"/>
      <c r="Z48" s="132"/>
    </row>
    <row r="49" ht="18.0" customHeight="1">
      <c r="A49" s="141" t="s">
        <v>89</v>
      </c>
      <c r="B49" s="142" t="s">
        <v>15</v>
      </c>
      <c r="C49" s="143" t="s">
        <v>90</v>
      </c>
      <c r="D49" s="144" t="s">
        <v>24</v>
      </c>
      <c r="E49" s="138" t="s">
        <v>31</v>
      </c>
      <c r="F49" s="142" t="s">
        <v>16</v>
      </c>
      <c r="G49" s="65" t="s">
        <v>43</v>
      </c>
      <c r="H49" s="145" t="s">
        <v>1377</v>
      </c>
      <c r="I49" s="131"/>
      <c r="J49" s="132"/>
      <c r="K49" s="132"/>
      <c r="L49" s="132"/>
      <c r="M49" s="132"/>
      <c r="N49" s="132"/>
      <c r="O49" s="132"/>
      <c r="P49" s="132"/>
      <c r="Q49" s="132"/>
      <c r="R49" s="132"/>
      <c r="S49" s="132"/>
      <c r="T49" s="132"/>
      <c r="U49" s="132"/>
      <c r="V49" s="132"/>
      <c r="W49" s="132"/>
      <c r="X49" s="132"/>
      <c r="Y49" s="132"/>
      <c r="Z49" s="132"/>
    </row>
    <row r="50" ht="18.0" customHeight="1">
      <c r="A50" s="146" t="s">
        <v>93</v>
      </c>
      <c r="B50" s="147" t="s">
        <v>15</v>
      </c>
      <c r="C50" s="148" t="s">
        <v>94</v>
      </c>
      <c r="D50" s="149" t="s">
        <v>24</v>
      </c>
      <c r="E50" s="138" t="s">
        <v>31</v>
      </c>
      <c r="F50" s="147" t="s">
        <v>16</v>
      </c>
      <c r="G50" s="65" t="s">
        <v>43</v>
      </c>
      <c r="H50" s="145" t="s">
        <v>1378</v>
      </c>
      <c r="I50" s="131"/>
      <c r="J50" s="132"/>
      <c r="K50" s="132"/>
      <c r="L50" s="132"/>
      <c r="M50" s="132"/>
      <c r="N50" s="132"/>
      <c r="O50" s="132"/>
      <c r="P50" s="132"/>
      <c r="Q50" s="132"/>
      <c r="R50" s="132"/>
      <c r="S50" s="132"/>
      <c r="T50" s="132"/>
      <c r="U50" s="132"/>
      <c r="V50" s="132"/>
      <c r="W50" s="132"/>
      <c r="X50" s="132"/>
      <c r="Y50" s="132"/>
      <c r="Z50" s="132"/>
    </row>
    <row r="51" ht="18.0" customHeight="1">
      <c r="A51" s="141" t="s">
        <v>98</v>
      </c>
      <c r="B51" s="142" t="s">
        <v>15</v>
      </c>
      <c r="C51" s="143" t="s">
        <v>99</v>
      </c>
      <c r="D51" s="144" t="s">
        <v>24</v>
      </c>
      <c r="E51" s="138" t="s">
        <v>31</v>
      </c>
      <c r="F51" s="142" t="s">
        <v>16</v>
      </c>
      <c r="G51" s="65" t="s">
        <v>43</v>
      </c>
      <c r="H51" s="145" t="s">
        <v>1379</v>
      </c>
      <c r="I51" s="131"/>
      <c r="J51" s="132"/>
      <c r="K51" s="132"/>
      <c r="L51" s="132"/>
      <c r="M51" s="132"/>
      <c r="N51" s="132"/>
      <c r="O51" s="132"/>
      <c r="P51" s="132"/>
      <c r="Q51" s="132"/>
      <c r="R51" s="132"/>
      <c r="S51" s="132"/>
      <c r="T51" s="132"/>
      <c r="U51" s="132"/>
      <c r="V51" s="132"/>
      <c r="W51" s="132"/>
      <c r="X51" s="132"/>
      <c r="Y51" s="132"/>
      <c r="Z51" s="132"/>
    </row>
    <row r="52" ht="18.0" customHeight="1">
      <c r="A52" s="146" t="s">
        <v>105</v>
      </c>
      <c r="B52" s="147" t="s">
        <v>15</v>
      </c>
      <c r="C52" s="148" t="s">
        <v>106</v>
      </c>
      <c r="D52" s="149" t="s">
        <v>24</v>
      </c>
      <c r="E52" s="138" t="s">
        <v>31</v>
      </c>
      <c r="F52" s="147" t="s">
        <v>16</v>
      </c>
      <c r="G52" s="65" t="s">
        <v>43</v>
      </c>
      <c r="H52" s="145"/>
      <c r="I52" s="131"/>
      <c r="J52" s="132"/>
      <c r="K52" s="132"/>
      <c r="L52" s="132"/>
      <c r="M52" s="132"/>
      <c r="N52" s="132"/>
      <c r="O52" s="132"/>
      <c r="P52" s="132"/>
      <c r="Q52" s="132"/>
      <c r="R52" s="132"/>
      <c r="S52" s="132"/>
      <c r="T52" s="132"/>
      <c r="U52" s="132"/>
      <c r="V52" s="132"/>
      <c r="W52" s="132"/>
      <c r="X52" s="132"/>
      <c r="Y52" s="132"/>
      <c r="Z52" s="132"/>
    </row>
    <row r="53" ht="18.0" customHeight="1">
      <c r="A53" s="141" t="s">
        <v>494</v>
      </c>
      <c r="B53" s="142" t="s">
        <v>15</v>
      </c>
      <c r="C53" s="143" t="s">
        <v>495</v>
      </c>
      <c r="D53" s="144" t="s">
        <v>24</v>
      </c>
      <c r="E53" s="138" t="s">
        <v>31</v>
      </c>
      <c r="F53" s="142" t="s">
        <v>16</v>
      </c>
      <c r="G53" s="65" t="s">
        <v>43</v>
      </c>
      <c r="H53" s="145" t="s">
        <v>1380</v>
      </c>
      <c r="I53" s="131"/>
      <c r="J53" s="132"/>
      <c r="K53" s="132"/>
      <c r="L53" s="132"/>
      <c r="M53" s="132"/>
      <c r="N53" s="132"/>
      <c r="O53" s="132"/>
      <c r="P53" s="132"/>
      <c r="Q53" s="132"/>
      <c r="R53" s="132"/>
      <c r="S53" s="132"/>
      <c r="T53" s="132"/>
      <c r="U53" s="132"/>
      <c r="V53" s="132"/>
      <c r="W53" s="132"/>
      <c r="X53" s="132"/>
      <c r="Y53" s="132"/>
      <c r="Z53" s="132"/>
    </row>
    <row r="54" ht="18.0" customHeight="1">
      <c r="A54" s="146" t="s">
        <v>499</v>
      </c>
      <c r="B54" s="147" t="s">
        <v>15</v>
      </c>
      <c r="C54" s="148" t="s">
        <v>500</v>
      </c>
      <c r="D54" s="149" t="s">
        <v>24</v>
      </c>
      <c r="E54" s="138" t="s">
        <v>31</v>
      </c>
      <c r="F54" s="147" t="s">
        <v>16</v>
      </c>
      <c r="G54" s="65" t="s">
        <v>43</v>
      </c>
      <c r="H54" s="145"/>
      <c r="I54" s="131"/>
      <c r="J54" s="132"/>
      <c r="K54" s="132"/>
      <c r="L54" s="132"/>
      <c r="M54" s="132"/>
      <c r="N54" s="132"/>
      <c r="O54" s="132"/>
      <c r="P54" s="132"/>
      <c r="Q54" s="132"/>
      <c r="R54" s="132"/>
      <c r="S54" s="132"/>
      <c r="T54" s="132"/>
      <c r="U54" s="132"/>
      <c r="V54" s="132"/>
      <c r="W54" s="132"/>
      <c r="X54" s="132"/>
      <c r="Y54" s="132"/>
      <c r="Z54" s="132"/>
    </row>
    <row r="55" ht="18.0" customHeight="1">
      <c r="A55" s="141" t="s">
        <v>505</v>
      </c>
      <c r="B55" s="142" t="s">
        <v>15</v>
      </c>
      <c r="C55" s="143" t="s">
        <v>506</v>
      </c>
      <c r="D55" s="144" t="s">
        <v>24</v>
      </c>
      <c r="E55" s="138" t="s">
        <v>31</v>
      </c>
      <c r="F55" s="142" t="s">
        <v>16</v>
      </c>
      <c r="G55" s="65" t="s">
        <v>43</v>
      </c>
      <c r="H55" s="145" t="s">
        <v>1381</v>
      </c>
      <c r="I55" s="131"/>
      <c r="J55" s="132"/>
      <c r="K55" s="132"/>
      <c r="L55" s="132"/>
      <c r="M55" s="132"/>
      <c r="N55" s="132"/>
      <c r="O55" s="132"/>
      <c r="P55" s="132"/>
      <c r="Q55" s="132"/>
      <c r="R55" s="132"/>
      <c r="S55" s="132"/>
      <c r="T55" s="132"/>
      <c r="U55" s="132"/>
      <c r="V55" s="132"/>
      <c r="W55" s="132"/>
      <c r="X55" s="132"/>
      <c r="Y55" s="132"/>
      <c r="Z55" s="132"/>
    </row>
    <row r="56" ht="18.0" customHeight="1">
      <c r="A56" s="146" t="s">
        <v>512</v>
      </c>
      <c r="B56" s="147" t="s">
        <v>15</v>
      </c>
      <c r="C56" s="148" t="s">
        <v>513</v>
      </c>
      <c r="D56" s="149" t="s">
        <v>24</v>
      </c>
      <c r="E56" s="138" t="s">
        <v>31</v>
      </c>
      <c r="F56" s="147" t="s">
        <v>16</v>
      </c>
      <c r="G56" s="65" t="s">
        <v>43</v>
      </c>
      <c r="H56" s="145" t="s">
        <v>1382</v>
      </c>
      <c r="I56" s="131"/>
      <c r="J56" s="132"/>
      <c r="K56" s="132"/>
      <c r="L56" s="132"/>
      <c r="M56" s="132"/>
      <c r="N56" s="132"/>
      <c r="O56" s="132"/>
      <c r="P56" s="132"/>
      <c r="Q56" s="132"/>
      <c r="R56" s="132"/>
      <c r="S56" s="132"/>
      <c r="T56" s="132"/>
      <c r="U56" s="132"/>
      <c r="V56" s="132"/>
      <c r="W56" s="132"/>
      <c r="X56" s="132"/>
      <c r="Y56" s="132"/>
      <c r="Z56" s="132"/>
    </row>
    <row r="57" ht="18.0" customHeight="1">
      <c r="A57" s="141" t="s">
        <v>518</v>
      </c>
      <c r="B57" s="142" t="s">
        <v>15</v>
      </c>
      <c r="C57" s="143" t="s">
        <v>519</v>
      </c>
      <c r="D57" s="144" t="s">
        <v>24</v>
      </c>
      <c r="E57" s="138" t="s">
        <v>31</v>
      </c>
      <c r="F57" s="142" t="s">
        <v>16</v>
      </c>
      <c r="G57" s="65" t="s">
        <v>43</v>
      </c>
      <c r="H57" s="145" t="s">
        <v>1383</v>
      </c>
      <c r="I57" s="131"/>
      <c r="J57" s="132"/>
      <c r="K57" s="132"/>
      <c r="L57" s="132"/>
      <c r="M57" s="132"/>
      <c r="N57" s="132"/>
      <c r="O57" s="132"/>
      <c r="P57" s="132"/>
      <c r="Q57" s="132"/>
      <c r="R57" s="132"/>
      <c r="S57" s="132"/>
      <c r="T57" s="132"/>
      <c r="U57" s="132"/>
      <c r="V57" s="132"/>
      <c r="W57" s="132"/>
      <c r="X57" s="132"/>
      <c r="Y57" s="132"/>
      <c r="Z57" s="132"/>
    </row>
    <row r="58" ht="18.0" customHeight="1">
      <c r="A58" s="146" t="s">
        <v>522</v>
      </c>
      <c r="B58" s="147" t="s">
        <v>15</v>
      </c>
      <c r="C58" s="148" t="s">
        <v>1384</v>
      </c>
      <c r="D58" s="149" t="s">
        <v>24</v>
      </c>
      <c r="E58" s="138" t="s">
        <v>31</v>
      </c>
      <c r="F58" s="147" t="s">
        <v>16</v>
      </c>
      <c r="G58" s="65" t="s">
        <v>43</v>
      </c>
      <c r="H58" s="145" t="s">
        <v>1385</v>
      </c>
      <c r="I58" s="131"/>
      <c r="J58" s="132"/>
      <c r="K58" s="132"/>
      <c r="L58" s="132"/>
      <c r="M58" s="132"/>
      <c r="N58" s="132"/>
      <c r="O58" s="132"/>
      <c r="P58" s="132"/>
      <c r="Q58" s="132"/>
      <c r="R58" s="132"/>
      <c r="S58" s="132"/>
      <c r="T58" s="132"/>
      <c r="U58" s="132"/>
      <c r="V58" s="132"/>
      <c r="W58" s="132"/>
      <c r="X58" s="132"/>
      <c r="Y58" s="132"/>
      <c r="Z58" s="132"/>
    </row>
    <row r="59" ht="18.0" customHeight="1">
      <c r="A59" s="141" t="s">
        <v>528</v>
      </c>
      <c r="B59" s="142" t="s">
        <v>15</v>
      </c>
      <c r="C59" s="143" t="s">
        <v>529</v>
      </c>
      <c r="D59" s="144" t="s">
        <v>24</v>
      </c>
      <c r="E59" s="138" t="s">
        <v>31</v>
      </c>
      <c r="F59" s="142" t="s">
        <v>16</v>
      </c>
      <c r="G59" s="65" t="s">
        <v>43</v>
      </c>
      <c r="H59" s="145" t="s">
        <v>1386</v>
      </c>
      <c r="I59" s="131"/>
      <c r="J59" s="132"/>
      <c r="K59" s="132"/>
      <c r="L59" s="132"/>
      <c r="M59" s="132"/>
      <c r="N59" s="132"/>
      <c r="O59" s="132"/>
      <c r="P59" s="132"/>
      <c r="Q59" s="132"/>
      <c r="R59" s="132"/>
      <c r="S59" s="132"/>
      <c r="T59" s="132"/>
      <c r="U59" s="132"/>
      <c r="V59" s="132"/>
      <c r="W59" s="132"/>
      <c r="X59" s="132"/>
      <c r="Y59" s="132"/>
      <c r="Z59" s="132"/>
    </row>
    <row r="60" ht="18.0" customHeight="1">
      <c r="A60" s="146" t="s">
        <v>533</v>
      </c>
      <c r="B60" s="147" t="s">
        <v>15</v>
      </c>
      <c r="C60" s="148" t="s">
        <v>534</v>
      </c>
      <c r="D60" s="149" t="s">
        <v>24</v>
      </c>
      <c r="E60" s="138" t="s">
        <v>31</v>
      </c>
      <c r="F60" s="147" t="s">
        <v>16</v>
      </c>
      <c r="G60" s="65" t="s">
        <v>43</v>
      </c>
      <c r="H60" s="145" t="s">
        <v>1387</v>
      </c>
      <c r="I60" s="131"/>
      <c r="J60" s="132"/>
      <c r="K60" s="132"/>
      <c r="L60" s="132"/>
      <c r="M60" s="132"/>
      <c r="N60" s="132"/>
      <c r="O60" s="132"/>
      <c r="P60" s="132"/>
      <c r="Q60" s="132"/>
      <c r="R60" s="132"/>
      <c r="S60" s="132"/>
      <c r="T60" s="132"/>
      <c r="U60" s="132"/>
      <c r="V60" s="132"/>
      <c r="W60" s="132"/>
      <c r="X60" s="132"/>
      <c r="Y60" s="132"/>
      <c r="Z60" s="132"/>
    </row>
    <row r="61" ht="18.0" customHeight="1">
      <c r="A61" s="141" t="s">
        <v>538</v>
      </c>
      <c r="B61" s="142" t="s">
        <v>15</v>
      </c>
      <c r="C61" s="143" t="s">
        <v>539</v>
      </c>
      <c r="D61" s="144" t="s">
        <v>24</v>
      </c>
      <c r="E61" s="138" t="s">
        <v>31</v>
      </c>
      <c r="F61" s="142" t="s">
        <v>16</v>
      </c>
      <c r="G61" s="65" t="s">
        <v>43</v>
      </c>
      <c r="H61" s="145" t="s">
        <v>1388</v>
      </c>
      <c r="I61" s="131"/>
      <c r="J61" s="132"/>
      <c r="K61" s="132"/>
      <c r="L61" s="132"/>
      <c r="M61" s="132"/>
      <c r="N61" s="132"/>
      <c r="O61" s="132"/>
      <c r="P61" s="132"/>
      <c r="Q61" s="132"/>
      <c r="R61" s="132"/>
      <c r="S61" s="132"/>
      <c r="T61" s="132"/>
      <c r="U61" s="132"/>
      <c r="V61" s="132"/>
      <c r="W61" s="132"/>
      <c r="X61" s="132"/>
      <c r="Y61" s="132"/>
      <c r="Z61" s="132"/>
    </row>
    <row r="62" ht="18.0" customHeight="1">
      <c r="A62" s="146" t="s">
        <v>562</v>
      </c>
      <c r="B62" s="147" t="s">
        <v>15</v>
      </c>
      <c r="C62" s="148" t="s">
        <v>563</v>
      </c>
      <c r="D62" s="149" t="s">
        <v>24</v>
      </c>
      <c r="E62" s="138" t="s">
        <v>31</v>
      </c>
      <c r="F62" s="147" t="s">
        <v>16</v>
      </c>
      <c r="G62" s="65" t="s">
        <v>43</v>
      </c>
      <c r="H62" s="145" t="s">
        <v>1389</v>
      </c>
      <c r="I62" s="131"/>
      <c r="J62" s="132"/>
      <c r="K62" s="132"/>
      <c r="L62" s="132"/>
      <c r="M62" s="132"/>
      <c r="N62" s="132"/>
      <c r="O62" s="132"/>
      <c r="P62" s="132"/>
      <c r="Q62" s="132"/>
      <c r="R62" s="132"/>
      <c r="S62" s="132"/>
      <c r="T62" s="132"/>
      <c r="U62" s="132"/>
      <c r="V62" s="132"/>
      <c r="W62" s="132"/>
      <c r="X62" s="132"/>
      <c r="Y62" s="132"/>
      <c r="Z62" s="132"/>
    </row>
    <row r="63" ht="18.0" customHeight="1">
      <c r="A63" s="141" t="s">
        <v>568</v>
      </c>
      <c r="B63" s="142" t="s">
        <v>15</v>
      </c>
      <c r="C63" s="143" t="s">
        <v>569</v>
      </c>
      <c r="D63" s="144" t="s">
        <v>24</v>
      </c>
      <c r="E63" s="138" t="s">
        <v>31</v>
      </c>
      <c r="F63" s="142" t="s">
        <v>16</v>
      </c>
      <c r="G63" s="65" t="s">
        <v>43</v>
      </c>
      <c r="H63" s="145" t="s">
        <v>1390</v>
      </c>
      <c r="I63" s="131"/>
      <c r="J63" s="132"/>
      <c r="K63" s="132"/>
      <c r="L63" s="132"/>
      <c r="M63" s="132"/>
      <c r="N63" s="132"/>
      <c r="O63" s="132"/>
      <c r="P63" s="132"/>
      <c r="Q63" s="132"/>
      <c r="R63" s="132"/>
      <c r="S63" s="132"/>
      <c r="T63" s="132"/>
      <c r="U63" s="132"/>
      <c r="V63" s="132"/>
      <c r="W63" s="132"/>
      <c r="X63" s="132"/>
      <c r="Y63" s="132"/>
      <c r="Z63" s="132"/>
    </row>
    <row r="64" ht="18.0" customHeight="1">
      <c r="A64" s="146" t="s">
        <v>574</v>
      </c>
      <c r="B64" s="147" t="s">
        <v>15</v>
      </c>
      <c r="C64" s="148" t="s">
        <v>575</v>
      </c>
      <c r="D64" s="149" t="s">
        <v>24</v>
      </c>
      <c r="E64" s="138" t="s">
        <v>31</v>
      </c>
      <c r="F64" s="147" t="s">
        <v>16</v>
      </c>
      <c r="G64" s="65" t="s">
        <v>43</v>
      </c>
      <c r="H64" s="145"/>
      <c r="I64" s="131"/>
      <c r="J64" s="132"/>
      <c r="K64" s="132"/>
      <c r="L64" s="132"/>
      <c r="M64" s="132"/>
      <c r="N64" s="132"/>
      <c r="O64" s="132"/>
      <c r="P64" s="132"/>
      <c r="Q64" s="132"/>
      <c r="R64" s="132"/>
      <c r="S64" s="132"/>
      <c r="T64" s="132"/>
      <c r="U64" s="132"/>
      <c r="V64" s="132"/>
      <c r="W64" s="132"/>
      <c r="X64" s="132"/>
      <c r="Y64" s="132"/>
      <c r="Z64" s="132"/>
    </row>
    <row r="65" ht="18.0" customHeight="1">
      <c r="A65" s="141" t="s">
        <v>609</v>
      </c>
      <c r="B65" s="142" t="s">
        <v>15</v>
      </c>
      <c r="C65" s="143" t="s">
        <v>610</v>
      </c>
      <c r="D65" s="144" t="s">
        <v>25</v>
      </c>
      <c r="E65" s="138" t="s">
        <v>31</v>
      </c>
      <c r="F65" s="142" t="s">
        <v>16</v>
      </c>
      <c r="G65" s="65" t="s">
        <v>43</v>
      </c>
      <c r="H65" s="145" t="s">
        <v>1391</v>
      </c>
      <c r="I65" s="131"/>
      <c r="J65" s="132"/>
      <c r="K65" s="132"/>
      <c r="L65" s="132"/>
      <c r="M65" s="132"/>
      <c r="N65" s="132"/>
      <c r="O65" s="132"/>
      <c r="P65" s="132"/>
      <c r="Q65" s="132"/>
      <c r="R65" s="132"/>
      <c r="S65" s="132"/>
      <c r="T65" s="132"/>
      <c r="U65" s="132"/>
      <c r="V65" s="132"/>
      <c r="W65" s="132"/>
      <c r="X65" s="132"/>
      <c r="Y65" s="132"/>
      <c r="Z65" s="132"/>
    </row>
    <row r="66" ht="18.0" customHeight="1">
      <c r="A66" s="146" t="s">
        <v>615</v>
      </c>
      <c r="B66" s="147" t="s">
        <v>15</v>
      </c>
      <c r="C66" s="148" t="s">
        <v>616</v>
      </c>
      <c r="D66" s="149" t="s">
        <v>25</v>
      </c>
      <c r="E66" s="138" t="s">
        <v>31</v>
      </c>
      <c r="F66" s="147" t="s">
        <v>16</v>
      </c>
      <c r="G66" s="65" t="s">
        <v>43</v>
      </c>
      <c r="H66" s="145" t="s">
        <v>1392</v>
      </c>
      <c r="I66" s="131"/>
      <c r="J66" s="132"/>
      <c r="K66" s="132"/>
      <c r="L66" s="132"/>
      <c r="M66" s="132"/>
      <c r="N66" s="132"/>
      <c r="O66" s="132"/>
      <c r="P66" s="132"/>
      <c r="Q66" s="132"/>
      <c r="R66" s="132"/>
      <c r="S66" s="132"/>
      <c r="T66" s="132"/>
      <c r="U66" s="132"/>
      <c r="V66" s="132"/>
      <c r="W66" s="132"/>
      <c r="X66" s="132"/>
      <c r="Y66" s="132"/>
      <c r="Z66" s="132"/>
    </row>
    <row r="67" ht="18.0" customHeight="1">
      <c r="A67" s="141" t="s">
        <v>619</v>
      </c>
      <c r="B67" s="142" t="s">
        <v>15</v>
      </c>
      <c r="C67" s="143" t="s">
        <v>620</v>
      </c>
      <c r="D67" s="144" t="s">
        <v>25</v>
      </c>
      <c r="E67" s="138" t="s">
        <v>31</v>
      </c>
      <c r="F67" s="142" t="s">
        <v>16</v>
      </c>
      <c r="G67" s="65" t="s">
        <v>43</v>
      </c>
      <c r="H67" s="145" t="s">
        <v>1393</v>
      </c>
      <c r="I67" s="131"/>
      <c r="J67" s="132"/>
      <c r="K67" s="132"/>
      <c r="L67" s="132"/>
      <c r="M67" s="132"/>
      <c r="N67" s="132"/>
      <c r="O67" s="132"/>
      <c r="P67" s="132"/>
      <c r="Q67" s="132"/>
      <c r="R67" s="132"/>
      <c r="S67" s="132"/>
      <c r="T67" s="132"/>
      <c r="U67" s="132"/>
      <c r="V67" s="132"/>
      <c r="W67" s="132"/>
      <c r="X67" s="132"/>
      <c r="Y67" s="132"/>
      <c r="Z67" s="132"/>
    </row>
    <row r="68" ht="18.0" customHeight="1">
      <c r="A68" s="146" t="s">
        <v>623</v>
      </c>
      <c r="B68" s="147" t="s">
        <v>15</v>
      </c>
      <c r="C68" s="148" t="s">
        <v>624</v>
      </c>
      <c r="D68" s="149" t="s">
        <v>25</v>
      </c>
      <c r="E68" s="138" t="s">
        <v>31</v>
      </c>
      <c r="F68" s="147" t="s">
        <v>16</v>
      </c>
      <c r="G68" s="65" t="s">
        <v>43</v>
      </c>
      <c r="H68" s="145" t="s">
        <v>1394</v>
      </c>
      <c r="I68" s="131"/>
      <c r="J68" s="132"/>
      <c r="K68" s="132"/>
      <c r="L68" s="132"/>
      <c r="M68" s="132"/>
      <c r="N68" s="132"/>
      <c r="O68" s="132"/>
      <c r="P68" s="132"/>
      <c r="Q68" s="132"/>
      <c r="R68" s="132"/>
      <c r="S68" s="132"/>
      <c r="T68" s="132"/>
      <c r="U68" s="132"/>
      <c r="V68" s="132"/>
      <c r="W68" s="132"/>
      <c r="X68" s="132"/>
      <c r="Y68" s="132"/>
      <c r="Z68" s="132"/>
    </row>
    <row r="69" ht="18.0" customHeight="1">
      <c r="A69" s="141" t="s">
        <v>629</v>
      </c>
      <c r="B69" s="142" t="s">
        <v>15</v>
      </c>
      <c r="C69" s="143" t="s">
        <v>630</v>
      </c>
      <c r="D69" s="144" t="s">
        <v>25</v>
      </c>
      <c r="E69" s="138" t="s">
        <v>31</v>
      </c>
      <c r="F69" s="142" t="s">
        <v>16</v>
      </c>
      <c r="G69" s="65" t="s">
        <v>43</v>
      </c>
      <c r="H69" s="145" t="s">
        <v>1395</v>
      </c>
      <c r="I69" s="131"/>
      <c r="J69" s="132"/>
      <c r="K69" s="132"/>
      <c r="L69" s="132"/>
      <c r="M69" s="132"/>
      <c r="N69" s="132"/>
      <c r="O69" s="132"/>
      <c r="P69" s="132"/>
      <c r="Q69" s="132"/>
      <c r="R69" s="132"/>
      <c r="S69" s="132"/>
      <c r="T69" s="132"/>
      <c r="U69" s="132"/>
      <c r="V69" s="132"/>
      <c r="W69" s="132"/>
      <c r="X69" s="132"/>
      <c r="Y69" s="132"/>
      <c r="Z69" s="132"/>
    </row>
    <row r="70" ht="18.0" customHeight="1">
      <c r="A70" s="146" t="s">
        <v>635</v>
      </c>
      <c r="B70" s="147" t="s">
        <v>15</v>
      </c>
      <c r="C70" s="148" t="s">
        <v>636</v>
      </c>
      <c r="D70" s="149" t="s">
        <v>25</v>
      </c>
      <c r="E70" s="138" t="s">
        <v>31</v>
      </c>
      <c r="F70" s="147" t="s">
        <v>16</v>
      </c>
      <c r="G70" s="65" t="s">
        <v>43</v>
      </c>
      <c r="H70" s="145" t="s">
        <v>1396</v>
      </c>
      <c r="I70" s="131"/>
      <c r="J70" s="132"/>
      <c r="K70" s="132"/>
      <c r="L70" s="132"/>
      <c r="M70" s="132"/>
      <c r="N70" s="132"/>
      <c r="O70" s="132"/>
      <c r="P70" s="132"/>
      <c r="Q70" s="132"/>
      <c r="R70" s="132"/>
      <c r="S70" s="132"/>
      <c r="T70" s="132"/>
      <c r="U70" s="132"/>
      <c r="V70" s="132"/>
      <c r="W70" s="132"/>
      <c r="X70" s="132"/>
      <c r="Y70" s="132"/>
      <c r="Z70" s="132"/>
    </row>
    <row r="71" ht="18.0" customHeight="1">
      <c r="A71" s="141" t="s">
        <v>1224</v>
      </c>
      <c r="B71" s="142" t="s">
        <v>15</v>
      </c>
      <c r="C71" s="143" t="s">
        <v>1225</v>
      </c>
      <c r="D71" s="144" t="s">
        <v>25</v>
      </c>
      <c r="E71" s="138" t="s">
        <v>31</v>
      </c>
      <c r="F71" s="142" t="s">
        <v>16</v>
      </c>
      <c r="G71" s="65" t="s">
        <v>43</v>
      </c>
      <c r="H71" s="145" t="s">
        <v>1397</v>
      </c>
      <c r="I71" s="131"/>
      <c r="J71" s="132"/>
      <c r="K71" s="132"/>
      <c r="L71" s="132"/>
      <c r="M71" s="132"/>
      <c r="N71" s="132"/>
      <c r="O71" s="132"/>
      <c r="P71" s="132"/>
      <c r="Q71" s="132"/>
      <c r="R71" s="132"/>
      <c r="S71" s="132"/>
      <c r="T71" s="132"/>
      <c r="U71" s="132"/>
      <c r="V71" s="132"/>
      <c r="W71" s="132"/>
      <c r="X71" s="132"/>
      <c r="Y71" s="132"/>
      <c r="Z71" s="132"/>
    </row>
    <row r="72" ht="18.0" customHeight="1">
      <c r="A72" s="146" t="s">
        <v>656</v>
      </c>
      <c r="B72" s="147" t="s">
        <v>15</v>
      </c>
      <c r="C72" s="148" t="s">
        <v>657</v>
      </c>
      <c r="D72" s="149" t="s">
        <v>25</v>
      </c>
      <c r="E72" s="138" t="s">
        <v>31</v>
      </c>
      <c r="F72" s="147" t="s">
        <v>16</v>
      </c>
      <c r="G72" s="65" t="s">
        <v>43</v>
      </c>
      <c r="H72" s="145" t="s">
        <v>1398</v>
      </c>
      <c r="I72" s="131"/>
      <c r="J72" s="132"/>
      <c r="K72" s="132"/>
      <c r="L72" s="132"/>
      <c r="M72" s="132"/>
      <c r="N72" s="132"/>
      <c r="O72" s="132"/>
      <c r="P72" s="132"/>
      <c r="Q72" s="132"/>
      <c r="R72" s="132"/>
      <c r="S72" s="132"/>
      <c r="T72" s="132"/>
      <c r="U72" s="132"/>
      <c r="V72" s="132"/>
      <c r="W72" s="132"/>
      <c r="X72" s="132"/>
      <c r="Y72" s="132"/>
      <c r="Z72" s="132"/>
    </row>
    <row r="73" ht="18.0" customHeight="1">
      <c r="A73" s="141" t="s">
        <v>661</v>
      </c>
      <c r="B73" s="142" t="s">
        <v>15</v>
      </c>
      <c r="C73" s="143" t="s">
        <v>1399</v>
      </c>
      <c r="D73" s="144" t="s">
        <v>25</v>
      </c>
      <c r="E73" s="138" t="s">
        <v>31</v>
      </c>
      <c r="F73" s="142" t="s">
        <v>16</v>
      </c>
      <c r="G73" s="65" t="s">
        <v>43</v>
      </c>
      <c r="H73" s="145" t="s">
        <v>1400</v>
      </c>
      <c r="I73" s="131"/>
      <c r="J73" s="132"/>
      <c r="K73" s="132"/>
      <c r="L73" s="132"/>
      <c r="M73" s="132"/>
      <c r="N73" s="132"/>
      <c r="O73" s="132"/>
      <c r="P73" s="132"/>
      <c r="Q73" s="132"/>
      <c r="R73" s="132"/>
      <c r="S73" s="132"/>
      <c r="T73" s="132"/>
      <c r="U73" s="132"/>
      <c r="V73" s="132"/>
      <c r="W73" s="132"/>
      <c r="X73" s="132"/>
      <c r="Y73" s="132"/>
      <c r="Z73" s="132"/>
    </row>
    <row r="74" ht="18.0" customHeight="1">
      <c r="A74" s="146" t="s">
        <v>668</v>
      </c>
      <c r="B74" s="147" t="s">
        <v>15</v>
      </c>
      <c r="C74" s="148" t="s">
        <v>669</v>
      </c>
      <c r="D74" s="149" t="s">
        <v>25</v>
      </c>
      <c r="E74" s="138" t="s">
        <v>31</v>
      </c>
      <c r="F74" s="147" t="s">
        <v>16</v>
      </c>
      <c r="G74" s="65" t="s">
        <v>43</v>
      </c>
      <c r="H74" s="145" t="s">
        <v>1401</v>
      </c>
      <c r="I74" s="131"/>
      <c r="J74" s="132"/>
      <c r="K74" s="132"/>
      <c r="L74" s="132"/>
      <c r="M74" s="132"/>
      <c r="N74" s="132"/>
      <c r="O74" s="132"/>
      <c r="P74" s="132"/>
      <c r="Q74" s="132"/>
      <c r="R74" s="132"/>
      <c r="S74" s="132"/>
      <c r="T74" s="132"/>
      <c r="U74" s="132"/>
      <c r="V74" s="132"/>
      <c r="W74" s="132"/>
      <c r="X74" s="132"/>
      <c r="Y74" s="132"/>
      <c r="Z74" s="132"/>
    </row>
    <row r="75" ht="18.0" customHeight="1">
      <c r="A75" s="141" t="s">
        <v>674</v>
      </c>
      <c r="B75" s="142" t="s">
        <v>15</v>
      </c>
      <c r="C75" s="143" t="s">
        <v>675</v>
      </c>
      <c r="D75" s="144" t="s">
        <v>25</v>
      </c>
      <c r="E75" s="138" t="s">
        <v>31</v>
      </c>
      <c r="F75" s="142" t="s">
        <v>16</v>
      </c>
      <c r="G75" s="65" t="s">
        <v>43</v>
      </c>
      <c r="H75" s="145" t="s">
        <v>1402</v>
      </c>
      <c r="I75" s="131"/>
      <c r="J75" s="132"/>
      <c r="K75" s="132"/>
      <c r="L75" s="132"/>
      <c r="M75" s="132"/>
      <c r="N75" s="132"/>
      <c r="O75" s="132"/>
      <c r="P75" s="132"/>
      <c r="Q75" s="132"/>
      <c r="R75" s="132"/>
      <c r="S75" s="132"/>
      <c r="T75" s="132"/>
      <c r="U75" s="132"/>
      <c r="V75" s="132"/>
      <c r="W75" s="132"/>
      <c r="X75" s="132"/>
      <c r="Y75" s="132"/>
      <c r="Z75" s="132"/>
    </row>
    <row r="76" ht="18.0" customHeight="1">
      <c r="A76" s="146" t="s">
        <v>680</v>
      </c>
      <c r="B76" s="147" t="s">
        <v>15</v>
      </c>
      <c r="C76" s="148" t="s">
        <v>681</v>
      </c>
      <c r="D76" s="149" t="s">
        <v>25</v>
      </c>
      <c r="E76" s="138" t="s">
        <v>31</v>
      </c>
      <c r="F76" s="147" t="s">
        <v>16</v>
      </c>
      <c r="G76" s="65" t="s">
        <v>43</v>
      </c>
      <c r="H76" s="145" t="s">
        <v>1403</v>
      </c>
      <c r="I76" s="131"/>
      <c r="J76" s="132"/>
      <c r="K76" s="132"/>
      <c r="L76" s="132"/>
      <c r="M76" s="132"/>
      <c r="N76" s="132"/>
      <c r="O76" s="132"/>
      <c r="P76" s="132"/>
      <c r="Q76" s="132"/>
      <c r="R76" s="132"/>
      <c r="S76" s="132"/>
      <c r="T76" s="132"/>
      <c r="U76" s="132"/>
      <c r="V76" s="132"/>
      <c r="W76" s="132"/>
      <c r="X76" s="132"/>
      <c r="Y76" s="132"/>
      <c r="Z76" s="132"/>
    </row>
    <row r="77" ht="18.0" customHeight="1">
      <c r="A77" s="141" t="s">
        <v>685</v>
      </c>
      <c r="B77" s="142" t="s">
        <v>15</v>
      </c>
      <c r="C77" s="143" t="s">
        <v>686</v>
      </c>
      <c r="D77" s="144" t="s">
        <v>25</v>
      </c>
      <c r="E77" s="138" t="s">
        <v>31</v>
      </c>
      <c r="F77" s="142" t="s">
        <v>16</v>
      </c>
      <c r="G77" s="65" t="s">
        <v>43</v>
      </c>
      <c r="H77" s="145" t="s">
        <v>1404</v>
      </c>
      <c r="I77" s="131"/>
      <c r="J77" s="132"/>
      <c r="K77" s="132"/>
      <c r="L77" s="132"/>
      <c r="M77" s="132"/>
      <c r="N77" s="132"/>
      <c r="O77" s="132"/>
      <c r="P77" s="132"/>
      <c r="Q77" s="132"/>
      <c r="R77" s="132"/>
      <c r="S77" s="132"/>
      <c r="T77" s="132"/>
      <c r="U77" s="132"/>
      <c r="V77" s="132"/>
      <c r="W77" s="132"/>
      <c r="X77" s="132"/>
      <c r="Y77" s="132"/>
      <c r="Z77" s="132"/>
    </row>
    <row r="78" ht="18.0" customHeight="1">
      <c r="A78" s="146" t="s">
        <v>691</v>
      </c>
      <c r="B78" s="147" t="s">
        <v>15</v>
      </c>
      <c r="C78" s="148" t="s">
        <v>692</v>
      </c>
      <c r="D78" s="149" t="s">
        <v>25</v>
      </c>
      <c r="E78" s="138" t="s">
        <v>31</v>
      </c>
      <c r="F78" s="147" t="s">
        <v>16</v>
      </c>
      <c r="G78" s="65" t="s">
        <v>43</v>
      </c>
      <c r="H78" s="145" t="s">
        <v>1405</v>
      </c>
      <c r="I78" s="131"/>
      <c r="J78" s="132"/>
      <c r="K78" s="132"/>
      <c r="L78" s="132"/>
      <c r="M78" s="132"/>
      <c r="N78" s="132"/>
      <c r="O78" s="132"/>
      <c r="P78" s="132"/>
      <c r="Q78" s="132"/>
      <c r="R78" s="132"/>
      <c r="S78" s="132"/>
      <c r="T78" s="132"/>
      <c r="U78" s="132"/>
      <c r="V78" s="132"/>
      <c r="W78" s="132"/>
      <c r="X78" s="132"/>
      <c r="Y78" s="132"/>
      <c r="Z78" s="132"/>
    </row>
    <row r="79" ht="18.0" customHeight="1">
      <c r="A79" s="141" t="s">
        <v>696</v>
      </c>
      <c r="B79" s="142" t="s">
        <v>15</v>
      </c>
      <c r="C79" s="143" t="s">
        <v>697</v>
      </c>
      <c r="D79" s="144" t="s">
        <v>25</v>
      </c>
      <c r="E79" s="138" t="s">
        <v>31</v>
      </c>
      <c r="F79" s="142" t="s">
        <v>16</v>
      </c>
      <c r="G79" s="65" t="s">
        <v>43</v>
      </c>
      <c r="H79" s="145" t="s">
        <v>1406</v>
      </c>
      <c r="I79" s="131"/>
      <c r="J79" s="132"/>
      <c r="K79" s="132"/>
      <c r="L79" s="132"/>
      <c r="M79" s="132"/>
      <c r="N79" s="132"/>
      <c r="O79" s="132"/>
      <c r="P79" s="132"/>
      <c r="Q79" s="132"/>
      <c r="R79" s="132"/>
      <c r="S79" s="132"/>
      <c r="T79" s="132"/>
      <c r="U79" s="132"/>
      <c r="V79" s="132"/>
      <c r="W79" s="132"/>
      <c r="X79" s="132"/>
      <c r="Y79" s="132"/>
      <c r="Z79" s="132"/>
    </row>
    <row r="80" ht="18.0" customHeight="1">
      <c r="A80" s="146" t="s">
        <v>701</v>
      </c>
      <c r="B80" s="147" t="s">
        <v>15</v>
      </c>
      <c r="C80" s="148" t="s">
        <v>702</v>
      </c>
      <c r="D80" s="149" t="s">
        <v>25</v>
      </c>
      <c r="E80" s="138" t="s">
        <v>31</v>
      </c>
      <c r="F80" s="147" t="s">
        <v>16</v>
      </c>
      <c r="G80" s="65" t="s">
        <v>43</v>
      </c>
      <c r="H80" s="145" t="s">
        <v>1407</v>
      </c>
      <c r="I80" s="131"/>
      <c r="J80" s="132"/>
      <c r="K80" s="132"/>
      <c r="L80" s="132"/>
      <c r="M80" s="132"/>
      <c r="N80" s="132"/>
      <c r="O80" s="132"/>
      <c r="P80" s="132"/>
      <c r="Q80" s="132"/>
      <c r="R80" s="132"/>
      <c r="S80" s="132"/>
      <c r="T80" s="132"/>
      <c r="U80" s="132"/>
      <c r="V80" s="132"/>
      <c r="W80" s="132"/>
      <c r="X80" s="132"/>
      <c r="Y80" s="132"/>
      <c r="Z80" s="132"/>
    </row>
    <row r="81" ht="18.0" customHeight="1">
      <c r="A81" s="141" t="s">
        <v>707</v>
      </c>
      <c r="B81" s="142" t="s">
        <v>15</v>
      </c>
      <c r="C81" s="143" t="s">
        <v>708</v>
      </c>
      <c r="D81" s="144" t="s">
        <v>25</v>
      </c>
      <c r="E81" s="138" t="s">
        <v>31</v>
      </c>
      <c r="F81" s="142" t="s">
        <v>16</v>
      </c>
      <c r="G81" s="65" t="s">
        <v>43</v>
      </c>
      <c r="H81" s="145" t="s">
        <v>1408</v>
      </c>
      <c r="I81" s="131"/>
      <c r="J81" s="132"/>
      <c r="K81" s="132"/>
      <c r="L81" s="132"/>
      <c r="M81" s="132"/>
      <c r="N81" s="132"/>
      <c r="O81" s="132"/>
      <c r="P81" s="132"/>
      <c r="Q81" s="132"/>
      <c r="R81" s="132"/>
      <c r="S81" s="132"/>
      <c r="T81" s="132"/>
      <c r="U81" s="132"/>
      <c r="V81" s="132"/>
      <c r="W81" s="132"/>
      <c r="X81" s="132"/>
      <c r="Y81" s="132"/>
      <c r="Z81" s="132"/>
    </row>
    <row r="82" ht="18.0" customHeight="1">
      <c r="A82" s="146" t="s">
        <v>711</v>
      </c>
      <c r="B82" s="147" t="s">
        <v>15</v>
      </c>
      <c r="C82" s="148" t="s">
        <v>712</v>
      </c>
      <c r="D82" s="149" t="s">
        <v>25</v>
      </c>
      <c r="E82" s="138" t="s">
        <v>31</v>
      </c>
      <c r="F82" s="147" t="s">
        <v>16</v>
      </c>
      <c r="G82" s="65" t="s">
        <v>43</v>
      </c>
      <c r="H82" s="145" t="s">
        <v>1409</v>
      </c>
      <c r="I82" s="131"/>
      <c r="J82" s="132"/>
      <c r="K82" s="132"/>
      <c r="L82" s="132"/>
      <c r="M82" s="132"/>
      <c r="N82" s="132"/>
      <c r="O82" s="132"/>
      <c r="P82" s="132"/>
      <c r="Q82" s="132"/>
      <c r="R82" s="132"/>
      <c r="S82" s="132"/>
      <c r="T82" s="132"/>
      <c r="U82" s="132"/>
      <c r="V82" s="132"/>
      <c r="W82" s="132"/>
      <c r="X82" s="132"/>
      <c r="Y82" s="132"/>
      <c r="Z82" s="132"/>
    </row>
    <row r="83" ht="18.0" customHeight="1">
      <c r="A83" s="141" t="s">
        <v>718</v>
      </c>
      <c r="B83" s="142" t="s">
        <v>15</v>
      </c>
      <c r="C83" s="143" t="s">
        <v>719</v>
      </c>
      <c r="D83" s="144" t="s">
        <v>25</v>
      </c>
      <c r="E83" s="138" t="s">
        <v>31</v>
      </c>
      <c r="F83" s="142" t="s">
        <v>16</v>
      </c>
      <c r="G83" s="65" t="s">
        <v>43</v>
      </c>
      <c r="H83" s="145"/>
      <c r="I83" s="131"/>
      <c r="J83" s="132"/>
      <c r="K83" s="132"/>
      <c r="L83" s="132"/>
      <c r="M83" s="132"/>
      <c r="N83" s="132"/>
      <c r="O83" s="132"/>
      <c r="P83" s="132"/>
      <c r="Q83" s="132"/>
      <c r="R83" s="132"/>
      <c r="S83" s="132"/>
      <c r="T83" s="132"/>
      <c r="U83" s="132"/>
      <c r="V83" s="132"/>
      <c r="W83" s="132"/>
      <c r="X83" s="132"/>
      <c r="Y83" s="132"/>
      <c r="Z83" s="132"/>
    </row>
    <row r="84" ht="18.0" customHeight="1">
      <c r="A84" s="146" t="s">
        <v>724</v>
      </c>
      <c r="B84" s="147" t="s">
        <v>15</v>
      </c>
      <c r="C84" s="148" t="s">
        <v>725</v>
      </c>
      <c r="D84" s="149" t="s">
        <v>25</v>
      </c>
      <c r="E84" s="138" t="s">
        <v>31</v>
      </c>
      <c r="F84" s="147" t="s">
        <v>16</v>
      </c>
      <c r="G84" s="65" t="s">
        <v>43</v>
      </c>
      <c r="H84" s="145"/>
      <c r="I84" s="131"/>
      <c r="J84" s="132"/>
      <c r="K84" s="132"/>
      <c r="L84" s="132"/>
      <c r="M84" s="132"/>
      <c r="N84" s="132"/>
      <c r="O84" s="132"/>
      <c r="P84" s="132"/>
      <c r="Q84" s="132"/>
      <c r="R84" s="132"/>
      <c r="S84" s="132"/>
      <c r="T84" s="132"/>
      <c r="U84" s="132"/>
      <c r="V84" s="132"/>
      <c r="W84" s="132"/>
      <c r="X84" s="132"/>
      <c r="Y84" s="132"/>
      <c r="Z84" s="132"/>
    </row>
    <row r="85" ht="18.0" customHeight="1">
      <c r="A85" s="141" t="s">
        <v>729</v>
      </c>
      <c r="B85" s="142" t="s">
        <v>15</v>
      </c>
      <c r="C85" s="143" t="s">
        <v>730</v>
      </c>
      <c r="D85" s="144" t="s">
        <v>25</v>
      </c>
      <c r="E85" s="138" t="s">
        <v>31</v>
      </c>
      <c r="F85" s="142" t="s">
        <v>16</v>
      </c>
      <c r="G85" s="65" t="s">
        <v>43</v>
      </c>
      <c r="H85" s="145"/>
      <c r="I85" s="131"/>
      <c r="J85" s="132"/>
      <c r="K85" s="132"/>
      <c r="L85" s="132"/>
      <c r="M85" s="132"/>
      <c r="N85" s="132"/>
      <c r="O85" s="132"/>
      <c r="P85" s="132"/>
      <c r="Q85" s="132"/>
      <c r="R85" s="132"/>
      <c r="S85" s="132"/>
      <c r="T85" s="132"/>
      <c r="U85" s="132"/>
      <c r="V85" s="132"/>
      <c r="W85" s="132"/>
      <c r="X85" s="132"/>
      <c r="Y85" s="132"/>
      <c r="Z85" s="132"/>
    </row>
    <row r="86" ht="18.0" customHeight="1">
      <c r="A86" s="146" t="s">
        <v>734</v>
      </c>
      <c r="B86" s="147" t="s">
        <v>15</v>
      </c>
      <c r="C86" s="148" t="s">
        <v>735</v>
      </c>
      <c r="D86" s="149" t="s">
        <v>25</v>
      </c>
      <c r="E86" s="138" t="s">
        <v>31</v>
      </c>
      <c r="F86" s="147" t="s">
        <v>16</v>
      </c>
      <c r="G86" s="65" t="s">
        <v>43</v>
      </c>
      <c r="H86" s="145"/>
      <c r="I86" s="131"/>
      <c r="J86" s="132"/>
      <c r="K86" s="132"/>
      <c r="L86" s="132"/>
      <c r="M86" s="132"/>
      <c r="N86" s="132"/>
      <c r="O86" s="132"/>
      <c r="P86" s="132"/>
      <c r="Q86" s="132"/>
      <c r="R86" s="132"/>
      <c r="S86" s="132"/>
      <c r="T86" s="132"/>
      <c r="U86" s="132"/>
      <c r="V86" s="132"/>
      <c r="W86" s="132"/>
      <c r="X86" s="132"/>
      <c r="Y86" s="132"/>
      <c r="Z86" s="132"/>
    </row>
    <row r="87" ht="18.0" customHeight="1">
      <c r="A87" s="141" t="s">
        <v>739</v>
      </c>
      <c r="B87" s="142" t="s">
        <v>15</v>
      </c>
      <c r="C87" s="143" t="s">
        <v>740</v>
      </c>
      <c r="D87" s="144" t="s">
        <v>25</v>
      </c>
      <c r="E87" s="138" t="s">
        <v>31</v>
      </c>
      <c r="F87" s="142" t="s">
        <v>16</v>
      </c>
      <c r="G87" s="65" t="s">
        <v>43</v>
      </c>
      <c r="H87" s="145"/>
      <c r="I87" s="131"/>
      <c r="J87" s="132"/>
      <c r="K87" s="132"/>
      <c r="L87" s="132"/>
      <c r="M87" s="132"/>
      <c r="N87" s="132"/>
      <c r="O87" s="132"/>
      <c r="P87" s="132"/>
      <c r="Q87" s="132"/>
      <c r="R87" s="132"/>
      <c r="S87" s="132"/>
      <c r="T87" s="132"/>
      <c r="U87" s="132"/>
      <c r="V87" s="132"/>
      <c r="W87" s="132"/>
      <c r="X87" s="132"/>
      <c r="Y87" s="132"/>
      <c r="Z87" s="132"/>
    </row>
    <row r="88" ht="18.0" customHeight="1">
      <c r="A88" s="146" t="s">
        <v>807</v>
      </c>
      <c r="B88" s="147" t="s">
        <v>15</v>
      </c>
      <c r="C88" s="148" t="s">
        <v>808</v>
      </c>
      <c r="D88" s="149" t="s">
        <v>25</v>
      </c>
      <c r="E88" s="138" t="s">
        <v>31</v>
      </c>
      <c r="F88" s="147" t="s">
        <v>16</v>
      </c>
      <c r="G88" s="65" t="s">
        <v>43</v>
      </c>
      <c r="H88" s="145" t="s">
        <v>1410</v>
      </c>
      <c r="I88" s="131"/>
      <c r="J88" s="132"/>
      <c r="K88" s="132"/>
      <c r="L88" s="132"/>
      <c r="M88" s="132"/>
      <c r="N88" s="132"/>
      <c r="O88" s="132"/>
      <c r="P88" s="132"/>
      <c r="Q88" s="132"/>
      <c r="R88" s="132"/>
      <c r="S88" s="132"/>
      <c r="T88" s="132"/>
      <c r="U88" s="132"/>
      <c r="V88" s="132"/>
      <c r="W88" s="132"/>
      <c r="X88" s="132"/>
      <c r="Y88" s="132"/>
      <c r="Z88" s="132"/>
    </row>
    <row r="89" ht="18.0" customHeight="1">
      <c r="A89" s="141" t="s">
        <v>819</v>
      </c>
      <c r="B89" s="142" t="s">
        <v>15</v>
      </c>
      <c r="C89" s="143" t="s">
        <v>820</v>
      </c>
      <c r="D89" s="144" t="s">
        <v>25</v>
      </c>
      <c r="E89" s="138" t="s">
        <v>31</v>
      </c>
      <c r="F89" s="142" t="s">
        <v>16</v>
      </c>
      <c r="G89" s="65" t="s">
        <v>43</v>
      </c>
      <c r="H89" s="145" t="s">
        <v>1411</v>
      </c>
      <c r="I89" s="131"/>
      <c r="J89" s="132"/>
      <c r="K89" s="132"/>
      <c r="L89" s="132"/>
      <c r="M89" s="132"/>
      <c r="N89" s="132"/>
      <c r="O89" s="132"/>
      <c r="P89" s="132"/>
      <c r="Q89" s="132"/>
      <c r="R89" s="132"/>
      <c r="S89" s="132"/>
      <c r="T89" s="132"/>
      <c r="U89" s="132"/>
      <c r="V89" s="132"/>
      <c r="W89" s="132"/>
      <c r="X89" s="132"/>
      <c r="Y89" s="132"/>
      <c r="Z89" s="132"/>
    </row>
    <row r="90" ht="18.0" customHeight="1">
      <c r="A90" s="146" t="s">
        <v>824</v>
      </c>
      <c r="B90" s="147" t="s">
        <v>15</v>
      </c>
      <c r="C90" s="148" t="s">
        <v>825</v>
      </c>
      <c r="D90" s="149" t="s">
        <v>25</v>
      </c>
      <c r="E90" s="138" t="s">
        <v>31</v>
      </c>
      <c r="F90" s="147" t="s">
        <v>16</v>
      </c>
      <c r="G90" s="65" t="s">
        <v>43</v>
      </c>
      <c r="H90" s="145" t="s">
        <v>1412</v>
      </c>
      <c r="I90" s="131"/>
      <c r="J90" s="132"/>
      <c r="K90" s="132"/>
      <c r="L90" s="132"/>
      <c r="M90" s="132"/>
      <c r="N90" s="132"/>
      <c r="O90" s="132"/>
      <c r="P90" s="132"/>
      <c r="Q90" s="132"/>
      <c r="R90" s="132"/>
      <c r="S90" s="132"/>
      <c r="T90" s="132"/>
      <c r="U90" s="132"/>
      <c r="V90" s="132"/>
      <c r="W90" s="132"/>
      <c r="X90" s="132"/>
      <c r="Y90" s="132"/>
      <c r="Z90" s="132"/>
    </row>
    <row r="91" ht="18.0" customHeight="1">
      <c r="A91" s="141" t="s">
        <v>829</v>
      </c>
      <c r="B91" s="142" t="s">
        <v>15</v>
      </c>
      <c r="C91" s="143" t="s">
        <v>830</v>
      </c>
      <c r="D91" s="144" t="s">
        <v>25</v>
      </c>
      <c r="E91" s="138" t="s">
        <v>31</v>
      </c>
      <c r="F91" s="142" t="s">
        <v>16</v>
      </c>
      <c r="G91" s="65" t="s">
        <v>43</v>
      </c>
      <c r="H91" s="145" t="s">
        <v>1413</v>
      </c>
      <c r="I91" s="131"/>
      <c r="J91" s="132"/>
      <c r="K91" s="132"/>
      <c r="L91" s="132"/>
      <c r="M91" s="132"/>
      <c r="N91" s="132"/>
      <c r="O91" s="132"/>
      <c r="P91" s="132"/>
      <c r="Q91" s="132"/>
      <c r="R91" s="132"/>
      <c r="S91" s="132"/>
      <c r="T91" s="132"/>
      <c r="U91" s="132"/>
      <c r="V91" s="132"/>
      <c r="W91" s="132"/>
      <c r="X91" s="132"/>
      <c r="Y91" s="132"/>
      <c r="Z91" s="132"/>
    </row>
    <row r="92" ht="18.0" customHeight="1">
      <c r="A92" s="146" t="s">
        <v>835</v>
      </c>
      <c r="B92" s="147" t="s">
        <v>15</v>
      </c>
      <c r="C92" s="148" t="s">
        <v>836</v>
      </c>
      <c r="D92" s="149" t="s">
        <v>25</v>
      </c>
      <c r="E92" s="138" t="s">
        <v>31</v>
      </c>
      <c r="F92" s="147" t="s">
        <v>16</v>
      </c>
      <c r="G92" s="65" t="s">
        <v>43</v>
      </c>
      <c r="H92" s="145" t="s">
        <v>1414</v>
      </c>
      <c r="I92" s="131"/>
      <c r="J92" s="132"/>
      <c r="K92" s="132"/>
      <c r="L92" s="132"/>
      <c r="M92" s="132"/>
      <c r="N92" s="132"/>
      <c r="O92" s="132"/>
      <c r="P92" s="132"/>
      <c r="Q92" s="132"/>
      <c r="R92" s="132"/>
      <c r="S92" s="132"/>
      <c r="T92" s="132"/>
      <c r="U92" s="132"/>
      <c r="V92" s="132"/>
      <c r="W92" s="132"/>
      <c r="X92" s="132"/>
      <c r="Y92" s="132"/>
      <c r="Z92" s="132"/>
    </row>
    <row r="93" ht="18.0" customHeight="1">
      <c r="A93" s="141" t="s">
        <v>840</v>
      </c>
      <c r="B93" s="142" t="s">
        <v>15</v>
      </c>
      <c r="C93" s="143" t="s">
        <v>841</v>
      </c>
      <c r="D93" s="144" t="s">
        <v>25</v>
      </c>
      <c r="E93" s="138" t="s">
        <v>31</v>
      </c>
      <c r="F93" s="142" t="s">
        <v>16</v>
      </c>
      <c r="G93" s="65" t="s">
        <v>43</v>
      </c>
      <c r="H93" s="145" t="s">
        <v>1415</v>
      </c>
      <c r="I93" s="131"/>
      <c r="J93" s="132"/>
      <c r="K93" s="132"/>
      <c r="L93" s="132"/>
      <c r="M93" s="132"/>
      <c r="N93" s="132"/>
      <c r="O93" s="132"/>
      <c r="P93" s="132"/>
      <c r="Q93" s="132"/>
      <c r="R93" s="132"/>
      <c r="S93" s="132"/>
      <c r="T93" s="132"/>
      <c r="U93" s="132"/>
      <c r="V93" s="132"/>
      <c r="W93" s="132"/>
      <c r="X93" s="132"/>
      <c r="Y93" s="132"/>
      <c r="Z93" s="132"/>
    </row>
    <row r="94" ht="18.0" customHeight="1">
      <c r="A94" s="146" t="s">
        <v>845</v>
      </c>
      <c r="B94" s="147" t="s">
        <v>15</v>
      </c>
      <c r="C94" s="148" t="s">
        <v>846</v>
      </c>
      <c r="D94" s="149" t="s">
        <v>25</v>
      </c>
      <c r="E94" s="138" t="s">
        <v>31</v>
      </c>
      <c r="F94" s="147" t="s">
        <v>16</v>
      </c>
      <c r="G94" s="65" t="s">
        <v>43</v>
      </c>
      <c r="H94" s="145" t="s">
        <v>1416</v>
      </c>
      <c r="I94" s="131"/>
      <c r="J94" s="132"/>
      <c r="K94" s="132"/>
      <c r="L94" s="132"/>
      <c r="M94" s="132"/>
      <c r="N94" s="132"/>
      <c r="O94" s="132"/>
      <c r="P94" s="132"/>
      <c r="Q94" s="132"/>
      <c r="R94" s="132"/>
      <c r="S94" s="132"/>
      <c r="T94" s="132"/>
      <c r="U94" s="132"/>
      <c r="V94" s="132"/>
      <c r="W94" s="132"/>
      <c r="X94" s="132"/>
      <c r="Y94" s="132"/>
      <c r="Z94" s="132"/>
    </row>
    <row r="95" ht="18.0" customHeight="1">
      <c r="A95" s="141" t="s">
        <v>849</v>
      </c>
      <c r="B95" s="142" t="s">
        <v>15</v>
      </c>
      <c r="C95" s="143" t="s">
        <v>850</v>
      </c>
      <c r="D95" s="144" t="s">
        <v>25</v>
      </c>
      <c r="E95" s="138" t="s">
        <v>31</v>
      </c>
      <c r="F95" s="142" t="s">
        <v>16</v>
      </c>
      <c r="G95" s="65" t="s">
        <v>43</v>
      </c>
      <c r="H95" s="145" t="s">
        <v>1417</v>
      </c>
      <c r="I95" s="131"/>
      <c r="J95" s="132"/>
      <c r="K95" s="132"/>
      <c r="L95" s="132"/>
      <c r="M95" s="132"/>
      <c r="N95" s="132"/>
      <c r="O95" s="132"/>
      <c r="P95" s="132"/>
      <c r="Q95" s="132"/>
      <c r="R95" s="132"/>
      <c r="S95" s="132"/>
      <c r="T95" s="132"/>
      <c r="U95" s="132"/>
      <c r="V95" s="132"/>
      <c r="W95" s="132"/>
      <c r="X95" s="132"/>
      <c r="Y95" s="132"/>
      <c r="Z95" s="132"/>
    </row>
    <row r="96" ht="18.0" customHeight="1">
      <c r="A96" s="146" t="s">
        <v>854</v>
      </c>
      <c r="B96" s="147" t="s">
        <v>15</v>
      </c>
      <c r="C96" s="148" t="s">
        <v>855</v>
      </c>
      <c r="D96" s="149" t="s">
        <v>25</v>
      </c>
      <c r="E96" s="138" t="s">
        <v>31</v>
      </c>
      <c r="F96" s="147" t="s">
        <v>16</v>
      </c>
      <c r="G96" s="65" t="s">
        <v>43</v>
      </c>
      <c r="H96" s="145" t="s">
        <v>1418</v>
      </c>
      <c r="I96" s="131"/>
      <c r="J96" s="132"/>
      <c r="K96" s="132"/>
      <c r="L96" s="132"/>
      <c r="M96" s="132"/>
      <c r="N96" s="132"/>
      <c r="O96" s="132"/>
      <c r="P96" s="132"/>
      <c r="Q96" s="132"/>
      <c r="R96" s="132"/>
      <c r="S96" s="132"/>
      <c r="T96" s="132"/>
      <c r="U96" s="132"/>
      <c r="V96" s="132"/>
      <c r="W96" s="132"/>
      <c r="X96" s="132"/>
      <c r="Y96" s="132"/>
      <c r="Z96" s="132"/>
    </row>
    <row r="97" ht="18.0" customHeight="1">
      <c r="A97" s="141" t="s">
        <v>860</v>
      </c>
      <c r="B97" s="142" t="s">
        <v>15</v>
      </c>
      <c r="C97" s="143" t="s">
        <v>861</v>
      </c>
      <c r="D97" s="144" t="s">
        <v>25</v>
      </c>
      <c r="E97" s="138" t="s">
        <v>31</v>
      </c>
      <c r="F97" s="142" t="s">
        <v>16</v>
      </c>
      <c r="G97" s="65" t="s">
        <v>43</v>
      </c>
      <c r="H97" s="145" t="s">
        <v>1419</v>
      </c>
      <c r="I97" s="131"/>
      <c r="J97" s="132"/>
      <c r="K97" s="132"/>
      <c r="L97" s="132"/>
      <c r="M97" s="132"/>
      <c r="N97" s="132"/>
      <c r="O97" s="132"/>
      <c r="P97" s="132"/>
      <c r="Q97" s="132"/>
      <c r="R97" s="132"/>
      <c r="S97" s="132"/>
      <c r="T97" s="132"/>
      <c r="U97" s="132"/>
      <c r="V97" s="132"/>
      <c r="W97" s="132"/>
      <c r="X97" s="132"/>
      <c r="Y97" s="132"/>
      <c r="Z97" s="132"/>
    </row>
    <row r="98" ht="18.0" customHeight="1">
      <c r="A98" s="146" t="s">
        <v>865</v>
      </c>
      <c r="B98" s="147" t="s">
        <v>15</v>
      </c>
      <c r="C98" s="148" t="s">
        <v>866</v>
      </c>
      <c r="D98" s="149" t="s">
        <v>25</v>
      </c>
      <c r="E98" s="138" t="s">
        <v>31</v>
      </c>
      <c r="F98" s="147" t="s">
        <v>16</v>
      </c>
      <c r="G98" s="65" t="s">
        <v>43</v>
      </c>
      <c r="H98" s="145"/>
      <c r="I98" s="131"/>
      <c r="J98" s="132"/>
      <c r="K98" s="132"/>
      <c r="L98" s="132"/>
      <c r="M98" s="132"/>
      <c r="N98" s="132"/>
      <c r="O98" s="132"/>
      <c r="P98" s="132"/>
      <c r="Q98" s="132"/>
      <c r="R98" s="132"/>
      <c r="S98" s="132"/>
      <c r="T98" s="132"/>
      <c r="U98" s="132"/>
      <c r="V98" s="132"/>
      <c r="W98" s="132"/>
      <c r="X98" s="132"/>
      <c r="Y98" s="132"/>
      <c r="Z98" s="132"/>
    </row>
    <row r="99" ht="18.0" customHeight="1">
      <c r="A99" s="141" t="s">
        <v>898</v>
      </c>
      <c r="B99" s="142" t="s">
        <v>15</v>
      </c>
      <c r="C99" s="143" t="s">
        <v>899</v>
      </c>
      <c r="D99" s="144" t="s">
        <v>25</v>
      </c>
      <c r="E99" s="138" t="s">
        <v>31</v>
      </c>
      <c r="F99" s="142" t="s">
        <v>16</v>
      </c>
      <c r="G99" s="65" t="s">
        <v>43</v>
      </c>
      <c r="H99" s="145" t="s">
        <v>1420</v>
      </c>
      <c r="I99" s="131"/>
      <c r="J99" s="132"/>
      <c r="K99" s="132"/>
      <c r="L99" s="132"/>
      <c r="M99" s="132"/>
      <c r="N99" s="132"/>
      <c r="O99" s="132"/>
      <c r="P99" s="132"/>
      <c r="Q99" s="132"/>
      <c r="R99" s="132"/>
      <c r="S99" s="132"/>
      <c r="T99" s="132"/>
      <c r="U99" s="132"/>
      <c r="V99" s="132"/>
      <c r="W99" s="132"/>
      <c r="X99" s="132"/>
      <c r="Y99" s="132"/>
      <c r="Z99" s="132"/>
    </row>
    <row r="100" ht="18.0" customHeight="1">
      <c r="A100" s="146" t="s">
        <v>904</v>
      </c>
      <c r="B100" s="147" t="s">
        <v>15</v>
      </c>
      <c r="C100" s="148" t="s">
        <v>905</v>
      </c>
      <c r="D100" s="149" t="s">
        <v>25</v>
      </c>
      <c r="E100" s="138" t="s">
        <v>31</v>
      </c>
      <c r="F100" s="147" t="s">
        <v>16</v>
      </c>
      <c r="G100" s="65" t="s">
        <v>43</v>
      </c>
      <c r="H100" s="145" t="s">
        <v>1421</v>
      </c>
      <c r="I100" s="131"/>
      <c r="J100" s="132"/>
      <c r="K100" s="132"/>
      <c r="L100" s="132"/>
      <c r="M100" s="132"/>
      <c r="N100" s="132"/>
      <c r="O100" s="132"/>
      <c r="P100" s="132"/>
      <c r="Q100" s="132"/>
      <c r="R100" s="132"/>
      <c r="S100" s="132"/>
      <c r="T100" s="132"/>
      <c r="U100" s="132"/>
      <c r="V100" s="132"/>
      <c r="W100" s="132"/>
      <c r="X100" s="132"/>
      <c r="Y100" s="132"/>
      <c r="Z100" s="132"/>
    </row>
    <row r="101" ht="18.0" customHeight="1">
      <c r="A101" s="141" t="s">
        <v>910</v>
      </c>
      <c r="B101" s="142" t="s">
        <v>15</v>
      </c>
      <c r="C101" s="143" t="s">
        <v>911</v>
      </c>
      <c r="D101" s="144" t="s">
        <v>25</v>
      </c>
      <c r="E101" s="138" t="s">
        <v>31</v>
      </c>
      <c r="F101" s="142" t="s">
        <v>16</v>
      </c>
      <c r="G101" s="65" t="s">
        <v>43</v>
      </c>
      <c r="H101" s="145" t="s">
        <v>1422</v>
      </c>
      <c r="I101" s="131"/>
      <c r="J101" s="132"/>
      <c r="K101" s="132"/>
      <c r="L101" s="132"/>
      <c r="M101" s="132"/>
      <c r="N101" s="132"/>
      <c r="O101" s="132"/>
      <c r="P101" s="132"/>
      <c r="Q101" s="132"/>
      <c r="R101" s="132"/>
      <c r="S101" s="132"/>
      <c r="T101" s="132"/>
      <c r="U101" s="132"/>
      <c r="V101" s="132"/>
      <c r="W101" s="132"/>
      <c r="X101" s="132"/>
      <c r="Y101" s="132"/>
      <c r="Z101" s="132"/>
    </row>
    <row r="102" ht="15.75" customHeight="1">
      <c r="A102" s="146" t="s">
        <v>915</v>
      </c>
      <c r="B102" s="147" t="s">
        <v>15</v>
      </c>
      <c r="C102" s="148" t="s">
        <v>916</v>
      </c>
      <c r="D102" s="149" t="s">
        <v>25</v>
      </c>
      <c r="E102" s="138" t="s">
        <v>31</v>
      </c>
      <c r="F102" s="147" t="s">
        <v>16</v>
      </c>
      <c r="G102" s="65" t="s">
        <v>43</v>
      </c>
      <c r="H102" s="145" t="s">
        <v>1423</v>
      </c>
      <c r="I102" s="131"/>
      <c r="J102" s="132"/>
      <c r="K102" s="132"/>
      <c r="L102" s="132"/>
      <c r="M102" s="132"/>
      <c r="N102" s="132"/>
      <c r="O102" s="132"/>
      <c r="P102" s="132"/>
      <c r="Q102" s="132"/>
      <c r="R102" s="132"/>
      <c r="S102" s="132"/>
      <c r="T102" s="132"/>
      <c r="U102" s="132"/>
      <c r="V102" s="132"/>
      <c r="W102" s="132"/>
      <c r="X102" s="132"/>
      <c r="Y102" s="132"/>
      <c r="Z102" s="132"/>
    </row>
    <row r="103" ht="15.75" customHeight="1">
      <c r="A103" s="141" t="s">
        <v>920</v>
      </c>
      <c r="B103" s="142" t="s">
        <v>15</v>
      </c>
      <c r="C103" s="143" t="s">
        <v>921</v>
      </c>
      <c r="D103" s="144" t="s">
        <v>25</v>
      </c>
      <c r="E103" s="138" t="s">
        <v>31</v>
      </c>
      <c r="F103" s="142" t="s">
        <v>16</v>
      </c>
      <c r="G103" s="65" t="s">
        <v>43</v>
      </c>
      <c r="H103" s="145" t="s">
        <v>1424</v>
      </c>
      <c r="I103" s="131"/>
      <c r="J103" s="132"/>
      <c r="K103" s="132"/>
      <c r="L103" s="132"/>
      <c r="M103" s="132"/>
      <c r="N103" s="132"/>
      <c r="O103" s="132"/>
      <c r="P103" s="132"/>
      <c r="Q103" s="132"/>
      <c r="R103" s="132"/>
      <c r="S103" s="132"/>
      <c r="T103" s="132"/>
      <c r="U103" s="132"/>
      <c r="V103" s="132"/>
      <c r="W103" s="132"/>
      <c r="X103" s="132"/>
      <c r="Y103" s="132"/>
      <c r="Z103" s="132"/>
    </row>
    <row r="104" ht="15.75" customHeight="1">
      <c r="A104" s="146" t="s">
        <v>926</v>
      </c>
      <c r="B104" s="147" t="s">
        <v>15</v>
      </c>
      <c r="C104" s="148" t="s">
        <v>927</v>
      </c>
      <c r="D104" s="149" t="s">
        <v>25</v>
      </c>
      <c r="E104" s="138" t="s">
        <v>31</v>
      </c>
      <c r="F104" s="147" t="s">
        <v>16</v>
      </c>
      <c r="G104" s="65" t="s">
        <v>43</v>
      </c>
      <c r="H104" s="145" t="s">
        <v>1425</v>
      </c>
      <c r="I104" s="131"/>
      <c r="J104" s="132"/>
      <c r="K104" s="132"/>
      <c r="L104" s="132"/>
      <c r="M104" s="132"/>
      <c r="N104" s="132"/>
      <c r="O104" s="132"/>
      <c r="P104" s="132"/>
      <c r="Q104" s="132"/>
      <c r="R104" s="132"/>
      <c r="S104" s="132"/>
      <c r="T104" s="132"/>
      <c r="U104" s="132"/>
      <c r="V104" s="132"/>
      <c r="W104" s="132"/>
      <c r="X104" s="132"/>
      <c r="Y104" s="132"/>
      <c r="Z104" s="132"/>
    </row>
    <row r="105" ht="15.75" customHeight="1">
      <c r="A105" s="141" t="s">
        <v>931</v>
      </c>
      <c r="B105" s="142" t="s">
        <v>15</v>
      </c>
      <c r="C105" s="143" t="s">
        <v>932</v>
      </c>
      <c r="D105" s="144" t="s">
        <v>25</v>
      </c>
      <c r="E105" s="138" t="s">
        <v>31</v>
      </c>
      <c r="F105" s="142" t="s">
        <v>16</v>
      </c>
      <c r="G105" s="65" t="s">
        <v>43</v>
      </c>
      <c r="H105" s="145" t="s">
        <v>1426</v>
      </c>
      <c r="I105" s="131"/>
      <c r="J105" s="132"/>
      <c r="K105" s="132"/>
      <c r="L105" s="132"/>
      <c r="M105" s="132"/>
      <c r="N105" s="132"/>
      <c r="O105" s="132"/>
      <c r="P105" s="132"/>
      <c r="Q105" s="132"/>
      <c r="R105" s="132"/>
      <c r="S105" s="132"/>
      <c r="T105" s="132"/>
      <c r="U105" s="132"/>
      <c r="V105" s="132"/>
      <c r="W105" s="132"/>
      <c r="X105" s="132"/>
      <c r="Y105" s="132"/>
      <c r="Z105" s="132"/>
    </row>
    <row r="106" ht="15.75" customHeight="1">
      <c r="A106" s="146" t="s">
        <v>937</v>
      </c>
      <c r="B106" s="147" t="s">
        <v>15</v>
      </c>
      <c r="C106" s="148" t="s">
        <v>938</v>
      </c>
      <c r="D106" s="149" t="s">
        <v>25</v>
      </c>
      <c r="E106" s="138" t="s">
        <v>31</v>
      </c>
      <c r="F106" s="147" t="s">
        <v>16</v>
      </c>
      <c r="G106" s="65" t="s">
        <v>43</v>
      </c>
      <c r="H106" s="145" t="s">
        <v>1427</v>
      </c>
      <c r="I106" s="131"/>
      <c r="J106" s="132"/>
      <c r="K106" s="132"/>
      <c r="L106" s="132"/>
      <c r="M106" s="132"/>
      <c r="N106" s="132"/>
      <c r="O106" s="132"/>
      <c r="P106" s="132"/>
      <c r="Q106" s="132"/>
      <c r="R106" s="132"/>
      <c r="S106" s="132"/>
      <c r="T106" s="132"/>
      <c r="U106" s="132"/>
      <c r="V106" s="132"/>
      <c r="W106" s="132"/>
      <c r="X106" s="132"/>
      <c r="Y106" s="132"/>
      <c r="Z106" s="132"/>
    </row>
    <row r="107" ht="15.75" customHeight="1">
      <c r="A107" s="141" t="s">
        <v>944</v>
      </c>
      <c r="B107" s="142" t="s">
        <v>15</v>
      </c>
      <c r="C107" s="143" t="s">
        <v>945</v>
      </c>
      <c r="D107" s="144" t="s">
        <v>25</v>
      </c>
      <c r="E107" s="138" t="s">
        <v>31</v>
      </c>
      <c r="F107" s="142" t="s">
        <v>16</v>
      </c>
      <c r="G107" s="65" t="s">
        <v>43</v>
      </c>
      <c r="H107" s="145"/>
      <c r="I107" s="131"/>
      <c r="J107" s="132"/>
      <c r="K107" s="132"/>
      <c r="L107" s="132"/>
      <c r="M107" s="132"/>
      <c r="N107" s="132"/>
      <c r="O107" s="132"/>
      <c r="P107" s="132"/>
      <c r="Q107" s="132"/>
      <c r="R107" s="132"/>
      <c r="S107" s="132"/>
      <c r="T107" s="132"/>
      <c r="U107" s="132"/>
      <c r="V107" s="132"/>
      <c r="W107" s="132"/>
      <c r="X107" s="132"/>
      <c r="Y107" s="132"/>
      <c r="Z107" s="132"/>
    </row>
    <row r="108" ht="15.75" customHeight="1">
      <c r="A108" s="146" t="s">
        <v>950</v>
      </c>
      <c r="B108" s="147" t="s">
        <v>15</v>
      </c>
      <c r="C108" s="148" t="s">
        <v>951</v>
      </c>
      <c r="D108" s="149" t="s">
        <v>25</v>
      </c>
      <c r="E108" s="138" t="s">
        <v>31</v>
      </c>
      <c r="F108" s="147" t="s">
        <v>16</v>
      </c>
      <c r="G108" s="65" t="s">
        <v>43</v>
      </c>
      <c r="H108" s="145" t="s">
        <v>1428</v>
      </c>
      <c r="I108" s="131"/>
      <c r="J108" s="132"/>
      <c r="K108" s="132"/>
      <c r="L108" s="132"/>
      <c r="M108" s="132"/>
      <c r="N108" s="132"/>
      <c r="O108" s="132"/>
      <c r="P108" s="132"/>
      <c r="Q108" s="132"/>
      <c r="R108" s="132"/>
      <c r="S108" s="132"/>
      <c r="T108" s="132"/>
      <c r="U108" s="132"/>
      <c r="V108" s="132"/>
      <c r="W108" s="132"/>
      <c r="X108" s="132"/>
      <c r="Y108" s="132"/>
      <c r="Z108" s="132"/>
    </row>
    <row r="109" ht="15.75" customHeight="1">
      <c r="A109" s="141" t="s">
        <v>955</v>
      </c>
      <c r="B109" s="142" t="s">
        <v>15</v>
      </c>
      <c r="C109" s="143" t="s">
        <v>956</v>
      </c>
      <c r="D109" s="144" t="s">
        <v>25</v>
      </c>
      <c r="E109" s="138" t="s">
        <v>31</v>
      </c>
      <c r="F109" s="142" t="s">
        <v>16</v>
      </c>
      <c r="G109" s="65" t="s">
        <v>43</v>
      </c>
      <c r="H109" s="145" t="s">
        <v>1429</v>
      </c>
      <c r="I109" s="131"/>
      <c r="J109" s="132"/>
      <c r="K109" s="132"/>
      <c r="L109" s="132"/>
      <c r="M109" s="132"/>
      <c r="N109" s="132"/>
      <c r="O109" s="132"/>
      <c r="P109" s="132"/>
      <c r="Q109" s="132"/>
      <c r="R109" s="132"/>
      <c r="S109" s="132"/>
      <c r="T109" s="132"/>
      <c r="U109" s="132"/>
      <c r="V109" s="132"/>
      <c r="W109" s="132"/>
      <c r="X109" s="132"/>
      <c r="Y109" s="132"/>
      <c r="Z109" s="132"/>
    </row>
    <row r="110" ht="15.75" customHeight="1">
      <c r="A110" s="146" t="s">
        <v>1430</v>
      </c>
      <c r="B110" s="147" t="s">
        <v>15</v>
      </c>
      <c r="C110" s="148" t="s">
        <v>961</v>
      </c>
      <c r="D110" s="149" t="s">
        <v>25</v>
      </c>
      <c r="E110" s="138" t="s">
        <v>31</v>
      </c>
      <c r="F110" s="147" t="s">
        <v>16</v>
      </c>
      <c r="G110" s="65" t="s">
        <v>43</v>
      </c>
      <c r="H110" s="145" t="s">
        <v>1431</v>
      </c>
      <c r="I110" s="131"/>
      <c r="J110" s="132"/>
      <c r="K110" s="132"/>
      <c r="L110" s="132"/>
      <c r="M110" s="132"/>
      <c r="N110" s="132"/>
      <c r="O110" s="132"/>
      <c r="P110" s="132"/>
      <c r="Q110" s="132"/>
      <c r="R110" s="132"/>
      <c r="S110" s="132"/>
      <c r="T110" s="132"/>
      <c r="U110" s="132"/>
      <c r="V110" s="132"/>
      <c r="W110" s="132"/>
      <c r="X110" s="132"/>
      <c r="Y110" s="132"/>
      <c r="Z110" s="132"/>
    </row>
    <row r="111" ht="15.75" customHeight="1">
      <c r="A111" s="141" t="s">
        <v>965</v>
      </c>
      <c r="B111" s="142" t="s">
        <v>15</v>
      </c>
      <c r="C111" s="143" t="s">
        <v>966</v>
      </c>
      <c r="D111" s="144" t="s">
        <v>25</v>
      </c>
      <c r="E111" s="138" t="s">
        <v>31</v>
      </c>
      <c r="F111" s="142" t="s">
        <v>16</v>
      </c>
      <c r="G111" s="65" t="s">
        <v>43</v>
      </c>
      <c r="H111" s="145" t="s">
        <v>1432</v>
      </c>
      <c r="I111" s="131"/>
      <c r="J111" s="132"/>
      <c r="K111" s="132"/>
      <c r="L111" s="132"/>
      <c r="M111" s="132"/>
      <c r="N111" s="132"/>
      <c r="O111" s="132"/>
      <c r="P111" s="132"/>
      <c r="Q111" s="132"/>
      <c r="R111" s="132"/>
      <c r="S111" s="132"/>
      <c r="T111" s="132"/>
      <c r="U111" s="132"/>
      <c r="V111" s="132"/>
      <c r="W111" s="132"/>
      <c r="X111" s="132"/>
      <c r="Y111" s="132"/>
      <c r="Z111" s="132"/>
    </row>
    <row r="112" ht="15.75" customHeight="1">
      <c r="A112" s="141" t="s">
        <v>971</v>
      </c>
      <c r="B112" s="142" t="s">
        <v>15</v>
      </c>
      <c r="C112" s="143" t="s">
        <v>972</v>
      </c>
      <c r="D112" s="144" t="s">
        <v>25</v>
      </c>
      <c r="E112" s="138" t="s">
        <v>31</v>
      </c>
      <c r="F112" s="142" t="s">
        <v>16</v>
      </c>
      <c r="G112" s="65" t="s">
        <v>43</v>
      </c>
      <c r="H112" s="145" t="s">
        <v>1433</v>
      </c>
      <c r="I112" s="131"/>
      <c r="J112" s="132"/>
      <c r="K112" s="132"/>
      <c r="L112" s="132"/>
      <c r="M112" s="132"/>
      <c r="N112" s="132"/>
      <c r="O112" s="132"/>
      <c r="P112" s="132"/>
      <c r="Q112" s="132"/>
      <c r="R112" s="132"/>
      <c r="S112" s="132"/>
      <c r="T112" s="132"/>
      <c r="U112" s="132"/>
      <c r="V112" s="132"/>
      <c r="W112" s="132"/>
      <c r="X112" s="132"/>
      <c r="Y112" s="132"/>
      <c r="Z112" s="132"/>
    </row>
    <row r="113" ht="15.75" customHeight="1">
      <c r="A113" s="141" t="s">
        <v>977</v>
      </c>
      <c r="B113" s="142" t="s">
        <v>15</v>
      </c>
      <c r="C113" s="143" t="s">
        <v>978</v>
      </c>
      <c r="D113" s="144" t="s">
        <v>25</v>
      </c>
      <c r="E113" s="138" t="s">
        <v>31</v>
      </c>
      <c r="F113" s="142" t="s">
        <v>16</v>
      </c>
      <c r="G113" s="65" t="s">
        <v>43</v>
      </c>
      <c r="H113" s="145" t="s">
        <v>1434</v>
      </c>
      <c r="I113" s="131"/>
      <c r="J113" s="132"/>
      <c r="K113" s="132"/>
      <c r="L113" s="132"/>
      <c r="M113" s="132"/>
      <c r="N113" s="132"/>
      <c r="O113" s="132"/>
      <c r="P113" s="132"/>
      <c r="Q113" s="132"/>
      <c r="R113" s="132"/>
      <c r="S113" s="132"/>
      <c r="T113" s="132"/>
      <c r="U113" s="132"/>
      <c r="V113" s="132"/>
      <c r="W113" s="132"/>
      <c r="X113" s="132"/>
      <c r="Y113" s="132"/>
      <c r="Z113" s="132"/>
    </row>
    <row r="114" ht="15.75" customHeight="1">
      <c r="A114" s="141" t="s">
        <v>983</v>
      </c>
      <c r="B114" s="142" t="s">
        <v>15</v>
      </c>
      <c r="C114" s="143" t="s">
        <v>984</v>
      </c>
      <c r="D114" s="144" t="s">
        <v>25</v>
      </c>
      <c r="E114" s="138" t="s">
        <v>31</v>
      </c>
      <c r="F114" s="142" t="s">
        <v>16</v>
      </c>
      <c r="G114" s="65" t="s">
        <v>43</v>
      </c>
      <c r="H114" s="145" t="s">
        <v>1435</v>
      </c>
      <c r="I114" s="131"/>
      <c r="J114" s="132"/>
      <c r="K114" s="132"/>
      <c r="L114" s="132"/>
      <c r="M114" s="132"/>
      <c r="N114" s="132"/>
      <c r="O114" s="132"/>
      <c r="P114" s="132"/>
      <c r="Q114" s="132"/>
      <c r="R114" s="132"/>
      <c r="S114" s="132"/>
      <c r="T114" s="132"/>
      <c r="U114" s="132"/>
      <c r="V114" s="132"/>
      <c r="W114" s="132"/>
      <c r="X114" s="132"/>
      <c r="Y114" s="132"/>
      <c r="Z114" s="132"/>
    </row>
    <row r="115" ht="15.75" customHeight="1">
      <c r="A115" s="141" t="s">
        <v>988</v>
      </c>
      <c r="B115" s="142" t="s">
        <v>15</v>
      </c>
      <c r="C115" s="143" t="s">
        <v>989</v>
      </c>
      <c r="D115" s="144" t="s">
        <v>25</v>
      </c>
      <c r="E115" s="138" t="s">
        <v>31</v>
      </c>
      <c r="F115" s="142" t="s">
        <v>16</v>
      </c>
      <c r="G115" s="65" t="s">
        <v>43</v>
      </c>
      <c r="H115" s="145"/>
      <c r="I115" s="131"/>
      <c r="J115" s="132"/>
      <c r="K115" s="132"/>
      <c r="L115" s="132"/>
      <c r="M115" s="132"/>
      <c r="N115" s="132"/>
      <c r="O115" s="132"/>
      <c r="P115" s="132"/>
      <c r="Q115" s="132"/>
      <c r="R115" s="132"/>
      <c r="S115" s="132"/>
      <c r="T115" s="132"/>
      <c r="U115" s="132"/>
      <c r="V115" s="132"/>
      <c r="W115" s="132"/>
      <c r="X115" s="132"/>
      <c r="Y115" s="132"/>
      <c r="Z115" s="132"/>
    </row>
    <row r="116" ht="15.75" customHeight="1">
      <c r="A116" s="141" t="s">
        <v>993</v>
      </c>
      <c r="B116" s="142" t="s">
        <v>15</v>
      </c>
      <c r="C116" s="143" t="s">
        <v>994</v>
      </c>
      <c r="D116" s="144" t="s">
        <v>25</v>
      </c>
      <c r="E116" s="138" t="s">
        <v>31</v>
      </c>
      <c r="F116" s="142" t="s">
        <v>16</v>
      </c>
      <c r="G116" s="65" t="s">
        <v>43</v>
      </c>
      <c r="H116" s="145"/>
      <c r="I116" s="131"/>
      <c r="J116" s="132"/>
      <c r="K116" s="132"/>
      <c r="L116" s="132"/>
      <c r="M116" s="132"/>
      <c r="N116" s="132"/>
      <c r="O116" s="132"/>
      <c r="P116" s="132"/>
      <c r="Q116" s="132"/>
      <c r="R116" s="132"/>
      <c r="S116" s="132"/>
      <c r="T116" s="132"/>
      <c r="U116" s="132"/>
      <c r="V116" s="132"/>
      <c r="W116" s="132"/>
      <c r="X116" s="132"/>
      <c r="Y116" s="132"/>
      <c r="Z116" s="132"/>
    </row>
    <row r="117" ht="15.75" customHeight="1">
      <c r="A117" s="141" t="s">
        <v>999</v>
      </c>
      <c r="B117" s="142" t="s">
        <v>15</v>
      </c>
      <c r="C117" s="143" t="s">
        <v>1000</v>
      </c>
      <c r="D117" s="144" t="s">
        <v>25</v>
      </c>
      <c r="E117" s="138" t="s">
        <v>31</v>
      </c>
      <c r="F117" s="142" t="s">
        <v>16</v>
      </c>
      <c r="G117" s="65" t="s">
        <v>43</v>
      </c>
      <c r="H117" s="145"/>
      <c r="I117" s="131"/>
      <c r="J117" s="132"/>
      <c r="K117" s="132"/>
      <c r="L117" s="132"/>
      <c r="M117" s="132"/>
      <c r="N117" s="132"/>
      <c r="O117" s="132"/>
      <c r="P117" s="132"/>
      <c r="Q117" s="132"/>
      <c r="R117" s="132"/>
      <c r="S117" s="132"/>
      <c r="T117" s="132"/>
      <c r="U117" s="132"/>
      <c r="V117" s="132"/>
      <c r="W117" s="132"/>
      <c r="X117" s="132"/>
      <c r="Y117" s="132"/>
      <c r="Z117" s="132"/>
    </row>
    <row r="118" ht="15.75" customHeight="1">
      <c r="A118" s="141" t="s">
        <v>1004</v>
      </c>
      <c r="B118" s="142" t="s">
        <v>15</v>
      </c>
      <c r="C118" s="143" t="s">
        <v>1005</v>
      </c>
      <c r="D118" s="144" t="s">
        <v>25</v>
      </c>
      <c r="E118" s="138" t="s">
        <v>31</v>
      </c>
      <c r="F118" s="142" t="s">
        <v>16</v>
      </c>
      <c r="G118" s="65" t="s">
        <v>43</v>
      </c>
      <c r="H118" s="145"/>
      <c r="I118" s="131"/>
      <c r="J118" s="132"/>
      <c r="K118" s="132"/>
      <c r="L118" s="132"/>
      <c r="M118" s="132"/>
      <c r="N118" s="132"/>
      <c r="O118" s="132"/>
      <c r="P118" s="132"/>
      <c r="Q118" s="132"/>
      <c r="R118" s="132"/>
      <c r="S118" s="132"/>
      <c r="T118" s="132"/>
      <c r="U118" s="132"/>
      <c r="V118" s="132"/>
      <c r="W118" s="132"/>
      <c r="X118" s="132"/>
      <c r="Y118" s="132"/>
      <c r="Z118" s="132"/>
    </row>
    <row r="119" ht="15.75" customHeight="1">
      <c r="A119" s="141" t="s">
        <v>1010</v>
      </c>
      <c r="B119" s="142" t="s">
        <v>15</v>
      </c>
      <c r="C119" s="143" t="s">
        <v>1011</v>
      </c>
      <c r="D119" s="144" t="s">
        <v>25</v>
      </c>
      <c r="E119" s="138" t="s">
        <v>31</v>
      </c>
      <c r="F119" s="142" t="s">
        <v>16</v>
      </c>
      <c r="G119" s="65" t="s">
        <v>43</v>
      </c>
      <c r="H119" s="145"/>
      <c r="I119" s="131"/>
      <c r="J119" s="132"/>
      <c r="K119" s="132"/>
      <c r="L119" s="132"/>
      <c r="M119" s="132"/>
      <c r="N119" s="132"/>
      <c r="O119" s="132"/>
      <c r="P119" s="132"/>
      <c r="Q119" s="132"/>
      <c r="R119" s="132"/>
      <c r="S119" s="132"/>
      <c r="T119" s="132"/>
      <c r="U119" s="132"/>
      <c r="V119" s="132"/>
      <c r="W119" s="132"/>
      <c r="X119" s="132"/>
      <c r="Y119" s="132"/>
      <c r="Z119" s="132"/>
    </row>
    <row r="120" ht="15.75" customHeight="1">
      <c r="A120" s="141" t="s">
        <v>875</v>
      </c>
      <c r="B120" s="142" t="s">
        <v>15</v>
      </c>
      <c r="C120" s="143" t="s">
        <v>876</v>
      </c>
      <c r="D120" s="144" t="s">
        <v>25</v>
      </c>
      <c r="E120" s="138" t="s">
        <v>31</v>
      </c>
      <c r="F120" s="142" t="s">
        <v>16</v>
      </c>
      <c r="G120" s="65" t="s">
        <v>43</v>
      </c>
      <c r="H120" s="145" t="s">
        <v>1436</v>
      </c>
      <c r="I120" s="131"/>
      <c r="J120" s="132"/>
      <c r="K120" s="132"/>
      <c r="L120" s="132"/>
      <c r="M120" s="132"/>
      <c r="N120" s="132"/>
      <c r="O120" s="132"/>
      <c r="P120" s="132"/>
      <c r="Q120" s="132"/>
      <c r="R120" s="132"/>
      <c r="S120" s="132"/>
      <c r="T120" s="132"/>
      <c r="U120" s="132"/>
      <c r="V120" s="132"/>
      <c r="W120" s="132"/>
      <c r="X120" s="132"/>
      <c r="Y120" s="132"/>
      <c r="Z120" s="132"/>
    </row>
    <row r="121" ht="15.75" customHeight="1">
      <c r="A121" s="141" t="s">
        <v>882</v>
      </c>
      <c r="B121" s="142" t="s">
        <v>15</v>
      </c>
      <c r="C121" s="143" t="s">
        <v>883</v>
      </c>
      <c r="D121" s="144" t="s">
        <v>25</v>
      </c>
      <c r="E121" s="138" t="s">
        <v>31</v>
      </c>
      <c r="F121" s="142" t="s">
        <v>16</v>
      </c>
      <c r="G121" s="74" t="s">
        <v>10</v>
      </c>
      <c r="H121" s="145" t="s">
        <v>1437</v>
      </c>
      <c r="I121" s="131"/>
      <c r="J121" s="132"/>
      <c r="K121" s="132"/>
      <c r="L121" s="132"/>
      <c r="M121" s="132"/>
      <c r="N121" s="132"/>
      <c r="O121" s="132"/>
      <c r="P121" s="132"/>
      <c r="Q121" s="132"/>
      <c r="R121" s="132"/>
      <c r="S121" s="132"/>
      <c r="T121" s="132"/>
      <c r="U121" s="132"/>
      <c r="V121" s="132"/>
      <c r="W121" s="132"/>
      <c r="X121" s="132"/>
      <c r="Y121" s="132"/>
      <c r="Z121" s="132"/>
    </row>
    <row r="122" ht="15.75" customHeight="1">
      <c r="A122" s="141" t="s">
        <v>1043</v>
      </c>
      <c r="B122" s="142" t="s">
        <v>15</v>
      </c>
      <c r="C122" s="143" t="s">
        <v>1044</v>
      </c>
      <c r="D122" s="144" t="s">
        <v>25</v>
      </c>
      <c r="E122" s="138" t="s">
        <v>31</v>
      </c>
      <c r="F122" s="142" t="s">
        <v>16</v>
      </c>
      <c r="G122" s="65" t="s">
        <v>43</v>
      </c>
      <c r="H122" s="145" t="s">
        <v>1438</v>
      </c>
      <c r="I122" s="131"/>
      <c r="J122" s="132"/>
      <c r="K122" s="132"/>
      <c r="L122" s="132"/>
      <c r="M122" s="132"/>
      <c r="N122" s="132"/>
      <c r="O122" s="132"/>
      <c r="P122" s="132"/>
      <c r="Q122" s="132"/>
      <c r="R122" s="132"/>
      <c r="S122" s="132"/>
      <c r="T122" s="132"/>
      <c r="U122" s="132"/>
      <c r="V122" s="132"/>
      <c r="W122" s="132"/>
      <c r="X122" s="132"/>
      <c r="Y122" s="132"/>
      <c r="Z122" s="132"/>
    </row>
    <row r="123" ht="15.75" customHeight="1">
      <c r="A123" s="141" t="s">
        <v>1049</v>
      </c>
      <c r="B123" s="142" t="s">
        <v>15</v>
      </c>
      <c r="C123" s="143" t="s">
        <v>1050</v>
      </c>
      <c r="D123" s="144" t="s">
        <v>25</v>
      </c>
      <c r="E123" s="138" t="s">
        <v>31</v>
      </c>
      <c r="F123" s="142" t="s">
        <v>16</v>
      </c>
      <c r="G123" s="65" t="s">
        <v>43</v>
      </c>
      <c r="H123" s="145" t="s">
        <v>1439</v>
      </c>
      <c r="I123" s="131"/>
      <c r="J123" s="132"/>
      <c r="K123" s="132"/>
      <c r="L123" s="132"/>
      <c r="M123" s="132"/>
      <c r="N123" s="132"/>
      <c r="O123" s="132"/>
      <c r="P123" s="132"/>
      <c r="Q123" s="132"/>
      <c r="R123" s="132"/>
      <c r="S123" s="132"/>
      <c r="T123" s="132"/>
      <c r="U123" s="132"/>
      <c r="V123" s="132"/>
      <c r="W123" s="132"/>
      <c r="X123" s="132"/>
      <c r="Y123" s="132"/>
      <c r="Z123" s="132"/>
    </row>
    <row r="124" ht="15.75" customHeight="1">
      <c r="A124" s="141" t="s">
        <v>1054</v>
      </c>
      <c r="B124" s="142" t="s">
        <v>15</v>
      </c>
      <c r="C124" s="143" t="s">
        <v>1055</v>
      </c>
      <c r="D124" s="144" t="s">
        <v>25</v>
      </c>
      <c r="E124" s="138" t="s">
        <v>31</v>
      </c>
      <c r="F124" s="142" t="s">
        <v>16</v>
      </c>
      <c r="G124" s="65" t="s">
        <v>43</v>
      </c>
      <c r="H124" s="145" t="s">
        <v>1440</v>
      </c>
      <c r="I124" s="131"/>
      <c r="J124" s="132"/>
      <c r="K124" s="132"/>
      <c r="L124" s="132"/>
      <c r="M124" s="132"/>
      <c r="N124" s="132"/>
      <c r="O124" s="132"/>
      <c r="P124" s="132"/>
      <c r="Q124" s="132"/>
      <c r="R124" s="132"/>
      <c r="S124" s="132"/>
      <c r="T124" s="132"/>
      <c r="U124" s="132"/>
      <c r="V124" s="132"/>
      <c r="W124" s="132"/>
      <c r="X124" s="132"/>
      <c r="Y124" s="132"/>
      <c r="Z124" s="132"/>
    </row>
    <row r="125" ht="15.75" customHeight="1">
      <c r="A125" s="141" t="s">
        <v>1060</v>
      </c>
      <c r="B125" s="142" t="s">
        <v>15</v>
      </c>
      <c r="C125" s="143" t="s">
        <v>1441</v>
      </c>
      <c r="D125" s="144" t="s">
        <v>25</v>
      </c>
      <c r="E125" s="138" t="s">
        <v>31</v>
      </c>
      <c r="F125" s="142" t="s">
        <v>16</v>
      </c>
      <c r="G125" s="65" t="s">
        <v>43</v>
      </c>
      <c r="H125" s="145" t="s">
        <v>1442</v>
      </c>
      <c r="I125" s="131"/>
      <c r="J125" s="132"/>
      <c r="K125" s="132"/>
      <c r="L125" s="132"/>
      <c r="M125" s="132"/>
      <c r="N125" s="132"/>
      <c r="O125" s="132"/>
      <c r="P125" s="132"/>
      <c r="Q125" s="132"/>
      <c r="R125" s="132"/>
      <c r="S125" s="132"/>
      <c r="T125" s="132"/>
      <c r="U125" s="132"/>
      <c r="V125" s="132"/>
      <c r="W125" s="132"/>
      <c r="X125" s="132"/>
      <c r="Y125" s="132"/>
      <c r="Z125" s="132"/>
    </row>
    <row r="126" ht="15.75" customHeight="1">
      <c r="A126" s="141" t="s">
        <v>1065</v>
      </c>
      <c r="B126" s="142" t="s">
        <v>15</v>
      </c>
      <c r="C126" s="143" t="s">
        <v>1066</v>
      </c>
      <c r="D126" s="144" t="s">
        <v>25</v>
      </c>
      <c r="E126" s="138" t="s">
        <v>31</v>
      </c>
      <c r="F126" s="142" t="s">
        <v>16</v>
      </c>
      <c r="G126" s="65" t="s">
        <v>43</v>
      </c>
      <c r="H126" s="145" t="s">
        <v>1443</v>
      </c>
      <c r="I126" s="131"/>
      <c r="J126" s="132"/>
      <c r="K126" s="132"/>
      <c r="L126" s="132"/>
      <c r="M126" s="132"/>
      <c r="N126" s="132"/>
      <c r="O126" s="132"/>
      <c r="P126" s="132"/>
      <c r="Q126" s="132"/>
      <c r="R126" s="132"/>
      <c r="S126" s="132"/>
      <c r="T126" s="132"/>
      <c r="U126" s="132"/>
      <c r="V126" s="132"/>
      <c r="W126" s="132"/>
      <c r="X126" s="132"/>
      <c r="Y126" s="132"/>
      <c r="Z126" s="132"/>
    </row>
    <row r="127" ht="15.75" customHeight="1">
      <c r="A127" s="141" t="s">
        <v>1072</v>
      </c>
      <c r="B127" s="142" t="s">
        <v>15</v>
      </c>
      <c r="C127" s="143" t="s">
        <v>1073</v>
      </c>
      <c r="D127" s="144" t="s">
        <v>25</v>
      </c>
      <c r="E127" s="138" t="s">
        <v>31</v>
      </c>
      <c r="F127" s="142" t="s">
        <v>16</v>
      </c>
      <c r="G127" s="65" t="s">
        <v>43</v>
      </c>
      <c r="H127" s="145" t="s">
        <v>1444</v>
      </c>
      <c r="I127" s="131"/>
      <c r="J127" s="132"/>
      <c r="K127" s="132"/>
      <c r="L127" s="132"/>
      <c r="M127" s="132"/>
      <c r="N127" s="132"/>
      <c r="O127" s="132"/>
      <c r="P127" s="132"/>
      <c r="Q127" s="132"/>
      <c r="R127" s="132"/>
      <c r="S127" s="132"/>
      <c r="T127" s="132"/>
      <c r="U127" s="132"/>
      <c r="V127" s="132"/>
      <c r="W127" s="132"/>
      <c r="X127" s="132"/>
      <c r="Y127" s="132"/>
      <c r="Z127" s="132"/>
    </row>
    <row r="128" ht="15.75" customHeight="1">
      <c r="A128" s="141" t="s">
        <v>1078</v>
      </c>
      <c r="B128" s="142" t="s">
        <v>15</v>
      </c>
      <c r="C128" s="143" t="s">
        <v>1079</v>
      </c>
      <c r="D128" s="144" t="s">
        <v>25</v>
      </c>
      <c r="E128" s="138" t="s">
        <v>31</v>
      </c>
      <c r="F128" s="142" t="s">
        <v>16</v>
      </c>
      <c r="G128" s="65" t="s">
        <v>43</v>
      </c>
      <c r="H128" s="145"/>
      <c r="I128" s="131"/>
      <c r="J128" s="132"/>
      <c r="K128" s="132"/>
      <c r="L128" s="132"/>
      <c r="M128" s="132"/>
      <c r="N128" s="132"/>
      <c r="O128" s="132"/>
      <c r="P128" s="132"/>
      <c r="Q128" s="132"/>
      <c r="R128" s="132"/>
      <c r="S128" s="132"/>
      <c r="T128" s="132"/>
      <c r="U128" s="132"/>
      <c r="V128" s="132"/>
      <c r="W128" s="132"/>
      <c r="X128" s="132"/>
      <c r="Y128" s="132"/>
      <c r="Z128" s="132"/>
    </row>
    <row r="129" ht="15.75" customHeight="1">
      <c r="A129" s="141" t="s">
        <v>1083</v>
      </c>
      <c r="B129" s="142" t="s">
        <v>15</v>
      </c>
      <c r="C129" s="143" t="s">
        <v>1084</v>
      </c>
      <c r="D129" s="144" t="s">
        <v>25</v>
      </c>
      <c r="E129" s="138" t="s">
        <v>31</v>
      </c>
      <c r="F129" s="142" t="s">
        <v>16</v>
      </c>
      <c r="G129" s="65" t="s">
        <v>43</v>
      </c>
      <c r="H129" s="145"/>
      <c r="I129" s="131"/>
      <c r="J129" s="132"/>
      <c r="K129" s="132"/>
      <c r="L129" s="132"/>
      <c r="M129" s="132"/>
      <c r="N129" s="132"/>
      <c r="O129" s="132"/>
      <c r="P129" s="132"/>
      <c r="Q129" s="132"/>
      <c r="R129" s="132"/>
      <c r="S129" s="132"/>
      <c r="T129" s="132"/>
      <c r="U129" s="132"/>
      <c r="V129" s="132"/>
      <c r="W129" s="132"/>
      <c r="X129" s="132"/>
      <c r="Y129" s="132"/>
      <c r="Z129" s="132"/>
    </row>
    <row r="130" ht="15.75" customHeight="1">
      <c r="A130" s="141" t="s">
        <v>1231</v>
      </c>
      <c r="B130" s="142" t="s">
        <v>15</v>
      </c>
      <c r="C130" s="143" t="s">
        <v>1232</v>
      </c>
      <c r="D130" s="144" t="s">
        <v>25</v>
      </c>
      <c r="E130" s="138" t="s">
        <v>31</v>
      </c>
      <c r="F130" s="142" t="s">
        <v>16</v>
      </c>
      <c r="G130" s="65" t="s">
        <v>43</v>
      </c>
      <c r="H130" s="145" t="s">
        <v>1445</v>
      </c>
      <c r="I130" s="131"/>
      <c r="J130" s="132"/>
      <c r="K130" s="132"/>
      <c r="L130" s="132"/>
      <c r="M130" s="132"/>
      <c r="N130" s="132"/>
      <c r="O130" s="132"/>
      <c r="P130" s="132"/>
      <c r="Q130" s="132"/>
      <c r="R130" s="132"/>
      <c r="S130" s="132"/>
      <c r="T130" s="132"/>
      <c r="U130" s="132"/>
      <c r="V130" s="132"/>
      <c r="W130" s="132"/>
      <c r="X130" s="132"/>
      <c r="Y130" s="132"/>
      <c r="Z130" s="132"/>
    </row>
    <row r="131" ht="15.75" customHeight="1">
      <c r="A131" s="141" t="s">
        <v>1260</v>
      </c>
      <c r="B131" s="142" t="s">
        <v>15</v>
      </c>
      <c r="C131" s="143" t="s">
        <v>1261</v>
      </c>
      <c r="D131" s="144" t="s">
        <v>25</v>
      </c>
      <c r="E131" s="138" t="s">
        <v>31</v>
      </c>
      <c r="F131" s="142" t="s">
        <v>16</v>
      </c>
      <c r="G131" s="65" t="s">
        <v>43</v>
      </c>
      <c r="H131" s="145" t="s">
        <v>1446</v>
      </c>
      <c r="I131" s="131"/>
      <c r="J131" s="132"/>
      <c r="K131" s="132"/>
      <c r="L131" s="132"/>
      <c r="M131" s="132"/>
      <c r="N131" s="132"/>
      <c r="O131" s="132"/>
      <c r="P131" s="132"/>
      <c r="Q131" s="132"/>
      <c r="R131" s="132"/>
      <c r="S131" s="132"/>
      <c r="T131" s="132"/>
      <c r="U131" s="132"/>
      <c r="V131" s="132"/>
      <c r="W131" s="132"/>
      <c r="X131" s="132"/>
      <c r="Y131" s="132"/>
      <c r="Z131" s="132"/>
    </row>
    <row r="132" ht="15.75" customHeight="1">
      <c r="A132" s="141" t="s">
        <v>1300</v>
      </c>
      <c r="B132" s="142" t="s">
        <v>15</v>
      </c>
      <c r="C132" s="143" t="s">
        <v>1301</v>
      </c>
      <c r="D132" s="144" t="s">
        <v>25</v>
      </c>
      <c r="E132" s="138" t="s">
        <v>31</v>
      </c>
      <c r="F132" s="142" t="s">
        <v>16</v>
      </c>
      <c r="G132" s="65" t="s">
        <v>43</v>
      </c>
      <c r="H132" s="145" t="s">
        <v>1447</v>
      </c>
      <c r="I132" s="131"/>
      <c r="J132" s="132"/>
      <c r="K132" s="132"/>
      <c r="L132" s="132"/>
      <c r="M132" s="132"/>
      <c r="N132" s="132"/>
      <c r="O132" s="132"/>
      <c r="P132" s="132"/>
      <c r="Q132" s="132"/>
      <c r="R132" s="132"/>
      <c r="S132" s="132"/>
      <c r="T132" s="132"/>
      <c r="U132" s="132"/>
      <c r="V132" s="132"/>
      <c r="W132" s="132"/>
      <c r="X132" s="132"/>
      <c r="Y132" s="132"/>
      <c r="Z132" s="132"/>
    </row>
    <row r="133" ht="15.75" customHeight="1">
      <c r="A133" s="141" t="s">
        <v>1304</v>
      </c>
      <c r="B133" s="142" t="s">
        <v>15</v>
      </c>
      <c r="C133" s="143" t="s">
        <v>1305</v>
      </c>
      <c r="D133" s="144" t="s">
        <v>25</v>
      </c>
      <c r="E133" s="138" t="s">
        <v>31</v>
      </c>
      <c r="F133" s="142" t="s">
        <v>16</v>
      </c>
      <c r="G133" s="65" t="s">
        <v>43</v>
      </c>
      <c r="H133" s="145"/>
      <c r="I133" s="132"/>
      <c r="J133" s="132"/>
      <c r="K133" s="132"/>
      <c r="L133" s="132"/>
      <c r="M133" s="132"/>
      <c r="N133" s="132"/>
      <c r="O133" s="132"/>
      <c r="P133" s="132"/>
      <c r="Q133" s="132"/>
      <c r="R133" s="132"/>
      <c r="S133" s="132"/>
      <c r="T133" s="132"/>
      <c r="U133" s="132"/>
      <c r="V133" s="132"/>
      <c r="W133" s="132"/>
      <c r="X133" s="132"/>
      <c r="Y133" s="132"/>
      <c r="Z133" s="132"/>
    </row>
    <row r="134" ht="15.75" customHeight="1">
      <c r="A134" s="150"/>
      <c r="B134" s="132"/>
      <c r="C134" s="132"/>
      <c r="D134" s="132"/>
      <c r="E134" s="132"/>
      <c r="F134" s="132"/>
      <c r="G134" s="132"/>
      <c r="H134" s="132"/>
      <c r="I134" s="132"/>
      <c r="J134" s="132"/>
      <c r="K134" s="132"/>
      <c r="L134" s="132"/>
      <c r="M134" s="132"/>
      <c r="N134" s="132"/>
      <c r="O134" s="132"/>
      <c r="P134" s="132"/>
      <c r="Q134" s="132"/>
      <c r="R134" s="132"/>
      <c r="S134" s="132"/>
      <c r="T134" s="132"/>
      <c r="U134" s="132"/>
      <c r="V134" s="132"/>
      <c r="W134" s="132"/>
      <c r="X134" s="132"/>
      <c r="Y134" s="132"/>
      <c r="Z134" s="132"/>
    </row>
    <row r="135" ht="15.75" customHeight="1">
      <c r="A135" s="150"/>
      <c r="B135" s="132"/>
      <c r="C135" s="132"/>
      <c r="D135" s="132"/>
      <c r="E135" s="132"/>
      <c r="F135" s="132"/>
      <c r="G135" s="132"/>
      <c r="H135" s="132"/>
      <c r="I135" s="132"/>
      <c r="J135" s="132"/>
      <c r="K135" s="132"/>
      <c r="L135" s="132"/>
      <c r="M135" s="132"/>
      <c r="N135" s="132"/>
      <c r="O135" s="132"/>
      <c r="P135" s="132"/>
      <c r="Q135" s="132"/>
      <c r="R135" s="132"/>
      <c r="S135" s="132"/>
      <c r="T135" s="132"/>
      <c r="U135" s="132"/>
      <c r="V135" s="132"/>
      <c r="W135" s="132"/>
      <c r="X135" s="132"/>
      <c r="Y135" s="132"/>
      <c r="Z135" s="132"/>
    </row>
    <row r="136" ht="15.75" customHeight="1">
      <c r="A136" s="150"/>
      <c r="B136" s="132"/>
      <c r="C136" s="132"/>
      <c r="D136" s="132"/>
      <c r="E136" s="132"/>
      <c r="F136" s="132"/>
      <c r="G136" s="132"/>
      <c r="H136" s="132"/>
      <c r="I136" s="132"/>
      <c r="J136" s="132"/>
      <c r="K136" s="132"/>
      <c r="L136" s="132"/>
      <c r="M136" s="132"/>
      <c r="N136" s="132"/>
      <c r="O136" s="132"/>
      <c r="P136" s="132"/>
      <c r="Q136" s="132"/>
      <c r="R136" s="132"/>
      <c r="S136" s="132"/>
      <c r="T136" s="132"/>
      <c r="U136" s="132"/>
      <c r="V136" s="132"/>
      <c r="W136" s="132"/>
      <c r="X136" s="132"/>
      <c r="Y136" s="132"/>
      <c r="Z136" s="132"/>
    </row>
    <row r="137" ht="15.75" customHeight="1">
      <c r="A137" s="150"/>
      <c r="B137" s="132"/>
      <c r="C137" s="132"/>
      <c r="D137" s="132"/>
      <c r="E137" s="132"/>
      <c r="F137" s="132"/>
      <c r="G137" s="132"/>
      <c r="H137" s="132"/>
      <c r="I137" s="132"/>
      <c r="J137" s="132"/>
      <c r="K137" s="132"/>
      <c r="L137" s="132"/>
      <c r="M137" s="132"/>
      <c r="N137" s="132"/>
      <c r="O137" s="132"/>
      <c r="P137" s="132"/>
      <c r="Q137" s="132"/>
      <c r="R137" s="132"/>
      <c r="S137" s="132"/>
      <c r="T137" s="132"/>
      <c r="U137" s="132"/>
      <c r="V137" s="132"/>
      <c r="W137" s="132"/>
      <c r="X137" s="132"/>
      <c r="Y137" s="132"/>
      <c r="Z137" s="132"/>
    </row>
    <row r="138" ht="15.75" customHeight="1">
      <c r="A138" s="150"/>
      <c r="B138" s="132"/>
      <c r="C138" s="132"/>
      <c r="D138" s="132"/>
      <c r="E138" s="132"/>
      <c r="F138" s="132"/>
      <c r="G138" s="132"/>
      <c r="H138" s="132"/>
      <c r="I138" s="132"/>
      <c r="J138" s="132"/>
      <c r="K138" s="132"/>
      <c r="L138" s="132"/>
      <c r="M138" s="132"/>
      <c r="N138" s="132"/>
      <c r="O138" s="132"/>
      <c r="P138" s="132"/>
      <c r="Q138" s="132"/>
      <c r="R138" s="132"/>
      <c r="S138" s="132"/>
      <c r="T138" s="132"/>
      <c r="U138" s="132"/>
      <c r="V138" s="132"/>
      <c r="W138" s="132"/>
      <c r="X138" s="132"/>
      <c r="Y138" s="132"/>
      <c r="Z138" s="132"/>
    </row>
    <row r="139" ht="15.75" customHeight="1">
      <c r="A139" s="150"/>
      <c r="B139" s="132"/>
      <c r="C139" s="132"/>
      <c r="D139" s="132"/>
      <c r="E139" s="132"/>
      <c r="F139" s="132"/>
      <c r="G139" s="132"/>
      <c r="H139" s="132"/>
      <c r="I139" s="132"/>
      <c r="J139" s="132"/>
      <c r="K139" s="132"/>
      <c r="L139" s="132"/>
      <c r="M139" s="132"/>
      <c r="N139" s="132"/>
      <c r="O139" s="132"/>
      <c r="P139" s="132"/>
      <c r="Q139" s="132"/>
      <c r="R139" s="132"/>
      <c r="S139" s="132"/>
      <c r="T139" s="132"/>
      <c r="U139" s="132"/>
      <c r="V139" s="132"/>
      <c r="W139" s="132"/>
      <c r="X139" s="132"/>
      <c r="Y139" s="132"/>
      <c r="Z139" s="132"/>
    </row>
    <row r="140" ht="15.75" customHeight="1">
      <c r="A140" s="150"/>
      <c r="B140" s="132"/>
      <c r="C140" s="132"/>
      <c r="D140" s="132"/>
      <c r="E140" s="132"/>
      <c r="F140" s="132"/>
      <c r="G140" s="132"/>
      <c r="H140" s="132"/>
      <c r="I140" s="132"/>
      <c r="J140" s="132"/>
      <c r="K140" s="132"/>
      <c r="L140" s="132"/>
      <c r="M140" s="132"/>
      <c r="N140" s="132"/>
      <c r="O140" s="132"/>
      <c r="P140" s="132"/>
      <c r="Q140" s="132"/>
      <c r="R140" s="132"/>
      <c r="S140" s="132"/>
      <c r="T140" s="132"/>
      <c r="U140" s="132"/>
      <c r="V140" s="132"/>
      <c r="W140" s="132"/>
      <c r="X140" s="132"/>
      <c r="Y140" s="132"/>
      <c r="Z140" s="132"/>
    </row>
    <row r="141" ht="15.75" customHeight="1">
      <c r="A141" s="150"/>
      <c r="B141" s="132"/>
      <c r="C141" s="132"/>
      <c r="D141" s="132"/>
      <c r="E141" s="132"/>
      <c r="F141" s="132"/>
      <c r="G141" s="132"/>
      <c r="H141" s="132"/>
      <c r="I141" s="132"/>
      <c r="J141" s="132"/>
      <c r="K141" s="132"/>
      <c r="L141" s="132"/>
      <c r="M141" s="132"/>
      <c r="N141" s="132"/>
      <c r="O141" s="132"/>
      <c r="P141" s="132"/>
      <c r="Q141" s="132"/>
      <c r="R141" s="132"/>
      <c r="S141" s="132"/>
      <c r="T141" s="132"/>
      <c r="U141" s="132"/>
      <c r="V141" s="132"/>
      <c r="W141" s="132"/>
      <c r="X141" s="132"/>
      <c r="Y141" s="132"/>
      <c r="Z141" s="132"/>
    </row>
    <row r="142" ht="15.75" customHeight="1">
      <c r="A142" s="150"/>
      <c r="B142" s="132"/>
      <c r="C142" s="132"/>
      <c r="D142" s="132"/>
      <c r="E142" s="132"/>
      <c r="F142" s="132"/>
      <c r="G142" s="132"/>
      <c r="H142" s="132"/>
      <c r="I142" s="132"/>
      <c r="J142" s="132"/>
      <c r="K142" s="132"/>
      <c r="L142" s="132"/>
      <c r="M142" s="132"/>
      <c r="N142" s="132"/>
      <c r="O142" s="132"/>
      <c r="P142" s="132"/>
      <c r="Q142" s="132"/>
      <c r="R142" s="132"/>
      <c r="S142" s="132"/>
      <c r="T142" s="132"/>
      <c r="U142" s="132"/>
      <c r="V142" s="132"/>
      <c r="W142" s="132"/>
      <c r="X142" s="132"/>
      <c r="Y142" s="132"/>
      <c r="Z142" s="132"/>
    </row>
    <row r="143" ht="15.75" customHeight="1">
      <c r="A143" s="150"/>
      <c r="B143" s="132"/>
      <c r="C143" s="132"/>
      <c r="D143" s="132"/>
      <c r="E143" s="132"/>
      <c r="F143" s="132"/>
      <c r="G143" s="132"/>
      <c r="H143" s="132"/>
      <c r="I143" s="132"/>
      <c r="J143" s="132"/>
      <c r="K143" s="132"/>
      <c r="L143" s="132"/>
      <c r="M143" s="132"/>
      <c r="N143" s="132"/>
      <c r="O143" s="132"/>
      <c r="P143" s="132"/>
      <c r="Q143" s="132"/>
      <c r="R143" s="132"/>
      <c r="S143" s="132"/>
      <c r="T143" s="132"/>
      <c r="U143" s="132"/>
      <c r="V143" s="132"/>
      <c r="W143" s="132"/>
      <c r="X143" s="132"/>
      <c r="Y143" s="132"/>
      <c r="Z143" s="132"/>
    </row>
    <row r="144" ht="15.75" customHeight="1">
      <c r="A144" s="150"/>
      <c r="B144" s="132"/>
      <c r="C144" s="132"/>
      <c r="D144" s="132"/>
      <c r="E144" s="132"/>
      <c r="F144" s="132"/>
      <c r="G144" s="132"/>
      <c r="H144" s="132"/>
      <c r="I144" s="132"/>
      <c r="J144" s="132"/>
      <c r="K144" s="132"/>
      <c r="L144" s="132"/>
      <c r="M144" s="132"/>
      <c r="N144" s="132"/>
      <c r="O144" s="132"/>
      <c r="P144" s="132"/>
      <c r="Q144" s="132"/>
      <c r="R144" s="132"/>
      <c r="S144" s="132"/>
      <c r="T144" s="132"/>
      <c r="U144" s="132"/>
      <c r="V144" s="132"/>
      <c r="W144" s="132"/>
      <c r="X144" s="132"/>
      <c r="Y144" s="132"/>
      <c r="Z144" s="132"/>
    </row>
    <row r="145" ht="15.75" customHeight="1">
      <c r="A145" s="150"/>
      <c r="B145" s="132"/>
      <c r="C145" s="132"/>
      <c r="D145" s="132"/>
      <c r="E145" s="132"/>
      <c r="F145" s="132"/>
      <c r="G145" s="132"/>
      <c r="H145" s="132"/>
      <c r="I145" s="132"/>
      <c r="J145" s="132"/>
      <c r="K145" s="132"/>
      <c r="L145" s="132"/>
      <c r="M145" s="132"/>
      <c r="N145" s="132"/>
      <c r="O145" s="132"/>
      <c r="P145" s="132"/>
      <c r="Q145" s="132"/>
      <c r="R145" s="132"/>
      <c r="S145" s="132"/>
      <c r="T145" s="132"/>
      <c r="U145" s="132"/>
      <c r="V145" s="132"/>
      <c r="W145" s="132"/>
      <c r="X145" s="132"/>
      <c r="Y145" s="132"/>
      <c r="Z145" s="132"/>
    </row>
    <row r="146" ht="15.75" customHeight="1">
      <c r="A146" s="150"/>
      <c r="B146" s="132"/>
      <c r="C146" s="132"/>
      <c r="D146" s="132"/>
      <c r="E146" s="132"/>
      <c r="F146" s="132"/>
      <c r="G146" s="132"/>
      <c r="H146" s="132"/>
      <c r="I146" s="132"/>
      <c r="J146" s="132"/>
      <c r="K146" s="132"/>
      <c r="L146" s="132"/>
      <c r="M146" s="132"/>
      <c r="N146" s="132"/>
      <c r="O146" s="132"/>
      <c r="P146" s="132"/>
      <c r="Q146" s="132"/>
      <c r="R146" s="132"/>
      <c r="S146" s="132"/>
      <c r="T146" s="132"/>
      <c r="U146" s="132"/>
      <c r="V146" s="132"/>
      <c r="W146" s="132"/>
      <c r="X146" s="132"/>
      <c r="Y146" s="132"/>
      <c r="Z146" s="132"/>
    </row>
    <row r="147" ht="15.75" customHeight="1">
      <c r="A147" s="150"/>
      <c r="B147" s="132"/>
      <c r="C147" s="132"/>
      <c r="D147" s="132"/>
      <c r="E147" s="132"/>
      <c r="F147" s="132"/>
      <c r="G147" s="132"/>
      <c r="H147" s="132"/>
      <c r="I147" s="132"/>
      <c r="J147" s="132"/>
      <c r="K147" s="132"/>
      <c r="L147" s="132"/>
      <c r="M147" s="132"/>
      <c r="N147" s="132"/>
      <c r="O147" s="132"/>
      <c r="P147" s="132"/>
      <c r="Q147" s="132"/>
      <c r="R147" s="132"/>
      <c r="S147" s="132"/>
      <c r="T147" s="132"/>
      <c r="U147" s="132"/>
      <c r="V147" s="132"/>
      <c r="W147" s="132"/>
      <c r="X147" s="132"/>
      <c r="Y147" s="132"/>
      <c r="Z147" s="132"/>
    </row>
    <row r="148" ht="15.75" customHeight="1">
      <c r="A148" s="150"/>
      <c r="B148" s="132"/>
      <c r="C148" s="132"/>
      <c r="D148" s="132"/>
      <c r="E148" s="132"/>
      <c r="F148" s="132"/>
      <c r="G148" s="132"/>
      <c r="H148" s="132"/>
      <c r="I148" s="132"/>
      <c r="J148" s="132"/>
      <c r="K148" s="132"/>
      <c r="L148" s="132"/>
      <c r="M148" s="132"/>
      <c r="N148" s="132"/>
      <c r="O148" s="132"/>
      <c r="P148" s="132"/>
      <c r="Q148" s="132"/>
      <c r="R148" s="132"/>
      <c r="S148" s="132"/>
      <c r="T148" s="132"/>
      <c r="U148" s="132"/>
      <c r="V148" s="132"/>
      <c r="W148" s="132"/>
      <c r="X148" s="132"/>
      <c r="Y148" s="132"/>
      <c r="Z148" s="132"/>
    </row>
    <row r="149" ht="15.75" customHeight="1">
      <c r="A149" s="150"/>
      <c r="B149" s="132"/>
      <c r="C149" s="132"/>
      <c r="D149" s="132"/>
      <c r="E149" s="132"/>
      <c r="F149" s="132"/>
      <c r="G149" s="132"/>
      <c r="H149" s="132"/>
      <c r="I149" s="132"/>
      <c r="J149" s="132"/>
      <c r="K149" s="132"/>
      <c r="L149" s="132"/>
      <c r="M149" s="132"/>
      <c r="N149" s="132"/>
      <c r="O149" s="132"/>
      <c r="P149" s="132"/>
      <c r="Q149" s="132"/>
      <c r="R149" s="132"/>
      <c r="S149" s="132"/>
      <c r="T149" s="132"/>
      <c r="U149" s="132"/>
      <c r="V149" s="132"/>
      <c r="W149" s="132"/>
      <c r="X149" s="132"/>
      <c r="Y149" s="132"/>
      <c r="Z149" s="132"/>
    </row>
    <row r="150" ht="15.75" customHeight="1">
      <c r="A150" s="150"/>
      <c r="B150" s="132"/>
      <c r="C150" s="132"/>
      <c r="D150" s="132"/>
      <c r="E150" s="132"/>
      <c r="F150" s="132"/>
      <c r="G150" s="132"/>
      <c r="H150" s="132"/>
      <c r="I150" s="132"/>
      <c r="J150" s="132"/>
      <c r="K150" s="132"/>
      <c r="L150" s="132"/>
      <c r="M150" s="132"/>
      <c r="N150" s="132"/>
      <c r="O150" s="132"/>
      <c r="P150" s="132"/>
      <c r="Q150" s="132"/>
      <c r="R150" s="132"/>
      <c r="S150" s="132"/>
      <c r="T150" s="132"/>
      <c r="U150" s="132"/>
      <c r="V150" s="132"/>
      <c r="W150" s="132"/>
      <c r="X150" s="132"/>
      <c r="Y150" s="132"/>
      <c r="Z150" s="132"/>
    </row>
    <row r="151" ht="15.75" customHeight="1">
      <c r="A151" s="150"/>
      <c r="B151" s="132"/>
      <c r="C151" s="132"/>
      <c r="D151" s="132"/>
      <c r="E151" s="132"/>
      <c r="F151" s="132"/>
      <c r="G151" s="132"/>
      <c r="H151" s="132"/>
      <c r="I151" s="132"/>
      <c r="J151" s="132"/>
      <c r="K151" s="132"/>
      <c r="L151" s="132"/>
      <c r="M151" s="132"/>
      <c r="N151" s="132"/>
      <c r="O151" s="132"/>
      <c r="P151" s="132"/>
      <c r="Q151" s="132"/>
      <c r="R151" s="132"/>
      <c r="S151" s="132"/>
      <c r="T151" s="132"/>
      <c r="U151" s="132"/>
      <c r="V151" s="132"/>
      <c r="W151" s="132"/>
      <c r="X151" s="132"/>
      <c r="Y151" s="132"/>
      <c r="Z151" s="132"/>
    </row>
    <row r="152" ht="15.75" customHeight="1">
      <c r="A152" s="150"/>
      <c r="B152" s="132"/>
      <c r="C152" s="132"/>
      <c r="D152" s="132"/>
      <c r="E152" s="132"/>
      <c r="F152" s="132"/>
      <c r="G152" s="132"/>
      <c r="H152" s="132"/>
      <c r="I152" s="132"/>
      <c r="J152" s="132"/>
      <c r="K152" s="132"/>
      <c r="L152" s="132"/>
      <c r="M152" s="132"/>
      <c r="N152" s="132"/>
      <c r="O152" s="132"/>
      <c r="P152" s="132"/>
      <c r="Q152" s="132"/>
      <c r="R152" s="132"/>
      <c r="S152" s="132"/>
      <c r="T152" s="132"/>
      <c r="U152" s="132"/>
      <c r="V152" s="132"/>
      <c r="W152" s="132"/>
      <c r="X152" s="132"/>
      <c r="Y152" s="132"/>
      <c r="Z152" s="132"/>
    </row>
    <row r="153" ht="15.75" customHeight="1">
      <c r="A153" s="150"/>
      <c r="B153" s="132"/>
      <c r="C153" s="132"/>
      <c r="D153" s="132"/>
      <c r="E153" s="132"/>
      <c r="F153" s="132"/>
      <c r="G153" s="132"/>
      <c r="H153" s="132"/>
      <c r="I153" s="132"/>
      <c r="J153" s="132"/>
      <c r="K153" s="132"/>
      <c r="L153" s="132"/>
      <c r="M153" s="132"/>
      <c r="N153" s="132"/>
      <c r="O153" s="132"/>
      <c r="P153" s="132"/>
      <c r="Q153" s="132"/>
      <c r="R153" s="132"/>
      <c r="S153" s="132"/>
      <c r="T153" s="132"/>
      <c r="U153" s="132"/>
      <c r="V153" s="132"/>
      <c r="W153" s="132"/>
      <c r="X153" s="132"/>
      <c r="Y153" s="132"/>
      <c r="Z153" s="132"/>
    </row>
    <row r="154" ht="15.75" customHeight="1">
      <c r="A154" s="150"/>
      <c r="B154" s="132"/>
      <c r="C154" s="132"/>
      <c r="D154" s="132"/>
      <c r="E154" s="132"/>
      <c r="F154" s="132"/>
      <c r="G154" s="132"/>
      <c r="H154" s="132"/>
      <c r="I154" s="132"/>
      <c r="J154" s="132"/>
      <c r="K154" s="132"/>
      <c r="L154" s="132"/>
      <c r="M154" s="132"/>
      <c r="N154" s="132"/>
      <c r="O154" s="132"/>
      <c r="P154" s="132"/>
      <c r="Q154" s="132"/>
      <c r="R154" s="132"/>
      <c r="S154" s="132"/>
      <c r="T154" s="132"/>
      <c r="U154" s="132"/>
      <c r="V154" s="132"/>
      <c r="W154" s="132"/>
      <c r="X154" s="132"/>
      <c r="Y154" s="132"/>
      <c r="Z154" s="132"/>
    </row>
    <row r="155" ht="15.75" customHeight="1">
      <c r="A155" s="150"/>
      <c r="B155" s="132"/>
      <c r="C155" s="132"/>
      <c r="D155" s="132"/>
      <c r="E155" s="132"/>
      <c r="F155" s="132"/>
      <c r="G155" s="132"/>
      <c r="H155" s="132"/>
      <c r="I155" s="132"/>
      <c r="J155" s="132"/>
      <c r="K155" s="132"/>
      <c r="L155" s="132"/>
      <c r="M155" s="132"/>
      <c r="N155" s="132"/>
      <c r="O155" s="132"/>
      <c r="P155" s="132"/>
      <c r="Q155" s="132"/>
      <c r="R155" s="132"/>
      <c r="S155" s="132"/>
      <c r="T155" s="132"/>
      <c r="U155" s="132"/>
      <c r="V155" s="132"/>
      <c r="W155" s="132"/>
      <c r="X155" s="132"/>
      <c r="Y155" s="132"/>
      <c r="Z155" s="132"/>
    </row>
    <row r="156" ht="15.75" customHeight="1">
      <c r="A156" s="150"/>
      <c r="B156" s="132"/>
      <c r="C156" s="132"/>
      <c r="D156" s="132"/>
      <c r="E156" s="132"/>
      <c r="F156" s="132"/>
      <c r="G156" s="132"/>
      <c r="H156" s="132"/>
      <c r="I156" s="132"/>
      <c r="J156" s="132"/>
      <c r="K156" s="132"/>
      <c r="L156" s="132"/>
      <c r="M156" s="132"/>
      <c r="N156" s="132"/>
      <c r="O156" s="132"/>
      <c r="P156" s="132"/>
      <c r="Q156" s="132"/>
      <c r="R156" s="132"/>
      <c r="S156" s="132"/>
      <c r="T156" s="132"/>
      <c r="U156" s="132"/>
      <c r="V156" s="132"/>
      <c r="W156" s="132"/>
      <c r="X156" s="132"/>
      <c r="Y156" s="132"/>
      <c r="Z156" s="132"/>
    </row>
    <row r="157" ht="15.75" customHeight="1">
      <c r="A157" s="150"/>
      <c r="B157" s="132"/>
      <c r="C157" s="132"/>
      <c r="D157" s="132"/>
      <c r="E157" s="132"/>
      <c r="F157" s="132"/>
      <c r="G157" s="132"/>
      <c r="H157" s="132"/>
      <c r="I157" s="132"/>
      <c r="J157" s="132"/>
      <c r="K157" s="132"/>
      <c r="L157" s="132"/>
      <c r="M157" s="132"/>
      <c r="N157" s="132"/>
      <c r="O157" s="132"/>
      <c r="P157" s="132"/>
      <c r="Q157" s="132"/>
      <c r="R157" s="132"/>
      <c r="S157" s="132"/>
      <c r="T157" s="132"/>
      <c r="U157" s="132"/>
      <c r="V157" s="132"/>
      <c r="W157" s="132"/>
      <c r="X157" s="132"/>
      <c r="Y157" s="132"/>
      <c r="Z157" s="132"/>
    </row>
    <row r="158" ht="15.75" customHeight="1">
      <c r="A158" s="150"/>
      <c r="B158" s="132"/>
      <c r="C158" s="132"/>
      <c r="D158" s="132"/>
      <c r="E158" s="132"/>
      <c r="F158" s="132"/>
      <c r="G158" s="132"/>
      <c r="H158" s="132"/>
      <c r="I158" s="132"/>
      <c r="J158" s="132"/>
      <c r="K158" s="132"/>
      <c r="L158" s="132"/>
      <c r="M158" s="132"/>
      <c r="N158" s="132"/>
      <c r="O158" s="132"/>
      <c r="P158" s="132"/>
      <c r="Q158" s="132"/>
      <c r="R158" s="132"/>
      <c r="S158" s="132"/>
      <c r="T158" s="132"/>
      <c r="U158" s="132"/>
      <c r="V158" s="132"/>
      <c r="W158" s="132"/>
      <c r="X158" s="132"/>
      <c r="Y158" s="132"/>
      <c r="Z158" s="132"/>
    </row>
    <row r="159" ht="15.75" customHeight="1">
      <c r="A159" s="150"/>
      <c r="B159" s="132"/>
      <c r="C159" s="132"/>
      <c r="D159" s="132"/>
      <c r="E159" s="132"/>
      <c r="F159" s="132"/>
      <c r="G159" s="132"/>
      <c r="H159" s="132"/>
      <c r="I159" s="132"/>
      <c r="J159" s="132"/>
      <c r="K159" s="132"/>
      <c r="L159" s="132"/>
      <c r="M159" s="132"/>
      <c r="N159" s="132"/>
      <c r="O159" s="132"/>
      <c r="P159" s="132"/>
      <c r="Q159" s="132"/>
      <c r="R159" s="132"/>
      <c r="S159" s="132"/>
      <c r="T159" s="132"/>
      <c r="U159" s="132"/>
      <c r="V159" s="132"/>
      <c r="W159" s="132"/>
      <c r="X159" s="132"/>
      <c r="Y159" s="132"/>
      <c r="Z159" s="132"/>
    </row>
    <row r="160" ht="15.75" customHeight="1">
      <c r="A160" s="150"/>
      <c r="B160" s="132"/>
      <c r="C160" s="132"/>
      <c r="D160" s="132"/>
      <c r="E160" s="132"/>
      <c r="F160" s="132"/>
      <c r="G160" s="132"/>
      <c r="H160" s="132"/>
      <c r="I160" s="132"/>
      <c r="J160" s="132"/>
      <c r="K160" s="132"/>
      <c r="L160" s="132"/>
      <c r="M160" s="132"/>
      <c r="N160" s="132"/>
      <c r="O160" s="132"/>
      <c r="P160" s="132"/>
      <c r="Q160" s="132"/>
      <c r="R160" s="132"/>
      <c r="S160" s="132"/>
      <c r="T160" s="132"/>
      <c r="U160" s="132"/>
      <c r="V160" s="132"/>
      <c r="W160" s="132"/>
      <c r="X160" s="132"/>
      <c r="Y160" s="132"/>
      <c r="Z160" s="132"/>
    </row>
    <row r="161" ht="15.75" customHeight="1">
      <c r="A161" s="150"/>
      <c r="B161" s="132"/>
      <c r="C161" s="132"/>
      <c r="D161" s="132"/>
      <c r="E161" s="132"/>
      <c r="F161" s="132"/>
      <c r="G161" s="132"/>
      <c r="H161" s="132"/>
      <c r="I161" s="132"/>
      <c r="J161" s="132"/>
      <c r="K161" s="132"/>
      <c r="L161" s="132"/>
      <c r="M161" s="132"/>
      <c r="N161" s="132"/>
      <c r="O161" s="132"/>
      <c r="P161" s="132"/>
      <c r="Q161" s="132"/>
      <c r="R161" s="132"/>
      <c r="S161" s="132"/>
      <c r="T161" s="132"/>
      <c r="U161" s="132"/>
      <c r="V161" s="132"/>
      <c r="W161" s="132"/>
      <c r="X161" s="132"/>
      <c r="Y161" s="132"/>
      <c r="Z161" s="132"/>
    </row>
    <row r="162" ht="15.75" customHeight="1">
      <c r="A162" s="150"/>
      <c r="B162" s="132"/>
      <c r="C162" s="132"/>
      <c r="D162" s="132"/>
      <c r="E162" s="132"/>
      <c r="F162" s="132"/>
      <c r="G162" s="132"/>
      <c r="H162" s="132"/>
      <c r="I162" s="132"/>
      <c r="J162" s="132"/>
      <c r="K162" s="132"/>
      <c r="L162" s="132"/>
      <c r="M162" s="132"/>
      <c r="N162" s="132"/>
      <c r="O162" s="132"/>
      <c r="P162" s="132"/>
      <c r="Q162" s="132"/>
      <c r="R162" s="132"/>
      <c r="S162" s="132"/>
      <c r="T162" s="132"/>
      <c r="U162" s="132"/>
      <c r="V162" s="132"/>
      <c r="W162" s="132"/>
      <c r="X162" s="132"/>
      <c r="Y162" s="132"/>
      <c r="Z162" s="132"/>
    </row>
    <row r="163" ht="15.75" customHeight="1">
      <c r="A163" s="150"/>
      <c r="B163" s="132"/>
      <c r="C163" s="132"/>
      <c r="D163" s="132"/>
      <c r="E163" s="132"/>
      <c r="F163" s="132"/>
      <c r="G163" s="132"/>
      <c r="H163" s="132"/>
      <c r="I163" s="132"/>
      <c r="J163" s="132"/>
      <c r="K163" s="132"/>
      <c r="L163" s="132"/>
      <c r="M163" s="132"/>
      <c r="N163" s="132"/>
      <c r="O163" s="132"/>
      <c r="P163" s="132"/>
      <c r="Q163" s="132"/>
      <c r="R163" s="132"/>
      <c r="S163" s="132"/>
      <c r="T163" s="132"/>
      <c r="U163" s="132"/>
      <c r="V163" s="132"/>
      <c r="W163" s="132"/>
      <c r="X163" s="132"/>
      <c r="Y163" s="132"/>
      <c r="Z163" s="132"/>
    </row>
    <row r="164" ht="15.75" customHeight="1">
      <c r="A164" s="150"/>
      <c r="B164" s="132"/>
      <c r="C164" s="132"/>
      <c r="D164" s="132"/>
      <c r="E164" s="132"/>
      <c r="F164" s="132"/>
      <c r="G164" s="132"/>
      <c r="H164" s="132"/>
      <c r="I164" s="132"/>
      <c r="J164" s="132"/>
      <c r="K164" s="132"/>
      <c r="L164" s="132"/>
      <c r="M164" s="132"/>
      <c r="N164" s="132"/>
      <c r="O164" s="132"/>
      <c r="P164" s="132"/>
      <c r="Q164" s="132"/>
      <c r="R164" s="132"/>
      <c r="S164" s="132"/>
      <c r="T164" s="132"/>
      <c r="U164" s="132"/>
      <c r="V164" s="132"/>
      <c r="W164" s="132"/>
      <c r="X164" s="132"/>
      <c r="Y164" s="132"/>
      <c r="Z164" s="132"/>
    </row>
    <row r="165" ht="15.75" customHeight="1">
      <c r="A165" s="150"/>
      <c r="B165" s="132"/>
      <c r="C165" s="132"/>
      <c r="D165" s="132"/>
      <c r="E165" s="132"/>
      <c r="F165" s="132"/>
      <c r="G165" s="132"/>
      <c r="H165" s="132"/>
      <c r="I165" s="132"/>
      <c r="J165" s="132"/>
      <c r="K165" s="132"/>
      <c r="L165" s="132"/>
      <c r="M165" s="132"/>
      <c r="N165" s="132"/>
      <c r="O165" s="132"/>
      <c r="P165" s="132"/>
      <c r="Q165" s="132"/>
      <c r="R165" s="132"/>
      <c r="S165" s="132"/>
      <c r="T165" s="132"/>
      <c r="U165" s="132"/>
      <c r="V165" s="132"/>
      <c r="W165" s="132"/>
      <c r="X165" s="132"/>
      <c r="Y165" s="132"/>
      <c r="Z165" s="132"/>
    </row>
    <row r="166" ht="15.75" customHeight="1">
      <c r="A166" s="150"/>
      <c r="B166" s="132"/>
      <c r="C166" s="132"/>
      <c r="D166" s="132"/>
      <c r="E166" s="132"/>
      <c r="F166" s="132"/>
      <c r="G166" s="132"/>
      <c r="H166" s="132"/>
      <c r="I166" s="132"/>
      <c r="J166" s="132"/>
      <c r="K166" s="132"/>
      <c r="L166" s="132"/>
      <c r="M166" s="132"/>
      <c r="N166" s="132"/>
      <c r="O166" s="132"/>
      <c r="P166" s="132"/>
      <c r="Q166" s="132"/>
      <c r="R166" s="132"/>
      <c r="S166" s="132"/>
      <c r="T166" s="132"/>
      <c r="U166" s="132"/>
      <c r="V166" s="132"/>
      <c r="W166" s="132"/>
      <c r="X166" s="132"/>
      <c r="Y166" s="132"/>
      <c r="Z166" s="132"/>
    </row>
    <row r="167" ht="15.75" customHeight="1">
      <c r="A167" s="150"/>
      <c r="B167" s="132"/>
      <c r="C167" s="132"/>
      <c r="D167" s="132"/>
      <c r="E167" s="132"/>
      <c r="F167" s="132"/>
      <c r="G167" s="132"/>
      <c r="H167" s="132"/>
      <c r="I167" s="132"/>
      <c r="J167" s="132"/>
      <c r="K167" s="132"/>
      <c r="L167" s="132"/>
      <c r="M167" s="132"/>
      <c r="N167" s="132"/>
      <c r="O167" s="132"/>
      <c r="P167" s="132"/>
      <c r="Q167" s="132"/>
      <c r="R167" s="132"/>
      <c r="S167" s="132"/>
      <c r="T167" s="132"/>
      <c r="U167" s="132"/>
      <c r="V167" s="132"/>
      <c r="W167" s="132"/>
      <c r="X167" s="132"/>
      <c r="Y167" s="132"/>
      <c r="Z167" s="132"/>
    </row>
    <row r="168" ht="15.75" customHeight="1">
      <c r="A168" s="150"/>
      <c r="B168" s="132"/>
      <c r="C168" s="132"/>
      <c r="D168" s="132"/>
      <c r="E168" s="132"/>
      <c r="F168" s="132"/>
      <c r="G168" s="132"/>
      <c r="H168" s="132"/>
      <c r="I168" s="132"/>
      <c r="J168" s="132"/>
      <c r="K168" s="132"/>
      <c r="L168" s="132"/>
      <c r="M168" s="132"/>
      <c r="N168" s="132"/>
      <c r="O168" s="132"/>
      <c r="P168" s="132"/>
      <c r="Q168" s="132"/>
      <c r="R168" s="132"/>
      <c r="S168" s="132"/>
      <c r="T168" s="132"/>
      <c r="U168" s="132"/>
      <c r="V168" s="132"/>
      <c r="W168" s="132"/>
      <c r="X168" s="132"/>
      <c r="Y168" s="132"/>
      <c r="Z168" s="132"/>
    </row>
    <row r="169" ht="15.75" customHeight="1">
      <c r="A169" s="150"/>
      <c r="B169" s="132"/>
      <c r="C169" s="132"/>
      <c r="D169" s="132"/>
      <c r="E169" s="132"/>
      <c r="F169" s="132"/>
      <c r="G169" s="132"/>
      <c r="H169" s="132"/>
      <c r="I169" s="132"/>
      <c r="J169" s="132"/>
      <c r="K169" s="132"/>
      <c r="L169" s="132"/>
      <c r="M169" s="132"/>
      <c r="N169" s="132"/>
      <c r="O169" s="132"/>
      <c r="P169" s="132"/>
      <c r="Q169" s="132"/>
      <c r="R169" s="132"/>
      <c r="S169" s="132"/>
      <c r="T169" s="132"/>
      <c r="U169" s="132"/>
      <c r="V169" s="132"/>
      <c r="W169" s="132"/>
      <c r="X169" s="132"/>
      <c r="Y169" s="132"/>
      <c r="Z169" s="132"/>
    </row>
    <row r="170" ht="15.75" customHeight="1">
      <c r="A170" s="150"/>
      <c r="B170" s="132"/>
      <c r="C170" s="132"/>
      <c r="D170" s="132"/>
      <c r="E170" s="132"/>
      <c r="F170" s="132"/>
      <c r="G170" s="132"/>
      <c r="H170" s="132"/>
      <c r="I170" s="132"/>
      <c r="J170" s="132"/>
      <c r="K170" s="132"/>
      <c r="L170" s="132"/>
      <c r="M170" s="132"/>
      <c r="N170" s="132"/>
      <c r="O170" s="132"/>
      <c r="P170" s="132"/>
      <c r="Q170" s="132"/>
      <c r="R170" s="132"/>
      <c r="S170" s="132"/>
      <c r="T170" s="132"/>
      <c r="U170" s="132"/>
      <c r="V170" s="132"/>
      <c r="W170" s="132"/>
      <c r="X170" s="132"/>
      <c r="Y170" s="132"/>
      <c r="Z170" s="132"/>
    </row>
    <row r="171" ht="15.75" customHeight="1">
      <c r="A171" s="150"/>
      <c r="B171" s="132"/>
      <c r="C171" s="132"/>
      <c r="D171" s="132"/>
      <c r="E171" s="132"/>
      <c r="F171" s="132"/>
      <c r="G171" s="132"/>
      <c r="H171" s="132"/>
      <c r="I171" s="132"/>
      <c r="J171" s="132"/>
      <c r="K171" s="132"/>
      <c r="L171" s="132"/>
      <c r="M171" s="132"/>
      <c r="N171" s="132"/>
      <c r="O171" s="132"/>
      <c r="P171" s="132"/>
      <c r="Q171" s="132"/>
      <c r="R171" s="132"/>
      <c r="S171" s="132"/>
      <c r="T171" s="132"/>
      <c r="U171" s="132"/>
      <c r="V171" s="132"/>
      <c r="W171" s="132"/>
      <c r="X171" s="132"/>
      <c r="Y171" s="132"/>
      <c r="Z171" s="132"/>
    </row>
    <row r="172" ht="15.75" customHeight="1">
      <c r="A172" s="150"/>
      <c r="B172" s="132"/>
      <c r="C172" s="132"/>
      <c r="D172" s="132"/>
      <c r="E172" s="132"/>
      <c r="F172" s="132"/>
      <c r="G172" s="132"/>
      <c r="H172" s="132"/>
      <c r="I172" s="132"/>
      <c r="J172" s="132"/>
      <c r="K172" s="132"/>
      <c r="L172" s="132"/>
      <c r="M172" s="132"/>
      <c r="N172" s="132"/>
      <c r="O172" s="132"/>
      <c r="P172" s="132"/>
      <c r="Q172" s="132"/>
      <c r="R172" s="132"/>
      <c r="S172" s="132"/>
      <c r="T172" s="132"/>
      <c r="U172" s="132"/>
      <c r="V172" s="132"/>
      <c r="W172" s="132"/>
      <c r="X172" s="132"/>
      <c r="Y172" s="132"/>
      <c r="Z172" s="132"/>
    </row>
    <row r="173" ht="15.75" customHeight="1">
      <c r="A173" s="150"/>
      <c r="B173" s="132"/>
      <c r="C173" s="132"/>
      <c r="D173" s="132"/>
      <c r="E173" s="132"/>
      <c r="F173" s="132"/>
      <c r="G173" s="132"/>
      <c r="H173" s="132"/>
      <c r="I173" s="132"/>
      <c r="J173" s="132"/>
      <c r="K173" s="132"/>
      <c r="L173" s="132"/>
      <c r="M173" s="132"/>
      <c r="N173" s="132"/>
      <c r="O173" s="132"/>
      <c r="P173" s="132"/>
      <c r="Q173" s="132"/>
      <c r="R173" s="132"/>
      <c r="S173" s="132"/>
      <c r="T173" s="132"/>
      <c r="U173" s="132"/>
      <c r="V173" s="132"/>
      <c r="W173" s="132"/>
      <c r="X173" s="132"/>
      <c r="Y173" s="132"/>
      <c r="Z173" s="132"/>
    </row>
    <row r="174" ht="15.75" customHeight="1">
      <c r="A174" s="150"/>
      <c r="B174" s="132"/>
      <c r="C174" s="132"/>
      <c r="D174" s="132"/>
      <c r="E174" s="132"/>
      <c r="F174" s="132"/>
      <c r="G174" s="132"/>
      <c r="H174" s="132"/>
      <c r="I174" s="132"/>
      <c r="J174" s="132"/>
      <c r="K174" s="132"/>
      <c r="L174" s="132"/>
      <c r="M174" s="132"/>
      <c r="N174" s="132"/>
      <c r="O174" s="132"/>
      <c r="P174" s="132"/>
      <c r="Q174" s="132"/>
      <c r="R174" s="132"/>
      <c r="S174" s="132"/>
      <c r="T174" s="132"/>
      <c r="U174" s="132"/>
      <c r="V174" s="132"/>
      <c r="W174" s="132"/>
      <c r="X174" s="132"/>
      <c r="Y174" s="132"/>
      <c r="Z174" s="132"/>
    </row>
    <row r="175" ht="15.75" customHeight="1">
      <c r="A175" s="150"/>
      <c r="B175" s="132"/>
      <c r="C175" s="132"/>
      <c r="D175" s="132"/>
      <c r="E175" s="132"/>
      <c r="F175" s="132"/>
      <c r="G175" s="132"/>
      <c r="H175" s="132"/>
      <c r="I175" s="132"/>
      <c r="J175" s="132"/>
      <c r="K175" s="132"/>
      <c r="L175" s="132"/>
      <c r="M175" s="132"/>
      <c r="N175" s="132"/>
      <c r="O175" s="132"/>
      <c r="P175" s="132"/>
      <c r="Q175" s="132"/>
      <c r="R175" s="132"/>
      <c r="S175" s="132"/>
      <c r="T175" s="132"/>
      <c r="U175" s="132"/>
      <c r="V175" s="132"/>
      <c r="W175" s="132"/>
      <c r="X175" s="132"/>
      <c r="Y175" s="132"/>
      <c r="Z175" s="132"/>
    </row>
    <row r="176" ht="15.75" customHeight="1">
      <c r="A176" s="150"/>
      <c r="B176" s="132"/>
      <c r="C176" s="132"/>
      <c r="D176" s="132"/>
      <c r="E176" s="132"/>
      <c r="F176" s="132"/>
      <c r="G176" s="132"/>
      <c r="H176" s="132"/>
      <c r="I176" s="132"/>
      <c r="J176" s="132"/>
      <c r="K176" s="132"/>
      <c r="L176" s="132"/>
      <c r="M176" s="132"/>
      <c r="N176" s="132"/>
      <c r="O176" s="132"/>
      <c r="P176" s="132"/>
      <c r="Q176" s="132"/>
      <c r="R176" s="132"/>
      <c r="S176" s="132"/>
      <c r="T176" s="132"/>
      <c r="U176" s="132"/>
      <c r="V176" s="132"/>
      <c r="W176" s="132"/>
      <c r="X176" s="132"/>
      <c r="Y176" s="132"/>
      <c r="Z176" s="132"/>
    </row>
    <row r="177" ht="15.75" customHeight="1">
      <c r="A177" s="150"/>
      <c r="B177" s="132"/>
      <c r="C177" s="132"/>
      <c r="D177" s="132"/>
      <c r="E177" s="132"/>
      <c r="F177" s="132"/>
      <c r="G177" s="132"/>
      <c r="H177" s="132"/>
      <c r="I177" s="132"/>
      <c r="J177" s="132"/>
      <c r="K177" s="132"/>
      <c r="L177" s="132"/>
      <c r="M177" s="132"/>
      <c r="N177" s="132"/>
      <c r="O177" s="132"/>
      <c r="P177" s="132"/>
      <c r="Q177" s="132"/>
      <c r="R177" s="132"/>
      <c r="S177" s="132"/>
      <c r="T177" s="132"/>
      <c r="U177" s="132"/>
      <c r="V177" s="132"/>
      <c r="W177" s="132"/>
      <c r="X177" s="132"/>
      <c r="Y177" s="132"/>
      <c r="Z177" s="132"/>
    </row>
    <row r="178" ht="15.75" customHeight="1">
      <c r="A178" s="150"/>
      <c r="B178" s="132"/>
      <c r="C178" s="132"/>
      <c r="D178" s="132"/>
      <c r="E178" s="132"/>
      <c r="F178" s="132"/>
      <c r="G178" s="132"/>
      <c r="H178" s="132"/>
      <c r="I178" s="132"/>
      <c r="J178" s="132"/>
      <c r="K178" s="132"/>
      <c r="L178" s="132"/>
      <c r="M178" s="132"/>
      <c r="N178" s="132"/>
      <c r="O178" s="132"/>
      <c r="P178" s="132"/>
      <c r="Q178" s="132"/>
      <c r="R178" s="132"/>
      <c r="S178" s="132"/>
      <c r="T178" s="132"/>
      <c r="U178" s="132"/>
      <c r="V178" s="132"/>
      <c r="W178" s="132"/>
      <c r="X178" s="132"/>
      <c r="Y178" s="132"/>
      <c r="Z178" s="132"/>
    </row>
    <row r="179" ht="15.75" customHeight="1">
      <c r="A179" s="150"/>
      <c r="B179" s="132"/>
      <c r="C179" s="132"/>
      <c r="D179" s="132"/>
      <c r="E179" s="132"/>
      <c r="F179" s="132"/>
      <c r="G179" s="132"/>
      <c r="H179" s="132"/>
      <c r="I179" s="132"/>
      <c r="J179" s="132"/>
      <c r="K179" s="132"/>
      <c r="L179" s="132"/>
      <c r="M179" s="132"/>
      <c r="N179" s="132"/>
      <c r="O179" s="132"/>
      <c r="P179" s="132"/>
      <c r="Q179" s="132"/>
      <c r="R179" s="132"/>
      <c r="S179" s="132"/>
      <c r="T179" s="132"/>
      <c r="U179" s="132"/>
      <c r="V179" s="132"/>
      <c r="W179" s="132"/>
      <c r="X179" s="132"/>
      <c r="Y179" s="132"/>
      <c r="Z179" s="132"/>
    </row>
    <row r="180" ht="15.75" customHeight="1">
      <c r="A180" s="150"/>
      <c r="B180" s="132"/>
      <c r="C180" s="132"/>
      <c r="D180" s="132"/>
      <c r="E180" s="132"/>
      <c r="F180" s="132"/>
      <c r="G180" s="132"/>
      <c r="H180" s="132"/>
      <c r="I180" s="132"/>
      <c r="J180" s="132"/>
      <c r="K180" s="132"/>
      <c r="L180" s="132"/>
      <c r="M180" s="132"/>
      <c r="N180" s="132"/>
      <c r="O180" s="132"/>
      <c r="P180" s="132"/>
      <c r="Q180" s="132"/>
      <c r="R180" s="132"/>
      <c r="S180" s="132"/>
      <c r="T180" s="132"/>
      <c r="U180" s="132"/>
      <c r="V180" s="132"/>
      <c r="W180" s="132"/>
      <c r="X180" s="132"/>
      <c r="Y180" s="132"/>
      <c r="Z180" s="132"/>
    </row>
    <row r="181" ht="15.75" customHeight="1">
      <c r="A181" s="150"/>
      <c r="B181" s="132"/>
      <c r="C181" s="132"/>
      <c r="D181" s="132"/>
      <c r="E181" s="132"/>
      <c r="F181" s="132"/>
      <c r="G181" s="132"/>
      <c r="H181" s="132"/>
      <c r="I181" s="132"/>
      <c r="J181" s="132"/>
      <c r="K181" s="132"/>
      <c r="L181" s="132"/>
      <c r="M181" s="132"/>
      <c r="N181" s="132"/>
      <c r="O181" s="132"/>
      <c r="P181" s="132"/>
      <c r="Q181" s="132"/>
      <c r="R181" s="132"/>
      <c r="S181" s="132"/>
      <c r="T181" s="132"/>
      <c r="U181" s="132"/>
      <c r="V181" s="132"/>
      <c r="W181" s="132"/>
      <c r="X181" s="132"/>
      <c r="Y181" s="132"/>
      <c r="Z181" s="132"/>
    </row>
    <row r="182" ht="15.75" customHeight="1">
      <c r="A182" s="150"/>
      <c r="B182" s="132"/>
      <c r="C182" s="132"/>
      <c r="D182" s="132"/>
      <c r="E182" s="132"/>
      <c r="F182" s="132"/>
      <c r="G182" s="132"/>
      <c r="H182" s="132"/>
      <c r="I182" s="132"/>
      <c r="J182" s="132"/>
      <c r="K182" s="132"/>
      <c r="L182" s="132"/>
      <c r="M182" s="132"/>
      <c r="N182" s="132"/>
      <c r="O182" s="132"/>
      <c r="P182" s="132"/>
      <c r="Q182" s="132"/>
      <c r="R182" s="132"/>
      <c r="S182" s="132"/>
      <c r="T182" s="132"/>
      <c r="U182" s="132"/>
      <c r="V182" s="132"/>
      <c r="W182" s="132"/>
      <c r="X182" s="132"/>
      <c r="Y182" s="132"/>
      <c r="Z182" s="132"/>
    </row>
    <row r="183" ht="15.75" customHeight="1">
      <c r="A183" s="150"/>
      <c r="B183" s="132"/>
      <c r="C183" s="132"/>
      <c r="D183" s="132"/>
      <c r="E183" s="132"/>
      <c r="F183" s="132"/>
      <c r="G183" s="132"/>
      <c r="H183" s="132"/>
      <c r="I183" s="132"/>
      <c r="J183" s="132"/>
      <c r="K183" s="132"/>
      <c r="L183" s="132"/>
      <c r="M183" s="132"/>
      <c r="N183" s="132"/>
      <c r="O183" s="132"/>
      <c r="P183" s="132"/>
      <c r="Q183" s="132"/>
      <c r="R183" s="132"/>
      <c r="S183" s="132"/>
      <c r="T183" s="132"/>
      <c r="U183" s="132"/>
      <c r="V183" s="132"/>
      <c r="W183" s="132"/>
      <c r="X183" s="132"/>
      <c r="Y183" s="132"/>
      <c r="Z183" s="132"/>
    </row>
    <row r="184" ht="15.75" customHeight="1">
      <c r="A184" s="150"/>
      <c r="B184" s="132"/>
      <c r="C184" s="132"/>
      <c r="D184" s="132"/>
      <c r="E184" s="132"/>
      <c r="F184" s="132"/>
      <c r="G184" s="132"/>
      <c r="H184" s="132"/>
      <c r="I184" s="132"/>
      <c r="J184" s="132"/>
      <c r="K184" s="132"/>
      <c r="L184" s="132"/>
      <c r="M184" s="132"/>
      <c r="N184" s="132"/>
      <c r="O184" s="132"/>
      <c r="P184" s="132"/>
      <c r="Q184" s="132"/>
      <c r="R184" s="132"/>
      <c r="S184" s="132"/>
      <c r="T184" s="132"/>
      <c r="U184" s="132"/>
      <c r="V184" s="132"/>
      <c r="W184" s="132"/>
      <c r="X184" s="132"/>
      <c r="Y184" s="132"/>
      <c r="Z184" s="132"/>
    </row>
    <row r="185" ht="15.75" customHeight="1">
      <c r="A185" s="150"/>
      <c r="B185" s="132"/>
      <c r="C185" s="132"/>
      <c r="D185" s="132"/>
      <c r="E185" s="132"/>
      <c r="F185" s="132"/>
      <c r="G185" s="132"/>
      <c r="H185" s="132"/>
      <c r="I185" s="132"/>
      <c r="J185" s="132"/>
      <c r="K185" s="132"/>
      <c r="L185" s="132"/>
      <c r="M185" s="132"/>
      <c r="N185" s="132"/>
      <c r="O185" s="132"/>
      <c r="P185" s="132"/>
      <c r="Q185" s="132"/>
      <c r="R185" s="132"/>
      <c r="S185" s="132"/>
      <c r="T185" s="132"/>
      <c r="U185" s="132"/>
      <c r="V185" s="132"/>
      <c r="W185" s="132"/>
      <c r="X185" s="132"/>
      <c r="Y185" s="132"/>
      <c r="Z185" s="132"/>
    </row>
    <row r="186" ht="15.75" customHeight="1">
      <c r="A186" s="150"/>
      <c r="B186" s="132"/>
      <c r="C186" s="132"/>
      <c r="D186" s="132"/>
      <c r="E186" s="132"/>
      <c r="F186" s="132"/>
      <c r="G186" s="132"/>
      <c r="H186" s="132"/>
      <c r="I186" s="132"/>
      <c r="J186" s="132"/>
      <c r="K186" s="132"/>
      <c r="L186" s="132"/>
      <c r="M186" s="132"/>
      <c r="N186" s="132"/>
      <c r="O186" s="132"/>
      <c r="P186" s="132"/>
      <c r="Q186" s="132"/>
      <c r="R186" s="132"/>
      <c r="S186" s="132"/>
      <c r="T186" s="132"/>
      <c r="U186" s="132"/>
      <c r="V186" s="132"/>
      <c r="W186" s="132"/>
      <c r="X186" s="132"/>
      <c r="Y186" s="132"/>
      <c r="Z186" s="132"/>
    </row>
    <row r="187" ht="15.75" customHeight="1">
      <c r="A187" s="150"/>
      <c r="B187" s="132"/>
      <c r="C187" s="132"/>
      <c r="D187" s="132"/>
      <c r="E187" s="132"/>
      <c r="F187" s="132"/>
      <c r="G187" s="132"/>
      <c r="H187" s="132"/>
      <c r="I187" s="132"/>
      <c r="J187" s="132"/>
      <c r="K187" s="132"/>
      <c r="L187" s="132"/>
      <c r="M187" s="132"/>
      <c r="N187" s="132"/>
      <c r="O187" s="132"/>
      <c r="P187" s="132"/>
      <c r="Q187" s="132"/>
      <c r="R187" s="132"/>
      <c r="S187" s="132"/>
      <c r="T187" s="132"/>
      <c r="U187" s="132"/>
      <c r="V187" s="132"/>
      <c r="W187" s="132"/>
      <c r="X187" s="132"/>
      <c r="Y187" s="132"/>
      <c r="Z187" s="132"/>
    </row>
    <row r="188" ht="15.75" customHeight="1">
      <c r="A188" s="150"/>
      <c r="B188" s="132"/>
      <c r="C188" s="132"/>
      <c r="D188" s="132"/>
      <c r="E188" s="132"/>
      <c r="F188" s="132"/>
      <c r="G188" s="132"/>
      <c r="H188" s="132"/>
      <c r="I188" s="132"/>
      <c r="J188" s="132"/>
      <c r="K188" s="132"/>
      <c r="L188" s="132"/>
      <c r="M188" s="132"/>
      <c r="N188" s="132"/>
      <c r="O188" s="132"/>
      <c r="P188" s="132"/>
      <c r="Q188" s="132"/>
      <c r="R188" s="132"/>
      <c r="S188" s="132"/>
      <c r="T188" s="132"/>
      <c r="U188" s="132"/>
      <c r="V188" s="132"/>
      <c r="W188" s="132"/>
      <c r="X188" s="132"/>
      <c r="Y188" s="132"/>
      <c r="Z188" s="132"/>
    </row>
    <row r="189" ht="15.75" customHeight="1">
      <c r="A189" s="150"/>
      <c r="B189" s="132"/>
      <c r="C189" s="132"/>
      <c r="D189" s="132"/>
      <c r="E189" s="132"/>
      <c r="F189" s="132"/>
      <c r="G189" s="132"/>
      <c r="H189" s="132"/>
      <c r="I189" s="132"/>
      <c r="J189" s="132"/>
      <c r="K189" s="132"/>
      <c r="L189" s="132"/>
      <c r="M189" s="132"/>
      <c r="N189" s="132"/>
      <c r="O189" s="132"/>
      <c r="P189" s="132"/>
      <c r="Q189" s="132"/>
      <c r="R189" s="132"/>
      <c r="S189" s="132"/>
      <c r="T189" s="132"/>
      <c r="U189" s="132"/>
      <c r="V189" s="132"/>
      <c r="W189" s="132"/>
      <c r="X189" s="132"/>
      <c r="Y189" s="132"/>
      <c r="Z189" s="132"/>
    </row>
    <row r="190" ht="15.75" customHeight="1">
      <c r="A190" s="150"/>
      <c r="B190" s="132"/>
      <c r="C190" s="132"/>
      <c r="D190" s="132"/>
      <c r="E190" s="132"/>
      <c r="F190" s="132"/>
      <c r="G190" s="132"/>
      <c r="H190" s="132"/>
      <c r="I190" s="132"/>
      <c r="J190" s="132"/>
      <c r="K190" s="132"/>
      <c r="L190" s="132"/>
      <c r="M190" s="132"/>
      <c r="N190" s="132"/>
      <c r="O190" s="132"/>
      <c r="P190" s="132"/>
      <c r="Q190" s="132"/>
      <c r="R190" s="132"/>
      <c r="S190" s="132"/>
      <c r="T190" s="132"/>
      <c r="U190" s="132"/>
      <c r="V190" s="132"/>
      <c r="W190" s="132"/>
      <c r="X190" s="132"/>
      <c r="Y190" s="132"/>
      <c r="Z190" s="132"/>
    </row>
    <row r="191" ht="15.75" customHeight="1">
      <c r="A191" s="150"/>
      <c r="B191" s="132"/>
      <c r="C191" s="132"/>
      <c r="D191" s="132"/>
      <c r="E191" s="132"/>
      <c r="F191" s="132"/>
      <c r="G191" s="132"/>
      <c r="H191" s="132"/>
      <c r="I191" s="132"/>
      <c r="J191" s="132"/>
      <c r="K191" s="132"/>
      <c r="L191" s="132"/>
      <c r="M191" s="132"/>
      <c r="N191" s="132"/>
      <c r="O191" s="132"/>
      <c r="P191" s="132"/>
      <c r="Q191" s="132"/>
      <c r="R191" s="132"/>
      <c r="S191" s="132"/>
      <c r="T191" s="132"/>
      <c r="U191" s="132"/>
      <c r="V191" s="132"/>
      <c r="W191" s="132"/>
      <c r="X191" s="132"/>
      <c r="Y191" s="132"/>
      <c r="Z191" s="132"/>
    </row>
    <row r="192" ht="15.75" customHeight="1">
      <c r="A192" s="150"/>
      <c r="B192" s="132"/>
      <c r="C192" s="132"/>
      <c r="D192" s="132"/>
      <c r="E192" s="132"/>
      <c r="F192" s="132"/>
      <c r="G192" s="132"/>
      <c r="H192" s="132"/>
      <c r="I192" s="132"/>
      <c r="J192" s="132"/>
      <c r="K192" s="132"/>
      <c r="L192" s="132"/>
      <c r="M192" s="132"/>
      <c r="N192" s="132"/>
      <c r="O192" s="132"/>
      <c r="P192" s="132"/>
      <c r="Q192" s="132"/>
      <c r="R192" s="132"/>
      <c r="S192" s="132"/>
      <c r="T192" s="132"/>
      <c r="U192" s="132"/>
      <c r="V192" s="132"/>
      <c r="W192" s="132"/>
      <c r="X192" s="132"/>
      <c r="Y192" s="132"/>
      <c r="Z192" s="132"/>
    </row>
    <row r="193" ht="15.75" customHeight="1">
      <c r="A193" s="150"/>
      <c r="B193" s="132"/>
      <c r="C193" s="132"/>
      <c r="D193" s="132"/>
      <c r="E193" s="132"/>
      <c r="F193" s="132"/>
      <c r="G193" s="132"/>
      <c r="H193" s="132"/>
      <c r="I193" s="132"/>
      <c r="J193" s="132"/>
      <c r="K193" s="132"/>
      <c r="L193" s="132"/>
      <c r="M193" s="132"/>
      <c r="N193" s="132"/>
      <c r="O193" s="132"/>
      <c r="P193" s="132"/>
      <c r="Q193" s="132"/>
      <c r="R193" s="132"/>
      <c r="S193" s="132"/>
      <c r="T193" s="132"/>
      <c r="U193" s="132"/>
      <c r="V193" s="132"/>
      <c r="W193" s="132"/>
      <c r="X193" s="132"/>
      <c r="Y193" s="132"/>
      <c r="Z193" s="132"/>
    </row>
    <row r="194" ht="15.75" customHeight="1">
      <c r="A194" s="150"/>
      <c r="B194" s="132"/>
      <c r="C194" s="132"/>
      <c r="D194" s="132"/>
      <c r="E194" s="132"/>
      <c r="F194" s="132"/>
      <c r="G194" s="132"/>
      <c r="H194" s="132"/>
      <c r="I194" s="132"/>
      <c r="J194" s="132"/>
      <c r="K194" s="132"/>
      <c r="L194" s="132"/>
      <c r="M194" s="132"/>
      <c r="N194" s="132"/>
      <c r="O194" s="132"/>
      <c r="P194" s="132"/>
      <c r="Q194" s="132"/>
      <c r="R194" s="132"/>
      <c r="S194" s="132"/>
      <c r="T194" s="132"/>
      <c r="U194" s="132"/>
      <c r="V194" s="132"/>
      <c r="W194" s="132"/>
      <c r="X194" s="132"/>
      <c r="Y194" s="132"/>
      <c r="Z194" s="132"/>
    </row>
    <row r="195" ht="15.75" customHeight="1">
      <c r="A195" s="150"/>
      <c r="B195" s="132"/>
      <c r="C195" s="132"/>
      <c r="D195" s="132"/>
      <c r="E195" s="132"/>
      <c r="F195" s="132"/>
      <c r="G195" s="132"/>
      <c r="H195" s="132"/>
      <c r="I195" s="132"/>
      <c r="J195" s="132"/>
      <c r="K195" s="132"/>
      <c r="L195" s="132"/>
      <c r="M195" s="132"/>
      <c r="N195" s="132"/>
      <c r="O195" s="132"/>
      <c r="P195" s="132"/>
      <c r="Q195" s="132"/>
      <c r="R195" s="132"/>
      <c r="S195" s="132"/>
      <c r="T195" s="132"/>
      <c r="U195" s="132"/>
      <c r="V195" s="132"/>
      <c r="W195" s="132"/>
      <c r="X195" s="132"/>
      <c r="Y195" s="132"/>
      <c r="Z195" s="132"/>
    </row>
    <row r="196" ht="15.75" customHeight="1">
      <c r="A196" s="150"/>
      <c r="B196" s="132"/>
      <c r="C196" s="132"/>
      <c r="D196" s="132"/>
      <c r="E196" s="132"/>
      <c r="F196" s="132"/>
      <c r="G196" s="132"/>
      <c r="H196" s="132"/>
      <c r="I196" s="132"/>
      <c r="J196" s="132"/>
      <c r="K196" s="132"/>
      <c r="L196" s="132"/>
      <c r="M196" s="132"/>
      <c r="N196" s="132"/>
      <c r="O196" s="132"/>
      <c r="P196" s="132"/>
      <c r="Q196" s="132"/>
      <c r="R196" s="132"/>
      <c r="S196" s="132"/>
      <c r="T196" s="132"/>
      <c r="U196" s="132"/>
      <c r="V196" s="132"/>
      <c r="W196" s="132"/>
      <c r="X196" s="132"/>
      <c r="Y196" s="132"/>
      <c r="Z196" s="132"/>
    </row>
    <row r="197" ht="15.75" customHeight="1">
      <c r="A197" s="150"/>
      <c r="B197" s="132"/>
      <c r="C197" s="132"/>
      <c r="D197" s="132"/>
      <c r="E197" s="132"/>
      <c r="F197" s="132"/>
      <c r="G197" s="132"/>
      <c r="H197" s="132"/>
      <c r="I197" s="132"/>
      <c r="J197" s="132"/>
      <c r="K197" s="132"/>
      <c r="L197" s="132"/>
      <c r="M197" s="132"/>
      <c r="N197" s="132"/>
      <c r="O197" s="132"/>
      <c r="P197" s="132"/>
      <c r="Q197" s="132"/>
      <c r="R197" s="132"/>
      <c r="S197" s="132"/>
      <c r="T197" s="132"/>
      <c r="U197" s="132"/>
      <c r="V197" s="132"/>
      <c r="W197" s="132"/>
      <c r="X197" s="132"/>
      <c r="Y197" s="132"/>
      <c r="Z197" s="132"/>
    </row>
    <row r="198" ht="15.75" customHeight="1">
      <c r="A198" s="150"/>
      <c r="B198" s="132"/>
      <c r="C198" s="132"/>
      <c r="D198" s="132"/>
      <c r="E198" s="132"/>
      <c r="F198" s="132"/>
      <c r="G198" s="132"/>
      <c r="H198" s="132"/>
      <c r="I198" s="132"/>
      <c r="J198" s="132"/>
      <c r="K198" s="132"/>
      <c r="L198" s="132"/>
      <c r="M198" s="132"/>
      <c r="N198" s="132"/>
      <c r="O198" s="132"/>
      <c r="P198" s="132"/>
      <c r="Q198" s="132"/>
      <c r="R198" s="132"/>
      <c r="S198" s="132"/>
      <c r="T198" s="132"/>
      <c r="U198" s="132"/>
      <c r="V198" s="132"/>
      <c r="W198" s="132"/>
      <c r="X198" s="132"/>
      <c r="Y198" s="132"/>
      <c r="Z198" s="132"/>
    </row>
    <row r="199" ht="15.75" customHeight="1">
      <c r="A199" s="150"/>
      <c r="B199" s="132"/>
      <c r="C199" s="132"/>
      <c r="D199" s="132"/>
      <c r="E199" s="132"/>
      <c r="F199" s="132"/>
      <c r="G199" s="132"/>
      <c r="H199" s="132"/>
      <c r="I199" s="132"/>
      <c r="J199" s="132"/>
      <c r="K199" s="132"/>
      <c r="L199" s="132"/>
      <c r="M199" s="132"/>
      <c r="N199" s="132"/>
      <c r="O199" s="132"/>
      <c r="P199" s="132"/>
      <c r="Q199" s="132"/>
      <c r="R199" s="132"/>
      <c r="S199" s="132"/>
      <c r="T199" s="132"/>
      <c r="U199" s="132"/>
      <c r="V199" s="132"/>
      <c r="W199" s="132"/>
      <c r="X199" s="132"/>
      <c r="Y199" s="132"/>
      <c r="Z199" s="132"/>
    </row>
    <row r="200" ht="15.75" customHeight="1">
      <c r="A200" s="150"/>
      <c r="B200" s="132"/>
      <c r="C200" s="132"/>
      <c r="D200" s="132"/>
      <c r="E200" s="132"/>
      <c r="F200" s="132"/>
      <c r="G200" s="132"/>
      <c r="H200" s="132"/>
      <c r="I200" s="132"/>
      <c r="J200" s="132"/>
      <c r="K200" s="132"/>
      <c r="L200" s="132"/>
      <c r="M200" s="132"/>
      <c r="N200" s="132"/>
      <c r="O200" s="132"/>
      <c r="P200" s="132"/>
      <c r="Q200" s="132"/>
      <c r="R200" s="132"/>
      <c r="S200" s="132"/>
      <c r="T200" s="132"/>
      <c r="U200" s="132"/>
      <c r="V200" s="132"/>
      <c r="W200" s="132"/>
      <c r="X200" s="132"/>
      <c r="Y200" s="132"/>
      <c r="Z200" s="132"/>
    </row>
    <row r="201" ht="15.75" customHeight="1">
      <c r="A201" s="150"/>
      <c r="B201" s="132"/>
      <c r="C201" s="132"/>
      <c r="D201" s="132"/>
      <c r="E201" s="132"/>
      <c r="F201" s="132"/>
      <c r="G201" s="132"/>
      <c r="H201" s="132"/>
      <c r="I201" s="132"/>
      <c r="J201" s="132"/>
      <c r="K201" s="132"/>
      <c r="L201" s="132"/>
      <c r="M201" s="132"/>
      <c r="N201" s="132"/>
      <c r="O201" s="132"/>
      <c r="P201" s="132"/>
      <c r="Q201" s="132"/>
      <c r="R201" s="132"/>
      <c r="S201" s="132"/>
      <c r="T201" s="132"/>
      <c r="U201" s="132"/>
      <c r="V201" s="132"/>
      <c r="W201" s="132"/>
      <c r="X201" s="132"/>
      <c r="Y201" s="132"/>
      <c r="Z201" s="132"/>
    </row>
    <row r="202" ht="15.75" customHeight="1">
      <c r="A202" s="150"/>
      <c r="B202" s="132"/>
      <c r="C202" s="132"/>
      <c r="D202" s="132"/>
      <c r="E202" s="132"/>
      <c r="F202" s="132"/>
      <c r="G202" s="132"/>
      <c r="H202" s="132"/>
      <c r="I202" s="132"/>
      <c r="J202" s="132"/>
      <c r="K202" s="132"/>
      <c r="L202" s="132"/>
      <c r="M202" s="132"/>
      <c r="N202" s="132"/>
      <c r="O202" s="132"/>
      <c r="P202" s="132"/>
      <c r="Q202" s="132"/>
      <c r="R202" s="132"/>
      <c r="S202" s="132"/>
      <c r="T202" s="132"/>
      <c r="U202" s="132"/>
      <c r="V202" s="132"/>
      <c r="W202" s="132"/>
      <c r="X202" s="132"/>
      <c r="Y202" s="132"/>
      <c r="Z202" s="132"/>
    </row>
    <row r="203" ht="15.75" customHeight="1">
      <c r="A203" s="150"/>
      <c r="B203" s="132"/>
      <c r="C203" s="132"/>
      <c r="D203" s="132"/>
      <c r="E203" s="132"/>
      <c r="F203" s="132"/>
      <c r="G203" s="132"/>
      <c r="H203" s="132"/>
      <c r="I203" s="132"/>
      <c r="J203" s="132"/>
      <c r="K203" s="132"/>
      <c r="L203" s="132"/>
      <c r="M203" s="132"/>
      <c r="N203" s="132"/>
      <c r="O203" s="132"/>
      <c r="P203" s="132"/>
      <c r="Q203" s="132"/>
      <c r="R203" s="132"/>
      <c r="S203" s="132"/>
      <c r="T203" s="132"/>
      <c r="U203" s="132"/>
      <c r="V203" s="132"/>
      <c r="W203" s="132"/>
      <c r="X203" s="132"/>
      <c r="Y203" s="132"/>
      <c r="Z203" s="132"/>
    </row>
    <row r="204" ht="15.75" customHeight="1">
      <c r="A204" s="150"/>
      <c r="B204" s="132"/>
      <c r="C204" s="132"/>
      <c r="D204" s="132"/>
      <c r="E204" s="132"/>
      <c r="F204" s="132"/>
      <c r="G204" s="132"/>
      <c r="H204" s="132"/>
      <c r="I204" s="132"/>
      <c r="J204" s="132"/>
      <c r="K204" s="132"/>
      <c r="L204" s="132"/>
      <c r="M204" s="132"/>
      <c r="N204" s="132"/>
      <c r="O204" s="132"/>
      <c r="P204" s="132"/>
      <c r="Q204" s="132"/>
      <c r="R204" s="132"/>
      <c r="S204" s="132"/>
      <c r="T204" s="132"/>
      <c r="U204" s="132"/>
      <c r="V204" s="132"/>
      <c r="W204" s="132"/>
      <c r="X204" s="132"/>
      <c r="Y204" s="132"/>
      <c r="Z204" s="132"/>
    </row>
    <row r="205" ht="15.75" customHeight="1">
      <c r="A205" s="150"/>
      <c r="B205" s="132"/>
      <c r="C205" s="132"/>
      <c r="D205" s="132"/>
      <c r="E205" s="132"/>
      <c r="F205" s="132"/>
      <c r="G205" s="132"/>
      <c r="H205" s="132"/>
      <c r="I205" s="132"/>
      <c r="J205" s="132"/>
      <c r="K205" s="132"/>
      <c r="L205" s="132"/>
      <c r="M205" s="132"/>
      <c r="N205" s="132"/>
      <c r="O205" s="132"/>
      <c r="P205" s="132"/>
      <c r="Q205" s="132"/>
      <c r="R205" s="132"/>
      <c r="S205" s="132"/>
      <c r="T205" s="132"/>
      <c r="U205" s="132"/>
      <c r="V205" s="132"/>
      <c r="W205" s="132"/>
      <c r="X205" s="132"/>
      <c r="Y205" s="132"/>
      <c r="Z205" s="132"/>
    </row>
    <row r="206" ht="15.75" customHeight="1">
      <c r="A206" s="150"/>
      <c r="B206" s="132"/>
      <c r="C206" s="132"/>
      <c r="D206" s="132"/>
      <c r="E206" s="132"/>
      <c r="F206" s="132"/>
      <c r="G206" s="132"/>
      <c r="H206" s="132"/>
      <c r="I206" s="132"/>
      <c r="J206" s="132"/>
      <c r="K206" s="132"/>
      <c r="L206" s="132"/>
      <c r="M206" s="132"/>
      <c r="N206" s="132"/>
      <c r="O206" s="132"/>
      <c r="P206" s="132"/>
      <c r="Q206" s="132"/>
      <c r="R206" s="132"/>
      <c r="S206" s="132"/>
      <c r="T206" s="132"/>
      <c r="U206" s="132"/>
      <c r="V206" s="132"/>
      <c r="W206" s="132"/>
      <c r="X206" s="132"/>
      <c r="Y206" s="132"/>
      <c r="Z206" s="132"/>
    </row>
    <row r="207" ht="15.75" customHeight="1">
      <c r="A207" s="150"/>
      <c r="B207" s="132"/>
      <c r="C207" s="132"/>
      <c r="D207" s="132"/>
      <c r="E207" s="132"/>
      <c r="F207" s="132"/>
      <c r="G207" s="132"/>
      <c r="H207" s="132"/>
      <c r="I207" s="132"/>
      <c r="J207" s="132"/>
      <c r="K207" s="132"/>
      <c r="L207" s="132"/>
      <c r="M207" s="132"/>
      <c r="N207" s="132"/>
      <c r="O207" s="132"/>
      <c r="P207" s="132"/>
      <c r="Q207" s="132"/>
      <c r="R207" s="132"/>
      <c r="S207" s="132"/>
      <c r="T207" s="132"/>
      <c r="U207" s="132"/>
      <c r="V207" s="132"/>
      <c r="W207" s="132"/>
      <c r="X207" s="132"/>
      <c r="Y207" s="132"/>
      <c r="Z207" s="132"/>
    </row>
    <row r="208" ht="15.75" customHeight="1">
      <c r="A208" s="150"/>
      <c r="B208" s="132"/>
      <c r="C208" s="132"/>
      <c r="D208" s="132"/>
      <c r="E208" s="132"/>
      <c r="F208" s="132"/>
      <c r="G208" s="132"/>
      <c r="H208" s="132"/>
      <c r="I208" s="132"/>
      <c r="J208" s="132"/>
      <c r="K208" s="132"/>
      <c r="L208" s="132"/>
      <c r="M208" s="132"/>
      <c r="N208" s="132"/>
      <c r="O208" s="132"/>
      <c r="P208" s="132"/>
      <c r="Q208" s="132"/>
      <c r="R208" s="132"/>
      <c r="S208" s="132"/>
      <c r="T208" s="132"/>
      <c r="U208" s="132"/>
      <c r="V208" s="132"/>
      <c r="W208" s="132"/>
      <c r="X208" s="132"/>
      <c r="Y208" s="132"/>
      <c r="Z208" s="132"/>
    </row>
    <row r="209" ht="15.75" customHeight="1">
      <c r="A209" s="150"/>
      <c r="B209" s="132"/>
      <c r="C209" s="132"/>
      <c r="D209" s="132"/>
      <c r="E209" s="132"/>
      <c r="F209" s="132"/>
      <c r="G209" s="132"/>
      <c r="H209" s="132"/>
      <c r="I209" s="132"/>
      <c r="J209" s="132"/>
      <c r="K209" s="132"/>
      <c r="L209" s="132"/>
      <c r="M209" s="132"/>
      <c r="N209" s="132"/>
      <c r="O209" s="132"/>
      <c r="P209" s="132"/>
      <c r="Q209" s="132"/>
      <c r="R209" s="132"/>
      <c r="S209" s="132"/>
      <c r="T209" s="132"/>
      <c r="U209" s="132"/>
      <c r="V209" s="132"/>
      <c r="W209" s="132"/>
      <c r="X209" s="132"/>
      <c r="Y209" s="132"/>
      <c r="Z209" s="132"/>
    </row>
    <row r="210" ht="15.75" customHeight="1">
      <c r="A210" s="150"/>
      <c r="B210" s="132"/>
      <c r="C210" s="132"/>
      <c r="D210" s="132"/>
      <c r="E210" s="132"/>
      <c r="F210" s="132"/>
      <c r="G210" s="132"/>
      <c r="H210" s="132"/>
      <c r="I210" s="132"/>
      <c r="J210" s="132"/>
      <c r="K210" s="132"/>
      <c r="L210" s="132"/>
      <c r="M210" s="132"/>
      <c r="N210" s="132"/>
      <c r="O210" s="132"/>
      <c r="P210" s="132"/>
      <c r="Q210" s="132"/>
      <c r="R210" s="132"/>
      <c r="S210" s="132"/>
      <c r="T210" s="132"/>
      <c r="U210" s="132"/>
      <c r="V210" s="132"/>
      <c r="W210" s="132"/>
      <c r="X210" s="132"/>
      <c r="Y210" s="132"/>
      <c r="Z210" s="132"/>
    </row>
    <row r="211" ht="15.75" customHeight="1">
      <c r="A211" s="150"/>
      <c r="B211" s="132"/>
      <c r="C211" s="132"/>
      <c r="D211" s="132"/>
      <c r="E211" s="132"/>
      <c r="F211" s="132"/>
      <c r="G211" s="132"/>
      <c r="H211" s="132"/>
      <c r="I211" s="132"/>
      <c r="J211" s="132"/>
      <c r="K211" s="132"/>
      <c r="L211" s="132"/>
      <c r="M211" s="132"/>
      <c r="N211" s="132"/>
      <c r="O211" s="132"/>
      <c r="P211" s="132"/>
      <c r="Q211" s="132"/>
      <c r="R211" s="132"/>
      <c r="S211" s="132"/>
      <c r="T211" s="132"/>
      <c r="U211" s="132"/>
      <c r="V211" s="132"/>
      <c r="W211" s="132"/>
      <c r="X211" s="132"/>
      <c r="Y211" s="132"/>
      <c r="Z211" s="132"/>
    </row>
    <row r="212" ht="15.75" customHeight="1">
      <c r="A212" s="150"/>
      <c r="B212" s="132"/>
      <c r="C212" s="132"/>
      <c r="D212" s="132"/>
      <c r="E212" s="132"/>
      <c r="F212" s="132"/>
      <c r="G212" s="132"/>
      <c r="H212" s="132"/>
      <c r="I212" s="132"/>
      <c r="J212" s="132"/>
      <c r="K212" s="132"/>
      <c r="L212" s="132"/>
      <c r="M212" s="132"/>
      <c r="N212" s="132"/>
      <c r="O212" s="132"/>
      <c r="P212" s="132"/>
      <c r="Q212" s="132"/>
      <c r="R212" s="132"/>
      <c r="S212" s="132"/>
      <c r="T212" s="132"/>
      <c r="U212" s="132"/>
      <c r="V212" s="132"/>
      <c r="W212" s="132"/>
      <c r="X212" s="132"/>
      <c r="Y212" s="132"/>
      <c r="Z212" s="132"/>
    </row>
    <row r="213" ht="15.75" customHeight="1">
      <c r="A213" s="150"/>
      <c r="B213" s="132"/>
      <c r="C213" s="132"/>
      <c r="D213" s="132"/>
      <c r="E213" s="132"/>
      <c r="F213" s="132"/>
      <c r="G213" s="132"/>
      <c r="H213" s="132"/>
      <c r="I213" s="132"/>
      <c r="J213" s="132"/>
      <c r="K213" s="132"/>
      <c r="L213" s="132"/>
      <c r="M213" s="132"/>
      <c r="N213" s="132"/>
      <c r="O213" s="132"/>
      <c r="P213" s="132"/>
      <c r="Q213" s="132"/>
      <c r="R213" s="132"/>
      <c r="S213" s="132"/>
      <c r="T213" s="132"/>
      <c r="U213" s="132"/>
      <c r="V213" s="132"/>
      <c r="W213" s="132"/>
      <c r="X213" s="132"/>
      <c r="Y213" s="132"/>
      <c r="Z213" s="132"/>
    </row>
    <row r="214" ht="15.75" customHeight="1">
      <c r="A214" s="150"/>
      <c r="B214" s="132"/>
      <c r="C214" s="132"/>
      <c r="D214" s="132"/>
      <c r="E214" s="132"/>
      <c r="F214" s="132"/>
      <c r="G214" s="132"/>
      <c r="H214" s="132"/>
      <c r="I214" s="132"/>
      <c r="J214" s="132"/>
      <c r="K214" s="132"/>
      <c r="L214" s="132"/>
      <c r="M214" s="132"/>
      <c r="N214" s="132"/>
      <c r="O214" s="132"/>
      <c r="P214" s="132"/>
      <c r="Q214" s="132"/>
      <c r="R214" s="132"/>
      <c r="S214" s="132"/>
      <c r="T214" s="132"/>
      <c r="U214" s="132"/>
      <c r="V214" s="132"/>
      <c r="W214" s="132"/>
      <c r="X214" s="132"/>
      <c r="Y214" s="132"/>
      <c r="Z214" s="132"/>
    </row>
    <row r="215" ht="15.75" customHeight="1">
      <c r="A215" s="150"/>
      <c r="B215" s="132"/>
      <c r="C215" s="132"/>
      <c r="D215" s="132"/>
      <c r="E215" s="132"/>
      <c r="F215" s="132"/>
      <c r="G215" s="132"/>
      <c r="H215" s="132"/>
      <c r="I215" s="132"/>
      <c r="J215" s="132"/>
      <c r="K215" s="132"/>
      <c r="L215" s="132"/>
      <c r="M215" s="132"/>
      <c r="N215" s="132"/>
      <c r="O215" s="132"/>
      <c r="P215" s="132"/>
      <c r="Q215" s="132"/>
      <c r="R215" s="132"/>
      <c r="S215" s="132"/>
      <c r="T215" s="132"/>
      <c r="U215" s="132"/>
      <c r="V215" s="132"/>
      <c r="W215" s="132"/>
      <c r="X215" s="132"/>
      <c r="Y215" s="132"/>
      <c r="Z215" s="132"/>
    </row>
    <row r="216" ht="15.75" customHeight="1">
      <c r="A216" s="150"/>
      <c r="B216" s="132"/>
      <c r="C216" s="132"/>
      <c r="D216" s="132"/>
      <c r="E216" s="132"/>
      <c r="F216" s="132"/>
      <c r="G216" s="132"/>
      <c r="H216" s="132"/>
      <c r="I216" s="132"/>
      <c r="J216" s="132"/>
      <c r="K216" s="132"/>
      <c r="L216" s="132"/>
      <c r="M216" s="132"/>
      <c r="N216" s="132"/>
      <c r="O216" s="132"/>
      <c r="P216" s="132"/>
      <c r="Q216" s="132"/>
      <c r="R216" s="132"/>
      <c r="S216" s="132"/>
      <c r="T216" s="132"/>
      <c r="U216" s="132"/>
      <c r="V216" s="132"/>
      <c r="W216" s="132"/>
      <c r="X216" s="132"/>
      <c r="Y216" s="132"/>
      <c r="Z216" s="132"/>
    </row>
    <row r="217" ht="15.75" customHeight="1">
      <c r="A217" s="150"/>
      <c r="B217" s="132"/>
      <c r="C217" s="132"/>
      <c r="D217" s="132"/>
      <c r="E217" s="132"/>
      <c r="F217" s="132"/>
      <c r="G217" s="132"/>
      <c r="H217" s="132"/>
      <c r="I217" s="132"/>
      <c r="J217" s="132"/>
      <c r="K217" s="132"/>
      <c r="L217" s="132"/>
      <c r="M217" s="132"/>
      <c r="N217" s="132"/>
      <c r="O217" s="132"/>
      <c r="P217" s="132"/>
      <c r="Q217" s="132"/>
      <c r="R217" s="132"/>
      <c r="S217" s="132"/>
      <c r="T217" s="132"/>
      <c r="U217" s="132"/>
      <c r="V217" s="132"/>
      <c r="W217" s="132"/>
      <c r="X217" s="132"/>
      <c r="Y217" s="132"/>
      <c r="Z217" s="132"/>
    </row>
    <row r="218" ht="15.75" customHeight="1">
      <c r="A218" s="150"/>
      <c r="B218" s="132"/>
      <c r="C218" s="132"/>
      <c r="D218" s="132"/>
      <c r="E218" s="132"/>
      <c r="F218" s="132"/>
      <c r="G218" s="132"/>
      <c r="H218" s="132"/>
      <c r="I218" s="132"/>
      <c r="J218" s="132"/>
      <c r="K218" s="132"/>
      <c r="L218" s="132"/>
      <c r="M218" s="132"/>
      <c r="N218" s="132"/>
      <c r="O218" s="132"/>
      <c r="P218" s="132"/>
      <c r="Q218" s="132"/>
      <c r="R218" s="132"/>
      <c r="S218" s="132"/>
      <c r="T218" s="132"/>
      <c r="U218" s="132"/>
      <c r="V218" s="132"/>
      <c r="W218" s="132"/>
      <c r="X218" s="132"/>
      <c r="Y218" s="132"/>
      <c r="Z218" s="132"/>
    </row>
    <row r="219" ht="15.75" customHeight="1">
      <c r="A219" s="150"/>
      <c r="B219" s="132"/>
      <c r="C219" s="132"/>
      <c r="D219" s="132"/>
      <c r="E219" s="132"/>
      <c r="F219" s="132"/>
      <c r="G219" s="132"/>
      <c r="H219" s="132"/>
      <c r="I219" s="132"/>
      <c r="J219" s="132"/>
      <c r="K219" s="132"/>
      <c r="L219" s="132"/>
      <c r="M219" s="132"/>
      <c r="N219" s="132"/>
      <c r="O219" s="132"/>
      <c r="P219" s="132"/>
      <c r="Q219" s="132"/>
      <c r="R219" s="132"/>
      <c r="S219" s="132"/>
      <c r="T219" s="132"/>
      <c r="U219" s="132"/>
      <c r="V219" s="132"/>
      <c r="W219" s="132"/>
      <c r="X219" s="132"/>
      <c r="Y219" s="132"/>
      <c r="Z219" s="132"/>
    </row>
    <row r="220" ht="15.75" customHeight="1">
      <c r="A220" s="150"/>
      <c r="B220" s="132"/>
      <c r="C220" s="132"/>
      <c r="D220" s="132"/>
      <c r="E220" s="132"/>
      <c r="F220" s="132"/>
      <c r="G220" s="132"/>
      <c r="H220" s="132"/>
      <c r="I220" s="132"/>
      <c r="J220" s="132"/>
      <c r="K220" s="132"/>
      <c r="L220" s="132"/>
      <c r="M220" s="132"/>
      <c r="N220" s="132"/>
      <c r="O220" s="132"/>
      <c r="P220" s="132"/>
      <c r="Q220" s="132"/>
      <c r="R220" s="132"/>
      <c r="S220" s="132"/>
      <c r="T220" s="132"/>
      <c r="U220" s="132"/>
      <c r="V220" s="132"/>
      <c r="W220" s="132"/>
      <c r="X220" s="132"/>
      <c r="Y220" s="132"/>
      <c r="Z220" s="132"/>
    </row>
    <row r="221" ht="15.75" customHeight="1">
      <c r="A221" s="150"/>
      <c r="B221" s="132"/>
      <c r="C221" s="132"/>
      <c r="D221" s="132"/>
      <c r="E221" s="132"/>
      <c r="F221" s="132"/>
      <c r="G221" s="132"/>
      <c r="H221" s="132"/>
      <c r="I221" s="132"/>
      <c r="J221" s="132"/>
      <c r="K221" s="132"/>
      <c r="L221" s="132"/>
      <c r="M221" s="132"/>
      <c r="N221" s="132"/>
      <c r="O221" s="132"/>
      <c r="P221" s="132"/>
      <c r="Q221" s="132"/>
      <c r="R221" s="132"/>
      <c r="S221" s="132"/>
      <c r="T221" s="132"/>
      <c r="U221" s="132"/>
      <c r="V221" s="132"/>
      <c r="W221" s="132"/>
      <c r="X221" s="132"/>
      <c r="Y221" s="132"/>
      <c r="Z221" s="132"/>
    </row>
    <row r="222" ht="15.75" customHeight="1">
      <c r="A222" s="150"/>
      <c r="B222" s="132"/>
      <c r="C222" s="132"/>
      <c r="D222" s="132"/>
      <c r="E222" s="132"/>
      <c r="F222" s="132"/>
      <c r="G222" s="132"/>
      <c r="H222" s="132"/>
      <c r="I222" s="132"/>
      <c r="J222" s="132"/>
      <c r="K222" s="132"/>
      <c r="L222" s="132"/>
      <c r="M222" s="132"/>
      <c r="N222" s="132"/>
      <c r="O222" s="132"/>
      <c r="P222" s="132"/>
      <c r="Q222" s="132"/>
      <c r="R222" s="132"/>
      <c r="S222" s="132"/>
      <c r="T222" s="132"/>
      <c r="U222" s="132"/>
      <c r="V222" s="132"/>
      <c r="W222" s="132"/>
      <c r="X222" s="132"/>
      <c r="Y222" s="132"/>
      <c r="Z222" s="132"/>
    </row>
    <row r="223" ht="15.75" customHeight="1">
      <c r="A223" s="150"/>
      <c r="B223" s="132"/>
      <c r="C223" s="132"/>
      <c r="D223" s="132"/>
      <c r="E223" s="132"/>
      <c r="F223" s="132"/>
      <c r="G223" s="132"/>
      <c r="H223" s="132"/>
      <c r="I223" s="132"/>
      <c r="J223" s="132"/>
      <c r="K223" s="132"/>
      <c r="L223" s="132"/>
      <c r="M223" s="132"/>
      <c r="N223" s="132"/>
      <c r="O223" s="132"/>
      <c r="P223" s="132"/>
      <c r="Q223" s="132"/>
      <c r="R223" s="132"/>
      <c r="S223" s="132"/>
      <c r="T223" s="132"/>
      <c r="U223" s="132"/>
      <c r="V223" s="132"/>
      <c r="W223" s="132"/>
      <c r="X223" s="132"/>
      <c r="Y223" s="132"/>
      <c r="Z223" s="132"/>
    </row>
    <row r="224" ht="15.75" customHeight="1">
      <c r="A224" s="150"/>
      <c r="B224" s="132"/>
      <c r="C224" s="132"/>
      <c r="D224" s="132"/>
      <c r="E224" s="132"/>
      <c r="F224" s="132"/>
      <c r="G224" s="132"/>
      <c r="H224" s="132"/>
      <c r="I224" s="132"/>
      <c r="J224" s="132"/>
      <c r="K224" s="132"/>
      <c r="L224" s="132"/>
      <c r="M224" s="132"/>
      <c r="N224" s="132"/>
      <c r="O224" s="132"/>
      <c r="P224" s="132"/>
      <c r="Q224" s="132"/>
      <c r="R224" s="132"/>
      <c r="S224" s="132"/>
      <c r="T224" s="132"/>
      <c r="U224" s="132"/>
      <c r="V224" s="132"/>
      <c r="W224" s="132"/>
      <c r="X224" s="132"/>
      <c r="Y224" s="132"/>
      <c r="Z224" s="132"/>
    </row>
    <row r="225" ht="15.75" customHeight="1">
      <c r="A225" s="150"/>
      <c r="B225" s="132"/>
      <c r="C225" s="132"/>
      <c r="D225" s="132"/>
      <c r="E225" s="132"/>
      <c r="F225" s="132"/>
      <c r="G225" s="132"/>
      <c r="H225" s="132"/>
      <c r="I225" s="132"/>
      <c r="J225" s="132"/>
      <c r="K225" s="132"/>
      <c r="L225" s="132"/>
      <c r="M225" s="132"/>
      <c r="N225" s="132"/>
      <c r="O225" s="132"/>
      <c r="P225" s="132"/>
      <c r="Q225" s="132"/>
      <c r="R225" s="132"/>
      <c r="S225" s="132"/>
      <c r="T225" s="132"/>
      <c r="U225" s="132"/>
      <c r="V225" s="132"/>
      <c r="W225" s="132"/>
      <c r="X225" s="132"/>
      <c r="Y225" s="132"/>
      <c r="Z225" s="132"/>
    </row>
    <row r="226" ht="15.75" customHeight="1">
      <c r="A226" s="150"/>
      <c r="B226" s="132"/>
      <c r="C226" s="132"/>
      <c r="D226" s="132"/>
      <c r="E226" s="132"/>
      <c r="F226" s="132"/>
      <c r="G226" s="132"/>
      <c r="H226" s="132"/>
      <c r="I226" s="132"/>
      <c r="J226" s="132"/>
      <c r="K226" s="132"/>
      <c r="L226" s="132"/>
      <c r="M226" s="132"/>
      <c r="N226" s="132"/>
      <c r="O226" s="132"/>
      <c r="P226" s="132"/>
      <c r="Q226" s="132"/>
      <c r="R226" s="132"/>
      <c r="S226" s="132"/>
      <c r="T226" s="132"/>
      <c r="U226" s="132"/>
      <c r="V226" s="132"/>
      <c r="W226" s="132"/>
      <c r="X226" s="132"/>
      <c r="Y226" s="132"/>
      <c r="Z226" s="132"/>
    </row>
    <row r="227" ht="15.75" customHeight="1">
      <c r="A227" s="150"/>
      <c r="B227" s="132"/>
      <c r="C227" s="132"/>
      <c r="D227" s="132"/>
      <c r="E227" s="132"/>
      <c r="F227" s="132"/>
      <c r="G227" s="132"/>
      <c r="H227" s="132"/>
      <c r="I227" s="132"/>
      <c r="J227" s="132"/>
      <c r="K227" s="132"/>
      <c r="L227" s="132"/>
      <c r="M227" s="132"/>
      <c r="N227" s="132"/>
      <c r="O227" s="132"/>
      <c r="P227" s="132"/>
      <c r="Q227" s="132"/>
      <c r="R227" s="132"/>
      <c r="S227" s="132"/>
      <c r="T227" s="132"/>
      <c r="U227" s="132"/>
      <c r="V227" s="132"/>
      <c r="W227" s="132"/>
      <c r="X227" s="132"/>
      <c r="Y227" s="132"/>
      <c r="Z227" s="132"/>
    </row>
    <row r="228" ht="15.75" customHeight="1">
      <c r="A228" s="150"/>
      <c r="B228" s="132"/>
      <c r="C228" s="132"/>
      <c r="D228" s="132"/>
      <c r="E228" s="132"/>
      <c r="F228" s="132"/>
      <c r="G228" s="132"/>
      <c r="H228" s="132"/>
      <c r="I228" s="132"/>
      <c r="J228" s="132"/>
      <c r="K228" s="132"/>
      <c r="L228" s="132"/>
      <c r="M228" s="132"/>
      <c r="N228" s="132"/>
      <c r="O228" s="132"/>
      <c r="P228" s="132"/>
      <c r="Q228" s="132"/>
      <c r="R228" s="132"/>
      <c r="S228" s="132"/>
      <c r="T228" s="132"/>
      <c r="U228" s="132"/>
      <c r="V228" s="132"/>
      <c r="W228" s="132"/>
      <c r="X228" s="132"/>
      <c r="Y228" s="132"/>
      <c r="Z228" s="132"/>
    </row>
    <row r="229" ht="15.75" customHeight="1">
      <c r="A229" s="150"/>
      <c r="B229" s="132"/>
      <c r="C229" s="132"/>
      <c r="D229" s="132"/>
      <c r="E229" s="132"/>
      <c r="F229" s="132"/>
      <c r="G229" s="132"/>
      <c r="H229" s="132"/>
      <c r="I229" s="132"/>
      <c r="J229" s="132"/>
      <c r="K229" s="132"/>
      <c r="L229" s="132"/>
      <c r="M229" s="132"/>
      <c r="N229" s="132"/>
      <c r="O229" s="132"/>
      <c r="P229" s="132"/>
      <c r="Q229" s="132"/>
      <c r="R229" s="132"/>
      <c r="S229" s="132"/>
      <c r="T229" s="132"/>
      <c r="U229" s="132"/>
      <c r="V229" s="132"/>
      <c r="W229" s="132"/>
      <c r="X229" s="132"/>
      <c r="Y229" s="132"/>
      <c r="Z229" s="132"/>
    </row>
    <row r="230" ht="15.75" customHeight="1">
      <c r="A230" s="150"/>
      <c r="B230" s="132"/>
      <c r="C230" s="132"/>
      <c r="D230" s="132"/>
      <c r="E230" s="132"/>
      <c r="F230" s="132"/>
      <c r="G230" s="132"/>
      <c r="H230" s="132"/>
      <c r="I230" s="132"/>
      <c r="J230" s="132"/>
      <c r="K230" s="132"/>
      <c r="L230" s="132"/>
      <c r="M230" s="132"/>
      <c r="N230" s="132"/>
      <c r="O230" s="132"/>
      <c r="P230" s="132"/>
      <c r="Q230" s="132"/>
      <c r="R230" s="132"/>
      <c r="S230" s="132"/>
      <c r="T230" s="132"/>
      <c r="U230" s="132"/>
      <c r="V230" s="132"/>
      <c r="W230" s="132"/>
      <c r="X230" s="132"/>
      <c r="Y230" s="132"/>
      <c r="Z230" s="132"/>
    </row>
    <row r="231" ht="15.75" customHeight="1">
      <c r="A231" s="150"/>
      <c r="B231" s="132"/>
      <c r="C231" s="132"/>
      <c r="D231" s="132"/>
      <c r="E231" s="132"/>
      <c r="F231" s="132"/>
      <c r="G231" s="132"/>
      <c r="H231" s="132"/>
      <c r="I231" s="132"/>
      <c r="J231" s="132"/>
      <c r="K231" s="132"/>
      <c r="L231" s="132"/>
      <c r="M231" s="132"/>
      <c r="N231" s="132"/>
      <c r="O231" s="132"/>
      <c r="P231" s="132"/>
      <c r="Q231" s="132"/>
      <c r="R231" s="132"/>
      <c r="S231" s="132"/>
      <c r="T231" s="132"/>
      <c r="U231" s="132"/>
      <c r="V231" s="132"/>
      <c r="W231" s="132"/>
      <c r="X231" s="132"/>
      <c r="Y231" s="132"/>
      <c r="Z231" s="132"/>
    </row>
    <row r="232" ht="15.75" customHeight="1">
      <c r="A232" s="150"/>
      <c r="B232" s="132"/>
      <c r="C232" s="132"/>
      <c r="D232" s="132"/>
      <c r="E232" s="132"/>
      <c r="F232" s="132"/>
      <c r="G232" s="132"/>
      <c r="H232" s="132"/>
      <c r="I232" s="132"/>
      <c r="J232" s="132"/>
      <c r="K232" s="132"/>
      <c r="L232" s="132"/>
      <c r="M232" s="132"/>
      <c r="N232" s="132"/>
      <c r="O232" s="132"/>
      <c r="P232" s="132"/>
      <c r="Q232" s="132"/>
      <c r="R232" s="132"/>
      <c r="S232" s="132"/>
      <c r="T232" s="132"/>
      <c r="U232" s="132"/>
      <c r="V232" s="132"/>
      <c r="W232" s="132"/>
      <c r="X232" s="132"/>
      <c r="Y232" s="132"/>
      <c r="Z232" s="132"/>
    </row>
    <row r="233" ht="15.75" customHeight="1">
      <c r="A233" s="150"/>
      <c r="B233" s="132"/>
      <c r="C233" s="132"/>
      <c r="D233" s="132"/>
      <c r="E233" s="132"/>
      <c r="F233" s="132"/>
      <c r="G233" s="132"/>
      <c r="H233" s="132"/>
      <c r="I233" s="132"/>
      <c r="J233" s="132"/>
      <c r="K233" s="132"/>
      <c r="L233" s="132"/>
      <c r="M233" s="132"/>
      <c r="N233" s="132"/>
      <c r="O233" s="132"/>
      <c r="P233" s="132"/>
      <c r="Q233" s="132"/>
      <c r="R233" s="132"/>
      <c r="S233" s="132"/>
      <c r="T233" s="132"/>
      <c r="U233" s="132"/>
      <c r="V233" s="132"/>
      <c r="W233" s="132"/>
      <c r="X233" s="132"/>
      <c r="Y233" s="132"/>
      <c r="Z233" s="132"/>
    </row>
    <row r="234" ht="15.75" customHeight="1">
      <c r="A234" s="150"/>
      <c r="B234" s="132"/>
      <c r="C234" s="132"/>
      <c r="D234" s="132"/>
      <c r="E234" s="132"/>
      <c r="F234" s="132"/>
      <c r="G234" s="132"/>
      <c r="H234" s="132"/>
      <c r="I234" s="132"/>
      <c r="J234" s="132"/>
      <c r="K234" s="132"/>
      <c r="L234" s="132"/>
      <c r="M234" s="132"/>
      <c r="N234" s="132"/>
      <c r="O234" s="132"/>
      <c r="P234" s="132"/>
      <c r="Q234" s="132"/>
      <c r="R234" s="132"/>
      <c r="S234" s="132"/>
      <c r="T234" s="132"/>
      <c r="U234" s="132"/>
      <c r="V234" s="132"/>
      <c r="W234" s="132"/>
      <c r="X234" s="132"/>
      <c r="Y234" s="132"/>
      <c r="Z234" s="132"/>
    </row>
    <row r="235" ht="15.75" customHeight="1">
      <c r="A235" s="150"/>
      <c r="B235" s="132"/>
      <c r="C235" s="132"/>
      <c r="D235" s="132"/>
      <c r="E235" s="132"/>
      <c r="F235" s="132"/>
      <c r="G235" s="132"/>
      <c r="H235" s="132"/>
      <c r="I235" s="132"/>
      <c r="J235" s="132"/>
      <c r="K235" s="132"/>
      <c r="L235" s="132"/>
      <c r="M235" s="132"/>
      <c r="N235" s="132"/>
      <c r="O235" s="132"/>
      <c r="P235" s="132"/>
      <c r="Q235" s="132"/>
      <c r="R235" s="132"/>
      <c r="S235" s="132"/>
      <c r="T235" s="132"/>
      <c r="U235" s="132"/>
      <c r="V235" s="132"/>
      <c r="W235" s="132"/>
      <c r="X235" s="132"/>
      <c r="Y235" s="132"/>
      <c r="Z235" s="132"/>
    </row>
    <row r="236" ht="15.75" customHeight="1">
      <c r="A236" s="150"/>
      <c r="B236" s="132"/>
      <c r="C236" s="132"/>
      <c r="D236" s="132"/>
      <c r="E236" s="132"/>
      <c r="F236" s="132"/>
      <c r="G236" s="132"/>
      <c r="H236" s="132"/>
      <c r="I236" s="132"/>
      <c r="J236" s="132"/>
      <c r="K236" s="132"/>
      <c r="L236" s="132"/>
      <c r="M236" s="132"/>
      <c r="N236" s="132"/>
      <c r="O236" s="132"/>
      <c r="P236" s="132"/>
      <c r="Q236" s="132"/>
      <c r="R236" s="132"/>
      <c r="S236" s="132"/>
      <c r="T236" s="132"/>
      <c r="U236" s="132"/>
      <c r="V236" s="132"/>
      <c r="W236" s="132"/>
      <c r="X236" s="132"/>
      <c r="Y236" s="132"/>
      <c r="Z236" s="132"/>
    </row>
    <row r="237" ht="15.75" customHeight="1">
      <c r="A237" s="150"/>
      <c r="B237" s="132"/>
      <c r="C237" s="132"/>
      <c r="D237" s="132"/>
      <c r="E237" s="132"/>
      <c r="F237" s="132"/>
      <c r="G237" s="132"/>
      <c r="H237" s="132"/>
      <c r="I237" s="132"/>
      <c r="J237" s="132"/>
      <c r="K237" s="132"/>
      <c r="L237" s="132"/>
      <c r="M237" s="132"/>
      <c r="N237" s="132"/>
      <c r="O237" s="132"/>
      <c r="P237" s="132"/>
      <c r="Q237" s="132"/>
      <c r="R237" s="132"/>
      <c r="S237" s="132"/>
      <c r="T237" s="132"/>
      <c r="U237" s="132"/>
      <c r="V237" s="132"/>
      <c r="W237" s="132"/>
      <c r="X237" s="132"/>
      <c r="Y237" s="132"/>
      <c r="Z237" s="132"/>
    </row>
    <row r="238" ht="15.75" customHeight="1">
      <c r="A238" s="150"/>
      <c r="B238" s="132"/>
      <c r="C238" s="132"/>
      <c r="D238" s="132"/>
      <c r="E238" s="132"/>
      <c r="F238" s="132"/>
      <c r="G238" s="132"/>
      <c r="H238" s="132"/>
      <c r="I238" s="132"/>
      <c r="J238" s="132"/>
      <c r="K238" s="132"/>
      <c r="L238" s="132"/>
      <c r="M238" s="132"/>
      <c r="N238" s="132"/>
      <c r="O238" s="132"/>
      <c r="P238" s="132"/>
      <c r="Q238" s="132"/>
      <c r="R238" s="132"/>
      <c r="S238" s="132"/>
      <c r="T238" s="132"/>
      <c r="U238" s="132"/>
      <c r="V238" s="132"/>
      <c r="W238" s="132"/>
      <c r="X238" s="132"/>
      <c r="Y238" s="132"/>
      <c r="Z238" s="132"/>
    </row>
    <row r="239" ht="15.75" customHeight="1">
      <c r="A239" s="150"/>
      <c r="B239" s="132"/>
      <c r="C239" s="132"/>
      <c r="D239" s="132"/>
      <c r="E239" s="132"/>
      <c r="F239" s="132"/>
      <c r="G239" s="132"/>
      <c r="H239" s="132"/>
      <c r="I239" s="132"/>
      <c r="J239" s="132"/>
      <c r="K239" s="132"/>
      <c r="L239" s="132"/>
      <c r="M239" s="132"/>
      <c r="N239" s="132"/>
      <c r="O239" s="132"/>
      <c r="P239" s="132"/>
      <c r="Q239" s="132"/>
      <c r="R239" s="132"/>
      <c r="S239" s="132"/>
      <c r="T239" s="132"/>
      <c r="U239" s="132"/>
      <c r="V239" s="132"/>
      <c r="W239" s="132"/>
      <c r="X239" s="132"/>
      <c r="Y239" s="132"/>
      <c r="Z239" s="132"/>
    </row>
    <row r="240" ht="15.75" customHeight="1">
      <c r="A240" s="150"/>
      <c r="B240" s="132"/>
      <c r="C240" s="132"/>
      <c r="D240" s="132"/>
      <c r="E240" s="132"/>
      <c r="F240" s="132"/>
      <c r="G240" s="132"/>
      <c r="H240" s="132"/>
      <c r="I240" s="132"/>
      <c r="J240" s="132"/>
      <c r="K240" s="132"/>
      <c r="L240" s="132"/>
      <c r="M240" s="132"/>
      <c r="N240" s="132"/>
      <c r="O240" s="132"/>
      <c r="P240" s="132"/>
      <c r="Q240" s="132"/>
      <c r="R240" s="132"/>
      <c r="S240" s="132"/>
      <c r="T240" s="132"/>
      <c r="U240" s="132"/>
      <c r="V240" s="132"/>
      <c r="W240" s="132"/>
      <c r="X240" s="132"/>
      <c r="Y240" s="132"/>
      <c r="Z240" s="132"/>
    </row>
    <row r="241" ht="15.75" customHeight="1">
      <c r="A241" s="150"/>
      <c r="B241" s="132"/>
      <c r="C241" s="132"/>
      <c r="D241" s="132"/>
      <c r="E241" s="132"/>
      <c r="F241" s="132"/>
      <c r="G241" s="132"/>
      <c r="H241" s="132"/>
      <c r="I241" s="132"/>
      <c r="J241" s="132"/>
      <c r="K241" s="132"/>
      <c r="L241" s="132"/>
      <c r="M241" s="132"/>
      <c r="N241" s="132"/>
      <c r="O241" s="132"/>
      <c r="P241" s="132"/>
      <c r="Q241" s="132"/>
      <c r="R241" s="132"/>
      <c r="S241" s="132"/>
      <c r="T241" s="132"/>
      <c r="U241" s="132"/>
      <c r="V241" s="132"/>
      <c r="W241" s="132"/>
      <c r="X241" s="132"/>
      <c r="Y241" s="132"/>
      <c r="Z241" s="132"/>
    </row>
    <row r="242" ht="15.75" customHeight="1">
      <c r="A242" s="150"/>
      <c r="B242" s="132"/>
      <c r="C242" s="132"/>
      <c r="D242" s="132"/>
      <c r="E242" s="132"/>
      <c r="F242" s="132"/>
      <c r="G242" s="132"/>
      <c r="H242" s="132"/>
      <c r="I242" s="132"/>
      <c r="J242" s="132"/>
      <c r="K242" s="132"/>
      <c r="L242" s="132"/>
      <c r="M242" s="132"/>
      <c r="N242" s="132"/>
      <c r="O242" s="132"/>
      <c r="P242" s="132"/>
      <c r="Q242" s="132"/>
      <c r="R242" s="132"/>
      <c r="S242" s="132"/>
      <c r="T242" s="132"/>
      <c r="U242" s="132"/>
      <c r="V242" s="132"/>
      <c r="W242" s="132"/>
      <c r="X242" s="132"/>
      <c r="Y242" s="132"/>
      <c r="Z242" s="132"/>
    </row>
    <row r="243" ht="15.75" customHeight="1">
      <c r="A243" s="150"/>
      <c r="B243" s="132"/>
      <c r="C243" s="132"/>
      <c r="D243" s="132"/>
      <c r="E243" s="132"/>
      <c r="F243" s="132"/>
      <c r="G243" s="132"/>
      <c r="H243" s="132"/>
      <c r="I243" s="132"/>
      <c r="J243" s="132"/>
      <c r="K243" s="132"/>
      <c r="L243" s="132"/>
      <c r="M243" s="132"/>
      <c r="N243" s="132"/>
      <c r="O243" s="132"/>
      <c r="P243" s="132"/>
      <c r="Q243" s="132"/>
      <c r="R243" s="132"/>
      <c r="S243" s="132"/>
      <c r="T243" s="132"/>
      <c r="U243" s="132"/>
      <c r="V243" s="132"/>
      <c r="W243" s="132"/>
      <c r="X243" s="132"/>
      <c r="Y243" s="132"/>
      <c r="Z243" s="132"/>
    </row>
    <row r="244" ht="15.75" customHeight="1">
      <c r="A244" s="150"/>
      <c r="B244" s="132"/>
      <c r="C244" s="132"/>
      <c r="D244" s="132"/>
      <c r="E244" s="132"/>
      <c r="F244" s="132"/>
      <c r="G244" s="132"/>
      <c r="H244" s="132"/>
      <c r="I244" s="132"/>
      <c r="J244" s="132"/>
      <c r="K244" s="132"/>
      <c r="L244" s="132"/>
      <c r="M244" s="132"/>
      <c r="N244" s="132"/>
      <c r="O244" s="132"/>
      <c r="P244" s="132"/>
      <c r="Q244" s="132"/>
      <c r="R244" s="132"/>
      <c r="S244" s="132"/>
      <c r="T244" s="132"/>
      <c r="U244" s="132"/>
      <c r="V244" s="132"/>
      <c r="W244" s="132"/>
      <c r="X244" s="132"/>
      <c r="Y244" s="132"/>
      <c r="Z244" s="132"/>
    </row>
    <row r="245" ht="15.75" customHeight="1">
      <c r="A245" s="150"/>
      <c r="B245" s="132"/>
      <c r="C245" s="132"/>
      <c r="D245" s="132"/>
      <c r="E245" s="132"/>
      <c r="F245" s="132"/>
      <c r="G245" s="132"/>
      <c r="H245" s="132"/>
      <c r="I245" s="132"/>
      <c r="J245" s="132"/>
      <c r="K245" s="132"/>
      <c r="L245" s="132"/>
      <c r="M245" s="132"/>
      <c r="N245" s="132"/>
      <c r="O245" s="132"/>
      <c r="P245" s="132"/>
      <c r="Q245" s="132"/>
      <c r="R245" s="132"/>
      <c r="S245" s="132"/>
      <c r="T245" s="132"/>
      <c r="U245" s="132"/>
      <c r="V245" s="132"/>
      <c r="W245" s="132"/>
      <c r="X245" s="132"/>
      <c r="Y245" s="132"/>
      <c r="Z245" s="132"/>
    </row>
    <row r="246" ht="15.75" customHeight="1">
      <c r="A246" s="150"/>
      <c r="B246" s="132"/>
      <c r="C246" s="132"/>
      <c r="D246" s="132"/>
      <c r="E246" s="132"/>
      <c r="F246" s="132"/>
      <c r="G246" s="132"/>
      <c r="H246" s="132"/>
      <c r="I246" s="132"/>
      <c r="J246" s="132"/>
      <c r="K246" s="132"/>
      <c r="L246" s="132"/>
      <c r="M246" s="132"/>
      <c r="N246" s="132"/>
      <c r="O246" s="132"/>
      <c r="P246" s="132"/>
      <c r="Q246" s="132"/>
      <c r="R246" s="132"/>
      <c r="S246" s="132"/>
      <c r="T246" s="132"/>
      <c r="U246" s="132"/>
      <c r="V246" s="132"/>
      <c r="W246" s="132"/>
      <c r="X246" s="132"/>
      <c r="Y246" s="132"/>
      <c r="Z246" s="132"/>
    </row>
    <row r="247" ht="15.75" customHeight="1">
      <c r="A247" s="150"/>
      <c r="B247" s="132"/>
      <c r="C247" s="132"/>
      <c r="D247" s="132"/>
      <c r="E247" s="132"/>
      <c r="F247" s="132"/>
      <c r="G247" s="132"/>
      <c r="H247" s="132"/>
      <c r="I247" s="132"/>
      <c r="J247" s="132"/>
      <c r="K247" s="132"/>
      <c r="L247" s="132"/>
      <c r="M247" s="132"/>
      <c r="N247" s="132"/>
      <c r="O247" s="132"/>
      <c r="P247" s="132"/>
      <c r="Q247" s="132"/>
      <c r="R247" s="132"/>
      <c r="S247" s="132"/>
      <c r="T247" s="132"/>
      <c r="U247" s="132"/>
      <c r="V247" s="132"/>
      <c r="W247" s="132"/>
      <c r="X247" s="132"/>
      <c r="Y247" s="132"/>
      <c r="Z247" s="132"/>
    </row>
    <row r="248" ht="15.75" customHeight="1">
      <c r="A248" s="150"/>
      <c r="B248" s="132"/>
      <c r="C248" s="132"/>
      <c r="D248" s="132"/>
      <c r="E248" s="132"/>
      <c r="F248" s="132"/>
      <c r="G248" s="132"/>
      <c r="H248" s="132"/>
      <c r="I248" s="132"/>
      <c r="J248" s="132"/>
      <c r="K248" s="132"/>
      <c r="L248" s="132"/>
      <c r="M248" s="132"/>
      <c r="N248" s="132"/>
      <c r="O248" s="132"/>
      <c r="P248" s="132"/>
      <c r="Q248" s="132"/>
      <c r="R248" s="132"/>
      <c r="S248" s="132"/>
      <c r="T248" s="132"/>
      <c r="U248" s="132"/>
      <c r="V248" s="132"/>
      <c r="W248" s="132"/>
      <c r="X248" s="132"/>
      <c r="Y248" s="132"/>
      <c r="Z248" s="132"/>
    </row>
    <row r="249" ht="15.75" customHeight="1">
      <c r="A249" s="150"/>
      <c r="B249" s="132"/>
      <c r="C249" s="132"/>
      <c r="D249" s="132"/>
      <c r="E249" s="132"/>
      <c r="F249" s="132"/>
      <c r="G249" s="132"/>
      <c r="H249" s="132"/>
      <c r="I249" s="132"/>
      <c r="J249" s="132"/>
      <c r="K249" s="132"/>
      <c r="L249" s="132"/>
      <c r="M249" s="132"/>
      <c r="N249" s="132"/>
      <c r="O249" s="132"/>
      <c r="P249" s="132"/>
      <c r="Q249" s="132"/>
      <c r="R249" s="132"/>
      <c r="S249" s="132"/>
      <c r="T249" s="132"/>
      <c r="U249" s="132"/>
      <c r="V249" s="132"/>
      <c r="W249" s="132"/>
      <c r="X249" s="132"/>
      <c r="Y249" s="132"/>
      <c r="Z249" s="132"/>
    </row>
    <row r="250" ht="15.75" customHeight="1">
      <c r="A250" s="150"/>
      <c r="B250" s="132"/>
      <c r="C250" s="132"/>
      <c r="D250" s="132"/>
      <c r="E250" s="132"/>
      <c r="F250" s="132"/>
      <c r="G250" s="132"/>
      <c r="H250" s="132"/>
      <c r="I250" s="132"/>
      <c r="J250" s="132"/>
      <c r="K250" s="132"/>
      <c r="L250" s="132"/>
      <c r="M250" s="132"/>
      <c r="N250" s="132"/>
      <c r="O250" s="132"/>
      <c r="P250" s="132"/>
      <c r="Q250" s="132"/>
      <c r="R250" s="132"/>
      <c r="S250" s="132"/>
      <c r="T250" s="132"/>
      <c r="U250" s="132"/>
      <c r="V250" s="132"/>
      <c r="W250" s="132"/>
      <c r="X250" s="132"/>
      <c r="Y250" s="132"/>
      <c r="Z250" s="132"/>
    </row>
    <row r="251" ht="15.75" customHeight="1">
      <c r="A251" s="150"/>
      <c r="B251" s="132"/>
      <c r="C251" s="132"/>
      <c r="D251" s="132"/>
      <c r="E251" s="132"/>
      <c r="F251" s="132"/>
      <c r="G251" s="132"/>
      <c r="H251" s="132"/>
      <c r="I251" s="132"/>
      <c r="J251" s="132"/>
      <c r="K251" s="132"/>
      <c r="L251" s="132"/>
      <c r="M251" s="132"/>
      <c r="N251" s="132"/>
      <c r="O251" s="132"/>
      <c r="P251" s="132"/>
      <c r="Q251" s="132"/>
      <c r="R251" s="132"/>
      <c r="S251" s="132"/>
      <c r="T251" s="132"/>
      <c r="U251" s="132"/>
      <c r="V251" s="132"/>
      <c r="W251" s="132"/>
      <c r="X251" s="132"/>
      <c r="Y251" s="132"/>
      <c r="Z251" s="132"/>
    </row>
    <row r="252" ht="15.75" customHeight="1">
      <c r="A252" s="150"/>
      <c r="B252" s="132"/>
      <c r="C252" s="132"/>
      <c r="D252" s="132"/>
      <c r="E252" s="132"/>
      <c r="F252" s="132"/>
      <c r="G252" s="132"/>
      <c r="H252" s="132"/>
      <c r="I252" s="132"/>
      <c r="J252" s="132"/>
      <c r="K252" s="132"/>
      <c r="L252" s="132"/>
      <c r="M252" s="132"/>
      <c r="N252" s="132"/>
      <c r="O252" s="132"/>
      <c r="P252" s="132"/>
      <c r="Q252" s="132"/>
      <c r="R252" s="132"/>
      <c r="S252" s="132"/>
      <c r="T252" s="132"/>
      <c r="U252" s="132"/>
      <c r="V252" s="132"/>
      <c r="W252" s="132"/>
      <c r="X252" s="132"/>
      <c r="Y252" s="132"/>
      <c r="Z252" s="132"/>
    </row>
    <row r="253" ht="15.75" customHeight="1">
      <c r="A253" s="150"/>
      <c r="B253" s="132"/>
      <c r="C253" s="132"/>
      <c r="D253" s="132"/>
      <c r="E253" s="132"/>
      <c r="F253" s="132"/>
      <c r="G253" s="132"/>
      <c r="H253" s="132"/>
      <c r="I253" s="132"/>
      <c r="J253" s="132"/>
      <c r="K253" s="132"/>
      <c r="L253" s="132"/>
      <c r="M253" s="132"/>
      <c r="N253" s="132"/>
      <c r="O253" s="132"/>
      <c r="P253" s="132"/>
      <c r="Q253" s="132"/>
      <c r="R253" s="132"/>
      <c r="S253" s="132"/>
      <c r="T253" s="132"/>
      <c r="U253" s="132"/>
      <c r="V253" s="132"/>
      <c r="W253" s="132"/>
      <c r="X253" s="132"/>
      <c r="Y253" s="132"/>
      <c r="Z253" s="132"/>
    </row>
    <row r="254" ht="15.75" customHeight="1">
      <c r="A254" s="150"/>
      <c r="B254" s="132"/>
      <c r="C254" s="132"/>
      <c r="D254" s="132"/>
      <c r="E254" s="132"/>
      <c r="F254" s="132"/>
      <c r="G254" s="132"/>
      <c r="H254" s="132"/>
      <c r="I254" s="132"/>
      <c r="J254" s="132"/>
      <c r="K254" s="132"/>
      <c r="L254" s="132"/>
      <c r="M254" s="132"/>
      <c r="N254" s="132"/>
      <c r="O254" s="132"/>
      <c r="P254" s="132"/>
      <c r="Q254" s="132"/>
      <c r="R254" s="132"/>
      <c r="S254" s="132"/>
      <c r="T254" s="132"/>
      <c r="U254" s="132"/>
      <c r="V254" s="132"/>
      <c r="W254" s="132"/>
      <c r="X254" s="132"/>
      <c r="Y254" s="132"/>
      <c r="Z254" s="132"/>
    </row>
    <row r="255" ht="15.75" customHeight="1">
      <c r="A255" s="150"/>
      <c r="B255" s="132"/>
      <c r="C255" s="132"/>
      <c r="D255" s="132"/>
      <c r="E255" s="132"/>
      <c r="F255" s="132"/>
      <c r="G255" s="132"/>
      <c r="H255" s="132"/>
      <c r="I255" s="132"/>
      <c r="J255" s="132"/>
      <c r="K255" s="132"/>
      <c r="L255" s="132"/>
      <c r="M255" s="132"/>
      <c r="N255" s="132"/>
      <c r="O255" s="132"/>
      <c r="P255" s="132"/>
      <c r="Q255" s="132"/>
      <c r="R255" s="132"/>
      <c r="S255" s="132"/>
      <c r="T255" s="132"/>
      <c r="U255" s="132"/>
      <c r="V255" s="132"/>
      <c r="W255" s="132"/>
      <c r="X255" s="132"/>
      <c r="Y255" s="132"/>
      <c r="Z255" s="132"/>
    </row>
    <row r="256" ht="15.75" customHeight="1">
      <c r="A256" s="150"/>
      <c r="B256" s="132"/>
      <c r="C256" s="132"/>
      <c r="D256" s="132"/>
      <c r="E256" s="132"/>
      <c r="F256" s="132"/>
      <c r="G256" s="132"/>
      <c r="H256" s="132"/>
      <c r="I256" s="132"/>
      <c r="J256" s="132"/>
      <c r="K256" s="132"/>
      <c r="L256" s="132"/>
      <c r="M256" s="132"/>
      <c r="N256" s="132"/>
      <c r="O256" s="132"/>
      <c r="P256" s="132"/>
      <c r="Q256" s="132"/>
      <c r="R256" s="132"/>
      <c r="S256" s="132"/>
      <c r="T256" s="132"/>
      <c r="U256" s="132"/>
      <c r="V256" s="132"/>
      <c r="W256" s="132"/>
      <c r="X256" s="132"/>
      <c r="Y256" s="132"/>
      <c r="Z256" s="132"/>
    </row>
    <row r="257" ht="15.75" customHeight="1">
      <c r="A257" s="150"/>
      <c r="B257" s="132"/>
      <c r="C257" s="132"/>
      <c r="D257" s="132"/>
      <c r="E257" s="132"/>
      <c r="F257" s="132"/>
      <c r="G257" s="132"/>
      <c r="H257" s="132"/>
      <c r="I257" s="132"/>
      <c r="J257" s="132"/>
      <c r="K257" s="132"/>
      <c r="L257" s="132"/>
      <c r="M257" s="132"/>
      <c r="N257" s="132"/>
      <c r="O257" s="132"/>
      <c r="P257" s="132"/>
      <c r="Q257" s="132"/>
      <c r="R257" s="132"/>
      <c r="S257" s="132"/>
      <c r="T257" s="132"/>
      <c r="U257" s="132"/>
      <c r="V257" s="132"/>
      <c r="W257" s="132"/>
      <c r="X257" s="132"/>
      <c r="Y257" s="132"/>
      <c r="Z257" s="132"/>
    </row>
    <row r="258" ht="15.75" customHeight="1">
      <c r="A258" s="150"/>
      <c r="B258" s="132"/>
      <c r="C258" s="132"/>
      <c r="D258" s="132"/>
      <c r="E258" s="132"/>
      <c r="F258" s="132"/>
      <c r="G258" s="132"/>
      <c r="H258" s="132"/>
      <c r="I258" s="132"/>
      <c r="J258" s="132"/>
      <c r="K258" s="132"/>
      <c r="L258" s="132"/>
      <c r="M258" s="132"/>
      <c r="N258" s="132"/>
      <c r="O258" s="132"/>
      <c r="P258" s="132"/>
      <c r="Q258" s="132"/>
      <c r="R258" s="132"/>
      <c r="S258" s="132"/>
      <c r="T258" s="132"/>
      <c r="U258" s="132"/>
      <c r="V258" s="132"/>
      <c r="W258" s="132"/>
      <c r="X258" s="132"/>
      <c r="Y258" s="132"/>
      <c r="Z258" s="132"/>
    </row>
    <row r="259" ht="15.75" customHeight="1">
      <c r="A259" s="150"/>
      <c r="B259" s="132"/>
      <c r="C259" s="132"/>
      <c r="D259" s="132"/>
      <c r="E259" s="132"/>
      <c r="F259" s="132"/>
      <c r="G259" s="132"/>
      <c r="H259" s="132"/>
      <c r="I259" s="132"/>
      <c r="J259" s="132"/>
      <c r="K259" s="132"/>
      <c r="L259" s="132"/>
      <c r="M259" s="132"/>
      <c r="N259" s="132"/>
      <c r="O259" s="132"/>
      <c r="P259" s="132"/>
      <c r="Q259" s="132"/>
      <c r="R259" s="132"/>
      <c r="S259" s="132"/>
      <c r="T259" s="132"/>
      <c r="U259" s="132"/>
      <c r="V259" s="132"/>
      <c r="W259" s="132"/>
      <c r="X259" s="132"/>
      <c r="Y259" s="132"/>
      <c r="Z259" s="132"/>
    </row>
    <row r="260" ht="15.75" customHeight="1">
      <c r="A260" s="150"/>
      <c r="B260" s="132"/>
      <c r="C260" s="132"/>
      <c r="D260" s="132"/>
      <c r="E260" s="132"/>
      <c r="F260" s="132"/>
      <c r="G260" s="132"/>
      <c r="H260" s="132"/>
      <c r="I260" s="132"/>
      <c r="J260" s="132"/>
      <c r="K260" s="132"/>
      <c r="L260" s="132"/>
      <c r="M260" s="132"/>
      <c r="N260" s="132"/>
      <c r="O260" s="132"/>
      <c r="P260" s="132"/>
      <c r="Q260" s="132"/>
      <c r="R260" s="132"/>
      <c r="S260" s="132"/>
      <c r="T260" s="132"/>
      <c r="U260" s="132"/>
      <c r="V260" s="132"/>
      <c r="W260" s="132"/>
      <c r="X260" s="132"/>
      <c r="Y260" s="132"/>
      <c r="Z260" s="132"/>
    </row>
    <row r="261" ht="15.75" customHeight="1">
      <c r="A261" s="150"/>
      <c r="B261" s="132"/>
      <c r="C261" s="132"/>
      <c r="D261" s="132"/>
      <c r="E261" s="132"/>
      <c r="F261" s="132"/>
      <c r="G261" s="132"/>
      <c r="H261" s="132"/>
      <c r="I261" s="132"/>
      <c r="J261" s="132"/>
      <c r="K261" s="132"/>
      <c r="L261" s="132"/>
      <c r="M261" s="132"/>
      <c r="N261" s="132"/>
      <c r="O261" s="132"/>
      <c r="P261" s="132"/>
      <c r="Q261" s="132"/>
      <c r="R261" s="132"/>
      <c r="S261" s="132"/>
      <c r="T261" s="132"/>
      <c r="U261" s="132"/>
      <c r="V261" s="132"/>
      <c r="W261" s="132"/>
      <c r="X261" s="132"/>
      <c r="Y261" s="132"/>
      <c r="Z261" s="132"/>
    </row>
    <row r="262" ht="15.75" customHeight="1">
      <c r="A262" s="150"/>
      <c r="B262" s="132"/>
      <c r="C262" s="132"/>
      <c r="D262" s="132"/>
      <c r="E262" s="132"/>
      <c r="F262" s="132"/>
      <c r="G262" s="132"/>
      <c r="H262" s="132"/>
      <c r="I262" s="132"/>
      <c r="J262" s="132"/>
      <c r="K262" s="132"/>
      <c r="L262" s="132"/>
      <c r="M262" s="132"/>
      <c r="N262" s="132"/>
      <c r="O262" s="132"/>
      <c r="P262" s="132"/>
      <c r="Q262" s="132"/>
      <c r="R262" s="132"/>
      <c r="S262" s="132"/>
      <c r="T262" s="132"/>
      <c r="U262" s="132"/>
      <c r="V262" s="132"/>
      <c r="W262" s="132"/>
      <c r="X262" s="132"/>
      <c r="Y262" s="132"/>
      <c r="Z262" s="132"/>
    </row>
    <row r="263" ht="15.75" customHeight="1">
      <c r="A263" s="150"/>
      <c r="B263" s="132"/>
      <c r="C263" s="132"/>
      <c r="D263" s="132"/>
      <c r="E263" s="132"/>
      <c r="F263" s="132"/>
      <c r="G263" s="132"/>
      <c r="H263" s="132"/>
      <c r="I263" s="132"/>
      <c r="J263" s="132"/>
      <c r="K263" s="132"/>
      <c r="L263" s="132"/>
      <c r="M263" s="132"/>
      <c r="N263" s="132"/>
      <c r="O263" s="132"/>
      <c r="P263" s="132"/>
      <c r="Q263" s="132"/>
      <c r="R263" s="132"/>
      <c r="S263" s="132"/>
      <c r="T263" s="132"/>
      <c r="U263" s="132"/>
      <c r="V263" s="132"/>
      <c r="W263" s="132"/>
      <c r="X263" s="132"/>
      <c r="Y263" s="132"/>
      <c r="Z263" s="132"/>
    </row>
    <row r="264" ht="15.75" customHeight="1">
      <c r="A264" s="150"/>
      <c r="B264" s="132"/>
      <c r="C264" s="132"/>
      <c r="D264" s="132"/>
      <c r="E264" s="132"/>
      <c r="F264" s="132"/>
      <c r="G264" s="132"/>
      <c r="H264" s="132"/>
      <c r="I264" s="132"/>
      <c r="J264" s="132"/>
      <c r="K264" s="132"/>
      <c r="L264" s="132"/>
      <c r="M264" s="132"/>
      <c r="N264" s="132"/>
      <c r="O264" s="132"/>
      <c r="P264" s="132"/>
      <c r="Q264" s="132"/>
      <c r="R264" s="132"/>
      <c r="S264" s="132"/>
      <c r="T264" s="132"/>
      <c r="U264" s="132"/>
      <c r="V264" s="132"/>
      <c r="W264" s="132"/>
      <c r="X264" s="132"/>
      <c r="Y264" s="132"/>
      <c r="Z264" s="132"/>
    </row>
    <row r="265" ht="15.75" customHeight="1">
      <c r="A265" s="150"/>
      <c r="B265" s="132"/>
      <c r="C265" s="132"/>
      <c r="D265" s="132"/>
      <c r="E265" s="132"/>
      <c r="F265" s="132"/>
      <c r="G265" s="132"/>
      <c r="H265" s="132"/>
      <c r="I265" s="132"/>
      <c r="J265" s="132"/>
      <c r="K265" s="132"/>
      <c r="L265" s="132"/>
      <c r="M265" s="132"/>
      <c r="N265" s="132"/>
      <c r="O265" s="132"/>
      <c r="P265" s="132"/>
      <c r="Q265" s="132"/>
      <c r="R265" s="132"/>
      <c r="S265" s="132"/>
      <c r="T265" s="132"/>
      <c r="U265" s="132"/>
      <c r="V265" s="132"/>
      <c r="W265" s="132"/>
      <c r="X265" s="132"/>
      <c r="Y265" s="132"/>
      <c r="Z265" s="132"/>
    </row>
    <row r="266" ht="15.75" customHeight="1">
      <c r="A266" s="150"/>
      <c r="B266" s="132"/>
      <c r="C266" s="132"/>
      <c r="D266" s="132"/>
      <c r="E266" s="132"/>
      <c r="F266" s="132"/>
      <c r="G266" s="132"/>
      <c r="H266" s="132"/>
      <c r="I266" s="132"/>
      <c r="J266" s="132"/>
      <c r="K266" s="132"/>
      <c r="L266" s="132"/>
      <c r="M266" s="132"/>
      <c r="N266" s="132"/>
      <c r="O266" s="132"/>
      <c r="P266" s="132"/>
      <c r="Q266" s="132"/>
      <c r="R266" s="132"/>
      <c r="S266" s="132"/>
      <c r="T266" s="132"/>
      <c r="U266" s="132"/>
      <c r="V266" s="132"/>
      <c r="W266" s="132"/>
      <c r="X266" s="132"/>
      <c r="Y266" s="132"/>
      <c r="Z266" s="132"/>
    </row>
    <row r="267" ht="15.75" customHeight="1">
      <c r="A267" s="150"/>
      <c r="B267" s="132"/>
      <c r="C267" s="132"/>
      <c r="D267" s="132"/>
      <c r="E267" s="132"/>
      <c r="F267" s="132"/>
      <c r="G267" s="132"/>
      <c r="H267" s="132"/>
      <c r="I267" s="132"/>
      <c r="J267" s="132"/>
      <c r="K267" s="132"/>
      <c r="L267" s="132"/>
      <c r="M267" s="132"/>
      <c r="N267" s="132"/>
      <c r="O267" s="132"/>
      <c r="P267" s="132"/>
      <c r="Q267" s="132"/>
      <c r="R267" s="132"/>
      <c r="S267" s="132"/>
      <c r="T267" s="132"/>
      <c r="U267" s="132"/>
      <c r="V267" s="132"/>
      <c r="W267" s="132"/>
      <c r="X267" s="132"/>
      <c r="Y267" s="132"/>
      <c r="Z267" s="132"/>
    </row>
    <row r="268" ht="15.75" customHeight="1">
      <c r="A268" s="150"/>
      <c r="B268" s="132"/>
      <c r="C268" s="132"/>
      <c r="D268" s="132"/>
      <c r="E268" s="132"/>
      <c r="F268" s="132"/>
      <c r="G268" s="132"/>
      <c r="H268" s="132"/>
      <c r="I268" s="132"/>
      <c r="J268" s="132"/>
      <c r="K268" s="132"/>
      <c r="L268" s="132"/>
      <c r="M268" s="132"/>
      <c r="N268" s="132"/>
      <c r="O268" s="132"/>
      <c r="P268" s="132"/>
      <c r="Q268" s="132"/>
      <c r="R268" s="132"/>
      <c r="S268" s="132"/>
      <c r="T268" s="132"/>
      <c r="U268" s="132"/>
      <c r="V268" s="132"/>
      <c r="W268" s="132"/>
      <c r="X268" s="132"/>
      <c r="Y268" s="132"/>
      <c r="Z268" s="132"/>
    </row>
    <row r="269" ht="15.75" customHeight="1">
      <c r="A269" s="150"/>
      <c r="B269" s="132"/>
      <c r="C269" s="132"/>
      <c r="D269" s="132"/>
      <c r="E269" s="132"/>
      <c r="F269" s="132"/>
      <c r="G269" s="132"/>
      <c r="H269" s="132"/>
      <c r="I269" s="132"/>
      <c r="J269" s="132"/>
      <c r="K269" s="132"/>
      <c r="L269" s="132"/>
      <c r="M269" s="132"/>
      <c r="N269" s="132"/>
      <c r="O269" s="132"/>
      <c r="P269" s="132"/>
      <c r="Q269" s="132"/>
      <c r="R269" s="132"/>
      <c r="S269" s="132"/>
      <c r="T269" s="132"/>
      <c r="U269" s="132"/>
      <c r="V269" s="132"/>
      <c r="W269" s="132"/>
      <c r="X269" s="132"/>
      <c r="Y269" s="132"/>
      <c r="Z269" s="132"/>
    </row>
    <row r="270" ht="15.75" customHeight="1">
      <c r="A270" s="150"/>
      <c r="B270" s="132"/>
      <c r="C270" s="132"/>
      <c r="D270" s="132"/>
      <c r="E270" s="132"/>
      <c r="F270" s="132"/>
      <c r="G270" s="132"/>
      <c r="H270" s="132"/>
      <c r="I270" s="132"/>
      <c r="J270" s="132"/>
      <c r="K270" s="132"/>
      <c r="L270" s="132"/>
      <c r="M270" s="132"/>
      <c r="N270" s="132"/>
      <c r="O270" s="132"/>
      <c r="P270" s="132"/>
      <c r="Q270" s="132"/>
      <c r="R270" s="132"/>
      <c r="S270" s="132"/>
      <c r="T270" s="132"/>
      <c r="U270" s="132"/>
      <c r="V270" s="132"/>
      <c r="W270" s="132"/>
      <c r="X270" s="132"/>
      <c r="Y270" s="132"/>
      <c r="Z270" s="132"/>
    </row>
    <row r="271" ht="15.75" customHeight="1">
      <c r="A271" s="150"/>
      <c r="B271" s="132"/>
      <c r="C271" s="132"/>
      <c r="D271" s="132"/>
      <c r="E271" s="132"/>
      <c r="F271" s="132"/>
      <c r="G271" s="132"/>
      <c r="H271" s="132"/>
      <c r="I271" s="132"/>
      <c r="J271" s="132"/>
      <c r="K271" s="132"/>
      <c r="L271" s="132"/>
      <c r="M271" s="132"/>
      <c r="N271" s="132"/>
      <c r="O271" s="132"/>
      <c r="P271" s="132"/>
      <c r="Q271" s="132"/>
      <c r="R271" s="132"/>
      <c r="S271" s="132"/>
      <c r="T271" s="132"/>
      <c r="U271" s="132"/>
      <c r="V271" s="132"/>
      <c r="W271" s="132"/>
      <c r="X271" s="132"/>
      <c r="Y271" s="132"/>
      <c r="Z271" s="132"/>
    </row>
    <row r="272" ht="15.75" customHeight="1">
      <c r="A272" s="150"/>
      <c r="B272" s="132"/>
      <c r="C272" s="132"/>
      <c r="D272" s="132"/>
      <c r="E272" s="132"/>
      <c r="F272" s="132"/>
      <c r="G272" s="132"/>
      <c r="H272" s="132"/>
      <c r="I272" s="132"/>
      <c r="J272" s="132"/>
      <c r="K272" s="132"/>
      <c r="L272" s="132"/>
      <c r="M272" s="132"/>
      <c r="N272" s="132"/>
      <c r="O272" s="132"/>
      <c r="P272" s="132"/>
      <c r="Q272" s="132"/>
      <c r="R272" s="132"/>
      <c r="S272" s="132"/>
      <c r="T272" s="132"/>
      <c r="U272" s="132"/>
      <c r="V272" s="132"/>
      <c r="W272" s="132"/>
      <c r="X272" s="132"/>
      <c r="Y272" s="132"/>
      <c r="Z272" s="132"/>
    </row>
    <row r="273" ht="15.75" customHeight="1">
      <c r="A273" s="150"/>
      <c r="B273" s="132"/>
      <c r="C273" s="132"/>
      <c r="D273" s="132"/>
      <c r="E273" s="132"/>
      <c r="F273" s="132"/>
      <c r="G273" s="132"/>
      <c r="H273" s="132"/>
      <c r="I273" s="132"/>
      <c r="J273" s="132"/>
      <c r="K273" s="132"/>
      <c r="L273" s="132"/>
      <c r="M273" s="132"/>
      <c r="N273" s="132"/>
      <c r="O273" s="132"/>
      <c r="P273" s="132"/>
      <c r="Q273" s="132"/>
      <c r="R273" s="132"/>
      <c r="S273" s="132"/>
      <c r="T273" s="132"/>
      <c r="U273" s="132"/>
      <c r="V273" s="132"/>
      <c r="W273" s="132"/>
      <c r="X273" s="132"/>
      <c r="Y273" s="132"/>
      <c r="Z273" s="132"/>
    </row>
    <row r="274" ht="15.75" customHeight="1">
      <c r="A274" s="150"/>
      <c r="B274" s="132"/>
      <c r="C274" s="132"/>
      <c r="D274" s="132"/>
      <c r="E274" s="132"/>
      <c r="F274" s="132"/>
      <c r="G274" s="132"/>
      <c r="H274" s="132"/>
      <c r="I274" s="132"/>
      <c r="J274" s="132"/>
      <c r="K274" s="132"/>
      <c r="L274" s="132"/>
      <c r="M274" s="132"/>
      <c r="N274" s="132"/>
      <c r="O274" s="132"/>
      <c r="P274" s="132"/>
      <c r="Q274" s="132"/>
      <c r="R274" s="132"/>
      <c r="S274" s="132"/>
      <c r="T274" s="132"/>
      <c r="U274" s="132"/>
      <c r="V274" s="132"/>
      <c r="W274" s="132"/>
      <c r="X274" s="132"/>
      <c r="Y274" s="132"/>
      <c r="Z274" s="132"/>
    </row>
    <row r="275" ht="15.75" customHeight="1">
      <c r="A275" s="150"/>
      <c r="B275" s="132"/>
      <c r="C275" s="132"/>
      <c r="D275" s="132"/>
      <c r="E275" s="132"/>
      <c r="F275" s="132"/>
      <c r="G275" s="132"/>
      <c r="H275" s="132"/>
      <c r="I275" s="132"/>
      <c r="J275" s="132"/>
      <c r="K275" s="132"/>
      <c r="L275" s="132"/>
      <c r="M275" s="132"/>
      <c r="N275" s="132"/>
      <c r="O275" s="132"/>
      <c r="P275" s="132"/>
      <c r="Q275" s="132"/>
      <c r="R275" s="132"/>
      <c r="S275" s="132"/>
      <c r="T275" s="132"/>
      <c r="U275" s="132"/>
      <c r="V275" s="132"/>
      <c r="W275" s="132"/>
      <c r="X275" s="132"/>
      <c r="Y275" s="132"/>
      <c r="Z275" s="132"/>
    </row>
    <row r="276" ht="15.75" customHeight="1">
      <c r="A276" s="150"/>
      <c r="B276" s="132"/>
      <c r="C276" s="132"/>
      <c r="D276" s="132"/>
      <c r="E276" s="132"/>
      <c r="F276" s="132"/>
      <c r="G276" s="132"/>
      <c r="H276" s="132"/>
      <c r="I276" s="132"/>
      <c r="J276" s="132"/>
      <c r="K276" s="132"/>
      <c r="L276" s="132"/>
      <c r="M276" s="132"/>
      <c r="N276" s="132"/>
      <c r="O276" s="132"/>
      <c r="P276" s="132"/>
      <c r="Q276" s="132"/>
      <c r="R276" s="132"/>
      <c r="S276" s="132"/>
      <c r="T276" s="132"/>
      <c r="U276" s="132"/>
      <c r="V276" s="132"/>
      <c r="W276" s="132"/>
      <c r="X276" s="132"/>
      <c r="Y276" s="132"/>
      <c r="Z276" s="132"/>
    </row>
    <row r="277" ht="15.75" customHeight="1">
      <c r="A277" s="150"/>
      <c r="B277" s="132"/>
      <c r="C277" s="132"/>
      <c r="D277" s="132"/>
      <c r="E277" s="132"/>
      <c r="F277" s="132"/>
      <c r="G277" s="132"/>
      <c r="H277" s="132"/>
      <c r="I277" s="132"/>
      <c r="J277" s="132"/>
      <c r="K277" s="132"/>
      <c r="L277" s="132"/>
      <c r="M277" s="132"/>
      <c r="N277" s="132"/>
      <c r="O277" s="132"/>
      <c r="P277" s="132"/>
      <c r="Q277" s="132"/>
      <c r="R277" s="132"/>
      <c r="S277" s="132"/>
      <c r="T277" s="132"/>
      <c r="U277" s="132"/>
      <c r="V277" s="132"/>
      <c r="W277" s="132"/>
      <c r="X277" s="132"/>
      <c r="Y277" s="132"/>
      <c r="Z277" s="132"/>
    </row>
    <row r="278" ht="15.75" customHeight="1">
      <c r="A278" s="150"/>
      <c r="B278" s="132"/>
      <c r="C278" s="132"/>
      <c r="D278" s="132"/>
      <c r="E278" s="132"/>
      <c r="F278" s="132"/>
      <c r="G278" s="132"/>
      <c r="H278" s="132"/>
      <c r="I278" s="132"/>
      <c r="J278" s="132"/>
      <c r="K278" s="132"/>
      <c r="L278" s="132"/>
      <c r="M278" s="132"/>
      <c r="N278" s="132"/>
      <c r="O278" s="132"/>
      <c r="P278" s="132"/>
      <c r="Q278" s="132"/>
      <c r="R278" s="132"/>
      <c r="S278" s="132"/>
      <c r="T278" s="132"/>
      <c r="U278" s="132"/>
      <c r="V278" s="132"/>
      <c r="W278" s="132"/>
      <c r="X278" s="132"/>
      <c r="Y278" s="132"/>
      <c r="Z278" s="132"/>
    </row>
    <row r="279" ht="15.75" customHeight="1">
      <c r="A279" s="150"/>
      <c r="B279" s="132"/>
      <c r="C279" s="132"/>
      <c r="D279" s="132"/>
      <c r="E279" s="132"/>
      <c r="F279" s="132"/>
      <c r="G279" s="132"/>
      <c r="H279" s="132"/>
      <c r="I279" s="132"/>
      <c r="J279" s="132"/>
      <c r="K279" s="132"/>
      <c r="L279" s="132"/>
      <c r="M279" s="132"/>
      <c r="N279" s="132"/>
      <c r="O279" s="132"/>
      <c r="P279" s="132"/>
      <c r="Q279" s="132"/>
      <c r="R279" s="132"/>
      <c r="S279" s="132"/>
      <c r="T279" s="132"/>
      <c r="U279" s="132"/>
      <c r="V279" s="132"/>
      <c r="W279" s="132"/>
      <c r="X279" s="132"/>
      <c r="Y279" s="132"/>
      <c r="Z279" s="132"/>
    </row>
    <row r="280" ht="15.75" customHeight="1">
      <c r="A280" s="150"/>
      <c r="B280" s="132"/>
      <c r="C280" s="132"/>
      <c r="D280" s="132"/>
      <c r="E280" s="132"/>
      <c r="F280" s="132"/>
      <c r="G280" s="132"/>
      <c r="H280" s="132"/>
      <c r="I280" s="132"/>
      <c r="J280" s="132"/>
      <c r="K280" s="132"/>
      <c r="L280" s="132"/>
      <c r="M280" s="132"/>
      <c r="N280" s="132"/>
      <c r="O280" s="132"/>
      <c r="P280" s="132"/>
      <c r="Q280" s="132"/>
      <c r="R280" s="132"/>
      <c r="S280" s="132"/>
      <c r="T280" s="132"/>
      <c r="U280" s="132"/>
      <c r="V280" s="132"/>
      <c r="W280" s="132"/>
      <c r="X280" s="132"/>
      <c r="Y280" s="132"/>
      <c r="Z280" s="132"/>
    </row>
    <row r="281" ht="15.75" customHeight="1">
      <c r="A281" s="150"/>
      <c r="B281" s="132"/>
      <c r="C281" s="132"/>
      <c r="D281" s="132"/>
      <c r="E281" s="132"/>
      <c r="F281" s="132"/>
      <c r="G281" s="132"/>
      <c r="H281" s="132"/>
      <c r="I281" s="132"/>
      <c r="J281" s="132"/>
      <c r="K281" s="132"/>
      <c r="L281" s="132"/>
      <c r="M281" s="132"/>
      <c r="N281" s="132"/>
      <c r="O281" s="132"/>
      <c r="P281" s="132"/>
      <c r="Q281" s="132"/>
      <c r="R281" s="132"/>
      <c r="S281" s="132"/>
      <c r="T281" s="132"/>
      <c r="U281" s="132"/>
      <c r="V281" s="132"/>
      <c r="W281" s="132"/>
      <c r="X281" s="132"/>
      <c r="Y281" s="132"/>
      <c r="Z281" s="132"/>
    </row>
    <row r="282" ht="15.75" customHeight="1">
      <c r="A282" s="150"/>
      <c r="B282" s="132"/>
      <c r="C282" s="132"/>
      <c r="D282" s="132"/>
      <c r="E282" s="132"/>
      <c r="F282" s="132"/>
      <c r="G282" s="132"/>
      <c r="H282" s="132"/>
      <c r="I282" s="132"/>
      <c r="J282" s="132"/>
      <c r="K282" s="132"/>
      <c r="L282" s="132"/>
      <c r="M282" s="132"/>
      <c r="N282" s="132"/>
      <c r="O282" s="132"/>
      <c r="P282" s="132"/>
      <c r="Q282" s="132"/>
      <c r="R282" s="132"/>
      <c r="S282" s="132"/>
      <c r="T282" s="132"/>
      <c r="U282" s="132"/>
      <c r="V282" s="132"/>
      <c r="W282" s="132"/>
      <c r="X282" s="132"/>
      <c r="Y282" s="132"/>
      <c r="Z282" s="132"/>
    </row>
    <row r="283" ht="15.75" customHeight="1">
      <c r="A283" s="150"/>
      <c r="B283" s="132"/>
      <c r="C283" s="132"/>
      <c r="D283" s="132"/>
      <c r="E283" s="132"/>
      <c r="F283" s="132"/>
      <c r="G283" s="132"/>
      <c r="H283" s="132"/>
      <c r="I283" s="132"/>
      <c r="J283" s="132"/>
      <c r="K283" s="132"/>
      <c r="L283" s="132"/>
      <c r="M283" s="132"/>
      <c r="N283" s="132"/>
      <c r="O283" s="132"/>
      <c r="P283" s="132"/>
      <c r="Q283" s="132"/>
      <c r="R283" s="132"/>
      <c r="S283" s="132"/>
      <c r="T283" s="132"/>
      <c r="U283" s="132"/>
      <c r="V283" s="132"/>
      <c r="W283" s="132"/>
      <c r="X283" s="132"/>
      <c r="Y283" s="132"/>
      <c r="Z283" s="132"/>
    </row>
    <row r="284" ht="15.75" customHeight="1">
      <c r="A284" s="150"/>
      <c r="B284" s="132"/>
      <c r="C284" s="132"/>
      <c r="D284" s="132"/>
      <c r="E284" s="132"/>
      <c r="F284" s="132"/>
      <c r="G284" s="132"/>
      <c r="H284" s="132"/>
      <c r="I284" s="132"/>
      <c r="J284" s="132"/>
      <c r="K284" s="132"/>
      <c r="L284" s="132"/>
      <c r="M284" s="132"/>
      <c r="N284" s="132"/>
      <c r="O284" s="132"/>
      <c r="P284" s="132"/>
      <c r="Q284" s="132"/>
      <c r="R284" s="132"/>
      <c r="S284" s="132"/>
      <c r="T284" s="132"/>
      <c r="U284" s="132"/>
      <c r="V284" s="132"/>
      <c r="W284" s="132"/>
      <c r="X284" s="132"/>
      <c r="Y284" s="132"/>
      <c r="Z284" s="132"/>
    </row>
    <row r="285" ht="15.75" customHeight="1">
      <c r="A285" s="150"/>
      <c r="B285" s="132"/>
      <c r="C285" s="132"/>
      <c r="D285" s="132"/>
      <c r="E285" s="132"/>
      <c r="F285" s="132"/>
      <c r="G285" s="132"/>
      <c r="H285" s="132"/>
      <c r="I285" s="132"/>
      <c r="J285" s="132"/>
      <c r="K285" s="132"/>
      <c r="L285" s="132"/>
      <c r="M285" s="132"/>
      <c r="N285" s="132"/>
      <c r="O285" s="132"/>
      <c r="P285" s="132"/>
      <c r="Q285" s="132"/>
      <c r="R285" s="132"/>
      <c r="S285" s="132"/>
      <c r="T285" s="132"/>
      <c r="U285" s="132"/>
      <c r="V285" s="132"/>
      <c r="W285" s="132"/>
      <c r="X285" s="132"/>
      <c r="Y285" s="132"/>
      <c r="Z285" s="132"/>
    </row>
    <row r="286" ht="15.75" customHeight="1">
      <c r="A286" s="150"/>
      <c r="B286" s="132"/>
      <c r="C286" s="132"/>
      <c r="D286" s="132"/>
      <c r="E286" s="132"/>
      <c r="F286" s="132"/>
      <c r="G286" s="132"/>
      <c r="H286" s="132"/>
      <c r="I286" s="132"/>
      <c r="J286" s="132"/>
      <c r="K286" s="132"/>
      <c r="L286" s="132"/>
      <c r="M286" s="132"/>
      <c r="N286" s="132"/>
      <c r="O286" s="132"/>
      <c r="P286" s="132"/>
      <c r="Q286" s="132"/>
      <c r="R286" s="132"/>
      <c r="S286" s="132"/>
      <c r="T286" s="132"/>
      <c r="U286" s="132"/>
      <c r="V286" s="132"/>
      <c r="W286" s="132"/>
      <c r="X286" s="132"/>
      <c r="Y286" s="132"/>
      <c r="Z286" s="132"/>
    </row>
    <row r="287" ht="15.75" customHeight="1">
      <c r="A287" s="150"/>
      <c r="B287" s="132"/>
      <c r="C287" s="132"/>
      <c r="D287" s="132"/>
      <c r="E287" s="132"/>
      <c r="F287" s="132"/>
      <c r="G287" s="132"/>
      <c r="H287" s="132"/>
      <c r="I287" s="132"/>
      <c r="J287" s="132"/>
      <c r="K287" s="132"/>
      <c r="L287" s="132"/>
      <c r="M287" s="132"/>
      <c r="N287" s="132"/>
      <c r="O287" s="132"/>
      <c r="P287" s="132"/>
      <c r="Q287" s="132"/>
      <c r="R287" s="132"/>
      <c r="S287" s="132"/>
      <c r="T287" s="132"/>
      <c r="U287" s="132"/>
      <c r="V287" s="132"/>
      <c r="W287" s="132"/>
      <c r="X287" s="132"/>
      <c r="Y287" s="132"/>
      <c r="Z287" s="132"/>
    </row>
    <row r="288" ht="15.75" customHeight="1">
      <c r="A288" s="150"/>
      <c r="B288" s="132"/>
      <c r="C288" s="132"/>
      <c r="D288" s="132"/>
      <c r="E288" s="132"/>
      <c r="F288" s="132"/>
      <c r="G288" s="132"/>
      <c r="H288" s="132"/>
      <c r="I288" s="132"/>
      <c r="J288" s="132"/>
      <c r="K288" s="132"/>
      <c r="L288" s="132"/>
      <c r="M288" s="132"/>
      <c r="N288" s="132"/>
      <c r="O288" s="132"/>
      <c r="P288" s="132"/>
      <c r="Q288" s="132"/>
      <c r="R288" s="132"/>
      <c r="S288" s="132"/>
      <c r="T288" s="132"/>
      <c r="U288" s="132"/>
      <c r="V288" s="132"/>
      <c r="W288" s="132"/>
      <c r="X288" s="132"/>
      <c r="Y288" s="132"/>
      <c r="Z288" s="132"/>
    </row>
    <row r="289" ht="15.75" customHeight="1">
      <c r="A289" s="150"/>
      <c r="B289" s="132"/>
      <c r="C289" s="132"/>
      <c r="D289" s="132"/>
      <c r="E289" s="132"/>
      <c r="F289" s="132"/>
      <c r="G289" s="132"/>
      <c r="H289" s="132"/>
      <c r="I289" s="132"/>
      <c r="J289" s="132"/>
      <c r="K289" s="132"/>
      <c r="L289" s="132"/>
      <c r="M289" s="132"/>
      <c r="N289" s="132"/>
      <c r="O289" s="132"/>
      <c r="P289" s="132"/>
      <c r="Q289" s="132"/>
      <c r="R289" s="132"/>
      <c r="S289" s="132"/>
      <c r="T289" s="132"/>
      <c r="U289" s="132"/>
      <c r="V289" s="132"/>
      <c r="W289" s="132"/>
      <c r="X289" s="132"/>
      <c r="Y289" s="132"/>
      <c r="Z289" s="132"/>
    </row>
    <row r="290" ht="15.75" customHeight="1">
      <c r="A290" s="150"/>
      <c r="B290" s="132"/>
      <c r="C290" s="132"/>
      <c r="D290" s="132"/>
      <c r="E290" s="132"/>
      <c r="F290" s="132"/>
      <c r="G290" s="132"/>
      <c r="H290" s="132"/>
      <c r="I290" s="132"/>
      <c r="J290" s="132"/>
      <c r="K290" s="132"/>
      <c r="L290" s="132"/>
      <c r="M290" s="132"/>
      <c r="N290" s="132"/>
      <c r="O290" s="132"/>
      <c r="P290" s="132"/>
      <c r="Q290" s="132"/>
      <c r="R290" s="132"/>
      <c r="S290" s="132"/>
      <c r="T290" s="132"/>
      <c r="U290" s="132"/>
      <c r="V290" s="132"/>
      <c r="W290" s="132"/>
      <c r="X290" s="132"/>
      <c r="Y290" s="132"/>
      <c r="Z290" s="132"/>
    </row>
    <row r="291" ht="15.75" customHeight="1">
      <c r="A291" s="150"/>
      <c r="B291" s="132"/>
      <c r="C291" s="132"/>
      <c r="D291" s="132"/>
      <c r="E291" s="132"/>
      <c r="F291" s="132"/>
      <c r="G291" s="132"/>
      <c r="H291" s="132"/>
      <c r="I291" s="132"/>
      <c r="J291" s="132"/>
      <c r="K291" s="132"/>
      <c r="L291" s="132"/>
      <c r="M291" s="132"/>
      <c r="N291" s="132"/>
      <c r="O291" s="132"/>
      <c r="P291" s="132"/>
      <c r="Q291" s="132"/>
      <c r="R291" s="132"/>
      <c r="S291" s="132"/>
      <c r="T291" s="132"/>
      <c r="U291" s="132"/>
      <c r="V291" s="132"/>
      <c r="W291" s="132"/>
      <c r="X291" s="132"/>
      <c r="Y291" s="132"/>
      <c r="Z291" s="132"/>
    </row>
    <row r="292" ht="15.75" customHeight="1">
      <c r="A292" s="150"/>
      <c r="B292" s="132"/>
      <c r="C292" s="132"/>
      <c r="D292" s="132"/>
      <c r="E292" s="132"/>
      <c r="F292" s="132"/>
      <c r="G292" s="132"/>
      <c r="H292" s="132"/>
      <c r="I292" s="132"/>
      <c r="J292" s="132"/>
      <c r="K292" s="132"/>
      <c r="L292" s="132"/>
      <c r="M292" s="132"/>
      <c r="N292" s="132"/>
      <c r="O292" s="132"/>
      <c r="P292" s="132"/>
      <c r="Q292" s="132"/>
      <c r="R292" s="132"/>
      <c r="S292" s="132"/>
      <c r="T292" s="132"/>
      <c r="U292" s="132"/>
      <c r="V292" s="132"/>
      <c r="W292" s="132"/>
      <c r="X292" s="132"/>
      <c r="Y292" s="132"/>
      <c r="Z292" s="132"/>
    </row>
    <row r="293" ht="15.75" customHeight="1">
      <c r="A293" s="150"/>
      <c r="B293" s="132"/>
      <c r="C293" s="132"/>
      <c r="D293" s="132"/>
      <c r="E293" s="132"/>
      <c r="F293" s="132"/>
      <c r="G293" s="132"/>
      <c r="H293" s="132"/>
      <c r="I293" s="132"/>
      <c r="J293" s="132"/>
      <c r="K293" s="132"/>
      <c r="L293" s="132"/>
      <c r="M293" s="132"/>
      <c r="N293" s="132"/>
      <c r="O293" s="132"/>
      <c r="P293" s="132"/>
      <c r="Q293" s="132"/>
      <c r="R293" s="132"/>
      <c r="S293" s="132"/>
      <c r="T293" s="132"/>
      <c r="U293" s="132"/>
      <c r="V293" s="132"/>
      <c r="W293" s="132"/>
      <c r="X293" s="132"/>
      <c r="Y293" s="132"/>
      <c r="Z293" s="132"/>
    </row>
    <row r="294" ht="15.75" customHeight="1">
      <c r="A294" s="150"/>
      <c r="B294" s="132"/>
      <c r="C294" s="132"/>
      <c r="D294" s="132"/>
      <c r="E294" s="132"/>
      <c r="F294" s="132"/>
      <c r="G294" s="132"/>
      <c r="H294" s="132"/>
      <c r="I294" s="132"/>
      <c r="J294" s="132"/>
      <c r="K294" s="132"/>
      <c r="L294" s="132"/>
      <c r="M294" s="132"/>
      <c r="N294" s="132"/>
      <c r="O294" s="132"/>
      <c r="P294" s="132"/>
      <c r="Q294" s="132"/>
      <c r="R294" s="132"/>
      <c r="S294" s="132"/>
      <c r="T294" s="132"/>
      <c r="U294" s="132"/>
      <c r="V294" s="132"/>
      <c r="W294" s="132"/>
      <c r="X294" s="132"/>
      <c r="Y294" s="132"/>
      <c r="Z294" s="132"/>
    </row>
    <row r="295" ht="15.75" customHeight="1">
      <c r="A295" s="150"/>
      <c r="B295" s="132"/>
      <c r="C295" s="132"/>
      <c r="D295" s="132"/>
      <c r="E295" s="132"/>
      <c r="F295" s="132"/>
      <c r="G295" s="132"/>
      <c r="H295" s="132"/>
      <c r="I295" s="132"/>
      <c r="J295" s="132"/>
      <c r="K295" s="132"/>
      <c r="L295" s="132"/>
      <c r="M295" s="132"/>
      <c r="N295" s="132"/>
      <c r="O295" s="132"/>
      <c r="P295" s="132"/>
      <c r="Q295" s="132"/>
      <c r="R295" s="132"/>
      <c r="S295" s="132"/>
      <c r="T295" s="132"/>
      <c r="U295" s="132"/>
      <c r="V295" s="132"/>
      <c r="W295" s="132"/>
      <c r="X295" s="132"/>
      <c r="Y295" s="132"/>
      <c r="Z295" s="132"/>
    </row>
    <row r="296" ht="15.75" customHeight="1">
      <c r="A296" s="150"/>
      <c r="B296" s="132"/>
      <c r="C296" s="132"/>
      <c r="D296" s="132"/>
      <c r="E296" s="132"/>
      <c r="F296" s="132"/>
      <c r="G296" s="132"/>
      <c r="H296" s="132"/>
      <c r="I296" s="132"/>
      <c r="J296" s="132"/>
      <c r="K296" s="132"/>
      <c r="L296" s="132"/>
      <c r="M296" s="132"/>
      <c r="N296" s="132"/>
      <c r="O296" s="132"/>
      <c r="P296" s="132"/>
      <c r="Q296" s="132"/>
      <c r="R296" s="132"/>
      <c r="S296" s="132"/>
      <c r="T296" s="132"/>
      <c r="U296" s="132"/>
      <c r="V296" s="132"/>
      <c r="W296" s="132"/>
      <c r="X296" s="132"/>
      <c r="Y296" s="132"/>
      <c r="Z296" s="132"/>
    </row>
    <row r="297" ht="15.75" customHeight="1">
      <c r="A297" s="150"/>
      <c r="B297" s="132"/>
      <c r="C297" s="132"/>
      <c r="D297" s="132"/>
      <c r="E297" s="132"/>
      <c r="F297" s="132"/>
      <c r="G297" s="132"/>
      <c r="H297" s="132"/>
      <c r="I297" s="132"/>
      <c r="J297" s="132"/>
      <c r="K297" s="132"/>
      <c r="L297" s="132"/>
      <c r="M297" s="132"/>
      <c r="N297" s="132"/>
      <c r="O297" s="132"/>
      <c r="P297" s="132"/>
      <c r="Q297" s="132"/>
      <c r="R297" s="132"/>
      <c r="S297" s="132"/>
      <c r="T297" s="132"/>
      <c r="U297" s="132"/>
      <c r="V297" s="132"/>
      <c r="W297" s="132"/>
      <c r="X297" s="132"/>
      <c r="Y297" s="132"/>
      <c r="Z297" s="132"/>
    </row>
    <row r="298" ht="15.75" customHeight="1">
      <c r="A298" s="150"/>
      <c r="B298" s="132"/>
      <c r="C298" s="132"/>
      <c r="D298" s="132"/>
      <c r="E298" s="132"/>
      <c r="F298" s="132"/>
      <c r="G298" s="132"/>
      <c r="H298" s="132"/>
      <c r="I298" s="132"/>
      <c r="J298" s="132"/>
      <c r="K298" s="132"/>
      <c r="L298" s="132"/>
      <c r="M298" s="132"/>
      <c r="N298" s="132"/>
      <c r="O298" s="132"/>
      <c r="P298" s="132"/>
      <c r="Q298" s="132"/>
      <c r="R298" s="132"/>
      <c r="S298" s="132"/>
      <c r="T298" s="132"/>
      <c r="U298" s="132"/>
      <c r="V298" s="132"/>
      <c r="W298" s="132"/>
      <c r="X298" s="132"/>
      <c r="Y298" s="132"/>
      <c r="Z298" s="132"/>
    </row>
    <row r="299" ht="15.75" customHeight="1">
      <c r="A299" s="150"/>
      <c r="B299" s="132"/>
      <c r="C299" s="132"/>
      <c r="D299" s="132"/>
      <c r="E299" s="132"/>
      <c r="F299" s="132"/>
      <c r="G299" s="132"/>
      <c r="H299" s="132"/>
      <c r="I299" s="132"/>
      <c r="J299" s="132"/>
      <c r="K299" s="132"/>
      <c r="L299" s="132"/>
      <c r="M299" s="132"/>
      <c r="N299" s="132"/>
      <c r="O299" s="132"/>
      <c r="P299" s="132"/>
      <c r="Q299" s="132"/>
      <c r="R299" s="132"/>
      <c r="S299" s="132"/>
      <c r="T299" s="132"/>
      <c r="U299" s="132"/>
      <c r="V299" s="132"/>
      <c r="W299" s="132"/>
      <c r="X299" s="132"/>
      <c r="Y299" s="132"/>
      <c r="Z299" s="132"/>
    </row>
    <row r="300" ht="15.75" customHeight="1">
      <c r="A300" s="150"/>
      <c r="B300" s="132"/>
      <c r="C300" s="132"/>
      <c r="D300" s="132"/>
      <c r="E300" s="132"/>
      <c r="F300" s="132"/>
      <c r="G300" s="132"/>
      <c r="H300" s="132"/>
      <c r="I300" s="132"/>
      <c r="J300" s="132"/>
      <c r="K300" s="132"/>
      <c r="L300" s="132"/>
      <c r="M300" s="132"/>
      <c r="N300" s="132"/>
      <c r="O300" s="132"/>
      <c r="P300" s="132"/>
      <c r="Q300" s="132"/>
      <c r="R300" s="132"/>
      <c r="S300" s="132"/>
      <c r="T300" s="132"/>
      <c r="U300" s="132"/>
      <c r="V300" s="132"/>
      <c r="W300" s="132"/>
      <c r="X300" s="132"/>
      <c r="Y300" s="132"/>
      <c r="Z300" s="132"/>
    </row>
    <row r="301" ht="15.75" customHeight="1">
      <c r="A301" s="150"/>
      <c r="B301" s="132"/>
      <c r="C301" s="132"/>
      <c r="D301" s="132"/>
      <c r="E301" s="132"/>
      <c r="F301" s="132"/>
      <c r="G301" s="132"/>
      <c r="H301" s="132"/>
      <c r="I301" s="132"/>
      <c r="J301" s="132"/>
      <c r="K301" s="132"/>
      <c r="L301" s="132"/>
      <c r="M301" s="132"/>
      <c r="N301" s="132"/>
      <c r="O301" s="132"/>
      <c r="P301" s="132"/>
      <c r="Q301" s="132"/>
      <c r="R301" s="132"/>
      <c r="S301" s="132"/>
      <c r="T301" s="132"/>
      <c r="U301" s="132"/>
      <c r="V301" s="132"/>
      <c r="W301" s="132"/>
      <c r="X301" s="132"/>
      <c r="Y301" s="132"/>
      <c r="Z301" s="132"/>
    </row>
    <row r="302" ht="15.75" customHeight="1">
      <c r="A302" s="150"/>
      <c r="B302" s="132"/>
      <c r="C302" s="132"/>
      <c r="D302" s="132"/>
      <c r="E302" s="132"/>
      <c r="F302" s="132"/>
      <c r="G302" s="132"/>
      <c r="H302" s="132"/>
      <c r="I302" s="132"/>
      <c r="J302" s="132"/>
      <c r="K302" s="132"/>
      <c r="L302" s="132"/>
      <c r="M302" s="132"/>
      <c r="N302" s="132"/>
      <c r="O302" s="132"/>
      <c r="P302" s="132"/>
      <c r="Q302" s="132"/>
      <c r="R302" s="132"/>
      <c r="S302" s="132"/>
      <c r="T302" s="132"/>
      <c r="U302" s="132"/>
      <c r="V302" s="132"/>
      <c r="W302" s="132"/>
      <c r="X302" s="132"/>
      <c r="Y302" s="132"/>
      <c r="Z302" s="132"/>
    </row>
    <row r="303" ht="15.75" customHeight="1">
      <c r="A303" s="150"/>
      <c r="B303" s="132"/>
      <c r="C303" s="132"/>
      <c r="D303" s="132"/>
      <c r="E303" s="132"/>
      <c r="F303" s="132"/>
      <c r="G303" s="132"/>
      <c r="H303" s="132"/>
      <c r="I303" s="132"/>
      <c r="J303" s="132"/>
      <c r="K303" s="132"/>
      <c r="L303" s="132"/>
      <c r="M303" s="132"/>
      <c r="N303" s="132"/>
      <c r="O303" s="132"/>
      <c r="P303" s="132"/>
      <c r="Q303" s="132"/>
      <c r="R303" s="132"/>
      <c r="S303" s="132"/>
      <c r="T303" s="132"/>
      <c r="U303" s="132"/>
      <c r="V303" s="132"/>
      <c r="W303" s="132"/>
      <c r="X303" s="132"/>
      <c r="Y303" s="132"/>
      <c r="Z303" s="132"/>
    </row>
    <row r="304" ht="15.75" customHeight="1">
      <c r="A304" s="150"/>
      <c r="B304" s="132"/>
      <c r="C304" s="132"/>
      <c r="D304" s="132"/>
      <c r="E304" s="132"/>
      <c r="F304" s="132"/>
      <c r="G304" s="132"/>
      <c r="H304" s="132"/>
      <c r="I304" s="132"/>
      <c r="J304" s="132"/>
      <c r="K304" s="132"/>
      <c r="L304" s="132"/>
      <c r="M304" s="132"/>
      <c r="N304" s="132"/>
      <c r="O304" s="132"/>
      <c r="P304" s="132"/>
      <c r="Q304" s="132"/>
      <c r="R304" s="132"/>
      <c r="S304" s="132"/>
      <c r="T304" s="132"/>
      <c r="U304" s="132"/>
      <c r="V304" s="132"/>
      <c r="W304" s="132"/>
      <c r="X304" s="132"/>
      <c r="Y304" s="132"/>
      <c r="Z304" s="132"/>
    </row>
    <row r="305" ht="15.75" customHeight="1">
      <c r="A305" s="150"/>
      <c r="B305" s="132"/>
      <c r="C305" s="132"/>
      <c r="D305" s="132"/>
      <c r="E305" s="132"/>
      <c r="F305" s="132"/>
      <c r="G305" s="132"/>
      <c r="H305" s="132"/>
      <c r="I305" s="132"/>
      <c r="J305" s="132"/>
      <c r="K305" s="132"/>
      <c r="L305" s="132"/>
      <c r="M305" s="132"/>
      <c r="N305" s="132"/>
      <c r="O305" s="132"/>
      <c r="P305" s="132"/>
      <c r="Q305" s="132"/>
      <c r="R305" s="132"/>
      <c r="S305" s="132"/>
      <c r="T305" s="132"/>
      <c r="U305" s="132"/>
      <c r="V305" s="132"/>
      <c r="W305" s="132"/>
      <c r="X305" s="132"/>
      <c r="Y305" s="132"/>
      <c r="Z305" s="132"/>
    </row>
    <row r="306" ht="15.75" customHeight="1">
      <c r="A306" s="150"/>
      <c r="B306" s="132"/>
      <c r="C306" s="132"/>
      <c r="D306" s="132"/>
      <c r="E306" s="132"/>
      <c r="F306" s="132"/>
      <c r="G306" s="132"/>
      <c r="H306" s="132"/>
      <c r="I306" s="132"/>
      <c r="J306" s="132"/>
      <c r="K306" s="132"/>
      <c r="L306" s="132"/>
      <c r="M306" s="132"/>
      <c r="N306" s="132"/>
      <c r="O306" s="132"/>
      <c r="P306" s="132"/>
      <c r="Q306" s="132"/>
      <c r="R306" s="132"/>
      <c r="S306" s="132"/>
      <c r="T306" s="132"/>
      <c r="U306" s="132"/>
      <c r="V306" s="132"/>
      <c r="W306" s="132"/>
      <c r="X306" s="132"/>
      <c r="Y306" s="132"/>
      <c r="Z306" s="132"/>
    </row>
    <row r="307" ht="15.75" customHeight="1">
      <c r="A307" s="150"/>
      <c r="B307" s="132"/>
      <c r="C307" s="132"/>
      <c r="D307" s="132"/>
      <c r="E307" s="132"/>
      <c r="F307" s="132"/>
      <c r="G307" s="132"/>
      <c r="H307" s="132"/>
      <c r="I307" s="132"/>
      <c r="J307" s="132"/>
      <c r="K307" s="132"/>
      <c r="L307" s="132"/>
      <c r="M307" s="132"/>
      <c r="N307" s="132"/>
      <c r="O307" s="132"/>
      <c r="P307" s="132"/>
      <c r="Q307" s="132"/>
      <c r="R307" s="132"/>
      <c r="S307" s="132"/>
      <c r="T307" s="132"/>
      <c r="U307" s="132"/>
      <c r="V307" s="132"/>
      <c r="W307" s="132"/>
      <c r="X307" s="132"/>
      <c r="Y307" s="132"/>
      <c r="Z307" s="132"/>
    </row>
    <row r="308" ht="15.75" customHeight="1">
      <c r="A308" s="150"/>
      <c r="B308" s="132"/>
      <c r="C308" s="132"/>
      <c r="D308" s="132"/>
      <c r="E308" s="132"/>
      <c r="F308" s="132"/>
      <c r="G308" s="132"/>
      <c r="H308" s="132"/>
      <c r="I308" s="132"/>
      <c r="J308" s="132"/>
      <c r="K308" s="132"/>
      <c r="L308" s="132"/>
      <c r="M308" s="132"/>
      <c r="N308" s="132"/>
      <c r="O308" s="132"/>
      <c r="P308" s="132"/>
      <c r="Q308" s="132"/>
      <c r="R308" s="132"/>
      <c r="S308" s="132"/>
      <c r="T308" s="132"/>
      <c r="U308" s="132"/>
      <c r="V308" s="132"/>
      <c r="W308" s="132"/>
      <c r="X308" s="132"/>
      <c r="Y308" s="132"/>
      <c r="Z308" s="132"/>
    </row>
    <row r="309" ht="15.75" customHeight="1">
      <c r="A309" s="150"/>
      <c r="B309" s="132"/>
      <c r="C309" s="132"/>
      <c r="D309" s="132"/>
      <c r="E309" s="132"/>
      <c r="F309" s="132"/>
      <c r="G309" s="132"/>
      <c r="H309" s="132"/>
      <c r="I309" s="132"/>
      <c r="J309" s="132"/>
      <c r="K309" s="132"/>
      <c r="L309" s="132"/>
      <c r="M309" s="132"/>
      <c r="N309" s="132"/>
      <c r="O309" s="132"/>
      <c r="P309" s="132"/>
      <c r="Q309" s="132"/>
      <c r="R309" s="132"/>
      <c r="S309" s="132"/>
      <c r="T309" s="132"/>
      <c r="U309" s="132"/>
      <c r="V309" s="132"/>
      <c r="W309" s="132"/>
      <c r="X309" s="132"/>
      <c r="Y309" s="132"/>
      <c r="Z309" s="132"/>
    </row>
    <row r="310" ht="15.75" customHeight="1">
      <c r="A310" s="150"/>
      <c r="B310" s="132"/>
      <c r="C310" s="132"/>
      <c r="D310" s="132"/>
      <c r="E310" s="132"/>
      <c r="F310" s="132"/>
      <c r="G310" s="132"/>
      <c r="H310" s="132"/>
      <c r="I310" s="132"/>
      <c r="J310" s="132"/>
      <c r="K310" s="132"/>
      <c r="L310" s="132"/>
      <c r="M310" s="132"/>
      <c r="N310" s="132"/>
      <c r="O310" s="132"/>
      <c r="P310" s="132"/>
      <c r="Q310" s="132"/>
      <c r="R310" s="132"/>
      <c r="S310" s="132"/>
      <c r="T310" s="132"/>
      <c r="U310" s="132"/>
      <c r="V310" s="132"/>
      <c r="W310" s="132"/>
      <c r="X310" s="132"/>
      <c r="Y310" s="132"/>
      <c r="Z310" s="132"/>
    </row>
    <row r="311" ht="15.75" customHeight="1">
      <c r="A311" s="150"/>
      <c r="B311" s="132"/>
      <c r="C311" s="132"/>
      <c r="D311" s="132"/>
      <c r="E311" s="132"/>
      <c r="F311" s="132"/>
      <c r="G311" s="132"/>
      <c r="H311" s="132"/>
      <c r="I311" s="132"/>
      <c r="J311" s="132"/>
      <c r="K311" s="132"/>
      <c r="L311" s="132"/>
      <c r="M311" s="132"/>
      <c r="N311" s="132"/>
      <c r="O311" s="132"/>
      <c r="P311" s="132"/>
      <c r="Q311" s="132"/>
      <c r="R311" s="132"/>
      <c r="S311" s="132"/>
      <c r="T311" s="132"/>
      <c r="U311" s="132"/>
      <c r="V311" s="132"/>
      <c r="W311" s="132"/>
      <c r="X311" s="132"/>
      <c r="Y311" s="132"/>
      <c r="Z311" s="132"/>
    </row>
    <row r="312" ht="15.75" customHeight="1">
      <c r="A312" s="150"/>
      <c r="B312" s="132"/>
      <c r="C312" s="132"/>
      <c r="D312" s="132"/>
      <c r="E312" s="132"/>
      <c r="F312" s="132"/>
      <c r="G312" s="132"/>
      <c r="H312" s="132"/>
      <c r="I312" s="132"/>
      <c r="J312" s="132"/>
      <c r="K312" s="132"/>
      <c r="L312" s="132"/>
      <c r="M312" s="132"/>
      <c r="N312" s="132"/>
      <c r="O312" s="132"/>
      <c r="P312" s="132"/>
      <c r="Q312" s="132"/>
      <c r="R312" s="132"/>
      <c r="S312" s="132"/>
      <c r="T312" s="132"/>
      <c r="U312" s="132"/>
      <c r="V312" s="132"/>
      <c r="W312" s="132"/>
      <c r="X312" s="132"/>
      <c r="Y312" s="132"/>
      <c r="Z312" s="132"/>
    </row>
    <row r="313" ht="15.75" customHeight="1">
      <c r="A313" s="150"/>
      <c r="B313" s="132"/>
      <c r="C313" s="132"/>
      <c r="D313" s="132"/>
      <c r="E313" s="132"/>
      <c r="F313" s="132"/>
      <c r="G313" s="132"/>
      <c r="H313" s="132"/>
      <c r="I313" s="132"/>
      <c r="J313" s="132"/>
      <c r="K313" s="132"/>
      <c r="L313" s="132"/>
      <c r="M313" s="132"/>
      <c r="N313" s="132"/>
      <c r="O313" s="132"/>
      <c r="P313" s="132"/>
      <c r="Q313" s="132"/>
      <c r="R313" s="132"/>
      <c r="S313" s="132"/>
      <c r="T313" s="132"/>
      <c r="U313" s="132"/>
      <c r="V313" s="132"/>
      <c r="W313" s="132"/>
      <c r="X313" s="132"/>
      <c r="Y313" s="132"/>
      <c r="Z313" s="132"/>
    </row>
    <row r="314" ht="15.75" customHeight="1">
      <c r="A314" s="150"/>
      <c r="B314" s="132"/>
      <c r="C314" s="132"/>
      <c r="D314" s="132"/>
      <c r="E314" s="132"/>
      <c r="F314" s="132"/>
      <c r="G314" s="132"/>
      <c r="H314" s="132"/>
      <c r="I314" s="132"/>
      <c r="J314" s="132"/>
      <c r="K314" s="132"/>
      <c r="L314" s="132"/>
      <c r="M314" s="132"/>
      <c r="N314" s="132"/>
      <c r="O314" s="132"/>
      <c r="P314" s="132"/>
      <c r="Q314" s="132"/>
      <c r="R314" s="132"/>
      <c r="S314" s="132"/>
      <c r="T314" s="132"/>
      <c r="U314" s="132"/>
      <c r="V314" s="132"/>
      <c r="W314" s="132"/>
      <c r="X314" s="132"/>
      <c r="Y314" s="132"/>
      <c r="Z314" s="132"/>
    </row>
    <row r="315" ht="15.75" customHeight="1">
      <c r="A315" s="150"/>
      <c r="B315" s="132"/>
      <c r="C315" s="132"/>
      <c r="D315" s="132"/>
      <c r="E315" s="132"/>
      <c r="F315" s="132"/>
      <c r="G315" s="132"/>
      <c r="H315" s="132"/>
      <c r="I315" s="132"/>
      <c r="J315" s="132"/>
      <c r="K315" s="132"/>
      <c r="L315" s="132"/>
      <c r="M315" s="132"/>
      <c r="N315" s="132"/>
      <c r="O315" s="132"/>
      <c r="P315" s="132"/>
      <c r="Q315" s="132"/>
      <c r="R315" s="132"/>
      <c r="S315" s="132"/>
      <c r="T315" s="132"/>
      <c r="U315" s="132"/>
      <c r="V315" s="132"/>
      <c r="W315" s="132"/>
      <c r="X315" s="132"/>
      <c r="Y315" s="132"/>
      <c r="Z315" s="132"/>
    </row>
    <row r="316" ht="15.75" customHeight="1">
      <c r="A316" s="150"/>
      <c r="B316" s="132"/>
      <c r="C316" s="132"/>
      <c r="D316" s="132"/>
      <c r="E316" s="132"/>
      <c r="F316" s="132"/>
      <c r="G316" s="132"/>
      <c r="H316" s="132"/>
      <c r="I316" s="132"/>
      <c r="J316" s="132"/>
      <c r="K316" s="132"/>
      <c r="L316" s="132"/>
      <c r="M316" s="132"/>
      <c r="N316" s="132"/>
      <c r="O316" s="132"/>
      <c r="P316" s="132"/>
      <c r="Q316" s="132"/>
      <c r="R316" s="132"/>
      <c r="S316" s="132"/>
      <c r="T316" s="132"/>
      <c r="U316" s="132"/>
      <c r="V316" s="132"/>
      <c r="W316" s="132"/>
      <c r="X316" s="132"/>
      <c r="Y316" s="132"/>
      <c r="Z316" s="132"/>
    </row>
    <row r="317" ht="15.75" customHeight="1">
      <c r="A317" s="150"/>
      <c r="B317" s="132"/>
      <c r="C317" s="132"/>
      <c r="D317" s="132"/>
      <c r="E317" s="132"/>
      <c r="F317" s="132"/>
      <c r="G317" s="132"/>
      <c r="H317" s="132"/>
      <c r="I317" s="132"/>
      <c r="J317" s="132"/>
      <c r="K317" s="132"/>
      <c r="L317" s="132"/>
      <c r="M317" s="132"/>
      <c r="N317" s="132"/>
      <c r="O317" s="132"/>
      <c r="P317" s="132"/>
      <c r="Q317" s="132"/>
      <c r="R317" s="132"/>
      <c r="S317" s="132"/>
      <c r="T317" s="132"/>
      <c r="U317" s="132"/>
      <c r="V317" s="132"/>
      <c r="W317" s="132"/>
      <c r="X317" s="132"/>
      <c r="Y317" s="132"/>
      <c r="Z317" s="132"/>
    </row>
    <row r="318" ht="15.75" customHeight="1">
      <c r="A318" s="150"/>
      <c r="B318" s="132"/>
      <c r="C318" s="132"/>
      <c r="D318" s="132"/>
      <c r="E318" s="132"/>
      <c r="F318" s="132"/>
      <c r="G318" s="132"/>
      <c r="H318" s="132"/>
      <c r="I318" s="132"/>
      <c r="J318" s="132"/>
      <c r="K318" s="132"/>
      <c r="L318" s="132"/>
      <c r="M318" s="132"/>
      <c r="N318" s="132"/>
      <c r="O318" s="132"/>
      <c r="P318" s="132"/>
      <c r="Q318" s="132"/>
      <c r="R318" s="132"/>
      <c r="S318" s="132"/>
      <c r="T318" s="132"/>
      <c r="U318" s="132"/>
      <c r="V318" s="132"/>
      <c r="W318" s="132"/>
      <c r="X318" s="132"/>
      <c r="Y318" s="132"/>
      <c r="Z318" s="132"/>
    </row>
    <row r="319" ht="15.75" customHeight="1">
      <c r="A319" s="150"/>
      <c r="B319" s="132"/>
      <c r="C319" s="132"/>
      <c r="D319" s="132"/>
      <c r="E319" s="132"/>
      <c r="F319" s="132"/>
      <c r="G319" s="132"/>
      <c r="H319" s="132"/>
      <c r="I319" s="132"/>
      <c r="J319" s="132"/>
      <c r="K319" s="132"/>
      <c r="L319" s="132"/>
      <c r="M319" s="132"/>
      <c r="N319" s="132"/>
      <c r="O319" s="132"/>
      <c r="P319" s="132"/>
      <c r="Q319" s="132"/>
      <c r="R319" s="132"/>
      <c r="S319" s="132"/>
      <c r="T319" s="132"/>
      <c r="U319" s="132"/>
      <c r="V319" s="132"/>
      <c r="W319" s="132"/>
      <c r="X319" s="132"/>
      <c r="Y319" s="132"/>
      <c r="Z319" s="132"/>
    </row>
    <row r="320" ht="15.75" customHeight="1">
      <c r="A320" s="150"/>
      <c r="B320" s="132"/>
      <c r="C320" s="132"/>
      <c r="D320" s="132"/>
      <c r="E320" s="132"/>
      <c r="F320" s="132"/>
      <c r="G320" s="132"/>
      <c r="H320" s="132"/>
      <c r="I320" s="132"/>
      <c r="J320" s="132"/>
      <c r="K320" s="132"/>
      <c r="L320" s="132"/>
      <c r="M320" s="132"/>
      <c r="N320" s="132"/>
      <c r="O320" s="132"/>
      <c r="P320" s="132"/>
      <c r="Q320" s="132"/>
      <c r="R320" s="132"/>
      <c r="S320" s="132"/>
      <c r="T320" s="132"/>
      <c r="U320" s="132"/>
      <c r="V320" s="132"/>
      <c r="W320" s="132"/>
      <c r="X320" s="132"/>
      <c r="Y320" s="132"/>
      <c r="Z320" s="132"/>
    </row>
    <row r="321" ht="15.75" customHeight="1">
      <c r="A321" s="150"/>
      <c r="B321" s="132"/>
      <c r="C321" s="132"/>
      <c r="D321" s="132"/>
      <c r="E321" s="132"/>
      <c r="F321" s="132"/>
      <c r="G321" s="132"/>
      <c r="H321" s="132"/>
      <c r="I321" s="132"/>
      <c r="J321" s="132"/>
      <c r="K321" s="132"/>
      <c r="L321" s="132"/>
      <c r="M321" s="132"/>
      <c r="N321" s="132"/>
      <c r="O321" s="132"/>
      <c r="P321" s="132"/>
      <c r="Q321" s="132"/>
      <c r="R321" s="132"/>
      <c r="S321" s="132"/>
      <c r="T321" s="132"/>
      <c r="U321" s="132"/>
      <c r="V321" s="132"/>
      <c r="W321" s="132"/>
      <c r="X321" s="132"/>
      <c r="Y321" s="132"/>
      <c r="Z321" s="132"/>
    </row>
    <row r="322" ht="15.75" customHeight="1">
      <c r="A322" s="150"/>
      <c r="B322" s="132"/>
      <c r="C322" s="132"/>
      <c r="D322" s="132"/>
      <c r="E322" s="132"/>
      <c r="F322" s="132"/>
      <c r="G322" s="132"/>
      <c r="H322" s="132"/>
      <c r="I322" s="132"/>
      <c r="J322" s="132"/>
      <c r="K322" s="132"/>
      <c r="L322" s="132"/>
      <c r="M322" s="132"/>
      <c r="N322" s="132"/>
      <c r="O322" s="132"/>
      <c r="P322" s="132"/>
      <c r="Q322" s="132"/>
      <c r="R322" s="132"/>
      <c r="S322" s="132"/>
      <c r="T322" s="132"/>
      <c r="U322" s="132"/>
      <c r="V322" s="132"/>
      <c r="W322" s="132"/>
      <c r="X322" s="132"/>
      <c r="Y322" s="132"/>
      <c r="Z322" s="132"/>
    </row>
    <row r="323" ht="15.75" customHeight="1">
      <c r="A323" s="150"/>
      <c r="B323" s="132"/>
      <c r="C323" s="132"/>
      <c r="D323" s="132"/>
      <c r="E323" s="132"/>
      <c r="F323" s="132"/>
      <c r="G323" s="132"/>
      <c r="H323" s="132"/>
      <c r="I323" s="132"/>
      <c r="J323" s="132"/>
      <c r="K323" s="132"/>
      <c r="L323" s="132"/>
      <c r="M323" s="132"/>
      <c r="N323" s="132"/>
      <c r="O323" s="132"/>
      <c r="P323" s="132"/>
      <c r="Q323" s="132"/>
      <c r="R323" s="132"/>
      <c r="S323" s="132"/>
      <c r="T323" s="132"/>
      <c r="U323" s="132"/>
      <c r="V323" s="132"/>
      <c r="W323" s="132"/>
      <c r="X323" s="132"/>
      <c r="Y323" s="132"/>
      <c r="Z323" s="132"/>
    </row>
    <row r="324" ht="15.75" customHeight="1">
      <c r="A324" s="150"/>
      <c r="B324" s="132"/>
      <c r="C324" s="132"/>
      <c r="D324" s="132"/>
      <c r="E324" s="132"/>
      <c r="F324" s="132"/>
      <c r="G324" s="132"/>
      <c r="H324" s="132"/>
      <c r="I324" s="132"/>
      <c r="J324" s="132"/>
      <c r="K324" s="132"/>
      <c r="L324" s="132"/>
      <c r="M324" s="132"/>
      <c r="N324" s="132"/>
      <c r="O324" s="132"/>
      <c r="P324" s="132"/>
      <c r="Q324" s="132"/>
      <c r="R324" s="132"/>
      <c r="S324" s="132"/>
      <c r="T324" s="132"/>
      <c r="U324" s="132"/>
      <c r="V324" s="132"/>
      <c r="W324" s="132"/>
      <c r="X324" s="132"/>
      <c r="Y324" s="132"/>
      <c r="Z324" s="132"/>
    </row>
    <row r="325" ht="15.75" customHeight="1">
      <c r="A325" s="150"/>
      <c r="B325" s="132"/>
      <c r="C325" s="132"/>
      <c r="D325" s="132"/>
      <c r="E325" s="132"/>
      <c r="F325" s="132"/>
      <c r="G325" s="132"/>
      <c r="H325" s="132"/>
      <c r="I325" s="132"/>
      <c r="J325" s="132"/>
      <c r="K325" s="132"/>
      <c r="L325" s="132"/>
      <c r="M325" s="132"/>
      <c r="N325" s="132"/>
      <c r="O325" s="132"/>
      <c r="P325" s="132"/>
      <c r="Q325" s="132"/>
      <c r="R325" s="132"/>
      <c r="S325" s="132"/>
      <c r="T325" s="132"/>
      <c r="U325" s="132"/>
      <c r="V325" s="132"/>
      <c r="W325" s="132"/>
      <c r="X325" s="132"/>
      <c r="Y325" s="132"/>
      <c r="Z325" s="132"/>
    </row>
    <row r="326" ht="15.75" customHeight="1">
      <c r="A326" s="150"/>
      <c r="B326" s="132"/>
      <c r="C326" s="132"/>
      <c r="D326" s="132"/>
      <c r="E326" s="132"/>
      <c r="F326" s="132"/>
      <c r="G326" s="132"/>
      <c r="H326" s="132"/>
      <c r="I326" s="132"/>
      <c r="J326" s="132"/>
      <c r="K326" s="132"/>
      <c r="L326" s="132"/>
      <c r="M326" s="132"/>
      <c r="N326" s="132"/>
      <c r="O326" s="132"/>
      <c r="P326" s="132"/>
      <c r="Q326" s="132"/>
      <c r="R326" s="132"/>
      <c r="S326" s="132"/>
      <c r="T326" s="132"/>
      <c r="U326" s="132"/>
      <c r="V326" s="132"/>
      <c r="W326" s="132"/>
      <c r="X326" s="132"/>
      <c r="Y326" s="132"/>
      <c r="Z326" s="132"/>
    </row>
    <row r="327" ht="15.75" customHeight="1">
      <c r="A327" s="150"/>
      <c r="B327" s="132"/>
      <c r="C327" s="132"/>
      <c r="D327" s="132"/>
      <c r="E327" s="132"/>
      <c r="F327" s="132"/>
      <c r="G327" s="132"/>
      <c r="H327" s="132"/>
      <c r="I327" s="132"/>
      <c r="J327" s="132"/>
      <c r="K327" s="132"/>
      <c r="L327" s="132"/>
      <c r="M327" s="132"/>
      <c r="N327" s="132"/>
      <c r="O327" s="132"/>
      <c r="P327" s="132"/>
      <c r="Q327" s="132"/>
      <c r="R327" s="132"/>
      <c r="S327" s="132"/>
      <c r="T327" s="132"/>
      <c r="U327" s="132"/>
      <c r="V327" s="132"/>
      <c r="W327" s="132"/>
      <c r="X327" s="132"/>
      <c r="Y327" s="132"/>
      <c r="Z327" s="132"/>
    </row>
    <row r="328" ht="15.75" customHeight="1">
      <c r="A328" s="150"/>
      <c r="B328" s="132"/>
      <c r="C328" s="132"/>
      <c r="D328" s="132"/>
      <c r="E328" s="132"/>
      <c r="F328" s="132"/>
      <c r="G328" s="132"/>
      <c r="H328" s="132"/>
      <c r="I328" s="132"/>
      <c r="J328" s="132"/>
      <c r="K328" s="132"/>
      <c r="L328" s="132"/>
      <c r="M328" s="132"/>
      <c r="N328" s="132"/>
      <c r="O328" s="132"/>
      <c r="P328" s="132"/>
      <c r="Q328" s="132"/>
      <c r="R328" s="132"/>
      <c r="S328" s="132"/>
      <c r="T328" s="132"/>
      <c r="U328" s="132"/>
      <c r="V328" s="132"/>
      <c r="W328" s="132"/>
      <c r="X328" s="132"/>
      <c r="Y328" s="132"/>
      <c r="Z328" s="132"/>
    </row>
    <row r="329" ht="15.75" customHeight="1">
      <c r="A329" s="150"/>
      <c r="B329" s="132"/>
      <c r="C329" s="132"/>
      <c r="D329" s="132"/>
      <c r="E329" s="132"/>
      <c r="F329" s="132"/>
      <c r="G329" s="132"/>
      <c r="H329" s="132"/>
      <c r="I329" s="132"/>
      <c r="J329" s="132"/>
      <c r="K329" s="132"/>
      <c r="L329" s="132"/>
      <c r="M329" s="132"/>
      <c r="N329" s="132"/>
      <c r="O329" s="132"/>
      <c r="P329" s="132"/>
      <c r="Q329" s="132"/>
      <c r="R329" s="132"/>
      <c r="S329" s="132"/>
      <c r="T329" s="132"/>
      <c r="U329" s="132"/>
      <c r="V329" s="132"/>
      <c r="W329" s="132"/>
      <c r="X329" s="132"/>
      <c r="Y329" s="132"/>
      <c r="Z329" s="132"/>
    </row>
    <row r="330" ht="15.75" customHeight="1">
      <c r="A330" s="150"/>
      <c r="B330" s="132"/>
      <c r="C330" s="132"/>
      <c r="D330" s="132"/>
      <c r="E330" s="132"/>
      <c r="F330" s="132"/>
      <c r="G330" s="132"/>
      <c r="H330" s="132"/>
      <c r="I330" s="132"/>
      <c r="J330" s="132"/>
      <c r="K330" s="132"/>
      <c r="L330" s="132"/>
      <c r="M330" s="132"/>
      <c r="N330" s="132"/>
      <c r="O330" s="132"/>
      <c r="P330" s="132"/>
      <c r="Q330" s="132"/>
      <c r="R330" s="132"/>
      <c r="S330" s="132"/>
      <c r="T330" s="132"/>
      <c r="U330" s="132"/>
      <c r="V330" s="132"/>
      <c r="W330" s="132"/>
      <c r="X330" s="132"/>
      <c r="Y330" s="132"/>
      <c r="Z330" s="132"/>
    </row>
    <row r="331" ht="15.75" customHeight="1">
      <c r="A331" s="150"/>
      <c r="B331" s="132"/>
      <c r="C331" s="132"/>
      <c r="D331" s="132"/>
      <c r="E331" s="132"/>
      <c r="F331" s="132"/>
      <c r="G331" s="132"/>
      <c r="H331" s="132"/>
      <c r="I331" s="132"/>
      <c r="J331" s="132"/>
      <c r="K331" s="132"/>
      <c r="L331" s="132"/>
      <c r="M331" s="132"/>
      <c r="N331" s="132"/>
      <c r="O331" s="132"/>
      <c r="P331" s="132"/>
      <c r="Q331" s="132"/>
      <c r="R331" s="132"/>
      <c r="S331" s="132"/>
      <c r="T331" s="132"/>
      <c r="U331" s="132"/>
      <c r="V331" s="132"/>
      <c r="W331" s="132"/>
      <c r="X331" s="132"/>
      <c r="Y331" s="132"/>
      <c r="Z331" s="132"/>
    </row>
    <row r="332" ht="15.75" customHeight="1">
      <c r="A332" s="150"/>
      <c r="B332" s="132"/>
      <c r="C332" s="132"/>
      <c r="D332" s="132"/>
      <c r="E332" s="132"/>
      <c r="F332" s="132"/>
      <c r="G332" s="132"/>
      <c r="H332" s="132"/>
      <c r="I332" s="132"/>
      <c r="J332" s="132"/>
      <c r="K332" s="132"/>
      <c r="L332" s="132"/>
      <c r="M332" s="132"/>
      <c r="N332" s="132"/>
      <c r="O332" s="132"/>
      <c r="P332" s="132"/>
      <c r="Q332" s="132"/>
      <c r="R332" s="132"/>
      <c r="S332" s="132"/>
      <c r="T332" s="132"/>
      <c r="U332" s="132"/>
      <c r="V332" s="132"/>
      <c r="W332" s="132"/>
      <c r="X332" s="132"/>
      <c r="Y332" s="132"/>
      <c r="Z332" s="132"/>
    </row>
    <row r="333" ht="15.75" customHeight="1">
      <c r="A333" s="150"/>
      <c r="B333" s="132"/>
      <c r="C333" s="132"/>
      <c r="D333" s="132"/>
      <c r="E333" s="132"/>
      <c r="F333" s="132"/>
      <c r="G333" s="132"/>
      <c r="H333" s="132"/>
      <c r="I333" s="132"/>
      <c r="J333" s="132"/>
      <c r="K333" s="132"/>
      <c r="L333" s="132"/>
      <c r="M333" s="132"/>
      <c r="N333" s="132"/>
      <c r="O333" s="132"/>
      <c r="P333" s="132"/>
      <c r="Q333" s="132"/>
      <c r="R333" s="132"/>
      <c r="S333" s="132"/>
      <c r="T333" s="132"/>
      <c r="U333" s="132"/>
      <c r="V333" s="132"/>
      <c r="W333" s="132"/>
      <c r="X333" s="132"/>
      <c r="Y333" s="132"/>
      <c r="Z333" s="132"/>
    </row>
    <row r="334" ht="15.75" customHeight="1">
      <c r="A334" s="108"/>
      <c r="B334" s="30"/>
      <c r="C334" s="30"/>
      <c r="D334" s="30"/>
      <c r="E334" s="30"/>
      <c r="F334" s="30"/>
      <c r="G334" s="30"/>
      <c r="H334" s="30"/>
    </row>
    <row r="335" ht="15.75" customHeight="1">
      <c r="A335" s="108"/>
      <c r="B335" s="30"/>
      <c r="C335" s="30"/>
      <c r="D335" s="30"/>
      <c r="E335" s="30"/>
      <c r="F335" s="30"/>
      <c r="G335" s="30"/>
      <c r="H335" s="30"/>
    </row>
    <row r="336" ht="15.75" customHeight="1">
      <c r="A336" s="108"/>
      <c r="B336" s="30"/>
      <c r="C336" s="30"/>
      <c r="D336" s="30"/>
      <c r="E336" s="30"/>
      <c r="F336" s="30"/>
      <c r="G336" s="30"/>
      <c r="H336" s="30"/>
    </row>
    <row r="337" ht="15.75" customHeight="1">
      <c r="A337" s="108"/>
      <c r="B337" s="30"/>
      <c r="C337" s="30"/>
      <c r="D337" s="30"/>
      <c r="E337" s="30"/>
      <c r="F337" s="30"/>
      <c r="G337" s="30"/>
      <c r="H337" s="30"/>
    </row>
    <row r="338" ht="15.75" customHeight="1">
      <c r="A338" s="108"/>
      <c r="B338" s="30"/>
      <c r="C338" s="30"/>
      <c r="D338" s="30"/>
      <c r="E338" s="30"/>
      <c r="F338" s="30"/>
      <c r="G338" s="30"/>
      <c r="H338" s="30"/>
    </row>
    <row r="339" ht="15.75" customHeight="1">
      <c r="A339" s="108"/>
      <c r="B339" s="30"/>
      <c r="C339" s="30"/>
      <c r="D339" s="30"/>
      <c r="E339" s="30"/>
      <c r="F339" s="30"/>
      <c r="G339" s="30"/>
      <c r="H339" s="30"/>
    </row>
    <row r="340" ht="15.75" customHeight="1">
      <c r="A340" s="108"/>
      <c r="B340" s="30"/>
      <c r="C340" s="30"/>
      <c r="D340" s="30"/>
      <c r="E340" s="30"/>
      <c r="F340" s="30"/>
      <c r="G340" s="30"/>
      <c r="H340" s="30"/>
    </row>
    <row r="341" ht="15.75" customHeight="1">
      <c r="A341" s="108"/>
      <c r="B341" s="30"/>
      <c r="C341" s="30"/>
      <c r="D341" s="30"/>
      <c r="E341" s="30"/>
      <c r="F341" s="30"/>
      <c r="G341" s="30"/>
      <c r="H341" s="30"/>
    </row>
    <row r="342" ht="15.75" customHeight="1">
      <c r="A342" s="108"/>
      <c r="B342" s="30"/>
      <c r="C342" s="30"/>
      <c r="D342" s="30"/>
      <c r="E342" s="30"/>
      <c r="F342" s="30"/>
      <c r="G342" s="30"/>
      <c r="H342" s="30"/>
    </row>
    <row r="343" ht="15.75" customHeight="1">
      <c r="A343" s="108"/>
      <c r="B343" s="30"/>
      <c r="C343" s="30"/>
      <c r="D343" s="30"/>
      <c r="E343" s="30"/>
      <c r="F343" s="30"/>
      <c r="G343" s="30"/>
      <c r="H343" s="30"/>
    </row>
    <row r="344" ht="15.75" customHeight="1">
      <c r="A344" s="108"/>
      <c r="B344" s="30"/>
      <c r="C344" s="30"/>
      <c r="D344" s="30"/>
      <c r="E344" s="30"/>
      <c r="F344" s="30"/>
      <c r="G344" s="30"/>
      <c r="H344" s="30"/>
    </row>
    <row r="345" ht="15.75" customHeight="1">
      <c r="A345" s="108"/>
      <c r="B345" s="30"/>
      <c r="C345" s="30"/>
      <c r="D345" s="30"/>
      <c r="E345" s="30"/>
      <c r="F345" s="30"/>
      <c r="G345" s="30"/>
      <c r="H345" s="30"/>
    </row>
    <row r="346" ht="15.75" customHeight="1">
      <c r="A346" s="108"/>
      <c r="B346" s="30"/>
      <c r="C346" s="30"/>
      <c r="D346" s="30"/>
      <c r="E346" s="30"/>
      <c r="F346" s="30"/>
      <c r="G346" s="30"/>
      <c r="H346" s="30"/>
    </row>
    <row r="347" ht="15.75" customHeight="1">
      <c r="A347" s="108"/>
      <c r="B347" s="30"/>
      <c r="C347" s="30"/>
      <c r="D347" s="30"/>
      <c r="E347" s="30"/>
      <c r="F347" s="30"/>
      <c r="G347" s="30"/>
      <c r="H347" s="30"/>
    </row>
    <row r="348" ht="15.75" customHeight="1">
      <c r="A348" s="108"/>
      <c r="B348" s="30"/>
      <c r="C348" s="30"/>
      <c r="D348" s="30"/>
      <c r="E348" s="30"/>
      <c r="F348" s="30"/>
      <c r="G348" s="30"/>
      <c r="H348" s="30"/>
    </row>
    <row r="349" ht="15.75" customHeight="1">
      <c r="A349" s="108"/>
      <c r="B349" s="30"/>
      <c r="C349" s="30"/>
      <c r="D349" s="30"/>
      <c r="E349" s="30"/>
      <c r="F349" s="30"/>
      <c r="G349" s="30"/>
      <c r="H349" s="30"/>
    </row>
    <row r="350" ht="15.75" customHeight="1">
      <c r="A350" s="108"/>
      <c r="B350" s="30"/>
      <c r="C350" s="30"/>
      <c r="D350" s="30"/>
      <c r="E350" s="30"/>
      <c r="F350" s="30"/>
      <c r="G350" s="30"/>
      <c r="H350" s="30"/>
    </row>
    <row r="351" ht="15.75" customHeight="1">
      <c r="A351" s="108"/>
      <c r="B351" s="30"/>
      <c r="C351" s="30"/>
      <c r="D351" s="30"/>
      <c r="E351" s="30"/>
      <c r="F351" s="30"/>
      <c r="G351" s="30"/>
      <c r="H351" s="30"/>
    </row>
    <row r="352" ht="15.75" customHeight="1">
      <c r="A352" s="108"/>
      <c r="B352" s="30"/>
      <c r="C352" s="30"/>
      <c r="D352" s="30"/>
      <c r="E352" s="30"/>
      <c r="F352" s="30"/>
      <c r="G352" s="30"/>
      <c r="H352" s="30"/>
    </row>
    <row r="353" ht="15.75" customHeight="1">
      <c r="A353" s="108"/>
      <c r="B353" s="30"/>
      <c r="C353" s="30"/>
      <c r="D353" s="30"/>
      <c r="E353" s="30"/>
      <c r="F353" s="30"/>
      <c r="G353" s="30"/>
      <c r="H353" s="30"/>
    </row>
    <row r="354" ht="15.75" customHeight="1">
      <c r="A354" s="108"/>
      <c r="B354" s="30"/>
      <c r="C354" s="30"/>
      <c r="D354" s="30"/>
      <c r="E354" s="30"/>
      <c r="F354" s="30"/>
      <c r="G354" s="30"/>
      <c r="H354" s="30"/>
    </row>
    <row r="355" ht="15.75" customHeight="1">
      <c r="A355" s="108"/>
      <c r="B355" s="30"/>
      <c r="C355" s="30"/>
      <c r="D355" s="30"/>
      <c r="E355" s="30"/>
      <c r="F355" s="30"/>
      <c r="G355" s="30"/>
      <c r="H355" s="30"/>
    </row>
    <row r="356" ht="15.75" customHeight="1">
      <c r="A356" s="108"/>
      <c r="B356" s="30"/>
      <c r="C356" s="30"/>
      <c r="D356" s="30"/>
      <c r="E356" s="30"/>
      <c r="F356" s="30"/>
      <c r="G356" s="30"/>
      <c r="H356" s="30"/>
    </row>
    <row r="357" ht="15.75" customHeight="1">
      <c r="A357" s="108"/>
      <c r="B357" s="30"/>
      <c r="C357" s="30"/>
      <c r="D357" s="30"/>
      <c r="E357" s="30"/>
      <c r="F357" s="30"/>
      <c r="G357" s="30"/>
      <c r="H357" s="30"/>
    </row>
    <row r="358" ht="15.75" customHeight="1">
      <c r="A358" s="108"/>
      <c r="B358" s="30"/>
      <c r="C358" s="30"/>
      <c r="D358" s="30"/>
      <c r="E358" s="30"/>
      <c r="F358" s="30"/>
      <c r="G358" s="30"/>
      <c r="H358" s="30"/>
    </row>
    <row r="359" ht="15.75" customHeight="1">
      <c r="A359" s="108"/>
      <c r="B359" s="30"/>
      <c r="C359" s="30"/>
      <c r="D359" s="30"/>
      <c r="E359" s="30"/>
      <c r="F359" s="30"/>
      <c r="G359" s="30"/>
      <c r="H359" s="30"/>
    </row>
    <row r="360" ht="15.75" customHeight="1">
      <c r="A360" s="108"/>
      <c r="B360" s="30"/>
      <c r="C360" s="30"/>
      <c r="D360" s="30"/>
      <c r="E360" s="30"/>
      <c r="F360" s="30"/>
      <c r="G360" s="30"/>
      <c r="H360" s="30"/>
    </row>
    <row r="361" ht="15.75" customHeight="1">
      <c r="A361" s="108"/>
      <c r="B361" s="30"/>
      <c r="C361" s="30"/>
      <c r="D361" s="30"/>
      <c r="E361" s="30"/>
      <c r="F361" s="30"/>
      <c r="G361" s="30"/>
      <c r="H361" s="30"/>
    </row>
    <row r="362" ht="15.75" customHeight="1">
      <c r="A362" s="108"/>
      <c r="B362" s="30"/>
      <c r="C362" s="30"/>
      <c r="D362" s="30"/>
      <c r="E362" s="30"/>
      <c r="F362" s="30"/>
      <c r="G362" s="30"/>
      <c r="H362" s="30"/>
    </row>
    <row r="363" ht="15.75" customHeight="1">
      <c r="A363" s="108"/>
      <c r="B363" s="30"/>
      <c r="C363" s="30"/>
      <c r="D363" s="30"/>
      <c r="E363" s="30"/>
      <c r="F363" s="30"/>
      <c r="G363" s="30"/>
      <c r="H363" s="30"/>
    </row>
    <row r="364" ht="15.75" customHeight="1">
      <c r="A364" s="108"/>
      <c r="B364" s="30"/>
      <c r="C364" s="30"/>
      <c r="D364" s="30"/>
      <c r="E364" s="30"/>
      <c r="F364" s="30"/>
      <c r="G364" s="30"/>
      <c r="H364" s="30"/>
    </row>
    <row r="365" ht="15.75" customHeight="1">
      <c r="A365" s="108"/>
      <c r="B365" s="30"/>
      <c r="C365" s="30"/>
      <c r="D365" s="30"/>
      <c r="E365" s="30"/>
      <c r="F365" s="30"/>
      <c r="G365" s="30"/>
      <c r="H365" s="30"/>
    </row>
    <row r="366" ht="15.75" customHeight="1">
      <c r="A366" s="108"/>
      <c r="B366" s="30"/>
      <c r="C366" s="30"/>
      <c r="D366" s="30"/>
      <c r="E366" s="30"/>
      <c r="F366" s="30"/>
      <c r="G366" s="30"/>
      <c r="H366" s="30"/>
    </row>
    <row r="367" ht="15.75" customHeight="1">
      <c r="A367" s="108"/>
      <c r="B367" s="30"/>
      <c r="C367" s="30"/>
      <c r="D367" s="30"/>
      <c r="E367" s="30"/>
      <c r="F367" s="30"/>
      <c r="G367" s="30"/>
      <c r="H367" s="30"/>
    </row>
    <row r="368" ht="15.75" customHeight="1">
      <c r="A368" s="108"/>
      <c r="B368" s="30"/>
      <c r="C368" s="30"/>
      <c r="D368" s="30"/>
      <c r="E368" s="30"/>
      <c r="F368" s="30"/>
      <c r="G368" s="30"/>
      <c r="H368" s="30"/>
    </row>
    <row r="369" ht="15.75" customHeight="1">
      <c r="A369" s="108"/>
      <c r="B369" s="30"/>
      <c r="C369" s="30"/>
      <c r="D369" s="30"/>
      <c r="E369" s="30"/>
      <c r="F369" s="30"/>
      <c r="G369" s="30"/>
      <c r="H369" s="30"/>
    </row>
    <row r="370" ht="15.75" customHeight="1">
      <c r="A370" s="108"/>
      <c r="B370" s="30"/>
      <c r="C370" s="30"/>
      <c r="D370" s="30"/>
      <c r="E370" s="30"/>
      <c r="F370" s="30"/>
      <c r="G370" s="30"/>
      <c r="H370" s="30"/>
    </row>
    <row r="371" ht="15.75" customHeight="1">
      <c r="A371" s="108"/>
      <c r="B371" s="30"/>
      <c r="C371" s="30"/>
      <c r="D371" s="30"/>
      <c r="E371" s="30"/>
      <c r="F371" s="30"/>
      <c r="G371" s="30"/>
      <c r="H371" s="30"/>
    </row>
    <row r="372" ht="15.75" customHeight="1">
      <c r="A372" s="108"/>
      <c r="B372" s="30"/>
      <c r="C372" s="30"/>
      <c r="D372" s="30"/>
      <c r="E372" s="30"/>
      <c r="F372" s="30"/>
      <c r="G372" s="30"/>
      <c r="H372" s="30"/>
    </row>
    <row r="373" ht="15.75" customHeight="1">
      <c r="A373" s="108"/>
      <c r="B373" s="30"/>
      <c r="C373" s="30"/>
      <c r="D373" s="30"/>
      <c r="E373" s="30"/>
      <c r="F373" s="30"/>
      <c r="G373" s="30"/>
      <c r="H373" s="30"/>
    </row>
    <row r="374" ht="15.75" customHeight="1">
      <c r="A374" s="108"/>
      <c r="B374" s="30"/>
      <c r="C374" s="30"/>
      <c r="D374" s="30"/>
      <c r="E374" s="30"/>
      <c r="F374" s="30"/>
      <c r="G374" s="30"/>
      <c r="H374" s="30"/>
    </row>
    <row r="375" ht="15.75" customHeight="1">
      <c r="A375" s="108"/>
      <c r="B375" s="30"/>
      <c r="C375" s="30"/>
      <c r="D375" s="30"/>
      <c r="E375" s="30"/>
      <c r="F375" s="30"/>
      <c r="G375" s="30"/>
      <c r="H375" s="30"/>
    </row>
    <row r="376" ht="15.75" customHeight="1">
      <c r="A376" s="108"/>
      <c r="B376" s="30"/>
      <c r="C376" s="30"/>
      <c r="D376" s="30"/>
      <c r="E376" s="30"/>
      <c r="F376" s="30"/>
      <c r="G376" s="30"/>
      <c r="H376" s="30"/>
    </row>
    <row r="377" ht="15.75" customHeight="1">
      <c r="A377" s="108"/>
      <c r="B377" s="30"/>
      <c r="C377" s="30"/>
      <c r="D377" s="30"/>
      <c r="E377" s="30"/>
      <c r="F377" s="30"/>
      <c r="G377" s="30"/>
      <c r="H377" s="30"/>
    </row>
    <row r="378" ht="15.75" customHeight="1">
      <c r="A378" s="108"/>
      <c r="B378" s="30"/>
      <c r="C378" s="30"/>
      <c r="D378" s="30"/>
      <c r="E378" s="30"/>
      <c r="F378" s="30"/>
      <c r="G378" s="30"/>
      <c r="H378" s="30"/>
    </row>
    <row r="379" ht="15.75" customHeight="1">
      <c r="A379" s="108"/>
      <c r="B379" s="30"/>
      <c r="C379" s="30"/>
      <c r="D379" s="30"/>
      <c r="E379" s="30"/>
      <c r="F379" s="30"/>
      <c r="G379" s="30"/>
      <c r="H379" s="30"/>
    </row>
    <row r="380" ht="15.75" customHeight="1">
      <c r="A380" s="108"/>
      <c r="B380" s="30"/>
      <c r="C380" s="30"/>
      <c r="D380" s="30"/>
      <c r="E380" s="30"/>
      <c r="F380" s="30"/>
      <c r="G380" s="30"/>
      <c r="H380" s="30"/>
    </row>
    <row r="381" ht="15.75" customHeight="1">
      <c r="A381" s="108"/>
      <c r="B381" s="30"/>
      <c r="C381" s="30"/>
      <c r="D381" s="30"/>
      <c r="E381" s="30"/>
      <c r="F381" s="30"/>
      <c r="G381" s="30"/>
      <c r="H381" s="30"/>
    </row>
    <row r="382" ht="15.75" customHeight="1">
      <c r="A382" s="108"/>
      <c r="B382" s="30"/>
      <c r="C382" s="30"/>
      <c r="D382" s="30"/>
      <c r="E382" s="30"/>
      <c r="F382" s="30"/>
      <c r="G382" s="30"/>
      <c r="H382" s="30"/>
    </row>
    <row r="383" ht="15.75" customHeight="1">
      <c r="A383" s="108"/>
      <c r="B383" s="30"/>
      <c r="C383" s="30"/>
      <c r="D383" s="30"/>
      <c r="E383" s="30"/>
      <c r="F383" s="30"/>
      <c r="G383" s="30"/>
      <c r="H383" s="30"/>
    </row>
    <row r="384" ht="15.75" customHeight="1">
      <c r="A384" s="108"/>
      <c r="B384" s="30"/>
      <c r="C384" s="30"/>
      <c r="D384" s="30"/>
      <c r="E384" s="30"/>
      <c r="F384" s="30"/>
      <c r="G384" s="30"/>
      <c r="H384" s="30"/>
    </row>
    <row r="385" ht="15.75" customHeight="1">
      <c r="A385" s="108"/>
      <c r="B385" s="30"/>
      <c r="C385" s="30"/>
      <c r="D385" s="30"/>
      <c r="E385" s="30"/>
      <c r="F385" s="30"/>
      <c r="G385" s="30"/>
      <c r="H385" s="30"/>
    </row>
    <row r="386" ht="15.75" customHeight="1">
      <c r="A386" s="108"/>
      <c r="B386" s="30"/>
      <c r="C386" s="30"/>
      <c r="D386" s="30"/>
      <c r="E386" s="30"/>
      <c r="F386" s="30"/>
      <c r="G386" s="30"/>
      <c r="H386" s="30"/>
    </row>
    <row r="387" ht="15.75" customHeight="1">
      <c r="A387" s="108"/>
      <c r="B387" s="30"/>
      <c r="C387" s="30"/>
      <c r="D387" s="30"/>
      <c r="E387" s="30"/>
      <c r="F387" s="30"/>
      <c r="G387" s="30"/>
      <c r="H387" s="30"/>
    </row>
    <row r="388" ht="15.75" customHeight="1">
      <c r="A388" s="108"/>
      <c r="B388" s="30"/>
      <c r="C388" s="30"/>
      <c r="D388" s="30"/>
      <c r="E388" s="30"/>
      <c r="F388" s="30"/>
      <c r="G388" s="30"/>
      <c r="H388" s="30"/>
    </row>
    <row r="389" ht="15.75" customHeight="1">
      <c r="A389" s="108"/>
      <c r="B389" s="30"/>
      <c r="C389" s="30"/>
      <c r="D389" s="30"/>
      <c r="E389" s="30"/>
      <c r="F389" s="30"/>
      <c r="G389" s="30"/>
      <c r="H389" s="30"/>
    </row>
    <row r="390" ht="15.75" customHeight="1">
      <c r="A390" s="108"/>
      <c r="B390" s="30"/>
      <c r="C390" s="30"/>
      <c r="D390" s="30"/>
      <c r="E390" s="30"/>
      <c r="F390" s="30"/>
      <c r="G390" s="30"/>
      <c r="H390" s="30"/>
    </row>
    <row r="391" ht="15.75" customHeight="1">
      <c r="A391" s="108"/>
      <c r="B391" s="30"/>
      <c r="C391" s="30"/>
      <c r="D391" s="30"/>
      <c r="E391" s="30"/>
      <c r="F391" s="30"/>
      <c r="G391" s="30"/>
      <c r="H391" s="30"/>
    </row>
    <row r="392" ht="15.75" customHeight="1">
      <c r="A392" s="108"/>
      <c r="B392" s="30"/>
      <c r="C392" s="30"/>
      <c r="D392" s="30"/>
      <c r="E392" s="30"/>
      <c r="F392" s="30"/>
      <c r="G392" s="30"/>
      <c r="H392" s="30"/>
    </row>
    <row r="393" ht="15.75" customHeight="1">
      <c r="A393" s="108"/>
      <c r="B393" s="30"/>
      <c r="C393" s="30"/>
      <c r="D393" s="30"/>
      <c r="E393" s="30"/>
      <c r="F393" s="30"/>
      <c r="G393" s="30"/>
      <c r="H393" s="30"/>
    </row>
    <row r="394" ht="15.75" customHeight="1">
      <c r="A394" s="108"/>
      <c r="B394" s="30"/>
      <c r="C394" s="30"/>
      <c r="D394" s="30"/>
      <c r="E394" s="30"/>
      <c r="F394" s="30"/>
      <c r="G394" s="30"/>
      <c r="H394" s="30"/>
    </row>
    <row r="395" ht="15.75" customHeight="1">
      <c r="A395" s="108"/>
      <c r="B395" s="30"/>
      <c r="C395" s="30"/>
      <c r="D395" s="30"/>
      <c r="E395" s="30"/>
      <c r="F395" s="30"/>
      <c r="G395" s="30"/>
      <c r="H395" s="30"/>
    </row>
    <row r="396" ht="15.75" customHeight="1">
      <c r="A396" s="108"/>
      <c r="B396" s="30"/>
      <c r="C396" s="30"/>
      <c r="D396" s="30"/>
      <c r="E396" s="30"/>
      <c r="F396" s="30"/>
      <c r="G396" s="30"/>
      <c r="H396" s="30"/>
    </row>
    <row r="397" ht="15.75" customHeight="1">
      <c r="A397" s="108"/>
      <c r="B397" s="30"/>
      <c r="C397" s="30"/>
      <c r="D397" s="30"/>
      <c r="E397" s="30"/>
      <c r="F397" s="30"/>
      <c r="G397" s="30"/>
      <c r="H397" s="30"/>
    </row>
    <row r="398" ht="15.75" customHeight="1">
      <c r="A398" s="108"/>
      <c r="B398" s="30"/>
      <c r="C398" s="30"/>
      <c r="D398" s="30"/>
      <c r="E398" s="30"/>
      <c r="F398" s="30"/>
      <c r="G398" s="30"/>
      <c r="H398" s="30"/>
    </row>
    <row r="399" ht="15.75" customHeight="1">
      <c r="A399" s="108"/>
      <c r="B399" s="30"/>
      <c r="C399" s="30"/>
      <c r="D399" s="30"/>
      <c r="E399" s="30"/>
      <c r="F399" s="30"/>
      <c r="G399" s="30"/>
      <c r="H399" s="30"/>
    </row>
    <row r="400" ht="15.75" customHeight="1">
      <c r="A400" s="108"/>
      <c r="B400" s="30"/>
      <c r="C400" s="30"/>
      <c r="D400" s="30"/>
      <c r="E400" s="30"/>
      <c r="F400" s="30"/>
      <c r="G400" s="30"/>
      <c r="H400" s="30"/>
    </row>
    <row r="401" ht="15.75" customHeight="1">
      <c r="A401" s="108"/>
      <c r="B401" s="30"/>
      <c r="C401" s="30"/>
      <c r="D401" s="30"/>
      <c r="E401" s="30"/>
      <c r="F401" s="30"/>
      <c r="G401" s="30"/>
      <c r="H401" s="30"/>
    </row>
    <row r="402" ht="15.75" customHeight="1">
      <c r="A402" s="108"/>
      <c r="B402" s="30"/>
      <c r="C402" s="30"/>
      <c r="D402" s="30"/>
      <c r="E402" s="30"/>
      <c r="F402" s="30"/>
      <c r="G402" s="30"/>
      <c r="H402" s="30"/>
    </row>
    <row r="403" ht="15.75" customHeight="1">
      <c r="A403" s="108"/>
      <c r="B403" s="30"/>
      <c r="C403" s="30"/>
      <c r="D403" s="30"/>
      <c r="E403" s="30"/>
      <c r="F403" s="30"/>
      <c r="G403" s="30"/>
      <c r="H403" s="30"/>
    </row>
    <row r="404" ht="15.75" customHeight="1">
      <c r="A404" s="108"/>
      <c r="B404" s="30"/>
      <c r="C404" s="30"/>
      <c r="D404" s="30"/>
      <c r="E404" s="30"/>
      <c r="F404" s="30"/>
      <c r="G404" s="30"/>
      <c r="H404" s="30"/>
    </row>
    <row r="405" ht="15.75" customHeight="1">
      <c r="A405" s="108"/>
      <c r="B405" s="30"/>
      <c r="C405" s="30"/>
      <c r="D405" s="30"/>
      <c r="E405" s="30"/>
      <c r="F405" s="30"/>
      <c r="G405" s="30"/>
      <c r="H405" s="30"/>
    </row>
    <row r="406" ht="15.75" customHeight="1">
      <c r="A406" s="108"/>
      <c r="B406" s="30"/>
      <c r="C406" s="30"/>
      <c r="D406" s="30"/>
      <c r="E406" s="30"/>
      <c r="F406" s="30"/>
      <c r="G406" s="30"/>
      <c r="H406" s="30"/>
    </row>
    <row r="407" ht="15.75" customHeight="1">
      <c r="A407" s="108"/>
      <c r="B407" s="30"/>
      <c r="C407" s="30"/>
      <c r="D407" s="30"/>
      <c r="E407" s="30"/>
      <c r="F407" s="30"/>
      <c r="G407" s="30"/>
      <c r="H407" s="30"/>
    </row>
    <row r="408" ht="15.75" customHeight="1">
      <c r="A408" s="108"/>
      <c r="B408" s="30"/>
      <c r="C408" s="30"/>
      <c r="D408" s="30"/>
      <c r="E408" s="30"/>
      <c r="F408" s="30"/>
      <c r="G408" s="30"/>
      <c r="H408" s="30"/>
    </row>
    <row r="409" ht="15.75" customHeight="1">
      <c r="A409" s="108"/>
      <c r="B409" s="30"/>
      <c r="C409" s="30"/>
      <c r="D409" s="30"/>
      <c r="E409" s="30"/>
      <c r="F409" s="30"/>
      <c r="G409" s="30"/>
      <c r="H409" s="30"/>
    </row>
    <row r="410" ht="15.75" customHeight="1">
      <c r="A410" s="108"/>
      <c r="B410" s="30"/>
      <c r="C410" s="30"/>
      <c r="D410" s="30"/>
      <c r="E410" s="30"/>
      <c r="F410" s="30"/>
      <c r="G410" s="30"/>
      <c r="H410" s="30"/>
    </row>
    <row r="411" ht="15.75" customHeight="1">
      <c r="A411" s="108"/>
      <c r="B411" s="30"/>
      <c r="C411" s="30"/>
      <c r="D411" s="30"/>
      <c r="E411" s="30"/>
      <c r="F411" s="30"/>
      <c r="G411" s="30"/>
      <c r="H411" s="30"/>
    </row>
    <row r="412" ht="15.75" customHeight="1">
      <c r="A412" s="108"/>
      <c r="B412" s="30"/>
      <c r="C412" s="30"/>
      <c r="D412" s="30"/>
      <c r="E412" s="30"/>
      <c r="F412" s="30"/>
      <c r="G412" s="30"/>
      <c r="H412" s="30"/>
    </row>
    <row r="413" ht="15.75" customHeight="1">
      <c r="A413" s="108"/>
      <c r="B413" s="30"/>
      <c r="C413" s="30"/>
      <c r="D413" s="30"/>
      <c r="E413" s="30"/>
      <c r="F413" s="30"/>
      <c r="G413" s="30"/>
      <c r="H413" s="30"/>
    </row>
    <row r="414" ht="15.75" customHeight="1">
      <c r="A414" s="108"/>
      <c r="B414" s="30"/>
      <c r="C414" s="30"/>
      <c r="D414" s="30"/>
      <c r="E414" s="30"/>
      <c r="F414" s="30"/>
      <c r="G414" s="30"/>
      <c r="H414" s="30"/>
    </row>
    <row r="415" ht="15.75" customHeight="1">
      <c r="A415" s="108"/>
      <c r="B415" s="30"/>
      <c r="C415" s="30"/>
      <c r="D415" s="30"/>
      <c r="E415" s="30"/>
      <c r="F415" s="30"/>
      <c r="G415" s="30"/>
      <c r="H415" s="30"/>
    </row>
    <row r="416" ht="15.75" customHeight="1">
      <c r="A416" s="108"/>
      <c r="B416" s="30"/>
      <c r="C416" s="30"/>
      <c r="D416" s="30"/>
      <c r="E416" s="30"/>
      <c r="F416" s="30"/>
      <c r="G416" s="30"/>
      <c r="H416" s="30"/>
    </row>
    <row r="417" ht="15.75" customHeight="1">
      <c r="A417" s="108"/>
      <c r="B417" s="30"/>
      <c r="C417" s="30"/>
      <c r="D417" s="30"/>
      <c r="E417" s="30"/>
      <c r="F417" s="30"/>
      <c r="G417" s="30"/>
      <c r="H417" s="30"/>
    </row>
    <row r="418" ht="15.75" customHeight="1">
      <c r="A418" s="108"/>
      <c r="B418" s="30"/>
      <c r="C418" s="30"/>
      <c r="D418" s="30"/>
      <c r="E418" s="30"/>
      <c r="F418" s="30"/>
      <c r="G418" s="30"/>
      <c r="H418" s="30"/>
    </row>
    <row r="419" ht="15.75" customHeight="1">
      <c r="A419" s="108"/>
      <c r="B419" s="30"/>
      <c r="C419" s="30"/>
      <c r="D419" s="30"/>
      <c r="E419" s="30"/>
      <c r="F419" s="30"/>
      <c r="G419" s="30"/>
      <c r="H419" s="30"/>
    </row>
    <row r="420" ht="15.75" customHeight="1">
      <c r="A420" s="108"/>
      <c r="B420" s="30"/>
      <c r="C420" s="30"/>
      <c r="D420" s="30"/>
      <c r="E420" s="30"/>
      <c r="F420" s="30"/>
      <c r="G420" s="30"/>
      <c r="H420" s="30"/>
    </row>
    <row r="421" ht="15.75" customHeight="1">
      <c r="A421" s="108"/>
      <c r="B421" s="30"/>
      <c r="C421" s="30"/>
      <c r="D421" s="30"/>
      <c r="E421" s="30"/>
      <c r="F421" s="30"/>
      <c r="G421" s="30"/>
      <c r="H421" s="30"/>
    </row>
    <row r="422" ht="15.75" customHeight="1">
      <c r="A422" s="108"/>
      <c r="B422" s="30"/>
      <c r="C422" s="30"/>
      <c r="D422" s="30"/>
      <c r="E422" s="30"/>
      <c r="F422" s="30"/>
      <c r="G422" s="30"/>
      <c r="H422" s="30"/>
    </row>
    <row r="423" ht="15.75" customHeight="1">
      <c r="A423" s="108"/>
      <c r="B423" s="30"/>
      <c r="C423" s="30"/>
      <c r="D423" s="30"/>
      <c r="E423" s="30"/>
      <c r="F423" s="30"/>
      <c r="G423" s="30"/>
      <c r="H423" s="30"/>
    </row>
    <row r="424" ht="15.75" customHeight="1">
      <c r="A424" s="108"/>
      <c r="B424" s="30"/>
      <c r="C424" s="30"/>
      <c r="D424" s="30"/>
      <c r="E424" s="30"/>
      <c r="F424" s="30"/>
      <c r="G424" s="30"/>
      <c r="H424" s="30"/>
    </row>
    <row r="425" ht="15.75" customHeight="1">
      <c r="A425" s="108"/>
      <c r="B425" s="30"/>
      <c r="C425" s="30"/>
      <c r="D425" s="30"/>
      <c r="E425" s="30"/>
      <c r="F425" s="30"/>
      <c r="G425" s="30"/>
      <c r="H425" s="30"/>
    </row>
    <row r="426" ht="15.75" customHeight="1">
      <c r="A426" s="108"/>
      <c r="B426" s="30"/>
      <c r="C426" s="30"/>
      <c r="D426" s="30"/>
      <c r="E426" s="30"/>
      <c r="F426" s="30"/>
      <c r="G426" s="30"/>
      <c r="H426" s="30"/>
    </row>
    <row r="427" ht="15.75" customHeight="1">
      <c r="A427" s="108"/>
      <c r="B427" s="30"/>
      <c r="C427" s="30"/>
      <c r="D427" s="30"/>
      <c r="E427" s="30"/>
      <c r="F427" s="30"/>
      <c r="G427" s="30"/>
      <c r="H427" s="30"/>
    </row>
    <row r="428" ht="15.75" customHeight="1">
      <c r="A428" s="108"/>
      <c r="B428" s="30"/>
      <c r="C428" s="30"/>
      <c r="D428" s="30"/>
      <c r="E428" s="30"/>
      <c r="F428" s="30"/>
      <c r="G428" s="30"/>
      <c r="H428" s="30"/>
    </row>
    <row r="429" ht="15.75" customHeight="1">
      <c r="A429" s="108"/>
      <c r="B429" s="30"/>
      <c r="C429" s="30"/>
      <c r="D429" s="30"/>
      <c r="E429" s="30"/>
      <c r="F429" s="30"/>
      <c r="G429" s="30"/>
      <c r="H429" s="30"/>
    </row>
    <row r="430" ht="15.75" customHeight="1">
      <c r="A430" s="108"/>
      <c r="B430" s="30"/>
      <c r="C430" s="30"/>
      <c r="D430" s="30"/>
      <c r="E430" s="30"/>
      <c r="F430" s="30"/>
      <c r="G430" s="30"/>
      <c r="H430" s="30"/>
    </row>
    <row r="431" ht="15.75" customHeight="1">
      <c r="A431" s="108"/>
      <c r="B431" s="30"/>
      <c r="C431" s="30"/>
      <c r="D431" s="30"/>
      <c r="E431" s="30"/>
      <c r="F431" s="30"/>
      <c r="G431" s="30"/>
      <c r="H431" s="30"/>
    </row>
    <row r="432" ht="15.75" customHeight="1">
      <c r="A432" s="108"/>
      <c r="B432" s="30"/>
      <c r="C432" s="30"/>
      <c r="D432" s="30"/>
      <c r="E432" s="30"/>
      <c r="F432" s="30"/>
      <c r="G432" s="30"/>
      <c r="H432" s="30"/>
    </row>
    <row r="433" ht="15.75" customHeight="1">
      <c r="A433" s="108"/>
      <c r="B433" s="30"/>
      <c r="C433" s="30"/>
      <c r="D433" s="30"/>
      <c r="E433" s="30"/>
      <c r="F433" s="30"/>
      <c r="G433" s="30"/>
      <c r="H433" s="30"/>
    </row>
    <row r="434" ht="15.75" customHeight="1">
      <c r="A434" s="108"/>
      <c r="B434" s="30"/>
      <c r="C434" s="30"/>
      <c r="D434" s="30"/>
      <c r="E434" s="30"/>
      <c r="F434" s="30"/>
      <c r="G434" s="30"/>
      <c r="H434" s="30"/>
    </row>
    <row r="435" ht="15.75" customHeight="1">
      <c r="A435" s="108"/>
      <c r="B435" s="30"/>
      <c r="C435" s="30"/>
      <c r="D435" s="30"/>
      <c r="E435" s="30"/>
      <c r="F435" s="30"/>
      <c r="G435" s="30"/>
      <c r="H435" s="30"/>
    </row>
    <row r="436" ht="15.75" customHeight="1">
      <c r="A436" s="108"/>
      <c r="B436" s="30"/>
      <c r="C436" s="30"/>
      <c r="D436" s="30"/>
      <c r="E436" s="30"/>
      <c r="F436" s="30"/>
      <c r="G436" s="30"/>
      <c r="H436" s="30"/>
    </row>
    <row r="437" ht="15.75" customHeight="1">
      <c r="A437" s="108"/>
      <c r="B437" s="30"/>
      <c r="C437" s="30"/>
      <c r="D437" s="30"/>
      <c r="E437" s="30"/>
      <c r="F437" s="30"/>
      <c r="G437" s="30"/>
      <c r="H437" s="30"/>
    </row>
    <row r="438" ht="15.75" customHeight="1">
      <c r="A438" s="108"/>
      <c r="B438" s="30"/>
      <c r="C438" s="30"/>
      <c r="D438" s="30"/>
      <c r="E438" s="30"/>
      <c r="F438" s="30"/>
      <c r="G438" s="30"/>
      <c r="H438" s="30"/>
    </row>
    <row r="439" ht="15.75" customHeight="1">
      <c r="A439" s="108"/>
      <c r="B439" s="30"/>
      <c r="C439" s="30"/>
      <c r="D439" s="30"/>
      <c r="E439" s="30"/>
      <c r="F439" s="30"/>
      <c r="G439" s="30"/>
      <c r="H439" s="30"/>
    </row>
    <row r="440" ht="15.75" customHeight="1">
      <c r="A440" s="108"/>
      <c r="B440" s="30"/>
      <c r="C440" s="30"/>
      <c r="D440" s="30"/>
      <c r="E440" s="30"/>
      <c r="F440" s="30"/>
      <c r="G440" s="30"/>
      <c r="H440" s="30"/>
    </row>
    <row r="441" ht="15.75" customHeight="1">
      <c r="A441" s="108"/>
      <c r="B441" s="30"/>
      <c r="C441" s="30"/>
      <c r="D441" s="30"/>
      <c r="E441" s="30"/>
      <c r="F441" s="30"/>
      <c r="G441" s="30"/>
      <c r="H441" s="30"/>
    </row>
    <row r="442" ht="15.75" customHeight="1">
      <c r="A442" s="108"/>
      <c r="B442" s="30"/>
      <c r="C442" s="30"/>
      <c r="D442" s="30"/>
      <c r="E442" s="30"/>
      <c r="F442" s="30"/>
      <c r="G442" s="30"/>
      <c r="H442" s="30"/>
    </row>
    <row r="443" ht="15.75" customHeight="1">
      <c r="A443" s="108"/>
      <c r="B443" s="30"/>
      <c r="C443" s="30"/>
      <c r="D443" s="30"/>
      <c r="E443" s="30"/>
      <c r="F443" s="30"/>
      <c r="G443" s="30"/>
      <c r="H443" s="30"/>
    </row>
    <row r="444" ht="15.75" customHeight="1">
      <c r="A444" s="108"/>
      <c r="B444" s="30"/>
      <c r="C444" s="30"/>
      <c r="D444" s="30"/>
      <c r="E444" s="30"/>
      <c r="F444" s="30"/>
      <c r="G444" s="30"/>
      <c r="H444" s="30"/>
    </row>
    <row r="445" ht="15.75" customHeight="1">
      <c r="A445" s="108"/>
      <c r="B445" s="30"/>
      <c r="C445" s="30"/>
      <c r="D445" s="30"/>
      <c r="E445" s="30"/>
      <c r="F445" s="30"/>
      <c r="G445" s="30"/>
      <c r="H445" s="30"/>
    </row>
    <row r="446" ht="15.75" customHeight="1">
      <c r="A446" s="108"/>
      <c r="B446" s="30"/>
      <c r="C446" s="30"/>
      <c r="D446" s="30"/>
      <c r="E446" s="30"/>
      <c r="F446" s="30"/>
      <c r="G446" s="30"/>
      <c r="H446" s="30"/>
    </row>
    <row r="447" ht="15.75" customHeight="1">
      <c r="A447" s="108"/>
      <c r="B447" s="30"/>
      <c r="C447" s="30"/>
      <c r="D447" s="30"/>
      <c r="E447" s="30"/>
      <c r="F447" s="30"/>
      <c r="G447" s="30"/>
      <c r="H447" s="30"/>
    </row>
    <row r="448" ht="15.75" customHeight="1">
      <c r="A448" s="108"/>
      <c r="B448" s="30"/>
      <c r="C448" s="30"/>
      <c r="D448" s="30"/>
      <c r="E448" s="30"/>
      <c r="F448" s="30"/>
      <c r="G448" s="30"/>
      <c r="H448" s="30"/>
    </row>
    <row r="449" ht="15.75" customHeight="1">
      <c r="A449" s="108"/>
      <c r="B449" s="30"/>
      <c r="C449" s="30"/>
      <c r="D449" s="30"/>
      <c r="E449" s="30"/>
      <c r="F449" s="30"/>
      <c r="G449" s="30"/>
      <c r="H449" s="30"/>
    </row>
    <row r="450" ht="15.75" customHeight="1">
      <c r="A450" s="108"/>
      <c r="B450" s="30"/>
      <c r="C450" s="30"/>
      <c r="D450" s="30"/>
      <c r="E450" s="30"/>
      <c r="F450" s="30"/>
      <c r="G450" s="30"/>
      <c r="H450" s="30"/>
    </row>
    <row r="451" ht="15.75" customHeight="1">
      <c r="A451" s="108"/>
      <c r="B451" s="30"/>
      <c r="C451" s="30"/>
      <c r="D451" s="30"/>
      <c r="E451" s="30"/>
      <c r="F451" s="30"/>
      <c r="G451" s="30"/>
      <c r="H451" s="30"/>
    </row>
    <row r="452" ht="15.75" customHeight="1">
      <c r="A452" s="108"/>
      <c r="B452" s="30"/>
      <c r="C452" s="30"/>
      <c r="D452" s="30"/>
      <c r="E452" s="30"/>
      <c r="F452" s="30"/>
      <c r="G452" s="30"/>
      <c r="H452" s="30"/>
    </row>
    <row r="453" ht="15.75" customHeight="1">
      <c r="A453" s="108"/>
      <c r="B453" s="30"/>
      <c r="C453" s="30"/>
      <c r="D453" s="30"/>
      <c r="E453" s="30"/>
      <c r="F453" s="30"/>
      <c r="G453" s="30"/>
      <c r="H453" s="30"/>
    </row>
    <row r="454" ht="15.75" customHeight="1">
      <c r="A454" s="108"/>
      <c r="B454" s="30"/>
      <c r="C454" s="30"/>
      <c r="D454" s="30"/>
      <c r="E454" s="30"/>
      <c r="F454" s="30"/>
      <c r="G454" s="30"/>
      <c r="H454" s="30"/>
    </row>
    <row r="455" ht="15.75" customHeight="1">
      <c r="A455" s="108"/>
      <c r="B455" s="30"/>
      <c r="C455" s="30"/>
      <c r="D455" s="30"/>
      <c r="E455" s="30"/>
      <c r="F455" s="30"/>
      <c r="G455" s="30"/>
      <c r="H455" s="30"/>
    </row>
    <row r="456" ht="15.75" customHeight="1">
      <c r="A456" s="108"/>
      <c r="B456" s="30"/>
      <c r="C456" s="30"/>
      <c r="D456" s="30"/>
      <c r="E456" s="30"/>
      <c r="F456" s="30"/>
      <c r="G456" s="30"/>
      <c r="H456" s="30"/>
    </row>
    <row r="457" ht="15.75" customHeight="1">
      <c r="A457" s="108"/>
      <c r="B457" s="30"/>
      <c r="C457" s="30"/>
      <c r="D457" s="30"/>
      <c r="E457" s="30"/>
      <c r="F457" s="30"/>
      <c r="G457" s="30"/>
      <c r="H457" s="30"/>
    </row>
    <row r="458" ht="15.75" customHeight="1">
      <c r="A458" s="108"/>
      <c r="B458" s="30"/>
      <c r="C458" s="30"/>
      <c r="D458" s="30"/>
      <c r="E458" s="30"/>
      <c r="F458" s="30"/>
      <c r="G458" s="30"/>
      <c r="H458" s="30"/>
    </row>
    <row r="459" ht="15.75" customHeight="1">
      <c r="A459" s="108"/>
      <c r="B459" s="30"/>
      <c r="C459" s="30"/>
      <c r="D459" s="30"/>
      <c r="E459" s="30"/>
      <c r="F459" s="30"/>
      <c r="G459" s="30"/>
      <c r="H459" s="30"/>
    </row>
    <row r="460" ht="15.75" customHeight="1">
      <c r="A460" s="108"/>
      <c r="B460" s="30"/>
      <c r="C460" s="30"/>
      <c r="D460" s="30"/>
      <c r="E460" s="30"/>
      <c r="F460" s="30"/>
      <c r="G460" s="30"/>
      <c r="H460" s="30"/>
    </row>
    <row r="461" ht="15.75" customHeight="1">
      <c r="A461" s="108"/>
      <c r="B461" s="30"/>
      <c r="C461" s="30"/>
      <c r="D461" s="30"/>
      <c r="E461" s="30"/>
      <c r="F461" s="30"/>
      <c r="G461" s="30"/>
      <c r="H461" s="30"/>
    </row>
    <row r="462" ht="15.75" customHeight="1">
      <c r="A462" s="108"/>
      <c r="B462" s="30"/>
      <c r="C462" s="30"/>
      <c r="D462" s="30"/>
      <c r="E462" s="30"/>
      <c r="F462" s="30"/>
      <c r="G462" s="30"/>
      <c r="H462" s="30"/>
    </row>
    <row r="463" ht="15.75" customHeight="1">
      <c r="A463" s="108"/>
      <c r="B463" s="30"/>
      <c r="C463" s="30"/>
      <c r="D463" s="30"/>
      <c r="E463" s="30"/>
      <c r="F463" s="30"/>
      <c r="G463" s="30"/>
      <c r="H463" s="30"/>
    </row>
    <row r="464" ht="15.75" customHeight="1">
      <c r="A464" s="108"/>
      <c r="B464" s="30"/>
      <c r="C464" s="30"/>
      <c r="D464" s="30"/>
      <c r="E464" s="30"/>
      <c r="F464" s="30"/>
      <c r="G464" s="30"/>
      <c r="H464" s="30"/>
    </row>
    <row r="465" ht="15.75" customHeight="1">
      <c r="A465" s="108"/>
      <c r="B465" s="30"/>
      <c r="C465" s="30"/>
      <c r="D465" s="30"/>
      <c r="E465" s="30"/>
      <c r="F465" s="30"/>
      <c r="G465" s="30"/>
      <c r="H465" s="30"/>
    </row>
    <row r="466" ht="15.75" customHeight="1">
      <c r="A466" s="108"/>
      <c r="B466" s="30"/>
      <c r="C466" s="30"/>
      <c r="D466" s="30"/>
      <c r="E466" s="30"/>
      <c r="F466" s="30"/>
      <c r="G466" s="30"/>
      <c r="H466" s="30"/>
    </row>
    <row r="467" ht="15.75" customHeight="1">
      <c r="A467" s="108"/>
      <c r="B467" s="30"/>
      <c r="C467" s="30"/>
      <c r="D467" s="30"/>
      <c r="E467" s="30"/>
      <c r="F467" s="30"/>
      <c r="G467" s="30"/>
      <c r="H467" s="30"/>
    </row>
    <row r="468" ht="15.75" customHeight="1">
      <c r="A468" s="108"/>
      <c r="B468" s="30"/>
      <c r="C468" s="30"/>
      <c r="D468" s="30"/>
      <c r="E468" s="30"/>
      <c r="F468" s="30"/>
      <c r="G468" s="30"/>
      <c r="H468" s="30"/>
    </row>
    <row r="469" ht="15.75" customHeight="1">
      <c r="A469" s="108"/>
      <c r="B469" s="30"/>
      <c r="C469" s="30"/>
      <c r="D469" s="30"/>
      <c r="E469" s="30"/>
      <c r="F469" s="30"/>
      <c r="G469" s="30"/>
      <c r="H469" s="30"/>
    </row>
    <row r="470" ht="15.75" customHeight="1">
      <c r="A470" s="108"/>
      <c r="B470" s="30"/>
      <c r="C470" s="30"/>
      <c r="D470" s="30"/>
      <c r="E470" s="30"/>
      <c r="F470" s="30"/>
      <c r="G470" s="30"/>
      <c r="H470" s="30"/>
    </row>
    <row r="471" ht="15.75" customHeight="1">
      <c r="A471" s="108"/>
      <c r="B471" s="30"/>
      <c r="C471" s="30"/>
      <c r="D471" s="30"/>
      <c r="E471" s="30"/>
      <c r="F471" s="30"/>
      <c r="G471" s="30"/>
      <c r="H471" s="30"/>
    </row>
    <row r="472" ht="15.75" customHeight="1">
      <c r="A472" s="108"/>
      <c r="B472" s="30"/>
      <c r="C472" s="30"/>
      <c r="D472" s="30"/>
      <c r="E472" s="30"/>
      <c r="F472" s="30"/>
      <c r="G472" s="30"/>
      <c r="H472" s="30"/>
    </row>
    <row r="473" ht="15.75" customHeight="1">
      <c r="A473" s="108"/>
      <c r="B473" s="30"/>
      <c r="C473" s="30"/>
      <c r="D473" s="30"/>
      <c r="E473" s="30"/>
      <c r="F473" s="30"/>
      <c r="G473" s="30"/>
      <c r="H473" s="30"/>
    </row>
    <row r="474" ht="15.75" customHeight="1">
      <c r="A474" s="108"/>
      <c r="B474" s="30"/>
      <c r="C474" s="30"/>
      <c r="D474" s="30"/>
      <c r="E474" s="30"/>
      <c r="F474" s="30"/>
      <c r="G474" s="30"/>
      <c r="H474" s="30"/>
    </row>
    <row r="475" ht="15.75" customHeight="1">
      <c r="A475" s="108"/>
      <c r="B475" s="30"/>
      <c r="C475" s="30"/>
      <c r="D475" s="30"/>
      <c r="E475" s="30"/>
      <c r="F475" s="30"/>
      <c r="G475" s="30"/>
      <c r="H475" s="30"/>
    </row>
    <row r="476" ht="15.75" customHeight="1">
      <c r="A476" s="108"/>
      <c r="B476" s="30"/>
      <c r="C476" s="30"/>
      <c r="D476" s="30"/>
      <c r="E476" s="30"/>
      <c r="F476" s="30"/>
      <c r="G476" s="30"/>
      <c r="H476" s="30"/>
    </row>
    <row r="477" ht="15.75" customHeight="1">
      <c r="A477" s="108"/>
      <c r="B477" s="30"/>
      <c r="C477" s="30"/>
      <c r="D477" s="30"/>
      <c r="E477" s="30"/>
      <c r="F477" s="30"/>
      <c r="G477" s="30"/>
      <c r="H477" s="30"/>
    </row>
    <row r="478" ht="15.75" customHeight="1">
      <c r="A478" s="108"/>
      <c r="B478" s="30"/>
      <c r="C478" s="30"/>
      <c r="D478" s="30"/>
      <c r="E478" s="30"/>
      <c r="F478" s="30"/>
      <c r="G478" s="30"/>
      <c r="H478" s="30"/>
    </row>
    <row r="479" ht="15.75" customHeight="1">
      <c r="A479" s="108"/>
      <c r="B479" s="30"/>
      <c r="C479" s="30"/>
      <c r="D479" s="30"/>
      <c r="E479" s="30"/>
      <c r="F479" s="30"/>
      <c r="G479" s="30"/>
      <c r="H479" s="30"/>
    </row>
    <row r="480" ht="15.75" customHeight="1">
      <c r="A480" s="108"/>
      <c r="B480" s="30"/>
      <c r="C480" s="30"/>
      <c r="D480" s="30"/>
      <c r="E480" s="30"/>
      <c r="F480" s="30"/>
      <c r="G480" s="30"/>
      <c r="H480" s="30"/>
    </row>
    <row r="481" ht="15.75" customHeight="1">
      <c r="A481" s="108"/>
      <c r="B481" s="30"/>
      <c r="C481" s="30"/>
      <c r="D481" s="30"/>
      <c r="E481" s="30"/>
      <c r="F481" s="30"/>
      <c r="G481" s="30"/>
      <c r="H481" s="30"/>
    </row>
    <row r="482" ht="15.75" customHeight="1">
      <c r="A482" s="108"/>
      <c r="B482" s="30"/>
      <c r="C482" s="30"/>
      <c r="D482" s="30"/>
      <c r="E482" s="30"/>
      <c r="F482" s="30"/>
      <c r="G482" s="30"/>
      <c r="H482" s="30"/>
    </row>
    <row r="483" ht="15.75" customHeight="1">
      <c r="A483" s="108"/>
      <c r="B483" s="30"/>
      <c r="C483" s="30"/>
      <c r="D483" s="30"/>
      <c r="E483" s="30"/>
      <c r="F483" s="30"/>
      <c r="G483" s="30"/>
      <c r="H483" s="30"/>
    </row>
    <row r="484" ht="15.75" customHeight="1">
      <c r="A484" s="108"/>
      <c r="B484" s="30"/>
      <c r="C484" s="30"/>
      <c r="D484" s="30"/>
      <c r="E484" s="30"/>
      <c r="F484" s="30"/>
      <c r="G484" s="30"/>
      <c r="H484" s="30"/>
    </row>
    <row r="485" ht="15.75" customHeight="1">
      <c r="A485" s="108"/>
      <c r="B485" s="30"/>
      <c r="C485" s="30"/>
      <c r="D485" s="30"/>
      <c r="E485" s="30"/>
      <c r="F485" s="30"/>
      <c r="G485" s="30"/>
      <c r="H485" s="30"/>
    </row>
    <row r="486" ht="15.75" customHeight="1">
      <c r="A486" s="108"/>
      <c r="B486" s="30"/>
      <c r="C486" s="30"/>
      <c r="D486" s="30"/>
      <c r="E486" s="30"/>
      <c r="F486" s="30"/>
      <c r="G486" s="30"/>
      <c r="H486" s="30"/>
    </row>
    <row r="487" ht="15.75" customHeight="1">
      <c r="A487" s="108"/>
      <c r="B487" s="30"/>
      <c r="C487" s="30"/>
      <c r="D487" s="30"/>
      <c r="E487" s="30"/>
      <c r="F487" s="30"/>
      <c r="G487" s="30"/>
      <c r="H487" s="30"/>
    </row>
    <row r="488" ht="15.75" customHeight="1">
      <c r="A488" s="108"/>
      <c r="B488" s="30"/>
      <c r="C488" s="30"/>
      <c r="D488" s="30"/>
      <c r="E488" s="30"/>
      <c r="F488" s="30"/>
      <c r="G488" s="30"/>
      <c r="H488" s="30"/>
    </row>
    <row r="489" ht="15.75" customHeight="1">
      <c r="A489" s="108"/>
      <c r="B489" s="30"/>
      <c r="C489" s="30"/>
      <c r="D489" s="30"/>
      <c r="E489" s="30"/>
      <c r="F489" s="30"/>
      <c r="G489" s="30"/>
      <c r="H489" s="30"/>
    </row>
    <row r="490" ht="15.75" customHeight="1">
      <c r="A490" s="108"/>
      <c r="B490" s="30"/>
      <c r="C490" s="30"/>
      <c r="D490" s="30"/>
      <c r="E490" s="30"/>
      <c r="F490" s="30"/>
      <c r="G490" s="30"/>
      <c r="H490" s="30"/>
    </row>
    <row r="491" ht="15.75" customHeight="1">
      <c r="A491" s="108"/>
      <c r="B491" s="30"/>
      <c r="C491" s="30"/>
      <c r="D491" s="30"/>
      <c r="E491" s="30"/>
      <c r="F491" s="30"/>
      <c r="G491" s="30"/>
      <c r="H491" s="30"/>
    </row>
    <row r="492" ht="15.75" customHeight="1">
      <c r="A492" s="108"/>
      <c r="B492" s="30"/>
      <c r="C492" s="30"/>
      <c r="D492" s="30"/>
      <c r="E492" s="30"/>
      <c r="F492" s="30"/>
      <c r="G492" s="30"/>
      <c r="H492" s="30"/>
    </row>
    <row r="493" ht="15.75" customHeight="1">
      <c r="A493" s="108"/>
      <c r="B493" s="30"/>
      <c r="C493" s="30"/>
      <c r="D493" s="30"/>
      <c r="E493" s="30"/>
      <c r="F493" s="30"/>
      <c r="G493" s="30"/>
      <c r="H493" s="30"/>
    </row>
    <row r="494" ht="15.75" customHeight="1">
      <c r="A494" s="108"/>
      <c r="B494" s="30"/>
      <c r="C494" s="30"/>
      <c r="D494" s="30"/>
      <c r="E494" s="30"/>
      <c r="F494" s="30"/>
      <c r="G494" s="30"/>
      <c r="H494" s="30"/>
    </row>
    <row r="495" ht="15.75" customHeight="1">
      <c r="A495" s="108"/>
      <c r="B495" s="30"/>
      <c r="C495" s="30"/>
      <c r="D495" s="30"/>
      <c r="E495" s="30"/>
      <c r="F495" s="30"/>
      <c r="G495" s="30"/>
      <c r="H495" s="30"/>
    </row>
    <row r="496" ht="15.75" customHeight="1">
      <c r="A496" s="108"/>
      <c r="B496" s="30"/>
      <c r="C496" s="30"/>
      <c r="D496" s="30"/>
      <c r="E496" s="30"/>
      <c r="F496" s="30"/>
      <c r="G496" s="30"/>
      <c r="H496" s="30"/>
    </row>
    <row r="497" ht="15.75" customHeight="1">
      <c r="A497" s="108"/>
      <c r="B497" s="30"/>
      <c r="C497" s="30"/>
      <c r="D497" s="30"/>
      <c r="E497" s="30"/>
      <c r="F497" s="30"/>
      <c r="G497" s="30"/>
      <c r="H497" s="30"/>
    </row>
    <row r="498" ht="15.75" customHeight="1">
      <c r="A498" s="108"/>
      <c r="B498" s="30"/>
      <c r="C498" s="30"/>
      <c r="D498" s="30"/>
      <c r="E498" s="30"/>
      <c r="F498" s="30"/>
      <c r="G498" s="30"/>
      <c r="H498" s="30"/>
    </row>
    <row r="499" ht="15.75" customHeight="1">
      <c r="A499" s="108"/>
      <c r="B499" s="30"/>
      <c r="C499" s="30"/>
      <c r="D499" s="30"/>
      <c r="E499" s="30"/>
      <c r="F499" s="30"/>
      <c r="G499" s="30"/>
      <c r="H499" s="30"/>
    </row>
    <row r="500" ht="15.75" customHeight="1">
      <c r="A500" s="108"/>
      <c r="B500" s="30"/>
      <c r="C500" s="30"/>
      <c r="D500" s="30"/>
      <c r="E500" s="30"/>
      <c r="F500" s="30"/>
      <c r="G500" s="30"/>
      <c r="H500" s="30"/>
    </row>
    <row r="501" ht="15.75" customHeight="1">
      <c r="A501" s="108"/>
      <c r="B501" s="30"/>
      <c r="C501" s="30"/>
      <c r="D501" s="30"/>
      <c r="E501" s="30"/>
      <c r="F501" s="30"/>
      <c r="G501" s="30"/>
      <c r="H501" s="30"/>
    </row>
    <row r="502" ht="15.75" customHeight="1">
      <c r="A502" s="108"/>
      <c r="B502" s="30"/>
      <c r="C502" s="30"/>
      <c r="D502" s="30"/>
      <c r="E502" s="30"/>
      <c r="F502" s="30"/>
      <c r="G502" s="30"/>
      <c r="H502" s="30"/>
    </row>
    <row r="503" ht="15.75" customHeight="1">
      <c r="A503" s="108"/>
      <c r="B503" s="30"/>
      <c r="C503" s="30"/>
      <c r="D503" s="30"/>
      <c r="E503" s="30"/>
      <c r="F503" s="30"/>
      <c r="G503" s="30"/>
      <c r="H503" s="30"/>
    </row>
    <row r="504" ht="15.75" customHeight="1">
      <c r="A504" s="108"/>
      <c r="B504" s="30"/>
      <c r="C504" s="30"/>
      <c r="D504" s="30"/>
      <c r="E504" s="30"/>
      <c r="F504" s="30"/>
      <c r="G504" s="30"/>
      <c r="H504" s="30"/>
    </row>
    <row r="505" ht="15.75" customHeight="1">
      <c r="A505" s="108"/>
      <c r="B505" s="30"/>
      <c r="C505" s="30"/>
      <c r="D505" s="30"/>
      <c r="E505" s="30"/>
      <c r="F505" s="30"/>
      <c r="G505" s="30"/>
      <c r="H505" s="30"/>
    </row>
    <row r="506" ht="15.75" customHeight="1">
      <c r="A506" s="108"/>
      <c r="B506" s="30"/>
      <c r="C506" s="30"/>
      <c r="D506" s="30"/>
      <c r="E506" s="30"/>
      <c r="F506" s="30"/>
      <c r="G506" s="30"/>
      <c r="H506" s="30"/>
    </row>
    <row r="507" ht="15.75" customHeight="1">
      <c r="A507" s="108"/>
      <c r="B507" s="30"/>
      <c r="C507" s="30"/>
      <c r="D507" s="30"/>
      <c r="E507" s="30"/>
      <c r="F507" s="30"/>
      <c r="G507" s="30"/>
      <c r="H507" s="30"/>
    </row>
    <row r="508" ht="15.75" customHeight="1">
      <c r="A508" s="108"/>
      <c r="B508" s="30"/>
      <c r="C508" s="30"/>
      <c r="D508" s="30"/>
      <c r="E508" s="30"/>
      <c r="F508" s="30"/>
      <c r="G508" s="30"/>
      <c r="H508" s="30"/>
    </row>
    <row r="509" ht="15.75" customHeight="1">
      <c r="A509" s="108"/>
      <c r="B509" s="30"/>
      <c r="C509" s="30"/>
      <c r="D509" s="30"/>
      <c r="E509" s="30"/>
      <c r="F509" s="30"/>
      <c r="G509" s="30"/>
      <c r="H509" s="30"/>
    </row>
    <row r="510" ht="15.75" customHeight="1">
      <c r="A510" s="108"/>
      <c r="B510" s="30"/>
      <c r="C510" s="30"/>
      <c r="D510" s="30"/>
      <c r="E510" s="30"/>
      <c r="F510" s="30"/>
      <c r="G510" s="30"/>
      <c r="H510" s="30"/>
    </row>
    <row r="511" ht="15.75" customHeight="1">
      <c r="A511" s="108"/>
      <c r="B511" s="30"/>
      <c r="C511" s="30"/>
      <c r="D511" s="30"/>
      <c r="E511" s="30"/>
      <c r="F511" s="30"/>
      <c r="G511" s="30"/>
      <c r="H511" s="30"/>
    </row>
    <row r="512" ht="15.75" customHeight="1">
      <c r="A512" s="108"/>
      <c r="B512" s="30"/>
      <c r="C512" s="30"/>
      <c r="D512" s="30"/>
      <c r="E512" s="30"/>
      <c r="F512" s="30"/>
      <c r="G512" s="30"/>
      <c r="H512" s="30"/>
    </row>
    <row r="513" ht="15.75" customHeight="1">
      <c r="A513" s="108"/>
      <c r="B513" s="30"/>
      <c r="C513" s="30"/>
      <c r="D513" s="30"/>
      <c r="E513" s="30"/>
      <c r="F513" s="30"/>
      <c r="G513" s="30"/>
      <c r="H513" s="30"/>
    </row>
    <row r="514" ht="15.75" customHeight="1">
      <c r="A514" s="108"/>
      <c r="B514" s="30"/>
      <c r="C514" s="30"/>
      <c r="D514" s="30"/>
      <c r="E514" s="30"/>
      <c r="F514" s="30"/>
      <c r="G514" s="30"/>
      <c r="H514" s="30"/>
    </row>
    <row r="515" ht="15.75" customHeight="1">
      <c r="A515" s="108"/>
      <c r="B515" s="30"/>
      <c r="C515" s="30"/>
      <c r="D515" s="30"/>
      <c r="E515" s="30"/>
      <c r="F515" s="30"/>
      <c r="G515" s="30"/>
      <c r="H515" s="30"/>
    </row>
    <row r="516" ht="15.75" customHeight="1">
      <c r="A516" s="108"/>
      <c r="B516" s="30"/>
      <c r="C516" s="30"/>
      <c r="D516" s="30"/>
      <c r="E516" s="30"/>
      <c r="F516" s="30"/>
      <c r="G516" s="30"/>
      <c r="H516" s="30"/>
    </row>
    <row r="517" ht="15.75" customHeight="1">
      <c r="A517" s="108"/>
      <c r="B517" s="30"/>
      <c r="C517" s="30"/>
      <c r="D517" s="30"/>
      <c r="E517" s="30"/>
      <c r="F517" s="30"/>
      <c r="G517" s="30"/>
      <c r="H517" s="30"/>
    </row>
    <row r="518" ht="15.75" customHeight="1">
      <c r="A518" s="108"/>
      <c r="B518" s="30"/>
      <c r="C518" s="30"/>
      <c r="D518" s="30"/>
      <c r="E518" s="30"/>
      <c r="F518" s="30"/>
      <c r="G518" s="30"/>
      <c r="H518" s="30"/>
    </row>
    <row r="519" ht="15.75" customHeight="1">
      <c r="A519" s="108"/>
      <c r="B519" s="30"/>
      <c r="C519" s="30"/>
      <c r="D519" s="30"/>
      <c r="E519" s="30"/>
      <c r="F519" s="30"/>
      <c r="G519" s="30"/>
      <c r="H519" s="30"/>
    </row>
    <row r="520" ht="15.75" customHeight="1">
      <c r="A520" s="108"/>
      <c r="B520" s="30"/>
      <c r="C520" s="30"/>
      <c r="D520" s="30"/>
      <c r="E520" s="30"/>
      <c r="F520" s="30"/>
      <c r="G520" s="30"/>
      <c r="H520" s="30"/>
    </row>
    <row r="521" ht="15.75" customHeight="1">
      <c r="A521" s="108"/>
      <c r="B521" s="30"/>
      <c r="C521" s="30"/>
      <c r="D521" s="30"/>
      <c r="E521" s="30"/>
      <c r="F521" s="30"/>
      <c r="G521" s="30"/>
      <c r="H521" s="30"/>
    </row>
    <row r="522" ht="15.75" customHeight="1">
      <c r="A522" s="108"/>
      <c r="B522" s="30"/>
      <c r="C522" s="30"/>
      <c r="D522" s="30"/>
      <c r="E522" s="30"/>
      <c r="F522" s="30"/>
      <c r="G522" s="30"/>
      <c r="H522" s="30"/>
    </row>
    <row r="523" ht="15.75" customHeight="1">
      <c r="A523" s="108"/>
      <c r="B523" s="30"/>
      <c r="C523" s="30"/>
      <c r="D523" s="30"/>
      <c r="E523" s="30"/>
      <c r="F523" s="30"/>
      <c r="G523" s="30"/>
      <c r="H523" s="30"/>
    </row>
    <row r="524" ht="15.75" customHeight="1">
      <c r="A524" s="108"/>
      <c r="B524" s="30"/>
      <c r="C524" s="30"/>
      <c r="D524" s="30"/>
      <c r="E524" s="30"/>
      <c r="F524" s="30"/>
      <c r="G524" s="30"/>
      <c r="H524" s="30"/>
    </row>
    <row r="525" ht="15.75" customHeight="1">
      <c r="A525" s="108"/>
      <c r="B525" s="30"/>
      <c r="C525" s="30"/>
      <c r="D525" s="30"/>
      <c r="E525" s="30"/>
      <c r="F525" s="30"/>
      <c r="G525" s="30"/>
      <c r="H525" s="30"/>
    </row>
    <row r="526" ht="15.75" customHeight="1">
      <c r="A526" s="108"/>
      <c r="B526" s="30"/>
      <c r="C526" s="30"/>
      <c r="D526" s="30"/>
      <c r="E526" s="30"/>
      <c r="F526" s="30"/>
      <c r="G526" s="30"/>
      <c r="H526" s="30"/>
    </row>
    <row r="527" ht="15.75" customHeight="1">
      <c r="A527" s="108"/>
      <c r="B527" s="30"/>
      <c r="C527" s="30"/>
      <c r="D527" s="30"/>
      <c r="E527" s="30"/>
      <c r="F527" s="30"/>
      <c r="G527" s="30"/>
      <c r="H527" s="30"/>
    </row>
    <row r="528" ht="15.75" customHeight="1">
      <c r="A528" s="108"/>
      <c r="B528" s="30"/>
      <c r="C528" s="30"/>
      <c r="D528" s="30"/>
      <c r="E528" s="30"/>
      <c r="F528" s="30"/>
      <c r="G528" s="30"/>
      <c r="H528" s="30"/>
    </row>
    <row r="529" ht="15.75" customHeight="1">
      <c r="A529" s="108"/>
      <c r="B529" s="30"/>
      <c r="C529" s="30"/>
      <c r="D529" s="30"/>
      <c r="E529" s="30"/>
      <c r="F529" s="30"/>
      <c r="G529" s="30"/>
      <c r="H529" s="30"/>
    </row>
    <row r="530" ht="15.75" customHeight="1">
      <c r="A530" s="108"/>
      <c r="B530" s="30"/>
      <c r="C530" s="30"/>
      <c r="D530" s="30"/>
      <c r="E530" s="30"/>
      <c r="F530" s="30"/>
      <c r="G530" s="30"/>
      <c r="H530" s="30"/>
    </row>
    <row r="531" ht="15.75" customHeight="1">
      <c r="A531" s="108"/>
      <c r="B531" s="30"/>
      <c r="C531" s="30"/>
      <c r="D531" s="30"/>
      <c r="E531" s="30"/>
      <c r="F531" s="30"/>
      <c r="G531" s="30"/>
      <c r="H531" s="30"/>
    </row>
    <row r="532" ht="15.75" customHeight="1">
      <c r="A532" s="108"/>
      <c r="B532" s="30"/>
      <c r="C532" s="30"/>
      <c r="D532" s="30"/>
      <c r="E532" s="30"/>
      <c r="F532" s="30"/>
      <c r="G532" s="30"/>
      <c r="H532" s="30"/>
    </row>
    <row r="533" ht="15.75" customHeight="1">
      <c r="A533" s="108"/>
      <c r="B533" s="30"/>
      <c r="C533" s="30"/>
      <c r="D533" s="30"/>
      <c r="E533" s="30"/>
      <c r="F533" s="30"/>
      <c r="G533" s="30"/>
      <c r="H533" s="30"/>
    </row>
    <row r="534" ht="15.75" customHeight="1">
      <c r="A534" s="108"/>
      <c r="B534" s="30"/>
      <c r="C534" s="30"/>
      <c r="D534" s="30"/>
      <c r="E534" s="30"/>
      <c r="F534" s="30"/>
      <c r="G534" s="30"/>
      <c r="H534" s="30"/>
    </row>
    <row r="535" ht="15.75" customHeight="1">
      <c r="A535" s="108"/>
      <c r="B535" s="30"/>
      <c r="C535" s="30"/>
      <c r="D535" s="30"/>
      <c r="E535" s="30"/>
      <c r="F535" s="30"/>
      <c r="G535" s="30"/>
      <c r="H535" s="30"/>
    </row>
    <row r="536" ht="15.75" customHeight="1">
      <c r="A536" s="108"/>
      <c r="B536" s="30"/>
      <c r="C536" s="30"/>
      <c r="D536" s="30"/>
      <c r="E536" s="30"/>
      <c r="F536" s="30"/>
      <c r="G536" s="30"/>
      <c r="H536" s="30"/>
    </row>
    <row r="537" ht="15.75" customHeight="1">
      <c r="A537" s="108"/>
      <c r="B537" s="30"/>
      <c r="C537" s="30"/>
      <c r="D537" s="30"/>
      <c r="E537" s="30"/>
      <c r="F537" s="30"/>
      <c r="G537" s="30"/>
      <c r="H537" s="30"/>
    </row>
    <row r="538" ht="15.75" customHeight="1">
      <c r="A538" s="108"/>
      <c r="B538" s="30"/>
      <c r="C538" s="30"/>
      <c r="D538" s="30"/>
      <c r="E538" s="30"/>
      <c r="F538" s="30"/>
      <c r="G538" s="30"/>
      <c r="H538" s="30"/>
    </row>
    <row r="539" ht="15.75" customHeight="1">
      <c r="A539" s="108"/>
      <c r="B539" s="30"/>
      <c r="C539" s="30"/>
      <c r="D539" s="30"/>
      <c r="E539" s="30"/>
      <c r="F539" s="30"/>
      <c r="G539" s="30"/>
      <c r="H539" s="30"/>
    </row>
    <row r="540" ht="15.75" customHeight="1">
      <c r="A540" s="108"/>
      <c r="B540" s="30"/>
      <c r="C540" s="30"/>
      <c r="D540" s="30"/>
      <c r="E540" s="30"/>
      <c r="F540" s="30"/>
      <c r="G540" s="30"/>
      <c r="H540" s="30"/>
    </row>
    <row r="541" ht="15.75" customHeight="1">
      <c r="A541" s="108"/>
      <c r="B541" s="30"/>
      <c r="C541" s="30"/>
      <c r="D541" s="30"/>
      <c r="E541" s="30"/>
      <c r="F541" s="30"/>
      <c r="G541" s="30"/>
      <c r="H541" s="30"/>
    </row>
    <row r="542" ht="15.75" customHeight="1">
      <c r="A542" s="108"/>
      <c r="B542" s="30"/>
      <c r="C542" s="30"/>
      <c r="D542" s="30"/>
      <c r="E542" s="30"/>
      <c r="F542" s="30"/>
      <c r="G542" s="30"/>
      <c r="H542" s="30"/>
    </row>
    <row r="543" ht="15.75" customHeight="1">
      <c r="A543" s="108"/>
      <c r="B543" s="30"/>
      <c r="C543" s="30"/>
      <c r="D543" s="30"/>
      <c r="E543" s="30"/>
      <c r="F543" s="30"/>
      <c r="G543" s="30"/>
      <c r="H543" s="30"/>
    </row>
    <row r="544" ht="15.75" customHeight="1">
      <c r="A544" s="108"/>
      <c r="B544" s="30"/>
      <c r="C544" s="30"/>
      <c r="D544" s="30"/>
      <c r="E544" s="30"/>
      <c r="F544" s="30"/>
      <c r="G544" s="30"/>
      <c r="H544" s="30"/>
    </row>
    <row r="545" ht="15.75" customHeight="1">
      <c r="A545" s="108"/>
      <c r="B545" s="30"/>
      <c r="C545" s="30"/>
      <c r="D545" s="30"/>
      <c r="E545" s="30"/>
      <c r="F545" s="30"/>
      <c r="G545" s="30"/>
      <c r="H545" s="30"/>
    </row>
    <row r="546" ht="15.75" customHeight="1">
      <c r="A546" s="108"/>
      <c r="B546" s="30"/>
      <c r="C546" s="30"/>
      <c r="D546" s="30"/>
      <c r="E546" s="30"/>
      <c r="F546" s="30"/>
      <c r="G546" s="30"/>
      <c r="H546" s="30"/>
    </row>
    <row r="547" ht="15.75" customHeight="1">
      <c r="A547" s="108"/>
      <c r="B547" s="30"/>
      <c r="C547" s="30"/>
      <c r="D547" s="30"/>
      <c r="E547" s="30"/>
      <c r="F547" s="30"/>
      <c r="G547" s="30"/>
      <c r="H547" s="30"/>
    </row>
    <row r="548" ht="15.75" customHeight="1">
      <c r="A548" s="108"/>
      <c r="B548" s="30"/>
      <c r="C548" s="30"/>
      <c r="D548" s="30"/>
      <c r="E548" s="30"/>
      <c r="F548" s="30"/>
      <c r="G548" s="30"/>
      <c r="H548" s="30"/>
    </row>
    <row r="549" ht="15.75" customHeight="1">
      <c r="A549" s="108"/>
      <c r="B549" s="30"/>
      <c r="C549" s="30"/>
      <c r="D549" s="30"/>
      <c r="E549" s="30"/>
      <c r="F549" s="30"/>
      <c r="G549" s="30"/>
      <c r="H549" s="30"/>
    </row>
    <row r="550" ht="15.75" customHeight="1">
      <c r="A550" s="108"/>
      <c r="B550" s="30"/>
      <c r="C550" s="30"/>
      <c r="D550" s="30"/>
      <c r="E550" s="30"/>
      <c r="F550" s="30"/>
      <c r="G550" s="30"/>
      <c r="H550" s="30"/>
    </row>
    <row r="551" ht="15.75" customHeight="1">
      <c r="A551" s="108"/>
      <c r="B551" s="30"/>
      <c r="C551" s="30"/>
      <c r="D551" s="30"/>
      <c r="E551" s="30"/>
      <c r="F551" s="30"/>
      <c r="G551" s="30"/>
      <c r="H551" s="30"/>
    </row>
    <row r="552" ht="15.75" customHeight="1">
      <c r="A552" s="108"/>
      <c r="B552" s="30"/>
      <c r="C552" s="30"/>
      <c r="D552" s="30"/>
      <c r="E552" s="30"/>
      <c r="F552" s="30"/>
      <c r="G552" s="30"/>
      <c r="H552" s="30"/>
    </row>
    <row r="553" ht="15.75" customHeight="1">
      <c r="A553" s="108"/>
      <c r="B553" s="30"/>
      <c r="C553" s="30"/>
      <c r="D553" s="30"/>
      <c r="E553" s="30"/>
      <c r="F553" s="30"/>
      <c r="G553" s="30"/>
      <c r="H553" s="30"/>
    </row>
    <row r="554" ht="15.75" customHeight="1">
      <c r="A554" s="108"/>
      <c r="B554" s="30"/>
      <c r="C554" s="30"/>
      <c r="D554" s="30"/>
      <c r="E554" s="30"/>
      <c r="F554" s="30"/>
      <c r="G554" s="30"/>
      <c r="H554" s="30"/>
    </row>
    <row r="555" ht="15.75" customHeight="1">
      <c r="A555" s="108"/>
      <c r="B555" s="30"/>
      <c r="C555" s="30"/>
      <c r="D555" s="30"/>
      <c r="E555" s="30"/>
      <c r="F555" s="30"/>
      <c r="G555" s="30"/>
      <c r="H555" s="30"/>
    </row>
    <row r="556" ht="15.75" customHeight="1">
      <c r="A556" s="108"/>
      <c r="B556" s="30"/>
      <c r="C556" s="30"/>
      <c r="D556" s="30"/>
      <c r="E556" s="30"/>
      <c r="F556" s="30"/>
      <c r="G556" s="30"/>
      <c r="H556" s="30"/>
    </row>
    <row r="557" ht="15.75" customHeight="1">
      <c r="A557" s="108"/>
      <c r="B557" s="30"/>
      <c r="C557" s="30"/>
      <c r="D557" s="30"/>
      <c r="E557" s="30"/>
      <c r="F557" s="30"/>
      <c r="G557" s="30"/>
      <c r="H557" s="30"/>
    </row>
    <row r="558" ht="15.75" customHeight="1">
      <c r="A558" s="108"/>
      <c r="B558" s="30"/>
      <c r="C558" s="30"/>
      <c r="D558" s="30"/>
      <c r="E558" s="30"/>
      <c r="F558" s="30"/>
      <c r="G558" s="30"/>
      <c r="H558" s="30"/>
    </row>
    <row r="559" ht="15.75" customHeight="1">
      <c r="A559" s="108"/>
      <c r="B559" s="30"/>
      <c r="C559" s="30"/>
      <c r="D559" s="30"/>
      <c r="E559" s="30"/>
      <c r="F559" s="30"/>
      <c r="G559" s="30"/>
      <c r="H559" s="30"/>
    </row>
    <row r="560" ht="15.75" customHeight="1">
      <c r="A560" s="108"/>
      <c r="B560" s="30"/>
      <c r="C560" s="30"/>
      <c r="D560" s="30"/>
      <c r="E560" s="30"/>
      <c r="F560" s="30"/>
      <c r="G560" s="30"/>
      <c r="H560" s="30"/>
    </row>
    <row r="561" ht="15.75" customHeight="1">
      <c r="A561" s="108"/>
      <c r="B561" s="30"/>
      <c r="C561" s="30"/>
      <c r="D561" s="30"/>
      <c r="E561" s="30"/>
      <c r="F561" s="30"/>
      <c r="G561" s="30"/>
      <c r="H561" s="30"/>
    </row>
    <row r="562" ht="15.75" customHeight="1">
      <c r="A562" s="108"/>
      <c r="B562" s="30"/>
      <c r="C562" s="30"/>
      <c r="D562" s="30"/>
      <c r="E562" s="30"/>
      <c r="F562" s="30"/>
      <c r="G562" s="30"/>
      <c r="H562" s="30"/>
    </row>
    <row r="563" ht="15.75" customHeight="1">
      <c r="A563" s="108"/>
      <c r="B563" s="30"/>
      <c r="C563" s="30"/>
      <c r="D563" s="30"/>
      <c r="E563" s="30"/>
      <c r="F563" s="30"/>
      <c r="G563" s="30"/>
      <c r="H563" s="30"/>
    </row>
    <row r="564" ht="15.75" customHeight="1">
      <c r="A564" s="108"/>
      <c r="B564" s="30"/>
      <c r="C564" s="30"/>
      <c r="D564" s="30"/>
      <c r="E564" s="30"/>
      <c r="F564" s="30"/>
      <c r="G564" s="30"/>
      <c r="H564" s="30"/>
    </row>
    <row r="565" ht="15.75" customHeight="1">
      <c r="A565" s="108"/>
      <c r="B565" s="30"/>
      <c r="C565" s="30"/>
      <c r="D565" s="30"/>
      <c r="E565" s="30"/>
      <c r="F565" s="30"/>
      <c r="G565" s="30"/>
      <c r="H565" s="30"/>
    </row>
    <row r="566" ht="15.75" customHeight="1">
      <c r="A566" s="108"/>
      <c r="B566" s="30"/>
      <c r="C566" s="30"/>
      <c r="D566" s="30"/>
      <c r="E566" s="30"/>
      <c r="F566" s="30"/>
      <c r="G566" s="30"/>
      <c r="H566" s="30"/>
    </row>
    <row r="567" ht="15.75" customHeight="1">
      <c r="A567" s="108"/>
      <c r="B567" s="30"/>
      <c r="C567" s="30"/>
      <c r="D567" s="30"/>
      <c r="E567" s="30"/>
      <c r="F567" s="30"/>
      <c r="G567" s="30"/>
      <c r="H567" s="30"/>
    </row>
    <row r="568" ht="15.75" customHeight="1">
      <c r="A568" s="108"/>
      <c r="B568" s="30"/>
      <c r="C568" s="30"/>
      <c r="D568" s="30"/>
      <c r="E568" s="30"/>
      <c r="F568" s="30"/>
      <c r="G568" s="30"/>
      <c r="H568" s="30"/>
    </row>
    <row r="569" ht="15.75" customHeight="1">
      <c r="A569" s="108"/>
      <c r="B569" s="30"/>
      <c r="C569" s="30"/>
      <c r="D569" s="30"/>
      <c r="E569" s="30"/>
      <c r="F569" s="30"/>
      <c r="G569" s="30"/>
      <c r="H569" s="30"/>
    </row>
    <row r="570" ht="15.75" customHeight="1">
      <c r="A570" s="108"/>
      <c r="B570" s="30"/>
      <c r="C570" s="30"/>
      <c r="D570" s="30"/>
      <c r="E570" s="30"/>
      <c r="F570" s="30"/>
      <c r="G570" s="30"/>
      <c r="H570" s="30"/>
    </row>
    <row r="571" ht="15.75" customHeight="1">
      <c r="A571" s="108"/>
      <c r="B571" s="30"/>
      <c r="C571" s="30"/>
      <c r="D571" s="30"/>
      <c r="E571" s="30"/>
      <c r="F571" s="30"/>
      <c r="G571" s="30"/>
      <c r="H571" s="30"/>
    </row>
    <row r="572" ht="15.75" customHeight="1">
      <c r="A572" s="108"/>
      <c r="B572" s="30"/>
      <c r="C572" s="30"/>
      <c r="D572" s="30"/>
      <c r="E572" s="30"/>
      <c r="F572" s="30"/>
      <c r="G572" s="30"/>
      <c r="H572" s="30"/>
    </row>
    <row r="573" ht="15.75" customHeight="1">
      <c r="A573" s="108"/>
      <c r="B573" s="30"/>
      <c r="C573" s="30"/>
      <c r="D573" s="30"/>
      <c r="E573" s="30"/>
      <c r="F573" s="30"/>
      <c r="G573" s="30"/>
      <c r="H573" s="30"/>
    </row>
    <row r="574" ht="15.75" customHeight="1">
      <c r="A574" s="108"/>
      <c r="B574" s="30"/>
      <c r="C574" s="30"/>
      <c r="D574" s="30"/>
      <c r="E574" s="30"/>
      <c r="F574" s="30"/>
      <c r="G574" s="30"/>
      <c r="H574" s="30"/>
    </row>
    <row r="575" ht="15.75" customHeight="1">
      <c r="A575" s="108"/>
      <c r="B575" s="30"/>
      <c r="C575" s="30"/>
      <c r="D575" s="30"/>
      <c r="E575" s="30"/>
      <c r="F575" s="30"/>
      <c r="G575" s="30"/>
      <c r="H575" s="30"/>
    </row>
    <row r="576" ht="15.75" customHeight="1">
      <c r="A576" s="108"/>
      <c r="B576" s="30"/>
      <c r="C576" s="30"/>
      <c r="D576" s="30"/>
      <c r="E576" s="30"/>
      <c r="F576" s="30"/>
      <c r="G576" s="30"/>
      <c r="H576" s="30"/>
    </row>
    <row r="577" ht="15.75" customHeight="1">
      <c r="A577" s="108"/>
      <c r="B577" s="30"/>
      <c r="C577" s="30"/>
      <c r="D577" s="30"/>
      <c r="E577" s="30"/>
      <c r="F577" s="30"/>
      <c r="G577" s="30"/>
      <c r="H577" s="30"/>
    </row>
    <row r="578" ht="15.75" customHeight="1">
      <c r="A578" s="108"/>
      <c r="B578" s="30"/>
      <c r="C578" s="30"/>
      <c r="D578" s="30"/>
      <c r="E578" s="30"/>
      <c r="F578" s="30"/>
      <c r="G578" s="30"/>
      <c r="H578" s="30"/>
    </row>
    <row r="579" ht="15.75" customHeight="1">
      <c r="A579" s="108"/>
      <c r="B579" s="30"/>
      <c r="C579" s="30"/>
      <c r="D579" s="30"/>
      <c r="E579" s="30"/>
      <c r="F579" s="30"/>
      <c r="G579" s="30"/>
      <c r="H579" s="30"/>
    </row>
    <row r="580" ht="15.75" customHeight="1">
      <c r="A580" s="108"/>
      <c r="B580" s="30"/>
      <c r="C580" s="30"/>
      <c r="D580" s="30"/>
      <c r="E580" s="30"/>
      <c r="F580" s="30"/>
      <c r="G580" s="30"/>
      <c r="H580" s="30"/>
    </row>
    <row r="581" ht="15.75" customHeight="1">
      <c r="A581" s="108"/>
      <c r="B581" s="30"/>
      <c r="C581" s="30"/>
      <c r="D581" s="30"/>
      <c r="E581" s="30"/>
      <c r="F581" s="30"/>
      <c r="G581" s="30"/>
      <c r="H581" s="30"/>
    </row>
    <row r="582" ht="15.75" customHeight="1">
      <c r="A582" s="108"/>
      <c r="B582" s="30"/>
      <c r="C582" s="30"/>
      <c r="D582" s="30"/>
      <c r="E582" s="30"/>
      <c r="F582" s="30"/>
      <c r="G582" s="30"/>
      <c r="H582" s="30"/>
    </row>
    <row r="583" ht="15.75" customHeight="1">
      <c r="A583" s="108"/>
      <c r="B583" s="30"/>
      <c r="C583" s="30"/>
      <c r="D583" s="30"/>
      <c r="E583" s="30"/>
      <c r="F583" s="30"/>
      <c r="G583" s="30"/>
      <c r="H583" s="30"/>
    </row>
    <row r="584" ht="15.75" customHeight="1">
      <c r="A584" s="108"/>
      <c r="B584" s="30"/>
      <c r="C584" s="30"/>
      <c r="D584" s="30"/>
      <c r="E584" s="30"/>
      <c r="F584" s="30"/>
      <c r="G584" s="30"/>
      <c r="H584" s="30"/>
    </row>
    <row r="585" ht="15.75" customHeight="1">
      <c r="A585" s="108"/>
      <c r="B585" s="30"/>
      <c r="C585" s="30"/>
      <c r="D585" s="30"/>
      <c r="E585" s="30"/>
      <c r="F585" s="30"/>
      <c r="G585" s="30"/>
      <c r="H585" s="30"/>
    </row>
    <row r="586" ht="15.75" customHeight="1">
      <c r="A586" s="108"/>
      <c r="B586" s="30"/>
      <c r="C586" s="30"/>
      <c r="D586" s="30"/>
      <c r="E586" s="30"/>
      <c r="F586" s="30"/>
      <c r="G586" s="30"/>
      <c r="H586" s="30"/>
    </row>
    <row r="587" ht="15.75" customHeight="1">
      <c r="A587" s="108"/>
      <c r="B587" s="30"/>
      <c r="C587" s="30"/>
      <c r="D587" s="30"/>
      <c r="E587" s="30"/>
      <c r="F587" s="30"/>
      <c r="G587" s="30"/>
      <c r="H587" s="30"/>
    </row>
    <row r="588" ht="15.75" customHeight="1">
      <c r="A588" s="108"/>
      <c r="B588" s="30"/>
      <c r="C588" s="30"/>
      <c r="D588" s="30"/>
      <c r="E588" s="30"/>
      <c r="F588" s="30"/>
      <c r="G588" s="30"/>
      <c r="H588" s="30"/>
    </row>
    <row r="589" ht="15.75" customHeight="1">
      <c r="A589" s="108"/>
      <c r="B589" s="30"/>
      <c r="C589" s="30"/>
      <c r="D589" s="30"/>
      <c r="E589" s="30"/>
      <c r="F589" s="30"/>
      <c r="G589" s="30"/>
      <c r="H589" s="30"/>
    </row>
    <row r="590" ht="15.75" customHeight="1">
      <c r="A590" s="108"/>
      <c r="B590" s="30"/>
      <c r="C590" s="30"/>
      <c r="D590" s="30"/>
      <c r="E590" s="30"/>
      <c r="F590" s="30"/>
      <c r="G590" s="30"/>
      <c r="H590" s="30"/>
    </row>
    <row r="591" ht="15.75" customHeight="1">
      <c r="A591" s="108"/>
      <c r="B591" s="30"/>
      <c r="C591" s="30"/>
      <c r="D591" s="30"/>
      <c r="E591" s="30"/>
      <c r="F591" s="30"/>
      <c r="G591" s="30"/>
      <c r="H591" s="30"/>
    </row>
    <row r="592" ht="15.75" customHeight="1">
      <c r="A592" s="108"/>
      <c r="B592" s="30"/>
      <c r="C592" s="30"/>
      <c r="D592" s="30"/>
      <c r="E592" s="30"/>
      <c r="F592" s="30"/>
      <c r="G592" s="30"/>
      <c r="H592" s="30"/>
    </row>
    <row r="593" ht="15.75" customHeight="1">
      <c r="A593" s="108"/>
      <c r="B593" s="30"/>
      <c r="C593" s="30"/>
      <c r="D593" s="30"/>
      <c r="E593" s="30"/>
      <c r="F593" s="30"/>
      <c r="G593" s="30"/>
      <c r="H593" s="30"/>
    </row>
    <row r="594" ht="15.75" customHeight="1">
      <c r="A594" s="108"/>
      <c r="B594" s="30"/>
      <c r="C594" s="30"/>
      <c r="D594" s="30"/>
      <c r="E594" s="30"/>
      <c r="F594" s="30"/>
      <c r="G594" s="30"/>
      <c r="H594" s="30"/>
    </row>
    <row r="595" ht="15.75" customHeight="1">
      <c r="A595" s="108"/>
      <c r="B595" s="30"/>
      <c r="C595" s="30"/>
      <c r="D595" s="30"/>
      <c r="E595" s="30"/>
      <c r="F595" s="30"/>
      <c r="G595" s="30"/>
      <c r="H595" s="30"/>
    </row>
    <row r="596" ht="15.75" customHeight="1">
      <c r="A596" s="108"/>
      <c r="B596" s="30"/>
      <c r="C596" s="30"/>
      <c r="D596" s="30"/>
      <c r="E596" s="30"/>
      <c r="F596" s="30"/>
      <c r="G596" s="30"/>
      <c r="H596" s="30"/>
    </row>
    <row r="597" ht="15.75" customHeight="1">
      <c r="A597" s="108"/>
      <c r="B597" s="30"/>
      <c r="C597" s="30"/>
      <c r="D597" s="30"/>
      <c r="E597" s="30"/>
      <c r="F597" s="30"/>
      <c r="G597" s="30"/>
      <c r="H597" s="30"/>
    </row>
    <row r="598" ht="15.75" customHeight="1">
      <c r="A598" s="108"/>
      <c r="B598" s="30"/>
      <c r="C598" s="30"/>
      <c r="D598" s="30"/>
      <c r="E598" s="30"/>
      <c r="F598" s="30"/>
      <c r="G598" s="30"/>
      <c r="H598" s="30"/>
    </row>
    <row r="599" ht="15.75" customHeight="1">
      <c r="A599" s="108"/>
      <c r="B599" s="30"/>
      <c r="C599" s="30"/>
      <c r="D599" s="30"/>
      <c r="E599" s="30"/>
      <c r="F599" s="30"/>
      <c r="G599" s="30"/>
      <c r="H599" s="30"/>
    </row>
    <row r="600" ht="15.75" customHeight="1">
      <c r="A600" s="108"/>
      <c r="B600" s="30"/>
      <c r="C600" s="30"/>
      <c r="D600" s="30"/>
      <c r="E600" s="30"/>
      <c r="F600" s="30"/>
      <c r="G600" s="30"/>
      <c r="H600" s="30"/>
    </row>
    <row r="601" ht="15.75" customHeight="1">
      <c r="A601" s="108"/>
      <c r="B601" s="30"/>
      <c r="C601" s="30"/>
      <c r="D601" s="30"/>
      <c r="E601" s="30"/>
      <c r="F601" s="30"/>
      <c r="G601" s="30"/>
      <c r="H601" s="30"/>
    </row>
    <row r="602" ht="15.75" customHeight="1">
      <c r="A602" s="108"/>
      <c r="B602" s="30"/>
      <c r="C602" s="30"/>
      <c r="D602" s="30"/>
      <c r="E602" s="30"/>
      <c r="F602" s="30"/>
      <c r="G602" s="30"/>
      <c r="H602" s="30"/>
    </row>
    <row r="603" ht="15.75" customHeight="1">
      <c r="A603" s="108"/>
      <c r="B603" s="30"/>
      <c r="C603" s="30"/>
      <c r="D603" s="30"/>
      <c r="E603" s="30"/>
      <c r="F603" s="30"/>
      <c r="G603" s="30"/>
      <c r="H603" s="30"/>
    </row>
    <row r="604" ht="15.75" customHeight="1">
      <c r="A604" s="108"/>
      <c r="B604" s="30"/>
      <c r="C604" s="30"/>
      <c r="D604" s="30"/>
      <c r="E604" s="30"/>
      <c r="F604" s="30"/>
      <c r="G604" s="30"/>
      <c r="H604" s="30"/>
    </row>
    <row r="605" ht="15.75" customHeight="1">
      <c r="A605" s="108"/>
      <c r="B605" s="30"/>
      <c r="C605" s="30"/>
      <c r="D605" s="30"/>
      <c r="E605" s="30"/>
      <c r="F605" s="30"/>
      <c r="G605" s="30"/>
      <c r="H605" s="30"/>
    </row>
    <row r="606" ht="15.75" customHeight="1">
      <c r="A606" s="108"/>
      <c r="B606" s="30"/>
      <c r="C606" s="30"/>
      <c r="D606" s="30"/>
      <c r="E606" s="30"/>
      <c r="F606" s="30"/>
      <c r="G606" s="30"/>
      <c r="H606" s="30"/>
    </row>
    <row r="607" ht="15.75" customHeight="1">
      <c r="A607" s="108"/>
      <c r="B607" s="30"/>
      <c r="C607" s="30"/>
      <c r="D607" s="30"/>
      <c r="E607" s="30"/>
      <c r="F607" s="30"/>
      <c r="G607" s="30"/>
      <c r="H607" s="30"/>
    </row>
    <row r="608" ht="15.75" customHeight="1">
      <c r="A608" s="108"/>
      <c r="B608" s="30"/>
      <c r="C608" s="30"/>
      <c r="D608" s="30"/>
      <c r="E608" s="30"/>
      <c r="F608" s="30"/>
      <c r="G608" s="30"/>
      <c r="H608" s="30"/>
    </row>
    <row r="609" ht="15.75" customHeight="1">
      <c r="A609" s="108"/>
      <c r="B609" s="30"/>
      <c r="C609" s="30"/>
      <c r="D609" s="30"/>
      <c r="E609" s="30"/>
      <c r="F609" s="30"/>
      <c r="G609" s="30"/>
      <c r="H609" s="30"/>
    </row>
    <row r="610" ht="15.75" customHeight="1">
      <c r="A610" s="108"/>
      <c r="B610" s="30"/>
      <c r="C610" s="30"/>
      <c r="D610" s="30"/>
      <c r="E610" s="30"/>
      <c r="F610" s="30"/>
      <c r="G610" s="30"/>
      <c r="H610" s="30"/>
    </row>
    <row r="611" ht="15.75" customHeight="1">
      <c r="A611" s="108"/>
      <c r="B611" s="30"/>
      <c r="C611" s="30"/>
      <c r="D611" s="30"/>
      <c r="E611" s="30"/>
      <c r="F611" s="30"/>
      <c r="G611" s="30"/>
      <c r="H611" s="30"/>
    </row>
    <row r="612" ht="15.75" customHeight="1">
      <c r="A612" s="108"/>
      <c r="B612" s="30"/>
      <c r="C612" s="30"/>
      <c r="D612" s="30"/>
      <c r="E612" s="30"/>
      <c r="F612" s="30"/>
      <c r="G612" s="30"/>
      <c r="H612" s="30"/>
    </row>
    <row r="613" ht="15.75" customHeight="1">
      <c r="A613" s="108"/>
      <c r="B613" s="30"/>
      <c r="C613" s="30"/>
      <c r="D613" s="30"/>
      <c r="E613" s="30"/>
      <c r="F613" s="30"/>
      <c r="G613" s="30"/>
      <c r="H613" s="30"/>
    </row>
    <row r="614" ht="15.75" customHeight="1">
      <c r="A614" s="108"/>
      <c r="B614" s="30"/>
      <c r="C614" s="30"/>
      <c r="D614" s="30"/>
      <c r="E614" s="30"/>
      <c r="F614" s="30"/>
      <c r="G614" s="30"/>
      <c r="H614" s="30"/>
    </row>
    <row r="615" ht="15.75" customHeight="1">
      <c r="A615" s="108"/>
      <c r="B615" s="30"/>
      <c r="C615" s="30"/>
      <c r="D615" s="30"/>
      <c r="E615" s="30"/>
      <c r="F615" s="30"/>
      <c r="G615" s="30"/>
      <c r="H615" s="30"/>
    </row>
    <row r="616" ht="15.75" customHeight="1">
      <c r="A616" s="108"/>
      <c r="B616" s="30"/>
      <c r="C616" s="30"/>
      <c r="D616" s="30"/>
      <c r="E616" s="30"/>
      <c r="F616" s="30"/>
      <c r="G616" s="30"/>
      <c r="H616" s="30"/>
    </row>
    <row r="617" ht="15.75" customHeight="1">
      <c r="A617" s="108"/>
      <c r="B617" s="30"/>
      <c r="C617" s="30"/>
      <c r="D617" s="30"/>
      <c r="E617" s="30"/>
      <c r="F617" s="30"/>
      <c r="G617" s="30"/>
      <c r="H617" s="30"/>
    </row>
    <row r="618" ht="15.75" customHeight="1">
      <c r="A618" s="108"/>
      <c r="B618" s="30"/>
      <c r="C618" s="30"/>
      <c r="D618" s="30"/>
      <c r="E618" s="30"/>
      <c r="F618" s="30"/>
      <c r="G618" s="30"/>
      <c r="H618" s="30"/>
    </row>
    <row r="619" ht="15.75" customHeight="1">
      <c r="A619" s="108"/>
      <c r="B619" s="30"/>
      <c r="C619" s="30"/>
      <c r="D619" s="30"/>
      <c r="E619" s="30"/>
      <c r="F619" s="30"/>
      <c r="G619" s="30"/>
      <c r="H619" s="30"/>
    </row>
    <row r="620" ht="15.75" customHeight="1">
      <c r="A620" s="108"/>
      <c r="B620" s="30"/>
      <c r="C620" s="30"/>
      <c r="D620" s="30"/>
      <c r="E620" s="30"/>
      <c r="F620" s="30"/>
      <c r="G620" s="30"/>
      <c r="H620" s="30"/>
    </row>
    <row r="621" ht="15.75" customHeight="1">
      <c r="A621" s="108"/>
      <c r="B621" s="30"/>
      <c r="C621" s="30"/>
      <c r="D621" s="30"/>
      <c r="E621" s="30"/>
      <c r="F621" s="30"/>
      <c r="G621" s="30"/>
      <c r="H621" s="30"/>
    </row>
    <row r="622" ht="15.75" customHeight="1">
      <c r="A622" s="108"/>
      <c r="B622" s="30"/>
      <c r="C622" s="30"/>
      <c r="D622" s="30"/>
      <c r="E622" s="30"/>
      <c r="F622" s="30"/>
      <c r="G622" s="30"/>
      <c r="H622" s="30"/>
    </row>
    <row r="623" ht="15.75" customHeight="1">
      <c r="A623" s="108"/>
      <c r="B623" s="30"/>
      <c r="C623" s="30"/>
      <c r="D623" s="30"/>
      <c r="E623" s="30"/>
      <c r="F623" s="30"/>
      <c r="G623" s="30"/>
      <c r="H623" s="30"/>
    </row>
    <row r="624" ht="15.75" customHeight="1">
      <c r="A624" s="108"/>
      <c r="B624" s="30"/>
      <c r="C624" s="30"/>
      <c r="D624" s="30"/>
      <c r="E624" s="30"/>
      <c r="F624" s="30"/>
      <c r="G624" s="30"/>
      <c r="H624" s="30"/>
    </row>
    <row r="625" ht="15.75" customHeight="1">
      <c r="A625" s="108"/>
      <c r="B625" s="30"/>
      <c r="C625" s="30"/>
      <c r="D625" s="30"/>
      <c r="E625" s="30"/>
      <c r="F625" s="30"/>
      <c r="G625" s="30"/>
      <c r="H625" s="30"/>
    </row>
    <row r="626" ht="15.75" customHeight="1">
      <c r="A626" s="108"/>
      <c r="B626" s="30"/>
      <c r="C626" s="30"/>
      <c r="D626" s="30"/>
      <c r="E626" s="30"/>
      <c r="F626" s="30"/>
      <c r="G626" s="30"/>
      <c r="H626" s="30"/>
    </row>
    <row r="627" ht="15.75" customHeight="1">
      <c r="A627" s="108"/>
      <c r="B627" s="30"/>
      <c r="C627" s="30"/>
      <c r="D627" s="30"/>
      <c r="E627" s="30"/>
      <c r="F627" s="30"/>
      <c r="G627" s="30"/>
      <c r="H627" s="30"/>
    </row>
    <row r="628" ht="15.75" customHeight="1">
      <c r="A628" s="108"/>
      <c r="B628" s="30"/>
      <c r="C628" s="30"/>
      <c r="D628" s="30"/>
      <c r="E628" s="30"/>
      <c r="F628" s="30"/>
      <c r="G628" s="30"/>
      <c r="H628" s="30"/>
    </row>
    <row r="629" ht="15.75" customHeight="1">
      <c r="A629" s="108"/>
      <c r="B629" s="30"/>
      <c r="C629" s="30"/>
      <c r="D629" s="30"/>
      <c r="E629" s="30"/>
      <c r="F629" s="30"/>
      <c r="G629" s="30"/>
      <c r="H629" s="30"/>
    </row>
    <row r="630" ht="15.75" customHeight="1">
      <c r="A630" s="108"/>
      <c r="B630" s="30"/>
      <c r="C630" s="30"/>
      <c r="D630" s="30"/>
      <c r="E630" s="30"/>
      <c r="F630" s="30"/>
      <c r="G630" s="30"/>
      <c r="H630" s="30"/>
    </row>
    <row r="631" ht="15.75" customHeight="1">
      <c r="A631" s="108"/>
      <c r="B631" s="30"/>
      <c r="C631" s="30"/>
      <c r="D631" s="30"/>
      <c r="E631" s="30"/>
      <c r="F631" s="30"/>
      <c r="G631" s="30"/>
      <c r="H631" s="30"/>
    </row>
    <row r="632" ht="15.75" customHeight="1">
      <c r="A632" s="108"/>
      <c r="B632" s="30"/>
      <c r="C632" s="30"/>
      <c r="D632" s="30"/>
      <c r="E632" s="30"/>
      <c r="F632" s="30"/>
      <c r="G632" s="30"/>
      <c r="H632" s="30"/>
    </row>
    <row r="633" ht="15.75" customHeight="1">
      <c r="A633" s="108"/>
      <c r="B633" s="30"/>
      <c r="C633" s="30"/>
      <c r="D633" s="30"/>
      <c r="E633" s="30"/>
      <c r="F633" s="30"/>
      <c r="G633" s="30"/>
      <c r="H633" s="30"/>
    </row>
    <row r="634" ht="15.75" customHeight="1">
      <c r="A634" s="108"/>
      <c r="B634" s="30"/>
      <c r="C634" s="30"/>
      <c r="D634" s="30"/>
      <c r="E634" s="30"/>
      <c r="F634" s="30"/>
      <c r="G634" s="30"/>
      <c r="H634" s="30"/>
    </row>
    <row r="635" ht="15.75" customHeight="1">
      <c r="A635" s="108"/>
      <c r="B635" s="30"/>
      <c r="C635" s="30"/>
      <c r="D635" s="30"/>
      <c r="E635" s="30"/>
      <c r="F635" s="30"/>
      <c r="G635" s="30"/>
      <c r="H635" s="30"/>
    </row>
    <row r="636" ht="15.75" customHeight="1">
      <c r="A636" s="108"/>
      <c r="B636" s="30"/>
      <c r="C636" s="30"/>
      <c r="D636" s="30"/>
      <c r="E636" s="30"/>
      <c r="F636" s="30"/>
      <c r="G636" s="30"/>
      <c r="H636" s="30"/>
    </row>
    <row r="637" ht="15.75" customHeight="1">
      <c r="A637" s="108"/>
      <c r="B637" s="30"/>
      <c r="C637" s="30"/>
      <c r="D637" s="30"/>
      <c r="E637" s="30"/>
      <c r="F637" s="30"/>
      <c r="G637" s="30"/>
      <c r="H637" s="30"/>
    </row>
    <row r="638" ht="15.75" customHeight="1">
      <c r="A638" s="108"/>
      <c r="B638" s="30"/>
      <c r="C638" s="30"/>
      <c r="D638" s="30"/>
      <c r="E638" s="30"/>
      <c r="F638" s="30"/>
      <c r="G638" s="30"/>
      <c r="H638" s="30"/>
    </row>
    <row r="639" ht="15.75" customHeight="1">
      <c r="A639" s="108"/>
      <c r="B639" s="30"/>
      <c r="C639" s="30"/>
      <c r="D639" s="30"/>
      <c r="E639" s="30"/>
      <c r="F639" s="30"/>
      <c r="G639" s="30"/>
      <c r="H639" s="30"/>
    </row>
    <row r="640" ht="15.75" customHeight="1">
      <c r="A640" s="108"/>
      <c r="B640" s="30"/>
      <c r="C640" s="30"/>
      <c r="D640" s="30"/>
      <c r="E640" s="30"/>
      <c r="F640" s="30"/>
      <c r="G640" s="30"/>
      <c r="H640" s="30"/>
    </row>
    <row r="641" ht="15.75" customHeight="1">
      <c r="A641" s="108"/>
      <c r="B641" s="30"/>
      <c r="C641" s="30"/>
      <c r="D641" s="30"/>
      <c r="E641" s="30"/>
      <c r="F641" s="30"/>
      <c r="G641" s="30"/>
      <c r="H641" s="30"/>
    </row>
    <row r="642" ht="15.75" customHeight="1">
      <c r="A642" s="108"/>
      <c r="B642" s="30"/>
      <c r="C642" s="30"/>
      <c r="D642" s="30"/>
      <c r="E642" s="30"/>
      <c r="F642" s="30"/>
      <c r="G642" s="30"/>
      <c r="H642" s="30"/>
    </row>
    <row r="643" ht="15.75" customHeight="1">
      <c r="A643" s="108"/>
      <c r="B643" s="30"/>
      <c r="C643" s="30"/>
      <c r="D643" s="30"/>
      <c r="E643" s="30"/>
      <c r="F643" s="30"/>
      <c r="G643" s="30"/>
      <c r="H643" s="30"/>
    </row>
    <row r="644" ht="15.75" customHeight="1">
      <c r="A644" s="108"/>
      <c r="B644" s="30"/>
      <c r="C644" s="30"/>
      <c r="D644" s="30"/>
      <c r="E644" s="30"/>
      <c r="F644" s="30"/>
      <c r="G644" s="30"/>
      <c r="H644" s="30"/>
    </row>
    <row r="645" ht="15.75" customHeight="1">
      <c r="A645" s="108"/>
      <c r="B645" s="30"/>
      <c r="C645" s="30"/>
      <c r="D645" s="30"/>
      <c r="E645" s="30"/>
      <c r="F645" s="30"/>
      <c r="G645" s="30"/>
      <c r="H645" s="30"/>
    </row>
    <row r="646" ht="15.75" customHeight="1">
      <c r="A646" s="108"/>
      <c r="B646" s="30"/>
      <c r="C646" s="30"/>
      <c r="D646" s="30"/>
      <c r="E646" s="30"/>
      <c r="F646" s="30"/>
      <c r="G646" s="30"/>
      <c r="H646" s="30"/>
    </row>
    <row r="647" ht="15.75" customHeight="1">
      <c r="A647" s="108"/>
      <c r="B647" s="30"/>
      <c r="C647" s="30"/>
      <c r="D647" s="30"/>
      <c r="E647" s="30"/>
      <c r="F647" s="30"/>
      <c r="G647" s="30"/>
      <c r="H647" s="30"/>
    </row>
    <row r="648" ht="15.75" customHeight="1">
      <c r="A648" s="108"/>
      <c r="B648" s="30"/>
      <c r="C648" s="30"/>
      <c r="D648" s="30"/>
      <c r="E648" s="30"/>
      <c r="F648" s="30"/>
      <c r="G648" s="30"/>
      <c r="H648" s="30"/>
    </row>
    <row r="649" ht="15.75" customHeight="1">
      <c r="A649" s="108"/>
      <c r="B649" s="30"/>
      <c r="C649" s="30"/>
      <c r="D649" s="30"/>
      <c r="E649" s="30"/>
      <c r="F649" s="30"/>
      <c r="G649" s="30"/>
      <c r="H649" s="30"/>
    </row>
    <row r="650" ht="15.75" customHeight="1">
      <c r="A650" s="108"/>
      <c r="B650" s="30"/>
      <c r="C650" s="30"/>
      <c r="D650" s="30"/>
      <c r="E650" s="30"/>
      <c r="F650" s="30"/>
      <c r="G650" s="30"/>
      <c r="H650" s="30"/>
    </row>
    <row r="651" ht="15.75" customHeight="1">
      <c r="A651" s="108"/>
      <c r="B651" s="30"/>
      <c r="C651" s="30"/>
      <c r="D651" s="30"/>
      <c r="E651" s="30"/>
      <c r="F651" s="30"/>
      <c r="G651" s="30"/>
      <c r="H651" s="30"/>
    </row>
    <row r="652" ht="15.75" customHeight="1">
      <c r="A652" s="108"/>
      <c r="B652" s="30"/>
      <c r="C652" s="30"/>
      <c r="D652" s="30"/>
      <c r="E652" s="30"/>
      <c r="F652" s="30"/>
      <c r="G652" s="30"/>
      <c r="H652" s="30"/>
    </row>
    <row r="653" ht="15.75" customHeight="1">
      <c r="A653" s="108"/>
      <c r="B653" s="30"/>
      <c r="C653" s="30"/>
      <c r="D653" s="30"/>
      <c r="E653" s="30"/>
      <c r="F653" s="30"/>
      <c r="G653" s="30"/>
      <c r="H653" s="30"/>
    </row>
    <row r="654" ht="15.75" customHeight="1">
      <c r="A654" s="108"/>
      <c r="B654" s="30"/>
      <c r="C654" s="30"/>
      <c r="D654" s="30"/>
      <c r="E654" s="30"/>
      <c r="F654" s="30"/>
      <c r="G654" s="30"/>
      <c r="H654" s="30"/>
    </row>
    <row r="655" ht="15.75" customHeight="1">
      <c r="A655" s="108"/>
      <c r="B655" s="30"/>
      <c r="C655" s="30"/>
      <c r="D655" s="30"/>
      <c r="E655" s="30"/>
      <c r="F655" s="30"/>
      <c r="G655" s="30"/>
      <c r="H655" s="30"/>
    </row>
    <row r="656" ht="15.75" customHeight="1">
      <c r="A656" s="108"/>
      <c r="B656" s="30"/>
      <c r="C656" s="30"/>
      <c r="D656" s="30"/>
      <c r="E656" s="30"/>
      <c r="F656" s="30"/>
      <c r="G656" s="30"/>
      <c r="H656" s="30"/>
    </row>
    <row r="657" ht="15.75" customHeight="1">
      <c r="A657" s="108"/>
      <c r="B657" s="30"/>
      <c r="C657" s="30"/>
      <c r="D657" s="30"/>
      <c r="E657" s="30"/>
      <c r="F657" s="30"/>
      <c r="G657" s="30"/>
      <c r="H657" s="30"/>
    </row>
    <row r="658" ht="15.75" customHeight="1">
      <c r="A658" s="108"/>
      <c r="B658" s="30"/>
      <c r="C658" s="30"/>
      <c r="D658" s="30"/>
      <c r="E658" s="30"/>
      <c r="F658" s="30"/>
      <c r="G658" s="30"/>
      <c r="H658" s="30"/>
    </row>
    <row r="659" ht="15.75" customHeight="1">
      <c r="A659" s="108"/>
      <c r="B659" s="30"/>
      <c r="C659" s="30"/>
      <c r="D659" s="30"/>
      <c r="E659" s="30"/>
      <c r="F659" s="30"/>
      <c r="G659" s="30"/>
      <c r="H659" s="30"/>
    </row>
    <row r="660" ht="15.75" customHeight="1">
      <c r="A660" s="108"/>
      <c r="B660" s="30"/>
      <c r="C660" s="30"/>
      <c r="D660" s="30"/>
      <c r="E660" s="30"/>
      <c r="F660" s="30"/>
      <c r="G660" s="30"/>
      <c r="H660" s="30"/>
    </row>
    <row r="661" ht="15.75" customHeight="1">
      <c r="A661" s="108"/>
      <c r="B661" s="30"/>
      <c r="C661" s="30"/>
      <c r="D661" s="30"/>
      <c r="E661" s="30"/>
      <c r="F661" s="30"/>
      <c r="G661" s="30"/>
      <c r="H661" s="30"/>
    </row>
    <row r="662" ht="15.75" customHeight="1">
      <c r="A662" s="108"/>
      <c r="B662" s="30"/>
      <c r="C662" s="30"/>
      <c r="D662" s="30"/>
      <c r="E662" s="30"/>
      <c r="F662" s="30"/>
      <c r="G662" s="30"/>
      <c r="H662" s="30"/>
    </row>
    <row r="663" ht="15.75" customHeight="1">
      <c r="A663" s="108"/>
      <c r="B663" s="30"/>
      <c r="C663" s="30"/>
      <c r="D663" s="30"/>
      <c r="E663" s="30"/>
      <c r="F663" s="30"/>
      <c r="G663" s="30"/>
      <c r="H663" s="30"/>
    </row>
    <row r="664" ht="15.75" customHeight="1">
      <c r="A664" s="108"/>
      <c r="B664" s="30"/>
      <c r="C664" s="30"/>
      <c r="D664" s="30"/>
      <c r="E664" s="30"/>
      <c r="F664" s="30"/>
      <c r="G664" s="30"/>
      <c r="H664" s="30"/>
    </row>
    <row r="665" ht="15.75" customHeight="1">
      <c r="A665" s="108"/>
      <c r="B665" s="30"/>
      <c r="C665" s="30"/>
      <c r="D665" s="30"/>
      <c r="E665" s="30"/>
      <c r="F665" s="30"/>
      <c r="G665" s="30"/>
      <c r="H665" s="30"/>
    </row>
    <row r="666" ht="15.75" customHeight="1">
      <c r="A666" s="108"/>
      <c r="B666" s="30"/>
      <c r="C666" s="30"/>
      <c r="D666" s="30"/>
      <c r="E666" s="30"/>
      <c r="F666" s="30"/>
      <c r="G666" s="30"/>
      <c r="H666" s="30"/>
    </row>
    <row r="667" ht="15.75" customHeight="1">
      <c r="A667" s="108"/>
      <c r="B667" s="30"/>
      <c r="C667" s="30"/>
      <c r="D667" s="30"/>
      <c r="E667" s="30"/>
      <c r="F667" s="30"/>
      <c r="G667" s="30"/>
      <c r="H667" s="30"/>
    </row>
    <row r="668" ht="15.75" customHeight="1">
      <c r="A668" s="108"/>
      <c r="B668" s="30"/>
      <c r="C668" s="30"/>
      <c r="D668" s="30"/>
      <c r="E668" s="30"/>
      <c r="F668" s="30"/>
      <c r="G668" s="30"/>
      <c r="H668" s="30"/>
    </row>
    <row r="669" ht="15.75" customHeight="1">
      <c r="A669" s="108"/>
      <c r="B669" s="30"/>
      <c r="C669" s="30"/>
      <c r="D669" s="30"/>
      <c r="E669" s="30"/>
      <c r="F669" s="30"/>
      <c r="G669" s="30"/>
      <c r="H669" s="30"/>
    </row>
    <row r="670" ht="15.75" customHeight="1">
      <c r="A670" s="108"/>
      <c r="B670" s="30"/>
      <c r="C670" s="30"/>
      <c r="D670" s="30"/>
      <c r="E670" s="30"/>
      <c r="F670" s="30"/>
      <c r="G670" s="30"/>
      <c r="H670" s="30"/>
    </row>
    <row r="671" ht="15.75" customHeight="1">
      <c r="A671" s="108"/>
      <c r="B671" s="30"/>
      <c r="C671" s="30"/>
      <c r="D671" s="30"/>
      <c r="E671" s="30"/>
      <c r="F671" s="30"/>
      <c r="G671" s="30"/>
      <c r="H671" s="30"/>
    </row>
    <row r="672" ht="15.75" customHeight="1">
      <c r="A672" s="108"/>
      <c r="B672" s="30"/>
      <c r="C672" s="30"/>
      <c r="D672" s="30"/>
      <c r="E672" s="30"/>
      <c r="F672" s="30"/>
      <c r="G672" s="30"/>
      <c r="H672" s="30"/>
    </row>
    <row r="673" ht="15.75" customHeight="1">
      <c r="A673" s="108"/>
      <c r="B673" s="30"/>
      <c r="C673" s="30"/>
      <c r="D673" s="30"/>
      <c r="E673" s="30"/>
      <c r="F673" s="30"/>
      <c r="G673" s="30"/>
      <c r="H673" s="30"/>
    </row>
    <row r="674" ht="15.75" customHeight="1">
      <c r="A674" s="108"/>
      <c r="B674" s="30"/>
      <c r="C674" s="30"/>
      <c r="D674" s="30"/>
      <c r="E674" s="30"/>
      <c r="F674" s="30"/>
      <c r="G674" s="30"/>
      <c r="H674" s="30"/>
    </row>
    <row r="675" ht="15.75" customHeight="1">
      <c r="A675" s="108"/>
      <c r="B675" s="30"/>
      <c r="C675" s="30"/>
      <c r="D675" s="30"/>
      <c r="E675" s="30"/>
      <c r="F675" s="30"/>
      <c r="G675" s="30"/>
      <c r="H675" s="30"/>
    </row>
    <row r="676" ht="15.75" customHeight="1">
      <c r="A676" s="108"/>
      <c r="B676" s="30"/>
      <c r="C676" s="30"/>
      <c r="D676" s="30"/>
      <c r="E676" s="30"/>
      <c r="F676" s="30"/>
      <c r="G676" s="30"/>
      <c r="H676" s="30"/>
    </row>
    <row r="677" ht="15.75" customHeight="1">
      <c r="A677" s="108"/>
      <c r="B677" s="30"/>
      <c r="C677" s="30"/>
      <c r="D677" s="30"/>
      <c r="E677" s="30"/>
      <c r="F677" s="30"/>
      <c r="G677" s="30"/>
      <c r="H677" s="30"/>
    </row>
    <row r="678" ht="15.75" customHeight="1">
      <c r="A678" s="108"/>
      <c r="B678" s="30"/>
      <c r="C678" s="30"/>
      <c r="D678" s="30"/>
      <c r="E678" s="30"/>
      <c r="F678" s="30"/>
      <c r="G678" s="30"/>
      <c r="H678" s="30"/>
    </row>
    <row r="679" ht="15.75" customHeight="1">
      <c r="A679" s="108"/>
      <c r="B679" s="30"/>
      <c r="C679" s="30"/>
      <c r="D679" s="30"/>
      <c r="E679" s="30"/>
      <c r="F679" s="30"/>
      <c r="G679" s="30"/>
      <c r="H679" s="30"/>
    </row>
    <row r="680" ht="15.75" customHeight="1">
      <c r="A680" s="108"/>
      <c r="B680" s="30"/>
      <c r="C680" s="30"/>
      <c r="D680" s="30"/>
      <c r="E680" s="30"/>
      <c r="F680" s="30"/>
      <c r="G680" s="30"/>
      <c r="H680" s="30"/>
    </row>
    <row r="681" ht="15.75" customHeight="1">
      <c r="A681" s="108"/>
      <c r="B681" s="30"/>
      <c r="C681" s="30"/>
      <c r="D681" s="30"/>
      <c r="E681" s="30"/>
      <c r="F681" s="30"/>
      <c r="G681" s="30"/>
      <c r="H681" s="30"/>
    </row>
    <row r="682" ht="15.75" customHeight="1">
      <c r="A682" s="108"/>
      <c r="B682" s="30"/>
      <c r="C682" s="30"/>
      <c r="D682" s="30"/>
      <c r="E682" s="30"/>
      <c r="F682" s="30"/>
      <c r="G682" s="30"/>
      <c r="H682" s="30"/>
    </row>
    <row r="683" ht="15.75" customHeight="1">
      <c r="A683" s="108"/>
      <c r="B683" s="30"/>
      <c r="C683" s="30"/>
      <c r="D683" s="30"/>
      <c r="E683" s="30"/>
      <c r="F683" s="30"/>
      <c r="G683" s="30"/>
      <c r="H683" s="30"/>
    </row>
    <row r="684" ht="15.75" customHeight="1">
      <c r="A684" s="108"/>
      <c r="B684" s="30"/>
      <c r="C684" s="30"/>
      <c r="D684" s="30"/>
      <c r="E684" s="30"/>
      <c r="F684" s="30"/>
      <c r="G684" s="30"/>
      <c r="H684" s="30"/>
    </row>
    <row r="685" ht="15.75" customHeight="1">
      <c r="A685" s="108"/>
      <c r="B685" s="30"/>
      <c r="C685" s="30"/>
      <c r="D685" s="30"/>
      <c r="E685" s="30"/>
      <c r="F685" s="30"/>
      <c r="G685" s="30"/>
      <c r="H685" s="30"/>
    </row>
    <row r="686" ht="15.75" customHeight="1">
      <c r="A686" s="108"/>
      <c r="B686" s="30"/>
      <c r="C686" s="30"/>
      <c r="D686" s="30"/>
      <c r="E686" s="30"/>
      <c r="F686" s="30"/>
      <c r="G686" s="30"/>
      <c r="H686" s="30"/>
    </row>
    <row r="687" ht="15.75" customHeight="1">
      <c r="A687" s="108"/>
      <c r="B687" s="30"/>
      <c r="C687" s="30"/>
      <c r="D687" s="30"/>
      <c r="E687" s="30"/>
      <c r="F687" s="30"/>
      <c r="G687" s="30"/>
      <c r="H687" s="30"/>
    </row>
    <row r="688" ht="15.75" customHeight="1">
      <c r="A688" s="108"/>
      <c r="B688" s="30"/>
      <c r="C688" s="30"/>
      <c r="D688" s="30"/>
      <c r="E688" s="30"/>
      <c r="F688" s="30"/>
      <c r="G688" s="30"/>
      <c r="H688" s="30"/>
    </row>
    <row r="689" ht="15.75" customHeight="1">
      <c r="A689" s="108"/>
      <c r="B689" s="30"/>
      <c r="C689" s="30"/>
      <c r="D689" s="30"/>
      <c r="E689" s="30"/>
      <c r="F689" s="30"/>
      <c r="G689" s="30"/>
      <c r="H689" s="30"/>
    </row>
    <row r="690" ht="15.75" customHeight="1">
      <c r="A690" s="108"/>
      <c r="B690" s="30"/>
      <c r="C690" s="30"/>
      <c r="D690" s="30"/>
      <c r="E690" s="30"/>
      <c r="F690" s="30"/>
      <c r="G690" s="30"/>
      <c r="H690" s="30"/>
    </row>
    <row r="691" ht="15.75" customHeight="1">
      <c r="A691" s="108"/>
      <c r="B691" s="30"/>
      <c r="C691" s="30"/>
      <c r="D691" s="30"/>
      <c r="E691" s="30"/>
      <c r="F691" s="30"/>
      <c r="G691" s="30"/>
      <c r="H691" s="30"/>
    </row>
    <row r="692" ht="15.75" customHeight="1">
      <c r="A692" s="108"/>
      <c r="B692" s="30"/>
      <c r="C692" s="30"/>
      <c r="D692" s="30"/>
      <c r="E692" s="30"/>
      <c r="F692" s="30"/>
      <c r="G692" s="30"/>
      <c r="H692" s="30"/>
    </row>
    <row r="693" ht="15.75" customHeight="1">
      <c r="A693" s="108"/>
      <c r="B693" s="30"/>
      <c r="C693" s="30"/>
      <c r="D693" s="30"/>
      <c r="E693" s="30"/>
      <c r="F693" s="30"/>
      <c r="G693" s="30"/>
      <c r="H693" s="30"/>
    </row>
    <row r="694" ht="15.75" customHeight="1">
      <c r="A694" s="108"/>
      <c r="B694" s="30"/>
      <c r="C694" s="30"/>
      <c r="D694" s="30"/>
      <c r="E694" s="30"/>
      <c r="F694" s="30"/>
      <c r="G694" s="30"/>
      <c r="H694" s="30"/>
    </row>
    <row r="695" ht="15.75" customHeight="1">
      <c r="A695" s="108"/>
      <c r="B695" s="30"/>
      <c r="C695" s="30"/>
      <c r="D695" s="30"/>
      <c r="E695" s="30"/>
      <c r="F695" s="30"/>
      <c r="G695" s="30"/>
      <c r="H695" s="30"/>
    </row>
    <row r="696" ht="15.75" customHeight="1">
      <c r="A696" s="108"/>
      <c r="B696" s="30"/>
      <c r="C696" s="30"/>
      <c r="D696" s="30"/>
      <c r="E696" s="30"/>
      <c r="F696" s="30"/>
      <c r="G696" s="30"/>
      <c r="H696" s="30"/>
    </row>
    <row r="697" ht="15.75" customHeight="1">
      <c r="A697" s="108"/>
      <c r="B697" s="30"/>
      <c r="C697" s="30"/>
      <c r="D697" s="30"/>
      <c r="E697" s="30"/>
      <c r="F697" s="30"/>
      <c r="G697" s="30"/>
      <c r="H697" s="30"/>
    </row>
    <row r="698" ht="15.75" customHeight="1">
      <c r="A698" s="108"/>
      <c r="B698" s="30"/>
      <c r="C698" s="30"/>
      <c r="D698" s="30"/>
      <c r="E698" s="30"/>
      <c r="F698" s="30"/>
      <c r="G698" s="30"/>
      <c r="H698" s="30"/>
    </row>
    <row r="699" ht="15.75" customHeight="1">
      <c r="A699" s="108"/>
      <c r="B699" s="30"/>
      <c r="C699" s="30"/>
      <c r="D699" s="30"/>
      <c r="E699" s="30"/>
      <c r="F699" s="30"/>
      <c r="G699" s="30"/>
      <c r="H699" s="30"/>
    </row>
    <row r="700" ht="15.75" customHeight="1">
      <c r="A700" s="108"/>
      <c r="B700" s="30"/>
      <c r="C700" s="30"/>
      <c r="D700" s="30"/>
      <c r="E700" s="30"/>
      <c r="F700" s="30"/>
      <c r="G700" s="30"/>
      <c r="H700" s="30"/>
    </row>
    <row r="701" ht="15.75" customHeight="1">
      <c r="A701" s="108"/>
      <c r="B701" s="30"/>
      <c r="C701" s="30"/>
      <c r="D701" s="30"/>
      <c r="E701" s="30"/>
      <c r="F701" s="30"/>
      <c r="G701" s="30"/>
      <c r="H701" s="30"/>
    </row>
    <row r="702" ht="15.75" customHeight="1">
      <c r="A702" s="108"/>
      <c r="B702" s="30"/>
      <c r="C702" s="30"/>
      <c r="D702" s="30"/>
      <c r="E702" s="30"/>
      <c r="F702" s="30"/>
      <c r="G702" s="30"/>
      <c r="H702" s="30"/>
    </row>
    <row r="703" ht="15.75" customHeight="1">
      <c r="A703" s="108"/>
      <c r="B703" s="30"/>
      <c r="C703" s="30"/>
      <c r="D703" s="30"/>
      <c r="E703" s="30"/>
      <c r="F703" s="30"/>
      <c r="G703" s="30"/>
      <c r="H703" s="30"/>
    </row>
    <row r="704" ht="15.75" customHeight="1">
      <c r="A704" s="108"/>
      <c r="B704" s="30"/>
      <c r="C704" s="30"/>
      <c r="D704" s="30"/>
      <c r="E704" s="30"/>
      <c r="F704" s="30"/>
      <c r="G704" s="30"/>
      <c r="H704" s="30"/>
    </row>
    <row r="705" ht="15.75" customHeight="1">
      <c r="A705" s="108"/>
      <c r="B705" s="30"/>
      <c r="C705" s="30"/>
      <c r="D705" s="30"/>
      <c r="E705" s="30"/>
      <c r="F705" s="30"/>
      <c r="G705" s="30"/>
      <c r="H705" s="30"/>
    </row>
    <row r="706" ht="15.75" customHeight="1">
      <c r="A706" s="108"/>
      <c r="B706" s="30"/>
      <c r="C706" s="30"/>
      <c r="D706" s="30"/>
      <c r="E706" s="30"/>
      <c r="F706" s="30"/>
      <c r="G706" s="30"/>
      <c r="H706" s="30"/>
    </row>
    <row r="707" ht="15.75" customHeight="1">
      <c r="A707" s="108"/>
      <c r="B707" s="30"/>
      <c r="C707" s="30"/>
      <c r="D707" s="30"/>
      <c r="E707" s="30"/>
      <c r="F707" s="30"/>
      <c r="G707" s="30"/>
      <c r="H707" s="30"/>
    </row>
    <row r="708" ht="15.75" customHeight="1">
      <c r="A708" s="108"/>
      <c r="B708" s="30"/>
      <c r="C708" s="30"/>
      <c r="D708" s="30"/>
      <c r="E708" s="30"/>
      <c r="F708" s="30"/>
      <c r="G708" s="30"/>
      <c r="H708" s="30"/>
    </row>
    <row r="709" ht="15.75" customHeight="1">
      <c r="A709" s="108"/>
      <c r="B709" s="30"/>
      <c r="C709" s="30"/>
      <c r="D709" s="30"/>
      <c r="E709" s="30"/>
      <c r="F709" s="30"/>
      <c r="G709" s="30"/>
      <c r="H709" s="30"/>
    </row>
    <row r="710" ht="15.75" customHeight="1">
      <c r="A710" s="108"/>
      <c r="B710" s="30"/>
      <c r="C710" s="30"/>
      <c r="D710" s="30"/>
      <c r="E710" s="30"/>
      <c r="F710" s="30"/>
      <c r="G710" s="30"/>
      <c r="H710" s="30"/>
    </row>
    <row r="711" ht="15.75" customHeight="1">
      <c r="A711" s="108"/>
      <c r="B711" s="30"/>
      <c r="C711" s="30"/>
      <c r="D711" s="30"/>
      <c r="E711" s="30"/>
      <c r="F711" s="30"/>
      <c r="G711" s="30"/>
      <c r="H711" s="30"/>
    </row>
    <row r="712" ht="15.75" customHeight="1">
      <c r="A712" s="108"/>
      <c r="B712" s="30"/>
      <c r="C712" s="30"/>
      <c r="D712" s="30"/>
      <c r="E712" s="30"/>
      <c r="F712" s="30"/>
      <c r="G712" s="30"/>
      <c r="H712" s="30"/>
    </row>
    <row r="713" ht="15.75" customHeight="1">
      <c r="A713" s="108"/>
      <c r="B713" s="30"/>
      <c r="C713" s="30"/>
      <c r="D713" s="30"/>
      <c r="E713" s="30"/>
      <c r="F713" s="30"/>
      <c r="G713" s="30"/>
      <c r="H713" s="30"/>
    </row>
    <row r="714" ht="15.75" customHeight="1">
      <c r="A714" s="108"/>
      <c r="B714" s="30"/>
      <c r="C714" s="30"/>
      <c r="D714" s="30"/>
      <c r="E714" s="30"/>
      <c r="F714" s="30"/>
      <c r="G714" s="30"/>
      <c r="H714" s="30"/>
    </row>
    <row r="715" ht="15.75" customHeight="1">
      <c r="A715" s="108"/>
      <c r="B715" s="30"/>
      <c r="C715" s="30"/>
      <c r="D715" s="30"/>
      <c r="E715" s="30"/>
      <c r="F715" s="30"/>
      <c r="G715" s="30"/>
      <c r="H715" s="30"/>
    </row>
    <row r="716" ht="15.75" customHeight="1">
      <c r="A716" s="108"/>
      <c r="B716" s="30"/>
      <c r="C716" s="30"/>
      <c r="D716" s="30"/>
      <c r="E716" s="30"/>
      <c r="F716" s="30"/>
      <c r="G716" s="30"/>
      <c r="H716" s="30"/>
    </row>
    <row r="717" ht="15.75" customHeight="1">
      <c r="A717" s="108"/>
      <c r="B717" s="30"/>
      <c r="C717" s="30"/>
      <c r="D717" s="30"/>
      <c r="E717" s="30"/>
      <c r="F717" s="30"/>
      <c r="G717" s="30"/>
      <c r="H717" s="30"/>
    </row>
    <row r="718" ht="15.75" customHeight="1">
      <c r="A718" s="108"/>
      <c r="B718" s="30"/>
      <c r="C718" s="30"/>
      <c r="D718" s="30"/>
      <c r="E718" s="30"/>
      <c r="F718" s="30"/>
      <c r="G718" s="30"/>
      <c r="H718" s="30"/>
    </row>
    <row r="719" ht="15.75" customHeight="1">
      <c r="A719" s="108"/>
      <c r="B719" s="30"/>
      <c r="C719" s="30"/>
      <c r="D719" s="30"/>
      <c r="E719" s="30"/>
      <c r="F719" s="30"/>
      <c r="G719" s="30"/>
      <c r="H719" s="30"/>
    </row>
    <row r="720" ht="15.75" customHeight="1">
      <c r="A720" s="108"/>
      <c r="B720" s="30"/>
      <c r="C720" s="30"/>
      <c r="D720" s="30"/>
      <c r="E720" s="30"/>
      <c r="F720" s="30"/>
      <c r="G720" s="30"/>
      <c r="H720" s="30"/>
    </row>
    <row r="721" ht="15.75" customHeight="1">
      <c r="A721" s="108"/>
      <c r="B721" s="30"/>
      <c r="C721" s="30"/>
      <c r="D721" s="30"/>
      <c r="E721" s="30"/>
      <c r="F721" s="30"/>
      <c r="G721" s="30"/>
      <c r="H721" s="30"/>
    </row>
    <row r="722" ht="15.75" customHeight="1">
      <c r="A722" s="108"/>
      <c r="B722" s="30"/>
      <c r="C722" s="30"/>
      <c r="D722" s="30"/>
      <c r="E722" s="30"/>
      <c r="F722" s="30"/>
      <c r="G722" s="30"/>
      <c r="H722" s="30"/>
    </row>
    <row r="723" ht="15.75" customHeight="1">
      <c r="A723" s="108"/>
      <c r="B723" s="30"/>
      <c r="C723" s="30"/>
      <c r="D723" s="30"/>
      <c r="E723" s="30"/>
      <c r="F723" s="30"/>
      <c r="G723" s="30"/>
      <c r="H723" s="30"/>
    </row>
    <row r="724" ht="15.75" customHeight="1">
      <c r="A724" s="108"/>
      <c r="B724" s="30"/>
      <c r="C724" s="30"/>
      <c r="D724" s="30"/>
      <c r="E724" s="30"/>
      <c r="F724" s="30"/>
      <c r="G724" s="30"/>
      <c r="H724" s="30"/>
    </row>
    <row r="725" ht="15.75" customHeight="1">
      <c r="A725" s="108"/>
      <c r="B725" s="30"/>
      <c r="C725" s="30"/>
      <c r="D725" s="30"/>
      <c r="E725" s="30"/>
      <c r="F725" s="30"/>
      <c r="G725" s="30"/>
      <c r="H725" s="30"/>
    </row>
    <row r="726" ht="15.75" customHeight="1">
      <c r="A726" s="108"/>
      <c r="B726" s="30"/>
      <c r="C726" s="30"/>
      <c r="D726" s="30"/>
      <c r="E726" s="30"/>
      <c r="F726" s="30"/>
      <c r="G726" s="30"/>
      <c r="H726" s="30"/>
    </row>
    <row r="727" ht="15.75" customHeight="1">
      <c r="A727" s="108"/>
      <c r="B727" s="30"/>
      <c r="C727" s="30"/>
      <c r="D727" s="30"/>
      <c r="E727" s="30"/>
      <c r="F727" s="30"/>
      <c r="G727" s="30"/>
      <c r="H727" s="30"/>
    </row>
    <row r="728" ht="15.75" customHeight="1">
      <c r="A728" s="108"/>
      <c r="B728" s="30"/>
      <c r="C728" s="30"/>
      <c r="D728" s="30"/>
      <c r="E728" s="30"/>
      <c r="F728" s="30"/>
      <c r="G728" s="30"/>
      <c r="H728" s="30"/>
    </row>
    <row r="729" ht="15.75" customHeight="1">
      <c r="A729" s="108"/>
      <c r="B729" s="30"/>
      <c r="C729" s="30"/>
      <c r="D729" s="30"/>
      <c r="E729" s="30"/>
      <c r="F729" s="30"/>
      <c r="G729" s="30"/>
      <c r="H729" s="30"/>
    </row>
    <row r="730" ht="15.75" customHeight="1">
      <c r="A730" s="108"/>
      <c r="B730" s="30"/>
      <c r="C730" s="30"/>
      <c r="D730" s="30"/>
      <c r="E730" s="30"/>
      <c r="F730" s="30"/>
      <c r="G730" s="30"/>
      <c r="H730" s="30"/>
    </row>
    <row r="731" ht="15.75" customHeight="1">
      <c r="A731" s="108"/>
      <c r="B731" s="30"/>
      <c r="C731" s="30"/>
      <c r="D731" s="30"/>
      <c r="E731" s="30"/>
      <c r="F731" s="30"/>
      <c r="G731" s="30"/>
      <c r="H731" s="30"/>
    </row>
    <row r="732" ht="15.75" customHeight="1">
      <c r="A732" s="108"/>
      <c r="B732" s="30"/>
      <c r="C732" s="30"/>
      <c r="D732" s="30"/>
      <c r="E732" s="30"/>
      <c r="F732" s="30"/>
      <c r="G732" s="30"/>
      <c r="H732" s="30"/>
    </row>
    <row r="733" ht="15.75" customHeight="1">
      <c r="A733" s="108"/>
      <c r="B733" s="30"/>
      <c r="C733" s="30"/>
      <c r="D733" s="30"/>
      <c r="E733" s="30"/>
      <c r="F733" s="30"/>
      <c r="G733" s="30"/>
      <c r="H733" s="30"/>
    </row>
    <row r="734" ht="15.75" customHeight="1">
      <c r="A734" s="108"/>
      <c r="B734" s="30"/>
      <c r="C734" s="30"/>
      <c r="D734" s="30"/>
      <c r="E734" s="30"/>
      <c r="F734" s="30"/>
      <c r="G734" s="30"/>
      <c r="H734" s="30"/>
    </row>
    <row r="735" ht="15.75" customHeight="1">
      <c r="A735" s="108"/>
      <c r="B735" s="30"/>
      <c r="C735" s="30"/>
      <c r="D735" s="30"/>
      <c r="E735" s="30"/>
      <c r="F735" s="30"/>
      <c r="G735" s="30"/>
      <c r="H735" s="30"/>
    </row>
    <row r="736" ht="15.75" customHeight="1">
      <c r="A736" s="108"/>
      <c r="B736" s="30"/>
      <c r="C736" s="30"/>
      <c r="D736" s="30"/>
      <c r="E736" s="30"/>
      <c r="F736" s="30"/>
      <c r="G736" s="30"/>
      <c r="H736" s="30"/>
    </row>
    <row r="737" ht="15.75" customHeight="1">
      <c r="A737" s="108"/>
      <c r="B737" s="30"/>
      <c r="C737" s="30"/>
      <c r="D737" s="30"/>
      <c r="E737" s="30"/>
      <c r="F737" s="30"/>
      <c r="G737" s="30"/>
      <c r="H737" s="30"/>
    </row>
    <row r="738" ht="15.75" customHeight="1">
      <c r="A738" s="108"/>
      <c r="B738" s="30"/>
      <c r="C738" s="30"/>
      <c r="D738" s="30"/>
      <c r="E738" s="30"/>
      <c r="F738" s="30"/>
      <c r="G738" s="30"/>
      <c r="H738" s="30"/>
    </row>
    <row r="739" ht="15.75" customHeight="1">
      <c r="A739" s="108"/>
      <c r="B739" s="30"/>
      <c r="C739" s="30"/>
      <c r="D739" s="30"/>
      <c r="E739" s="30"/>
      <c r="F739" s="30"/>
      <c r="G739" s="30"/>
      <c r="H739" s="30"/>
    </row>
    <row r="740" ht="15.75" customHeight="1">
      <c r="A740" s="108"/>
      <c r="B740" s="30"/>
      <c r="C740" s="30"/>
      <c r="D740" s="30"/>
      <c r="E740" s="30"/>
      <c r="F740" s="30"/>
      <c r="G740" s="30"/>
      <c r="H740" s="30"/>
    </row>
    <row r="741" ht="15.75" customHeight="1">
      <c r="A741" s="108"/>
      <c r="B741" s="30"/>
      <c r="C741" s="30"/>
      <c r="D741" s="30"/>
      <c r="E741" s="30"/>
      <c r="F741" s="30"/>
      <c r="G741" s="30"/>
      <c r="H741" s="30"/>
    </row>
    <row r="742" ht="15.75" customHeight="1">
      <c r="A742" s="108"/>
      <c r="B742" s="30"/>
      <c r="C742" s="30"/>
      <c r="D742" s="30"/>
      <c r="E742" s="30"/>
      <c r="F742" s="30"/>
      <c r="G742" s="30"/>
      <c r="H742" s="30"/>
    </row>
    <row r="743" ht="15.75" customHeight="1">
      <c r="A743" s="108"/>
      <c r="B743" s="30"/>
      <c r="C743" s="30"/>
      <c r="D743" s="30"/>
      <c r="E743" s="30"/>
      <c r="F743" s="30"/>
      <c r="G743" s="30"/>
      <c r="H743" s="30"/>
    </row>
    <row r="744" ht="15.75" customHeight="1">
      <c r="A744" s="108"/>
      <c r="B744" s="30"/>
      <c r="C744" s="30"/>
      <c r="D744" s="30"/>
      <c r="E744" s="30"/>
      <c r="F744" s="30"/>
      <c r="G744" s="30"/>
      <c r="H744" s="30"/>
    </row>
    <row r="745" ht="15.75" customHeight="1">
      <c r="A745" s="108"/>
      <c r="B745" s="30"/>
      <c r="C745" s="30"/>
      <c r="D745" s="30"/>
      <c r="E745" s="30"/>
      <c r="F745" s="30"/>
      <c r="G745" s="30"/>
      <c r="H745" s="30"/>
    </row>
    <row r="746" ht="15.75" customHeight="1">
      <c r="A746" s="108"/>
      <c r="B746" s="30"/>
      <c r="C746" s="30"/>
      <c r="D746" s="30"/>
      <c r="E746" s="30"/>
      <c r="F746" s="30"/>
      <c r="G746" s="30"/>
      <c r="H746" s="30"/>
    </row>
    <row r="747" ht="15.75" customHeight="1">
      <c r="A747" s="108"/>
      <c r="B747" s="30"/>
      <c r="C747" s="30"/>
      <c r="D747" s="30"/>
      <c r="E747" s="30"/>
      <c r="F747" s="30"/>
      <c r="G747" s="30"/>
      <c r="H747" s="30"/>
    </row>
    <row r="748" ht="15.75" customHeight="1">
      <c r="A748" s="108"/>
      <c r="B748" s="30"/>
      <c r="C748" s="30"/>
      <c r="D748" s="30"/>
      <c r="E748" s="30"/>
      <c r="F748" s="30"/>
      <c r="G748" s="30"/>
      <c r="H748" s="30"/>
    </row>
    <row r="749" ht="15.75" customHeight="1">
      <c r="A749" s="108"/>
      <c r="B749" s="30"/>
      <c r="C749" s="30"/>
      <c r="D749" s="30"/>
      <c r="E749" s="30"/>
      <c r="F749" s="30"/>
      <c r="G749" s="30"/>
      <c r="H749" s="30"/>
    </row>
    <row r="750" ht="15.75" customHeight="1">
      <c r="A750" s="108"/>
      <c r="B750" s="30"/>
      <c r="C750" s="30"/>
      <c r="D750" s="30"/>
      <c r="E750" s="30"/>
      <c r="F750" s="30"/>
      <c r="G750" s="30"/>
      <c r="H750" s="30"/>
    </row>
    <row r="751" ht="15.75" customHeight="1">
      <c r="A751" s="108"/>
      <c r="B751" s="30"/>
      <c r="C751" s="30"/>
      <c r="D751" s="30"/>
      <c r="E751" s="30"/>
      <c r="F751" s="30"/>
      <c r="G751" s="30"/>
      <c r="H751" s="30"/>
    </row>
    <row r="752" ht="15.75" customHeight="1">
      <c r="A752" s="108"/>
      <c r="B752" s="30"/>
      <c r="C752" s="30"/>
      <c r="D752" s="30"/>
      <c r="E752" s="30"/>
      <c r="F752" s="30"/>
      <c r="G752" s="30"/>
      <c r="H752" s="30"/>
    </row>
    <row r="753" ht="15.75" customHeight="1">
      <c r="A753" s="108"/>
      <c r="B753" s="30"/>
      <c r="C753" s="30"/>
      <c r="D753" s="30"/>
      <c r="E753" s="30"/>
      <c r="F753" s="30"/>
      <c r="G753" s="30"/>
      <c r="H753" s="30"/>
    </row>
    <row r="754" ht="15.75" customHeight="1">
      <c r="A754" s="108"/>
      <c r="B754" s="30"/>
      <c r="C754" s="30"/>
      <c r="D754" s="30"/>
      <c r="E754" s="30"/>
      <c r="F754" s="30"/>
      <c r="G754" s="30"/>
      <c r="H754" s="30"/>
    </row>
    <row r="755" ht="15.75" customHeight="1">
      <c r="A755" s="108"/>
      <c r="B755" s="30"/>
      <c r="C755" s="30"/>
      <c r="D755" s="30"/>
      <c r="E755" s="30"/>
      <c r="F755" s="30"/>
      <c r="G755" s="30"/>
      <c r="H755" s="30"/>
    </row>
    <row r="756" ht="15.75" customHeight="1">
      <c r="A756" s="108"/>
      <c r="B756" s="30"/>
      <c r="C756" s="30"/>
      <c r="D756" s="30"/>
      <c r="E756" s="30"/>
      <c r="F756" s="30"/>
      <c r="G756" s="30"/>
      <c r="H756" s="30"/>
    </row>
    <row r="757" ht="15.75" customHeight="1">
      <c r="A757" s="108"/>
      <c r="B757" s="30"/>
      <c r="C757" s="30"/>
      <c r="D757" s="30"/>
      <c r="E757" s="30"/>
      <c r="F757" s="30"/>
      <c r="G757" s="30"/>
      <c r="H757" s="30"/>
    </row>
    <row r="758" ht="15.75" customHeight="1">
      <c r="A758" s="108"/>
      <c r="B758" s="30"/>
      <c r="C758" s="30"/>
      <c r="D758" s="30"/>
      <c r="E758" s="30"/>
      <c r="F758" s="30"/>
      <c r="G758" s="30"/>
      <c r="H758" s="30"/>
    </row>
    <row r="759" ht="15.75" customHeight="1">
      <c r="A759" s="108"/>
      <c r="B759" s="30"/>
      <c r="C759" s="30"/>
      <c r="D759" s="30"/>
      <c r="E759" s="30"/>
      <c r="F759" s="30"/>
      <c r="G759" s="30"/>
      <c r="H759" s="30"/>
    </row>
    <row r="760" ht="15.75" customHeight="1">
      <c r="A760" s="108"/>
      <c r="B760" s="30"/>
      <c r="C760" s="30"/>
      <c r="D760" s="30"/>
      <c r="E760" s="30"/>
      <c r="F760" s="30"/>
      <c r="G760" s="30"/>
      <c r="H760" s="30"/>
    </row>
    <row r="761" ht="15.75" customHeight="1">
      <c r="A761" s="108"/>
      <c r="B761" s="30"/>
      <c r="C761" s="30"/>
      <c r="D761" s="30"/>
      <c r="E761" s="30"/>
      <c r="F761" s="30"/>
      <c r="G761" s="30"/>
      <c r="H761" s="30"/>
    </row>
    <row r="762" ht="15.75" customHeight="1">
      <c r="A762" s="108"/>
      <c r="B762" s="30"/>
      <c r="C762" s="30"/>
      <c r="D762" s="30"/>
      <c r="E762" s="30"/>
      <c r="F762" s="30"/>
      <c r="G762" s="30"/>
      <c r="H762" s="30"/>
    </row>
    <row r="763" ht="15.75" customHeight="1">
      <c r="A763" s="108"/>
      <c r="B763" s="30"/>
      <c r="C763" s="30"/>
      <c r="D763" s="30"/>
      <c r="E763" s="30"/>
      <c r="F763" s="30"/>
      <c r="G763" s="30"/>
      <c r="H763" s="30"/>
    </row>
    <row r="764" ht="15.75" customHeight="1">
      <c r="A764" s="108"/>
      <c r="B764" s="30"/>
      <c r="C764" s="30"/>
      <c r="D764" s="30"/>
      <c r="E764" s="30"/>
      <c r="F764" s="30"/>
      <c r="G764" s="30"/>
      <c r="H764" s="30"/>
    </row>
    <row r="765" ht="15.75" customHeight="1">
      <c r="A765" s="108"/>
      <c r="B765" s="30"/>
      <c r="C765" s="30"/>
      <c r="D765" s="30"/>
      <c r="E765" s="30"/>
      <c r="F765" s="30"/>
      <c r="G765" s="30"/>
      <c r="H765" s="30"/>
    </row>
    <row r="766" ht="15.75" customHeight="1">
      <c r="A766" s="108"/>
      <c r="B766" s="30"/>
      <c r="C766" s="30"/>
      <c r="D766" s="30"/>
      <c r="E766" s="30"/>
      <c r="F766" s="30"/>
      <c r="G766" s="30"/>
      <c r="H766" s="30"/>
    </row>
    <row r="767" ht="15.75" customHeight="1">
      <c r="A767" s="108"/>
      <c r="B767" s="30"/>
      <c r="C767" s="30"/>
      <c r="D767" s="30"/>
      <c r="E767" s="30"/>
      <c r="F767" s="30"/>
      <c r="G767" s="30"/>
      <c r="H767" s="30"/>
    </row>
    <row r="768" ht="15.75" customHeight="1">
      <c r="A768" s="108"/>
      <c r="B768" s="30"/>
      <c r="C768" s="30"/>
      <c r="D768" s="30"/>
      <c r="E768" s="30"/>
      <c r="F768" s="30"/>
      <c r="G768" s="30"/>
      <c r="H768" s="30"/>
    </row>
    <row r="769" ht="15.75" customHeight="1">
      <c r="A769" s="108"/>
      <c r="B769" s="30"/>
      <c r="C769" s="30"/>
      <c r="D769" s="30"/>
      <c r="E769" s="30"/>
      <c r="F769" s="30"/>
      <c r="G769" s="30"/>
      <c r="H769" s="30"/>
    </row>
    <row r="770" ht="15.75" customHeight="1">
      <c r="A770" s="108"/>
      <c r="B770" s="30"/>
      <c r="C770" s="30"/>
      <c r="D770" s="30"/>
      <c r="E770" s="30"/>
      <c r="F770" s="30"/>
      <c r="G770" s="30"/>
      <c r="H770" s="30"/>
    </row>
    <row r="771" ht="15.75" customHeight="1">
      <c r="A771" s="108"/>
      <c r="B771" s="30"/>
      <c r="C771" s="30"/>
      <c r="D771" s="30"/>
      <c r="E771" s="30"/>
      <c r="F771" s="30"/>
      <c r="G771" s="30"/>
      <c r="H771" s="30"/>
    </row>
    <row r="772" ht="15.75" customHeight="1">
      <c r="A772" s="108"/>
      <c r="B772" s="30"/>
      <c r="C772" s="30"/>
      <c r="D772" s="30"/>
      <c r="E772" s="30"/>
      <c r="F772" s="30"/>
      <c r="G772" s="30"/>
      <c r="H772" s="30"/>
    </row>
    <row r="773" ht="15.75" customHeight="1">
      <c r="A773" s="108"/>
      <c r="B773" s="30"/>
      <c r="C773" s="30"/>
      <c r="D773" s="30"/>
      <c r="E773" s="30"/>
      <c r="F773" s="30"/>
      <c r="G773" s="30"/>
      <c r="H773" s="30"/>
    </row>
    <row r="774" ht="15.75" customHeight="1">
      <c r="A774" s="108"/>
      <c r="B774" s="30"/>
      <c r="C774" s="30"/>
      <c r="D774" s="30"/>
      <c r="E774" s="30"/>
      <c r="F774" s="30"/>
      <c r="G774" s="30"/>
      <c r="H774" s="30"/>
    </row>
    <row r="775" ht="15.75" customHeight="1">
      <c r="A775" s="108"/>
      <c r="B775" s="30"/>
      <c r="C775" s="30"/>
      <c r="D775" s="30"/>
      <c r="E775" s="30"/>
      <c r="F775" s="30"/>
      <c r="G775" s="30"/>
      <c r="H775" s="30"/>
    </row>
    <row r="776" ht="15.75" customHeight="1">
      <c r="A776" s="108"/>
      <c r="B776" s="30"/>
      <c r="C776" s="30"/>
      <c r="D776" s="30"/>
      <c r="E776" s="30"/>
      <c r="F776" s="30"/>
      <c r="G776" s="30"/>
      <c r="H776" s="30"/>
    </row>
    <row r="777" ht="15.75" customHeight="1">
      <c r="A777" s="108"/>
      <c r="B777" s="30"/>
      <c r="C777" s="30"/>
      <c r="D777" s="30"/>
      <c r="E777" s="30"/>
      <c r="F777" s="30"/>
      <c r="G777" s="30"/>
      <c r="H777" s="30"/>
    </row>
    <row r="778" ht="15.75" customHeight="1">
      <c r="A778" s="108"/>
      <c r="B778" s="30"/>
      <c r="C778" s="30"/>
      <c r="D778" s="30"/>
      <c r="E778" s="30"/>
      <c r="F778" s="30"/>
      <c r="G778" s="30"/>
      <c r="H778" s="30"/>
    </row>
    <row r="779" ht="15.75" customHeight="1">
      <c r="A779" s="108"/>
      <c r="B779" s="30"/>
      <c r="C779" s="30"/>
      <c r="D779" s="30"/>
      <c r="E779" s="30"/>
      <c r="F779" s="30"/>
      <c r="G779" s="30"/>
      <c r="H779" s="30"/>
    </row>
    <row r="780" ht="15.75" customHeight="1">
      <c r="A780" s="108"/>
      <c r="B780" s="30"/>
      <c r="C780" s="30"/>
      <c r="D780" s="30"/>
      <c r="E780" s="30"/>
      <c r="F780" s="30"/>
      <c r="G780" s="30"/>
      <c r="H780" s="30"/>
    </row>
    <row r="781" ht="15.75" customHeight="1">
      <c r="A781" s="108"/>
      <c r="B781" s="30"/>
      <c r="C781" s="30"/>
      <c r="D781" s="30"/>
      <c r="E781" s="30"/>
      <c r="F781" s="30"/>
      <c r="G781" s="30"/>
      <c r="H781" s="30"/>
    </row>
    <row r="782" ht="15.75" customHeight="1">
      <c r="A782" s="108"/>
      <c r="B782" s="30"/>
      <c r="C782" s="30"/>
      <c r="D782" s="30"/>
      <c r="E782" s="30"/>
      <c r="F782" s="30"/>
      <c r="G782" s="30"/>
      <c r="H782" s="30"/>
    </row>
    <row r="783" ht="15.75" customHeight="1">
      <c r="A783" s="108"/>
      <c r="B783" s="30"/>
      <c r="C783" s="30"/>
      <c r="D783" s="30"/>
      <c r="E783" s="30"/>
      <c r="F783" s="30"/>
      <c r="G783" s="30"/>
      <c r="H783" s="30"/>
    </row>
    <row r="784" ht="15.75" customHeight="1">
      <c r="A784" s="108"/>
      <c r="B784" s="30"/>
      <c r="C784" s="30"/>
      <c r="D784" s="30"/>
      <c r="E784" s="30"/>
      <c r="F784" s="30"/>
      <c r="G784" s="30"/>
      <c r="H784" s="30"/>
    </row>
    <row r="785" ht="15.75" customHeight="1">
      <c r="A785" s="108"/>
      <c r="B785" s="30"/>
      <c r="C785" s="30"/>
      <c r="D785" s="30"/>
      <c r="E785" s="30"/>
      <c r="F785" s="30"/>
      <c r="G785" s="30"/>
      <c r="H785" s="30"/>
    </row>
    <row r="786" ht="15.75" customHeight="1">
      <c r="A786" s="108"/>
      <c r="B786" s="30"/>
      <c r="C786" s="30"/>
      <c r="D786" s="30"/>
      <c r="E786" s="30"/>
      <c r="F786" s="30"/>
      <c r="G786" s="30"/>
      <c r="H786" s="30"/>
    </row>
    <row r="787" ht="15.75" customHeight="1">
      <c r="A787" s="108"/>
      <c r="B787" s="30"/>
      <c r="C787" s="30"/>
      <c r="D787" s="30"/>
      <c r="E787" s="30"/>
      <c r="F787" s="30"/>
      <c r="G787" s="30"/>
      <c r="H787" s="30"/>
    </row>
    <row r="788" ht="15.75" customHeight="1">
      <c r="A788" s="108"/>
      <c r="B788" s="30"/>
      <c r="C788" s="30"/>
      <c r="D788" s="30"/>
      <c r="E788" s="30"/>
      <c r="F788" s="30"/>
      <c r="G788" s="30"/>
      <c r="H788" s="30"/>
    </row>
    <row r="789" ht="15.75" customHeight="1">
      <c r="A789" s="108"/>
      <c r="B789" s="30"/>
      <c r="C789" s="30"/>
      <c r="D789" s="30"/>
      <c r="E789" s="30"/>
      <c r="F789" s="30"/>
      <c r="G789" s="30"/>
      <c r="H789" s="30"/>
    </row>
    <row r="790" ht="15.75" customHeight="1">
      <c r="A790" s="108"/>
      <c r="B790" s="30"/>
      <c r="C790" s="30"/>
      <c r="D790" s="30"/>
      <c r="E790" s="30"/>
      <c r="F790" s="30"/>
      <c r="G790" s="30"/>
      <c r="H790" s="30"/>
    </row>
    <row r="791" ht="15.75" customHeight="1">
      <c r="A791" s="108"/>
      <c r="B791" s="30"/>
      <c r="C791" s="30"/>
      <c r="D791" s="30"/>
      <c r="E791" s="30"/>
      <c r="F791" s="30"/>
      <c r="G791" s="30"/>
      <c r="H791" s="30"/>
    </row>
    <row r="792" ht="15.75" customHeight="1">
      <c r="A792" s="108"/>
      <c r="B792" s="30"/>
      <c r="C792" s="30"/>
      <c r="D792" s="30"/>
      <c r="E792" s="30"/>
      <c r="F792" s="30"/>
      <c r="G792" s="30"/>
      <c r="H792" s="30"/>
    </row>
    <row r="793" ht="15.75" customHeight="1">
      <c r="A793" s="108"/>
      <c r="B793" s="30"/>
      <c r="C793" s="30"/>
      <c r="D793" s="30"/>
      <c r="E793" s="30"/>
      <c r="F793" s="30"/>
      <c r="G793" s="30"/>
      <c r="H793" s="30"/>
    </row>
    <row r="794" ht="15.75" customHeight="1">
      <c r="A794" s="108"/>
      <c r="B794" s="30"/>
      <c r="C794" s="30"/>
      <c r="D794" s="30"/>
      <c r="E794" s="30"/>
      <c r="F794" s="30"/>
      <c r="G794" s="30"/>
      <c r="H794" s="30"/>
    </row>
    <row r="795" ht="15.75" customHeight="1">
      <c r="A795" s="108"/>
      <c r="B795" s="30"/>
      <c r="C795" s="30"/>
      <c r="D795" s="30"/>
      <c r="E795" s="30"/>
      <c r="F795" s="30"/>
      <c r="G795" s="30"/>
      <c r="H795" s="30"/>
    </row>
    <row r="796" ht="15.75" customHeight="1">
      <c r="A796" s="108"/>
      <c r="B796" s="30"/>
      <c r="C796" s="30"/>
      <c r="D796" s="30"/>
      <c r="E796" s="30"/>
      <c r="F796" s="30"/>
      <c r="G796" s="30"/>
      <c r="H796" s="30"/>
    </row>
    <row r="797" ht="15.75" customHeight="1">
      <c r="A797" s="108"/>
      <c r="B797" s="30"/>
      <c r="C797" s="30"/>
      <c r="D797" s="30"/>
      <c r="E797" s="30"/>
      <c r="F797" s="30"/>
      <c r="G797" s="30"/>
      <c r="H797" s="30"/>
    </row>
    <row r="798" ht="15.75" customHeight="1">
      <c r="A798" s="108"/>
      <c r="B798" s="30"/>
      <c r="C798" s="30"/>
      <c r="D798" s="30"/>
      <c r="E798" s="30"/>
      <c r="F798" s="30"/>
      <c r="G798" s="30"/>
      <c r="H798" s="30"/>
    </row>
    <row r="799" ht="15.75" customHeight="1">
      <c r="A799" s="108"/>
      <c r="B799" s="30"/>
      <c r="C799" s="30"/>
      <c r="D799" s="30"/>
      <c r="E799" s="30"/>
      <c r="F799" s="30"/>
      <c r="G799" s="30"/>
      <c r="H799" s="30"/>
    </row>
    <row r="800" ht="15.75" customHeight="1">
      <c r="A800" s="108"/>
      <c r="B800" s="30"/>
      <c r="C800" s="30"/>
      <c r="D800" s="30"/>
      <c r="E800" s="30"/>
      <c r="F800" s="30"/>
      <c r="G800" s="30"/>
      <c r="H800" s="30"/>
    </row>
    <row r="801" ht="15.75" customHeight="1">
      <c r="A801" s="108"/>
      <c r="B801" s="30"/>
      <c r="C801" s="30"/>
      <c r="D801" s="30"/>
      <c r="E801" s="30"/>
      <c r="F801" s="30"/>
      <c r="G801" s="30"/>
      <c r="H801" s="30"/>
    </row>
    <row r="802" ht="15.75" customHeight="1">
      <c r="A802" s="108"/>
      <c r="B802" s="30"/>
      <c r="C802" s="30"/>
      <c r="D802" s="30"/>
      <c r="E802" s="30"/>
      <c r="F802" s="30"/>
      <c r="G802" s="30"/>
      <c r="H802" s="30"/>
    </row>
    <row r="803" ht="15.75" customHeight="1">
      <c r="A803" s="108"/>
      <c r="B803" s="30"/>
      <c r="C803" s="30"/>
      <c r="D803" s="30"/>
      <c r="E803" s="30"/>
      <c r="F803" s="30"/>
      <c r="G803" s="30"/>
      <c r="H803" s="30"/>
    </row>
    <row r="804" ht="15.75" customHeight="1">
      <c r="A804" s="108"/>
      <c r="B804" s="30"/>
      <c r="C804" s="30"/>
      <c r="D804" s="30"/>
      <c r="E804" s="30"/>
      <c r="F804" s="30"/>
      <c r="G804" s="30"/>
      <c r="H804" s="30"/>
    </row>
    <row r="805" ht="15.75" customHeight="1">
      <c r="A805" s="108"/>
      <c r="B805" s="30"/>
      <c r="C805" s="30"/>
      <c r="D805" s="30"/>
      <c r="E805" s="30"/>
      <c r="F805" s="30"/>
      <c r="G805" s="30"/>
      <c r="H805" s="30"/>
    </row>
    <row r="806" ht="15.75" customHeight="1">
      <c r="A806" s="108"/>
      <c r="B806" s="30"/>
      <c r="C806" s="30"/>
      <c r="D806" s="30"/>
      <c r="E806" s="30"/>
      <c r="F806" s="30"/>
      <c r="G806" s="30"/>
      <c r="H806" s="30"/>
    </row>
    <row r="807" ht="15.75" customHeight="1">
      <c r="A807" s="108"/>
      <c r="B807" s="30"/>
      <c r="C807" s="30"/>
      <c r="D807" s="30"/>
      <c r="E807" s="30"/>
      <c r="F807" s="30"/>
      <c r="G807" s="30"/>
      <c r="H807" s="30"/>
    </row>
    <row r="808" ht="15.75" customHeight="1">
      <c r="A808" s="108"/>
      <c r="B808" s="30"/>
      <c r="C808" s="30"/>
      <c r="D808" s="30"/>
      <c r="E808" s="30"/>
      <c r="F808" s="30"/>
      <c r="G808" s="30"/>
      <c r="H808" s="30"/>
    </row>
    <row r="809" ht="15.75" customHeight="1">
      <c r="A809" s="108"/>
      <c r="B809" s="30"/>
      <c r="C809" s="30"/>
      <c r="D809" s="30"/>
      <c r="E809" s="30"/>
      <c r="F809" s="30"/>
      <c r="G809" s="30"/>
      <c r="H809" s="30"/>
    </row>
    <row r="810" ht="15.75" customHeight="1">
      <c r="A810" s="108"/>
      <c r="B810" s="30"/>
      <c r="C810" s="30"/>
      <c r="D810" s="30"/>
      <c r="E810" s="30"/>
      <c r="F810" s="30"/>
      <c r="G810" s="30"/>
      <c r="H810" s="30"/>
    </row>
    <row r="811" ht="15.75" customHeight="1">
      <c r="A811" s="108"/>
      <c r="B811" s="30"/>
      <c r="C811" s="30"/>
      <c r="D811" s="30"/>
      <c r="E811" s="30"/>
      <c r="F811" s="30"/>
      <c r="G811" s="30"/>
      <c r="H811" s="30"/>
    </row>
    <row r="812" ht="15.75" customHeight="1">
      <c r="A812" s="108"/>
      <c r="B812" s="30"/>
      <c r="C812" s="30"/>
      <c r="D812" s="30"/>
      <c r="E812" s="30"/>
      <c r="F812" s="30"/>
      <c r="G812" s="30"/>
      <c r="H812" s="30"/>
    </row>
    <row r="813" ht="15.75" customHeight="1">
      <c r="A813" s="108"/>
      <c r="B813" s="30"/>
      <c r="C813" s="30"/>
      <c r="D813" s="30"/>
      <c r="E813" s="30"/>
      <c r="F813" s="30"/>
      <c r="G813" s="30"/>
      <c r="H813" s="30"/>
    </row>
    <row r="814" ht="15.75" customHeight="1">
      <c r="A814" s="108"/>
      <c r="B814" s="30"/>
      <c r="C814" s="30"/>
      <c r="D814" s="30"/>
      <c r="E814" s="30"/>
      <c r="F814" s="30"/>
      <c r="G814" s="30"/>
      <c r="H814" s="30"/>
    </row>
    <row r="815" ht="15.75" customHeight="1">
      <c r="A815" s="108"/>
      <c r="B815" s="30"/>
      <c r="C815" s="30"/>
      <c r="D815" s="30"/>
      <c r="E815" s="30"/>
      <c r="F815" s="30"/>
      <c r="G815" s="30"/>
      <c r="H815" s="30"/>
    </row>
    <row r="816" ht="15.75" customHeight="1">
      <c r="A816" s="108"/>
      <c r="B816" s="30"/>
      <c r="C816" s="30"/>
      <c r="D816" s="30"/>
      <c r="E816" s="30"/>
      <c r="F816" s="30"/>
      <c r="G816" s="30"/>
      <c r="H816" s="30"/>
    </row>
    <row r="817" ht="15.75" customHeight="1">
      <c r="A817" s="108"/>
      <c r="B817" s="30"/>
      <c r="C817" s="30"/>
      <c r="D817" s="30"/>
      <c r="E817" s="30"/>
      <c r="F817" s="30"/>
      <c r="G817" s="30"/>
      <c r="H817" s="30"/>
    </row>
    <row r="818" ht="15.75" customHeight="1">
      <c r="A818" s="108"/>
      <c r="B818" s="30"/>
      <c r="C818" s="30"/>
      <c r="D818" s="30"/>
      <c r="E818" s="30"/>
      <c r="F818" s="30"/>
      <c r="G818" s="30"/>
      <c r="H818" s="30"/>
    </row>
    <row r="819" ht="15.75" customHeight="1">
      <c r="A819" s="108"/>
      <c r="B819" s="30"/>
      <c r="C819" s="30"/>
      <c r="D819" s="30"/>
      <c r="E819" s="30"/>
      <c r="F819" s="30"/>
      <c r="G819" s="30"/>
      <c r="H819" s="30"/>
    </row>
    <row r="820" ht="15.75" customHeight="1">
      <c r="A820" s="108"/>
      <c r="B820" s="30"/>
      <c r="C820" s="30"/>
      <c r="D820" s="30"/>
      <c r="E820" s="30"/>
      <c r="F820" s="30"/>
      <c r="G820" s="30"/>
      <c r="H820" s="30"/>
    </row>
    <row r="821" ht="15.75" customHeight="1">
      <c r="A821" s="108"/>
      <c r="B821" s="30"/>
      <c r="C821" s="30"/>
      <c r="D821" s="30"/>
      <c r="E821" s="30"/>
      <c r="F821" s="30"/>
      <c r="G821" s="30"/>
      <c r="H821" s="30"/>
    </row>
    <row r="822" ht="15.75" customHeight="1">
      <c r="A822" s="108"/>
      <c r="B822" s="30"/>
      <c r="C822" s="30"/>
      <c r="D822" s="30"/>
      <c r="E822" s="30"/>
      <c r="F822" s="30"/>
      <c r="G822" s="30"/>
      <c r="H822" s="30"/>
    </row>
    <row r="823" ht="15.75" customHeight="1">
      <c r="A823" s="108"/>
      <c r="B823" s="30"/>
      <c r="C823" s="30"/>
      <c r="D823" s="30"/>
      <c r="E823" s="30"/>
      <c r="F823" s="30"/>
      <c r="G823" s="30"/>
      <c r="H823" s="30"/>
    </row>
    <row r="824" ht="15.75" customHeight="1">
      <c r="A824" s="108"/>
      <c r="B824" s="30"/>
      <c r="C824" s="30"/>
      <c r="D824" s="30"/>
      <c r="E824" s="30"/>
      <c r="F824" s="30"/>
      <c r="G824" s="30"/>
      <c r="H824" s="30"/>
    </row>
    <row r="825" ht="15.75" customHeight="1">
      <c r="A825" s="108"/>
      <c r="B825" s="30"/>
      <c r="C825" s="30"/>
      <c r="D825" s="30"/>
      <c r="E825" s="30"/>
      <c r="F825" s="30"/>
      <c r="G825" s="30"/>
      <c r="H825" s="30"/>
    </row>
    <row r="826" ht="15.75" customHeight="1">
      <c r="A826" s="108"/>
      <c r="B826" s="30"/>
      <c r="C826" s="30"/>
      <c r="D826" s="30"/>
      <c r="E826" s="30"/>
      <c r="F826" s="30"/>
      <c r="G826" s="30"/>
      <c r="H826" s="30"/>
    </row>
    <row r="827" ht="15.75" customHeight="1">
      <c r="A827" s="108"/>
      <c r="B827" s="30"/>
      <c r="C827" s="30"/>
      <c r="D827" s="30"/>
      <c r="E827" s="30"/>
      <c r="F827" s="30"/>
      <c r="G827" s="30"/>
      <c r="H827" s="30"/>
    </row>
    <row r="828" ht="15.75" customHeight="1">
      <c r="A828" s="108"/>
      <c r="B828" s="30"/>
      <c r="C828" s="30"/>
      <c r="D828" s="30"/>
      <c r="E828" s="30"/>
      <c r="F828" s="30"/>
      <c r="G828" s="30"/>
      <c r="H828" s="30"/>
    </row>
    <row r="829" ht="15.75" customHeight="1">
      <c r="A829" s="108"/>
      <c r="B829" s="30"/>
      <c r="C829" s="30"/>
      <c r="D829" s="30"/>
      <c r="E829" s="30"/>
      <c r="F829" s="30"/>
      <c r="G829" s="30"/>
      <c r="H829" s="30"/>
    </row>
    <row r="830" ht="15.75" customHeight="1">
      <c r="A830" s="108"/>
      <c r="B830" s="30"/>
      <c r="C830" s="30"/>
      <c r="D830" s="30"/>
      <c r="E830" s="30"/>
      <c r="F830" s="30"/>
      <c r="G830" s="30"/>
      <c r="H830" s="30"/>
    </row>
    <row r="831" ht="15.75" customHeight="1">
      <c r="A831" s="108"/>
      <c r="B831" s="30"/>
      <c r="C831" s="30"/>
      <c r="D831" s="30"/>
      <c r="E831" s="30"/>
      <c r="F831" s="30"/>
      <c r="G831" s="30"/>
      <c r="H831" s="30"/>
    </row>
    <row r="832" ht="15.75" customHeight="1">
      <c r="A832" s="108"/>
      <c r="B832" s="30"/>
      <c r="C832" s="30"/>
      <c r="D832" s="30"/>
      <c r="E832" s="30"/>
      <c r="F832" s="30"/>
      <c r="G832" s="30"/>
      <c r="H832" s="30"/>
    </row>
    <row r="833" ht="15.75" customHeight="1">
      <c r="A833" s="108"/>
      <c r="B833" s="30"/>
      <c r="C833" s="30"/>
      <c r="D833" s="30"/>
      <c r="E833" s="30"/>
      <c r="F833" s="30"/>
      <c r="G833" s="30"/>
      <c r="H833" s="30"/>
    </row>
    <row r="834" ht="15.75" customHeight="1">
      <c r="A834" s="108"/>
      <c r="B834" s="30"/>
      <c r="C834" s="30"/>
      <c r="D834" s="30"/>
      <c r="E834" s="30"/>
      <c r="F834" s="30"/>
      <c r="G834" s="30"/>
      <c r="H834" s="30"/>
    </row>
    <row r="835" ht="15.75" customHeight="1">
      <c r="A835" s="108"/>
      <c r="B835" s="30"/>
      <c r="C835" s="30"/>
      <c r="D835" s="30"/>
      <c r="E835" s="30"/>
      <c r="F835" s="30"/>
      <c r="G835" s="30"/>
      <c r="H835" s="30"/>
    </row>
    <row r="836" ht="15.75" customHeight="1">
      <c r="A836" s="108"/>
      <c r="B836" s="30"/>
      <c r="C836" s="30"/>
      <c r="D836" s="30"/>
      <c r="E836" s="30"/>
      <c r="F836" s="30"/>
      <c r="G836" s="30"/>
      <c r="H836" s="30"/>
    </row>
    <row r="837" ht="15.75" customHeight="1">
      <c r="A837" s="108"/>
      <c r="B837" s="30"/>
      <c r="C837" s="30"/>
      <c r="D837" s="30"/>
      <c r="E837" s="30"/>
      <c r="F837" s="30"/>
      <c r="G837" s="30"/>
      <c r="H837" s="30"/>
    </row>
    <row r="838" ht="15.75" customHeight="1">
      <c r="A838" s="108"/>
      <c r="B838" s="30"/>
      <c r="C838" s="30"/>
      <c r="D838" s="30"/>
      <c r="E838" s="30"/>
      <c r="F838" s="30"/>
      <c r="G838" s="30"/>
      <c r="H838" s="30"/>
    </row>
    <row r="839" ht="15.75" customHeight="1">
      <c r="A839" s="108"/>
      <c r="B839" s="30"/>
      <c r="C839" s="30"/>
      <c r="D839" s="30"/>
      <c r="E839" s="30"/>
      <c r="F839" s="30"/>
      <c r="G839" s="30"/>
      <c r="H839" s="30"/>
    </row>
    <row r="840" ht="15.75" customHeight="1">
      <c r="A840" s="108"/>
      <c r="B840" s="30"/>
      <c r="C840" s="30"/>
      <c r="D840" s="30"/>
      <c r="E840" s="30"/>
      <c r="F840" s="30"/>
      <c r="G840" s="30"/>
      <c r="H840" s="30"/>
    </row>
    <row r="841" ht="15.75" customHeight="1">
      <c r="A841" s="108"/>
      <c r="B841" s="30"/>
      <c r="C841" s="30"/>
      <c r="D841" s="30"/>
      <c r="E841" s="30"/>
      <c r="F841" s="30"/>
      <c r="G841" s="30"/>
      <c r="H841" s="30"/>
    </row>
    <row r="842" ht="15.75" customHeight="1">
      <c r="A842" s="108"/>
      <c r="B842" s="30"/>
      <c r="C842" s="30"/>
      <c r="D842" s="30"/>
      <c r="E842" s="30"/>
      <c r="F842" s="30"/>
      <c r="G842" s="30"/>
      <c r="H842" s="30"/>
    </row>
    <row r="843" ht="15.75" customHeight="1">
      <c r="A843" s="108"/>
      <c r="B843" s="30"/>
      <c r="C843" s="30"/>
      <c r="D843" s="30"/>
      <c r="E843" s="30"/>
      <c r="F843" s="30"/>
      <c r="G843" s="30"/>
      <c r="H843" s="30"/>
    </row>
    <row r="844" ht="15.75" customHeight="1">
      <c r="A844" s="108"/>
      <c r="B844" s="30"/>
      <c r="C844" s="30"/>
      <c r="D844" s="30"/>
      <c r="E844" s="30"/>
      <c r="F844" s="30"/>
      <c r="G844" s="30"/>
      <c r="H844" s="30"/>
    </row>
    <row r="845" ht="15.75" customHeight="1">
      <c r="A845" s="108"/>
      <c r="B845" s="30"/>
      <c r="C845" s="30"/>
      <c r="D845" s="30"/>
      <c r="E845" s="30"/>
      <c r="F845" s="30"/>
      <c r="G845" s="30"/>
      <c r="H845" s="30"/>
    </row>
    <row r="846" ht="15.75" customHeight="1">
      <c r="A846" s="108"/>
      <c r="B846" s="30"/>
      <c r="C846" s="30"/>
      <c r="D846" s="30"/>
      <c r="E846" s="30"/>
      <c r="F846" s="30"/>
      <c r="G846" s="30"/>
      <c r="H846" s="30"/>
    </row>
    <row r="847" ht="15.75" customHeight="1">
      <c r="A847" s="108"/>
      <c r="B847" s="30"/>
      <c r="C847" s="30"/>
      <c r="D847" s="30"/>
      <c r="E847" s="30"/>
      <c r="F847" s="30"/>
      <c r="G847" s="30"/>
      <c r="H847" s="30"/>
    </row>
    <row r="848" ht="15.75" customHeight="1">
      <c r="A848" s="108"/>
      <c r="B848" s="30"/>
      <c r="C848" s="30"/>
      <c r="D848" s="30"/>
      <c r="E848" s="30"/>
      <c r="F848" s="30"/>
      <c r="G848" s="30"/>
      <c r="H848" s="30"/>
    </row>
    <row r="849" ht="15.75" customHeight="1">
      <c r="A849" s="108"/>
      <c r="B849" s="30"/>
      <c r="C849" s="30"/>
      <c r="D849" s="30"/>
      <c r="E849" s="30"/>
      <c r="F849" s="30"/>
      <c r="G849" s="30"/>
      <c r="H849" s="30"/>
    </row>
    <row r="850" ht="15.75" customHeight="1">
      <c r="A850" s="108"/>
      <c r="B850" s="30"/>
      <c r="C850" s="30"/>
      <c r="D850" s="30"/>
      <c r="E850" s="30"/>
      <c r="F850" s="30"/>
      <c r="G850" s="30"/>
      <c r="H850" s="30"/>
    </row>
    <row r="851" ht="15.75" customHeight="1">
      <c r="A851" s="108"/>
      <c r="B851" s="30"/>
      <c r="C851" s="30"/>
      <c r="D851" s="30"/>
      <c r="E851" s="30"/>
      <c r="F851" s="30"/>
      <c r="G851" s="30"/>
      <c r="H851" s="30"/>
    </row>
    <row r="852" ht="15.75" customHeight="1">
      <c r="A852" s="108"/>
      <c r="B852" s="30"/>
      <c r="C852" s="30"/>
      <c r="D852" s="30"/>
      <c r="E852" s="30"/>
      <c r="F852" s="30"/>
      <c r="G852" s="30"/>
      <c r="H852" s="30"/>
    </row>
    <row r="853" ht="15.75" customHeight="1">
      <c r="A853" s="108"/>
      <c r="B853" s="30"/>
      <c r="C853" s="30"/>
      <c r="D853" s="30"/>
      <c r="E853" s="30"/>
      <c r="F853" s="30"/>
      <c r="G853" s="30"/>
      <c r="H853" s="30"/>
    </row>
    <row r="854" ht="15.75" customHeight="1">
      <c r="A854" s="108"/>
      <c r="B854" s="30"/>
      <c r="C854" s="30"/>
      <c r="D854" s="30"/>
      <c r="E854" s="30"/>
      <c r="F854" s="30"/>
      <c r="G854" s="30"/>
      <c r="H854" s="30"/>
    </row>
    <row r="855" ht="15.75" customHeight="1">
      <c r="A855" s="108"/>
      <c r="B855" s="30"/>
      <c r="C855" s="30"/>
      <c r="D855" s="30"/>
      <c r="E855" s="30"/>
      <c r="F855" s="30"/>
      <c r="G855" s="30"/>
      <c r="H855" s="30"/>
    </row>
    <row r="856" ht="15.75" customHeight="1">
      <c r="A856" s="108"/>
      <c r="B856" s="30"/>
      <c r="C856" s="30"/>
      <c r="D856" s="30"/>
      <c r="E856" s="30"/>
      <c r="F856" s="30"/>
      <c r="G856" s="30"/>
      <c r="H856" s="30"/>
    </row>
    <row r="857" ht="15.75" customHeight="1">
      <c r="A857" s="108"/>
      <c r="B857" s="30"/>
      <c r="C857" s="30"/>
      <c r="D857" s="30"/>
      <c r="E857" s="30"/>
      <c r="F857" s="30"/>
      <c r="G857" s="30"/>
      <c r="H857" s="30"/>
    </row>
    <row r="858" ht="15.75" customHeight="1">
      <c r="A858" s="108"/>
      <c r="B858" s="30"/>
      <c r="C858" s="30"/>
      <c r="D858" s="30"/>
      <c r="E858" s="30"/>
      <c r="F858" s="30"/>
      <c r="G858" s="30"/>
      <c r="H858" s="30"/>
    </row>
    <row r="859" ht="15.75" customHeight="1">
      <c r="A859" s="108"/>
      <c r="B859" s="30"/>
      <c r="C859" s="30"/>
      <c r="D859" s="30"/>
      <c r="E859" s="30"/>
      <c r="F859" s="30"/>
      <c r="G859" s="30"/>
      <c r="H859" s="30"/>
    </row>
    <row r="860" ht="15.75" customHeight="1">
      <c r="A860" s="108"/>
      <c r="B860" s="30"/>
      <c r="C860" s="30"/>
      <c r="D860" s="30"/>
      <c r="E860" s="30"/>
      <c r="F860" s="30"/>
      <c r="G860" s="30"/>
      <c r="H860" s="30"/>
    </row>
    <row r="861" ht="15.75" customHeight="1">
      <c r="A861" s="108"/>
      <c r="B861" s="30"/>
      <c r="C861" s="30"/>
      <c r="D861" s="30"/>
      <c r="E861" s="30"/>
      <c r="F861" s="30"/>
      <c r="G861" s="30"/>
      <c r="H861" s="30"/>
    </row>
    <row r="862" ht="15.75" customHeight="1">
      <c r="A862" s="108"/>
      <c r="B862" s="30"/>
      <c r="C862" s="30"/>
      <c r="D862" s="30"/>
      <c r="E862" s="30"/>
      <c r="F862" s="30"/>
      <c r="G862" s="30"/>
      <c r="H862" s="30"/>
    </row>
    <row r="863" ht="15.75" customHeight="1">
      <c r="A863" s="108"/>
      <c r="B863" s="30"/>
      <c r="C863" s="30"/>
      <c r="D863" s="30"/>
      <c r="E863" s="30"/>
      <c r="F863" s="30"/>
      <c r="G863" s="30"/>
      <c r="H863" s="30"/>
    </row>
    <row r="864" ht="15.75" customHeight="1">
      <c r="A864" s="108"/>
      <c r="B864" s="30"/>
      <c r="C864" s="30"/>
      <c r="D864" s="30"/>
      <c r="E864" s="30"/>
      <c r="F864" s="30"/>
      <c r="G864" s="30"/>
      <c r="H864" s="30"/>
    </row>
    <row r="865" ht="15.75" customHeight="1">
      <c r="A865" s="108"/>
      <c r="B865" s="30"/>
      <c r="C865" s="30"/>
      <c r="D865" s="30"/>
      <c r="E865" s="30"/>
      <c r="F865" s="30"/>
      <c r="G865" s="30"/>
      <c r="H865" s="30"/>
    </row>
    <row r="866" ht="15.75" customHeight="1">
      <c r="A866" s="108"/>
      <c r="B866" s="30"/>
      <c r="C866" s="30"/>
      <c r="D866" s="30"/>
      <c r="E866" s="30"/>
      <c r="F866" s="30"/>
      <c r="G866" s="30"/>
      <c r="H866" s="30"/>
    </row>
    <row r="867" ht="15.75" customHeight="1">
      <c r="A867" s="108"/>
      <c r="B867" s="30"/>
      <c r="C867" s="30"/>
      <c r="D867" s="30"/>
      <c r="E867" s="30"/>
      <c r="F867" s="30"/>
      <c r="G867" s="30"/>
      <c r="H867" s="30"/>
    </row>
    <row r="868" ht="15.75" customHeight="1">
      <c r="A868" s="108"/>
      <c r="B868" s="30"/>
      <c r="C868" s="30"/>
      <c r="D868" s="30"/>
      <c r="E868" s="30"/>
      <c r="F868" s="30"/>
      <c r="G868" s="30"/>
      <c r="H868" s="30"/>
    </row>
    <row r="869" ht="15.75" customHeight="1">
      <c r="A869" s="108"/>
      <c r="B869" s="30"/>
      <c r="C869" s="30"/>
      <c r="D869" s="30"/>
      <c r="E869" s="30"/>
      <c r="F869" s="30"/>
      <c r="G869" s="30"/>
      <c r="H869" s="30"/>
    </row>
    <row r="870" ht="15.75" customHeight="1">
      <c r="A870" s="108"/>
      <c r="B870" s="30"/>
      <c r="C870" s="30"/>
      <c r="D870" s="30"/>
      <c r="E870" s="30"/>
      <c r="F870" s="30"/>
      <c r="G870" s="30"/>
      <c r="H870" s="30"/>
    </row>
    <row r="871" ht="15.75" customHeight="1">
      <c r="A871" s="108"/>
      <c r="B871" s="30"/>
      <c r="C871" s="30"/>
      <c r="D871" s="30"/>
      <c r="E871" s="30"/>
      <c r="F871" s="30"/>
      <c r="G871" s="30"/>
      <c r="H871" s="30"/>
    </row>
    <row r="872" ht="15.75" customHeight="1">
      <c r="A872" s="108"/>
      <c r="B872" s="30"/>
      <c r="C872" s="30"/>
      <c r="D872" s="30"/>
      <c r="E872" s="30"/>
      <c r="F872" s="30"/>
      <c r="G872" s="30"/>
      <c r="H872" s="30"/>
    </row>
    <row r="873" ht="15.75" customHeight="1">
      <c r="A873" s="108"/>
      <c r="B873" s="30"/>
      <c r="C873" s="30"/>
      <c r="D873" s="30"/>
      <c r="E873" s="30"/>
      <c r="F873" s="30"/>
      <c r="G873" s="30"/>
      <c r="H873" s="30"/>
    </row>
    <row r="874" ht="15.75" customHeight="1">
      <c r="A874" s="108"/>
      <c r="B874" s="30"/>
      <c r="C874" s="30"/>
      <c r="D874" s="30"/>
      <c r="E874" s="30"/>
      <c r="F874" s="30"/>
      <c r="G874" s="30"/>
      <c r="H874" s="30"/>
    </row>
    <row r="875" ht="15.75" customHeight="1">
      <c r="A875" s="108"/>
      <c r="B875" s="30"/>
      <c r="C875" s="30"/>
      <c r="D875" s="30"/>
      <c r="E875" s="30"/>
      <c r="F875" s="30"/>
      <c r="G875" s="30"/>
      <c r="H875" s="30"/>
    </row>
    <row r="876" ht="15.75" customHeight="1">
      <c r="A876" s="108"/>
      <c r="B876" s="30"/>
      <c r="C876" s="30"/>
      <c r="D876" s="30"/>
      <c r="E876" s="30"/>
      <c r="F876" s="30"/>
      <c r="G876" s="30"/>
      <c r="H876" s="30"/>
    </row>
    <row r="877" ht="15.75" customHeight="1">
      <c r="A877" s="108"/>
      <c r="B877" s="30"/>
      <c r="C877" s="30"/>
      <c r="D877" s="30"/>
      <c r="E877" s="30"/>
      <c r="F877" s="30"/>
      <c r="G877" s="30"/>
      <c r="H877" s="30"/>
    </row>
    <row r="878" ht="15.75" customHeight="1">
      <c r="A878" s="108"/>
      <c r="B878" s="30"/>
      <c r="C878" s="30"/>
      <c r="D878" s="30"/>
      <c r="E878" s="30"/>
      <c r="F878" s="30"/>
      <c r="G878" s="30"/>
      <c r="H878" s="30"/>
    </row>
    <row r="879" ht="15.75" customHeight="1">
      <c r="A879" s="108"/>
      <c r="B879" s="30"/>
      <c r="C879" s="30"/>
      <c r="D879" s="30"/>
      <c r="E879" s="30"/>
      <c r="F879" s="30"/>
      <c r="G879" s="30"/>
      <c r="H879" s="30"/>
    </row>
    <row r="880" ht="15.75" customHeight="1">
      <c r="A880" s="108"/>
      <c r="B880" s="30"/>
      <c r="C880" s="30"/>
      <c r="D880" s="30"/>
      <c r="E880" s="30"/>
      <c r="F880" s="30"/>
      <c r="G880" s="30"/>
      <c r="H880" s="30"/>
    </row>
    <row r="881" ht="15.75" customHeight="1">
      <c r="A881" s="108"/>
      <c r="B881" s="30"/>
      <c r="C881" s="30"/>
      <c r="D881" s="30"/>
      <c r="E881" s="30"/>
      <c r="F881" s="30"/>
      <c r="G881" s="30"/>
      <c r="H881" s="30"/>
    </row>
    <row r="882" ht="15.75" customHeight="1">
      <c r="A882" s="108"/>
      <c r="B882" s="30"/>
      <c r="C882" s="30"/>
      <c r="D882" s="30"/>
      <c r="E882" s="30"/>
      <c r="F882" s="30"/>
      <c r="G882" s="30"/>
      <c r="H882" s="30"/>
    </row>
    <row r="883" ht="15.75" customHeight="1">
      <c r="A883" s="108"/>
      <c r="B883" s="30"/>
      <c r="C883" s="30"/>
      <c r="D883" s="30"/>
      <c r="E883" s="30"/>
      <c r="F883" s="30"/>
      <c r="G883" s="30"/>
      <c r="H883" s="30"/>
    </row>
    <row r="884" ht="15.75" customHeight="1">
      <c r="A884" s="108"/>
      <c r="B884" s="30"/>
      <c r="C884" s="30"/>
      <c r="D884" s="30"/>
      <c r="E884" s="30"/>
      <c r="F884" s="30"/>
      <c r="G884" s="30"/>
      <c r="H884" s="30"/>
    </row>
    <row r="885" ht="15.75" customHeight="1">
      <c r="A885" s="108"/>
      <c r="B885" s="30"/>
      <c r="C885" s="30"/>
      <c r="D885" s="30"/>
      <c r="E885" s="30"/>
      <c r="F885" s="30"/>
      <c r="G885" s="30"/>
      <c r="H885" s="30"/>
    </row>
    <row r="886" ht="15.75" customHeight="1">
      <c r="A886" s="108"/>
      <c r="B886" s="30"/>
      <c r="C886" s="30"/>
      <c r="D886" s="30"/>
      <c r="E886" s="30"/>
      <c r="F886" s="30"/>
      <c r="G886" s="30"/>
      <c r="H886" s="30"/>
    </row>
    <row r="887" ht="15.75" customHeight="1">
      <c r="A887" s="108"/>
      <c r="B887" s="30"/>
      <c r="C887" s="30"/>
      <c r="D887" s="30"/>
      <c r="E887" s="30"/>
      <c r="F887" s="30"/>
      <c r="G887" s="30"/>
      <c r="H887" s="30"/>
    </row>
    <row r="888" ht="15.75" customHeight="1">
      <c r="A888" s="108"/>
      <c r="B888" s="30"/>
      <c r="C888" s="30"/>
      <c r="D888" s="30"/>
      <c r="E888" s="30"/>
      <c r="F888" s="30"/>
      <c r="G888" s="30"/>
      <c r="H888" s="30"/>
    </row>
    <row r="889" ht="15.75" customHeight="1">
      <c r="A889" s="108"/>
      <c r="B889" s="30"/>
      <c r="C889" s="30"/>
      <c r="D889" s="30"/>
      <c r="E889" s="30"/>
      <c r="F889" s="30"/>
      <c r="G889" s="30"/>
      <c r="H889" s="30"/>
    </row>
    <row r="890" ht="15.75" customHeight="1">
      <c r="A890" s="108"/>
      <c r="B890" s="30"/>
      <c r="C890" s="30"/>
      <c r="D890" s="30"/>
      <c r="E890" s="30"/>
      <c r="F890" s="30"/>
      <c r="G890" s="30"/>
      <c r="H890" s="30"/>
    </row>
    <row r="891" ht="15.75" customHeight="1">
      <c r="A891" s="108"/>
      <c r="B891" s="30"/>
      <c r="C891" s="30"/>
      <c r="D891" s="30"/>
      <c r="E891" s="30"/>
      <c r="F891" s="30"/>
      <c r="G891" s="30"/>
      <c r="H891" s="30"/>
    </row>
    <row r="892" ht="15.75" customHeight="1">
      <c r="A892" s="108"/>
      <c r="B892" s="30"/>
      <c r="C892" s="30"/>
      <c r="D892" s="30"/>
      <c r="E892" s="30"/>
      <c r="F892" s="30"/>
      <c r="G892" s="30"/>
      <c r="H892" s="30"/>
    </row>
    <row r="893" ht="15.75" customHeight="1">
      <c r="A893" s="108"/>
      <c r="B893" s="30"/>
      <c r="C893" s="30"/>
      <c r="D893" s="30"/>
      <c r="E893" s="30"/>
      <c r="F893" s="30"/>
      <c r="G893" s="30"/>
      <c r="H893" s="30"/>
    </row>
    <row r="894" ht="15.75" customHeight="1">
      <c r="A894" s="108"/>
      <c r="B894" s="30"/>
      <c r="C894" s="30"/>
      <c r="D894" s="30"/>
      <c r="E894" s="30"/>
      <c r="F894" s="30"/>
      <c r="G894" s="30"/>
      <c r="H894" s="30"/>
    </row>
    <row r="895" ht="15.75" customHeight="1">
      <c r="A895" s="108"/>
      <c r="B895" s="30"/>
      <c r="C895" s="30"/>
      <c r="D895" s="30"/>
      <c r="E895" s="30"/>
      <c r="F895" s="30"/>
      <c r="G895" s="30"/>
      <c r="H895" s="30"/>
    </row>
    <row r="896" ht="15.75" customHeight="1">
      <c r="A896" s="108"/>
      <c r="B896" s="30"/>
      <c r="C896" s="30"/>
      <c r="D896" s="30"/>
      <c r="E896" s="30"/>
      <c r="F896" s="30"/>
      <c r="G896" s="30"/>
      <c r="H896" s="30"/>
    </row>
    <row r="897" ht="15.75" customHeight="1">
      <c r="A897" s="108"/>
      <c r="B897" s="30"/>
      <c r="C897" s="30"/>
      <c r="D897" s="30"/>
      <c r="E897" s="30"/>
      <c r="F897" s="30"/>
      <c r="G897" s="30"/>
      <c r="H897" s="30"/>
    </row>
    <row r="898" ht="15.75" customHeight="1">
      <c r="A898" s="108"/>
      <c r="B898" s="30"/>
      <c r="C898" s="30"/>
      <c r="D898" s="30"/>
      <c r="E898" s="30"/>
      <c r="F898" s="30"/>
      <c r="G898" s="30"/>
      <c r="H898" s="30"/>
    </row>
    <row r="899" ht="15.75" customHeight="1">
      <c r="A899" s="108"/>
      <c r="B899" s="30"/>
      <c r="C899" s="30"/>
      <c r="D899" s="30"/>
      <c r="E899" s="30"/>
      <c r="F899" s="30"/>
      <c r="G899" s="30"/>
      <c r="H899" s="30"/>
    </row>
    <row r="900" ht="15.75" customHeight="1">
      <c r="A900" s="108"/>
      <c r="B900" s="30"/>
      <c r="C900" s="30"/>
      <c r="D900" s="30"/>
      <c r="E900" s="30"/>
      <c r="F900" s="30"/>
      <c r="G900" s="30"/>
      <c r="H900" s="30"/>
    </row>
    <row r="901" ht="15.75" customHeight="1">
      <c r="A901" s="108"/>
      <c r="B901" s="30"/>
      <c r="C901" s="30"/>
      <c r="D901" s="30"/>
      <c r="E901" s="30"/>
      <c r="F901" s="30"/>
      <c r="G901" s="30"/>
      <c r="H901" s="30"/>
    </row>
    <row r="902" ht="15.75" customHeight="1">
      <c r="A902" s="108"/>
      <c r="B902" s="30"/>
      <c r="C902" s="30"/>
      <c r="D902" s="30"/>
      <c r="E902" s="30"/>
      <c r="F902" s="30"/>
      <c r="G902" s="30"/>
      <c r="H902" s="30"/>
    </row>
    <row r="903" ht="15.75" customHeight="1">
      <c r="A903" s="108"/>
      <c r="B903" s="30"/>
      <c r="C903" s="30"/>
      <c r="D903" s="30"/>
      <c r="E903" s="30"/>
      <c r="F903" s="30"/>
      <c r="G903" s="30"/>
      <c r="H903" s="30"/>
    </row>
    <row r="904" ht="15.75" customHeight="1">
      <c r="A904" s="108"/>
      <c r="B904" s="30"/>
      <c r="C904" s="30"/>
      <c r="D904" s="30"/>
      <c r="E904" s="30"/>
      <c r="F904" s="30"/>
      <c r="G904" s="30"/>
      <c r="H904" s="30"/>
    </row>
    <row r="905" ht="15.75" customHeight="1">
      <c r="A905" s="108"/>
      <c r="B905" s="30"/>
      <c r="C905" s="30"/>
      <c r="D905" s="30"/>
      <c r="E905" s="30"/>
      <c r="F905" s="30"/>
      <c r="G905" s="30"/>
      <c r="H905" s="30"/>
    </row>
    <row r="906" ht="15.75" customHeight="1">
      <c r="A906" s="108"/>
      <c r="B906" s="30"/>
      <c r="C906" s="30"/>
      <c r="D906" s="30"/>
      <c r="E906" s="30"/>
      <c r="F906" s="30"/>
      <c r="G906" s="30"/>
      <c r="H906" s="30"/>
    </row>
    <row r="907" ht="15.75" customHeight="1">
      <c r="A907" s="108"/>
      <c r="B907" s="30"/>
      <c r="C907" s="30"/>
      <c r="D907" s="30"/>
      <c r="E907" s="30"/>
      <c r="F907" s="30"/>
      <c r="G907" s="30"/>
      <c r="H907" s="30"/>
    </row>
    <row r="908" ht="15.75" customHeight="1">
      <c r="A908" s="108"/>
      <c r="B908" s="30"/>
      <c r="C908" s="30"/>
      <c r="D908" s="30"/>
      <c r="E908" s="30"/>
      <c r="F908" s="30"/>
      <c r="G908" s="30"/>
      <c r="H908" s="30"/>
    </row>
    <row r="909" ht="15.75" customHeight="1">
      <c r="A909" s="108"/>
      <c r="B909" s="30"/>
      <c r="C909" s="30"/>
      <c r="D909" s="30"/>
      <c r="E909" s="30"/>
      <c r="F909" s="30"/>
      <c r="G909" s="30"/>
      <c r="H909" s="30"/>
    </row>
    <row r="910" ht="15.75" customHeight="1">
      <c r="A910" s="108"/>
      <c r="B910" s="30"/>
      <c r="C910" s="30"/>
      <c r="D910" s="30"/>
      <c r="E910" s="30"/>
      <c r="F910" s="30"/>
      <c r="G910" s="30"/>
      <c r="H910" s="30"/>
    </row>
    <row r="911" ht="15.75" customHeight="1">
      <c r="A911" s="108"/>
      <c r="B911" s="30"/>
      <c r="C911" s="30"/>
      <c r="D911" s="30"/>
      <c r="E911" s="30"/>
      <c r="F911" s="30"/>
      <c r="G911" s="30"/>
      <c r="H911" s="30"/>
    </row>
    <row r="912" ht="15.75" customHeight="1">
      <c r="A912" s="108"/>
      <c r="B912" s="30"/>
      <c r="C912" s="30"/>
      <c r="D912" s="30"/>
      <c r="E912" s="30"/>
      <c r="F912" s="30"/>
      <c r="G912" s="30"/>
      <c r="H912" s="30"/>
    </row>
    <row r="913" ht="15.75" customHeight="1">
      <c r="A913" s="108"/>
      <c r="B913" s="30"/>
      <c r="C913" s="30"/>
      <c r="D913" s="30"/>
      <c r="E913" s="30"/>
      <c r="F913" s="30"/>
      <c r="G913" s="30"/>
      <c r="H913" s="30"/>
    </row>
    <row r="914" ht="15.75" customHeight="1">
      <c r="A914" s="108"/>
      <c r="B914" s="30"/>
      <c r="C914" s="30"/>
      <c r="D914" s="30"/>
      <c r="E914" s="30"/>
      <c r="F914" s="30"/>
      <c r="G914" s="30"/>
      <c r="H914" s="30"/>
    </row>
    <row r="915" ht="15.75" customHeight="1">
      <c r="A915" s="108"/>
      <c r="B915" s="30"/>
      <c r="C915" s="30"/>
      <c r="D915" s="30"/>
      <c r="E915" s="30"/>
      <c r="F915" s="30"/>
      <c r="G915" s="30"/>
      <c r="H915" s="30"/>
    </row>
    <row r="916" ht="15.75" customHeight="1">
      <c r="A916" s="108"/>
      <c r="B916" s="30"/>
      <c r="C916" s="30"/>
      <c r="D916" s="30"/>
      <c r="E916" s="30"/>
      <c r="F916" s="30"/>
      <c r="G916" s="30"/>
      <c r="H916" s="30"/>
    </row>
    <row r="917" ht="15.75" customHeight="1">
      <c r="A917" s="108"/>
      <c r="B917" s="30"/>
      <c r="C917" s="30"/>
      <c r="D917" s="30"/>
      <c r="E917" s="30"/>
      <c r="F917" s="30"/>
      <c r="G917" s="30"/>
      <c r="H917" s="30"/>
    </row>
    <row r="918" ht="15.75" customHeight="1">
      <c r="A918" s="108"/>
      <c r="B918" s="30"/>
      <c r="C918" s="30"/>
      <c r="D918" s="30"/>
      <c r="E918" s="30"/>
      <c r="F918" s="30"/>
      <c r="G918" s="30"/>
      <c r="H918" s="30"/>
    </row>
    <row r="919" ht="15.75" customHeight="1">
      <c r="A919" s="108"/>
      <c r="B919" s="30"/>
      <c r="C919" s="30"/>
      <c r="D919" s="30"/>
      <c r="E919" s="30"/>
      <c r="F919" s="30"/>
      <c r="G919" s="30"/>
      <c r="H919" s="30"/>
    </row>
    <row r="920" ht="15.75" customHeight="1">
      <c r="A920" s="108"/>
      <c r="B920" s="30"/>
      <c r="C920" s="30"/>
      <c r="D920" s="30"/>
      <c r="E920" s="30"/>
      <c r="F920" s="30"/>
      <c r="G920" s="30"/>
      <c r="H920" s="30"/>
    </row>
    <row r="921" ht="15.75" customHeight="1">
      <c r="A921" s="108"/>
      <c r="B921" s="30"/>
      <c r="C921" s="30"/>
      <c r="D921" s="30"/>
      <c r="E921" s="30"/>
      <c r="F921" s="30"/>
      <c r="G921" s="30"/>
      <c r="H921" s="30"/>
    </row>
    <row r="922" ht="15.75" customHeight="1">
      <c r="A922" s="108"/>
      <c r="B922" s="30"/>
      <c r="C922" s="30"/>
      <c r="D922" s="30"/>
      <c r="E922" s="30"/>
      <c r="F922" s="30"/>
      <c r="G922" s="30"/>
      <c r="H922" s="30"/>
    </row>
    <row r="923" ht="15.75" customHeight="1">
      <c r="A923" s="108"/>
      <c r="B923" s="30"/>
      <c r="C923" s="30"/>
      <c r="D923" s="30"/>
      <c r="E923" s="30"/>
      <c r="F923" s="30"/>
      <c r="G923" s="30"/>
      <c r="H923" s="30"/>
    </row>
    <row r="924" ht="15.75" customHeight="1">
      <c r="A924" s="108"/>
      <c r="B924" s="30"/>
      <c r="C924" s="30"/>
      <c r="D924" s="30"/>
      <c r="E924" s="30"/>
      <c r="F924" s="30"/>
      <c r="G924" s="30"/>
      <c r="H924" s="30"/>
    </row>
    <row r="925" ht="15.75" customHeight="1">
      <c r="A925" s="108"/>
      <c r="B925" s="30"/>
      <c r="C925" s="30"/>
      <c r="D925" s="30"/>
      <c r="E925" s="30"/>
      <c r="F925" s="30"/>
      <c r="G925" s="30"/>
      <c r="H925" s="30"/>
    </row>
    <row r="926" ht="15.75" customHeight="1">
      <c r="A926" s="108"/>
      <c r="B926" s="30"/>
      <c r="C926" s="30"/>
      <c r="D926" s="30"/>
      <c r="E926" s="30"/>
      <c r="F926" s="30"/>
      <c r="G926" s="30"/>
      <c r="H926" s="30"/>
    </row>
    <row r="927" ht="15.75" customHeight="1">
      <c r="A927" s="108"/>
      <c r="B927" s="30"/>
      <c r="C927" s="30"/>
      <c r="D927" s="30"/>
      <c r="E927" s="30"/>
      <c r="F927" s="30"/>
      <c r="G927" s="30"/>
      <c r="H927" s="30"/>
    </row>
    <row r="928" ht="15.75" customHeight="1">
      <c r="A928" s="108"/>
      <c r="B928" s="30"/>
      <c r="C928" s="30"/>
      <c r="D928" s="30"/>
      <c r="E928" s="30"/>
      <c r="F928" s="30"/>
      <c r="G928" s="30"/>
      <c r="H928" s="30"/>
    </row>
    <row r="929" ht="15.75" customHeight="1">
      <c r="A929" s="108"/>
      <c r="B929" s="30"/>
      <c r="C929" s="30"/>
      <c r="D929" s="30"/>
      <c r="E929" s="30"/>
      <c r="F929" s="30"/>
      <c r="G929" s="30"/>
      <c r="H929" s="30"/>
    </row>
    <row r="930" ht="15.75" customHeight="1">
      <c r="A930" s="108"/>
      <c r="B930" s="30"/>
      <c r="C930" s="30"/>
      <c r="D930" s="30"/>
      <c r="E930" s="30"/>
      <c r="F930" s="30"/>
      <c r="G930" s="30"/>
      <c r="H930" s="30"/>
    </row>
    <row r="931" ht="15.75" customHeight="1">
      <c r="A931" s="108"/>
      <c r="B931" s="30"/>
      <c r="C931" s="30"/>
      <c r="D931" s="30"/>
      <c r="E931" s="30"/>
      <c r="F931" s="30"/>
      <c r="G931" s="30"/>
      <c r="H931" s="30"/>
    </row>
    <row r="932" ht="15.75" customHeight="1">
      <c r="A932" s="108"/>
      <c r="B932" s="30"/>
      <c r="C932" s="30"/>
      <c r="D932" s="30"/>
      <c r="E932" s="30"/>
      <c r="F932" s="30"/>
      <c r="G932" s="30"/>
      <c r="H932" s="30"/>
    </row>
    <row r="933" ht="15.75" customHeight="1">
      <c r="A933" s="108"/>
      <c r="B933" s="30"/>
      <c r="C933" s="30"/>
      <c r="D933" s="30"/>
      <c r="E933" s="30"/>
      <c r="F933" s="30"/>
      <c r="G933" s="30"/>
      <c r="H933" s="30"/>
    </row>
    <row r="934" ht="15.75" customHeight="1">
      <c r="A934" s="108"/>
      <c r="B934" s="30"/>
      <c r="C934" s="30"/>
      <c r="D934" s="30"/>
      <c r="E934" s="30"/>
      <c r="F934" s="30"/>
      <c r="G934" s="30"/>
      <c r="H934" s="30"/>
    </row>
    <row r="935" ht="15.75" customHeight="1">
      <c r="A935" s="108"/>
      <c r="B935" s="30"/>
      <c r="C935" s="30"/>
      <c r="D935" s="30"/>
      <c r="E935" s="30"/>
      <c r="F935" s="30"/>
      <c r="G935" s="30"/>
      <c r="H935" s="30"/>
    </row>
    <row r="936" ht="15.75" customHeight="1">
      <c r="A936" s="108"/>
      <c r="B936" s="30"/>
      <c r="C936" s="30"/>
      <c r="D936" s="30"/>
      <c r="E936" s="30"/>
      <c r="F936" s="30"/>
      <c r="G936" s="30"/>
      <c r="H936" s="30"/>
    </row>
    <row r="937" ht="15.75" customHeight="1">
      <c r="A937" s="108"/>
      <c r="B937" s="30"/>
      <c r="C937" s="30"/>
      <c r="D937" s="30"/>
      <c r="E937" s="30"/>
      <c r="F937" s="30"/>
      <c r="G937" s="30"/>
      <c r="H937" s="30"/>
    </row>
    <row r="938" ht="15.75" customHeight="1">
      <c r="A938" s="108"/>
      <c r="B938" s="30"/>
      <c r="C938" s="30"/>
      <c r="D938" s="30"/>
      <c r="E938" s="30"/>
      <c r="F938" s="30"/>
      <c r="G938" s="30"/>
      <c r="H938" s="30"/>
    </row>
    <row r="939" ht="15.75" customHeight="1">
      <c r="A939" s="108"/>
      <c r="B939" s="30"/>
      <c r="C939" s="30"/>
      <c r="D939" s="30"/>
      <c r="E939" s="30"/>
      <c r="F939" s="30"/>
      <c r="G939" s="30"/>
      <c r="H939" s="30"/>
    </row>
    <row r="940" ht="15.75" customHeight="1">
      <c r="A940" s="108"/>
      <c r="B940" s="30"/>
      <c r="C940" s="30"/>
      <c r="D940" s="30"/>
      <c r="E940" s="30"/>
      <c r="F940" s="30"/>
      <c r="G940" s="30"/>
      <c r="H940" s="30"/>
    </row>
    <row r="941" ht="15.75" customHeight="1">
      <c r="A941" s="108"/>
      <c r="B941" s="30"/>
      <c r="C941" s="30"/>
      <c r="D941" s="30"/>
      <c r="E941" s="30"/>
      <c r="F941" s="30"/>
      <c r="G941" s="30"/>
      <c r="H941" s="30"/>
    </row>
    <row r="942" ht="15.75" customHeight="1">
      <c r="A942" s="108"/>
      <c r="B942" s="30"/>
      <c r="C942" s="30"/>
      <c r="D942" s="30"/>
      <c r="E942" s="30"/>
      <c r="F942" s="30"/>
      <c r="G942" s="30"/>
      <c r="H942" s="30"/>
    </row>
    <row r="943" ht="15.75" customHeight="1">
      <c r="A943" s="108"/>
      <c r="B943" s="30"/>
      <c r="C943" s="30"/>
      <c r="D943" s="30"/>
      <c r="E943" s="30"/>
      <c r="F943" s="30"/>
      <c r="G943" s="30"/>
      <c r="H943" s="30"/>
    </row>
    <row r="944" ht="15.75" customHeight="1">
      <c r="A944" s="108"/>
      <c r="B944" s="30"/>
      <c r="C944" s="30"/>
      <c r="D944" s="30"/>
      <c r="E944" s="30"/>
      <c r="F944" s="30"/>
      <c r="G944" s="30"/>
      <c r="H944" s="30"/>
    </row>
    <row r="945" ht="15.75" customHeight="1">
      <c r="A945" s="108"/>
      <c r="B945" s="30"/>
      <c r="C945" s="30"/>
      <c r="D945" s="30"/>
      <c r="E945" s="30"/>
      <c r="F945" s="30"/>
      <c r="G945" s="30"/>
      <c r="H945" s="30"/>
    </row>
    <row r="946" ht="15.75" customHeight="1">
      <c r="A946" s="108"/>
      <c r="B946" s="30"/>
      <c r="C946" s="30"/>
      <c r="D946" s="30"/>
      <c r="E946" s="30"/>
      <c r="F946" s="30"/>
      <c r="G946" s="30"/>
      <c r="H946" s="30"/>
    </row>
    <row r="947" ht="15.75" customHeight="1">
      <c r="A947" s="108"/>
      <c r="B947" s="30"/>
      <c r="C947" s="30"/>
      <c r="D947" s="30"/>
      <c r="E947" s="30"/>
      <c r="F947" s="30"/>
      <c r="G947" s="30"/>
      <c r="H947" s="30"/>
    </row>
    <row r="948" ht="15.75" customHeight="1">
      <c r="A948" s="108"/>
      <c r="B948" s="30"/>
      <c r="C948" s="30"/>
      <c r="D948" s="30"/>
      <c r="E948" s="30"/>
      <c r="F948" s="30"/>
      <c r="G948" s="30"/>
      <c r="H948" s="30"/>
    </row>
    <row r="949" ht="15.75" customHeight="1">
      <c r="A949" s="108"/>
      <c r="B949" s="30"/>
      <c r="C949" s="30"/>
      <c r="D949" s="30"/>
      <c r="E949" s="30"/>
      <c r="F949" s="30"/>
      <c r="G949" s="30"/>
      <c r="H949" s="30"/>
    </row>
    <row r="950" ht="15.75" customHeight="1">
      <c r="A950" s="108"/>
      <c r="B950" s="30"/>
      <c r="C950" s="30"/>
      <c r="D950" s="30"/>
      <c r="E950" s="30"/>
      <c r="F950" s="30"/>
      <c r="G950" s="30"/>
      <c r="H950" s="30"/>
    </row>
    <row r="951" ht="15.75" customHeight="1">
      <c r="A951" s="108"/>
      <c r="B951" s="30"/>
      <c r="C951" s="30"/>
      <c r="D951" s="30"/>
      <c r="E951" s="30"/>
      <c r="F951" s="30"/>
      <c r="G951" s="30"/>
      <c r="H951" s="30"/>
    </row>
    <row r="952" ht="15.75" customHeight="1">
      <c r="A952" s="108"/>
      <c r="B952" s="30"/>
      <c r="C952" s="30"/>
      <c r="D952" s="30"/>
      <c r="E952" s="30"/>
      <c r="F952" s="30"/>
      <c r="G952" s="30"/>
      <c r="H952" s="30"/>
    </row>
    <row r="953" ht="15.75" customHeight="1">
      <c r="A953" s="108"/>
      <c r="B953" s="30"/>
      <c r="C953" s="30"/>
      <c r="D953" s="30"/>
      <c r="E953" s="30"/>
      <c r="F953" s="30"/>
      <c r="G953" s="30"/>
      <c r="H953" s="30"/>
    </row>
    <row r="954" ht="15.75" customHeight="1">
      <c r="A954" s="108"/>
      <c r="B954" s="30"/>
      <c r="C954" s="30"/>
      <c r="D954" s="30"/>
      <c r="E954" s="30"/>
      <c r="F954" s="30"/>
      <c r="G954" s="30"/>
      <c r="H954" s="30"/>
    </row>
    <row r="955" ht="15.75" customHeight="1">
      <c r="A955" s="108"/>
      <c r="B955" s="30"/>
      <c r="C955" s="30"/>
      <c r="D955" s="30"/>
      <c r="E955" s="30"/>
      <c r="F955" s="30"/>
      <c r="G955" s="30"/>
      <c r="H955" s="30"/>
    </row>
    <row r="956" ht="15.75" customHeight="1">
      <c r="A956" s="108"/>
      <c r="B956" s="30"/>
      <c r="C956" s="30"/>
      <c r="D956" s="30"/>
      <c r="E956" s="30"/>
      <c r="F956" s="30"/>
      <c r="G956" s="30"/>
      <c r="H956" s="30"/>
    </row>
    <row r="957" ht="15.75" customHeight="1">
      <c r="A957" s="108"/>
      <c r="B957" s="30"/>
      <c r="C957" s="30"/>
      <c r="D957" s="30"/>
      <c r="E957" s="30"/>
      <c r="F957" s="30"/>
      <c r="G957" s="30"/>
      <c r="H957" s="30"/>
    </row>
    <row r="958" ht="15.75" customHeight="1">
      <c r="A958" s="108"/>
      <c r="B958" s="30"/>
      <c r="C958" s="30"/>
      <c r="D958" s="30"/>
      <c r="E958" s="30"/>
      <c r="F958" s="30"/>
      <c r="G958" s="30"/>
      <c r="H958" s="30"/>
    </row>
    <row r="959" ht="15.75" customHeight="1">
      <c r="A959" s="108"/>
      <c r="B959" s="30"/>
      <c r="C959" s="30"/>
      <c r="D959" s="30"/>
      <c r="E959" s="30"/>
      <c r="F959" s="30"/>
      <c r="G959" s="30"/>
      <c r="H959" s="30"/>
    </row>
    <row r="960" ht="15.75" customHeight="1">
      <c r="A960" s="108"/>
      <c r="B960" s="30"/>
      <c r="C960" s="30"/>
      <c r="D960" s="30"/>
      <c r="E960" s="30"/>
      <c r="F960" s="30"/>
      <c r="G960" s="30"/>
      <c r="H960" s="30"/>
    </row>
    <row r="961" ht="15.75" customHeight="1">
      <c r="A961" s="108"/>
      <c r="B961" s="30"/>
      <c r="C961" s="30"/>
      <c r="D961" s="30"/>
      <c r="E961" s="30"/>
      <c r="F961" s="30"/>
      <c r="G961" s="30"/>
      <c r="H961" s="30"/>
    </row>
    <row r="962" ht="15.75" customHeight="1">
      <c r="A962" s="108"/>
      <c r="B962" s="30"/>
      <c r="C962" s="30"/>
      <c r="D962" s="30"/>
      <c r="E962" s="30"/>
      <c r="F962" s="30"/>
      <c r="G962" s="30"/>
      <c r="H962" s="30"/>
    </row>
    <row r="963" ht="15.75" customHeight="1">
      <c r="A963" s="108"/>
      <c r="B963" s="30"/>
      <c r="C963" s="30"/>
      <c r="D963" s="30"/>
      <c r="E963" s="30"/>
      <c r="F963" s="30"/>
      <c r="G963" s="30"/>
      <c r="H963" s="30"/>
    </row>
    <row r="964" ht="15.75" customHeight="1">
      <c r="A964" s="108"/>
      <c r="B964" s="30"/>
      <c r="C964" s="30"/>
      <c r="D964" s="30"/>
      <c r="E964" s="30"/>
      <c r="F964" s="30"/>
      <c r="G964" s="30"/>
      <c r="H964" s="30"/>
    </row>
    <row r="965" ht="15.75" customHeight="1">
      <c r="A965" s="108"/>
      <c r="B965" s="30"/>
      <c r="C965" s="30"/>
      <c r="D965" s="30"/>
      <c r="E965" s="30"/>
      <c r="F965" s="30"/>
      <c r="G965" s="30"/>
      <c r="H965" s="30"/>
    </row>
    <row r="966" ht="15.75" customHeight="1">
      <c r="A966" s="108"/>
      <c r="B966" s="30"/>
      <c r="C966" s="30"/>
      <c r="D966" s="30"/>
      <c r="E966" s="30"/>
      <c r="F966" s="30"/>
      <c r="G966" s="30"/>
      <c r="H966" s="30"/>
    </row>
    <row r="967" ht="15.75" customHeight="1">
      <c r="A967" s="108"/>
      <c r="B967" s="30"/>
      <c r="C967" s="30"/>
      <c r="D967" s="30"/>
      <c r="E967" s="30"/>
      <c r="F967" s="30"/>
      <c r="G967" s="30"/>
      <c r="H967" s="30"/>
    </row>
    <row r="968" ht="15.75" customHeight="1">
      <c r="A968" s="108"/>
      <c r="B968" s="30"/>
      <c r="C968" s="30"/>
      <c r="D968" s="30"/>
      <c r="E968" s="30"/>
      <c r="F968" s="30"/>
      <c r="G968" s="30"/>
      <c r="H968" s="30"/>
    </row>
    <row r="969" ht="15.75" customHeight="1">
      <c r="A969" s="108"/>
      <c r="B969" s="30"/>
      <c r="C969" s="30"/>
      <c r="D969" s="30"/>
      <c r="E969" s="30"/>
      <c r="F969" s="30"/>
      <c r="G969" s="30"/>
      <c r="H969" s="30"/>
    </row>
    <row r="970" ht="15.75" customHeight="1">
      <c r="A970" s="108"/>
      <c r="B970" s="30"/>
      <c r="C970" s="30"/>
      <c r="D970" s="30"/>
      <c r="E970" s="30"/>
      <c r="F970" s="30"/>
      <c r="G970" s="30"/>
      <c r="H970" s="30"/>
    </row>
    <row r="971" ht="15.75" customHeight="1">
      <c r="A971" s="108"/>
      <c r="B971" s="30"/>
      <c r="C971" s="30"/>
      <c r="D971" s="30"/>
      <c r="E971" s="30"/>
      <c r="F971" s="30"/>
      <c r="G971" s="30"/>
      <c r="H971" s="30"/>
    </row>
    <row r="972" ht="15.75" customHeight="1">
      <c r="A972" s="108"/>
      <c r="B972" s="30"/>
      <c r="C972" s="30"/>
      <c r="D972" s="30"/>
      <c r="E972" s="30"/>
      <c r="F972" s="30"/>
      <c r="G972" s="30"/>
      <c r="H972" s="30"/>
    </row>
    <row r="973" ht="15.75" customHeight="1">
      <c r="A973" s="108"/>
      <c r="B973" s="30"/>
      <c r="C973" s="30"/>
      <c r="D973" s="30"/>
      <c r="E973" s="30"/>
      <c r="F973" s="30"/>
      <c r="G973" s="30"/>
      <c r="H973" s="30"/>
    </row>
    <row r="974" ht="15.75" customHeight="1">
      <c r="A974" s="108"/>
      <c r="B974" s="30"/>
      <c r="C974" s="30"/>
      <c r="D974" s="30"/>
      <c r="E974" s="30"/>
      <c r="F974" s="30"/>
      <c r="G974" s="30"/>
      <c r="H974" s="30"/>
    </row>
    <row r="975" ht="15.75" customHeight="1">
      <c r="A975" s="108"/>
      <c r="B975" s="30"/>
      <c r="C975" s="30"/>
      <c r="D975" s="30"/>
      <c r="E975" s="30"/>
      <c r="F975" s="30"/>
      <c r="G975" s="30"/>
      <c r="H975" s="30"/>
    </row>
    <row r="976" ht="15.75" customHeight="1">
      <c r="A976" s="108"/>
      <c r="B976" s="30"/>
      <c r="C976" s="30"/>
      <c r="D976" s="30"/>
      <c r="E976" s="30"/>
      <c r="F976" s="30"/>
      <c r="G976" s="30"/>
      <c r="H976" s="30"/>
    </row>
    <row r="977" ht="15.75" customHeight="1">
      <c r="A977" s="108"/>
      <c r="B977" s="30"/>
      <c r="C977" s="30"/>
      <c r="D977" s="30"/>
      <c r="E977" s="30"/>
      <c r="F977" s="30"/>
      <c r="G977" s="30"/>
      <c r="H977" s="30"/>
    </row>
    <row r="978" ht="15.75" customHeight="1">
      <c r="A978" s="108"/>
      <c r="B978" s="30"/>
      <c r="C978" s="30"/>
      <c r="D978" s="30"/>
      <c r="E978" s="30"/>
      <c r="F978" s="30"/>
      <c r="G978" s="30"/>
      <c r="H978" s="30"/>
    </row>
    <row r="979" ht="15.75" customHeight="1">
      <c r="A979" s="108"/>
      <c r="B979" s="30"/>
      <c r="C979" s="30"/>
      <c r="D979" s="30"/>
      <c r="E979" s="30"/>
      <c r="F979" s="30"/>
      <c r="G979" s="30"/>
      <c r="H979" s="30"/>
    </row>
    <row r="980" ht="15.75" customHeight="1">
      <c r="A980" s="108"/>
      <c r="B980" s="30"/>
      <c r="C980" s="30"/>
      <c r="D980" s="30"/>
      <c r="E980" s="30"/>
      <c r="F980" s="30"/>
      <c r="G980" s="30"/>
      <c r="H980" s="30"/>
    </row>
    <row r="981" ht="15.75" customHeight="1">
      <c r="A981" s="108"/>
      <c r="B981" s="30"/>
      <c r="C981" s="30"/>
      <c r="D981" s="30"/>
      <c r="E981" s="30"/>
      <c r="F981" s="30"/>
      <c r="G981" s="30"/>
      <c r="H981" s="30"/>
    </row>
    <row r="982" ht="15.75" customHeight="1">
      <c r="A982" s="108"/>
      <c r="B982" s="30"/>
      <c r="C982" s="30"/>
      <c r="D982" s="30"/>
      <c r="E982" s="30"/>
      <c r="F982" s="30"/>
      <c r="G982" s="30"/>
      <c r="H982" s="30"/>
    </row>
    <row r="983" ht="15.75" customHeight="1">
      <c r="A983" s="108"/>
      <c r="B983" s="30"/>
      <c r="C983" s="30"/>
      <c r="D983" s="30"/>
      <c r="E983" s="30"/>
      <c r="F983" s="30"/>
      <c r="G983" s="30"/>
      <c r="H983" s="30"/>
    </row>
    <row r="984" ht="15.75" customHeight="1">
      <c r="A984" s="108"/>
      <c r="B984" s="30"/>
      <c r="C984" s="30"/>
      <c r="D984" s="30"/>
      <c r="E984" s="30"/>
      <c r="F984" s="30"/>
      <c r="G984" s="30"/>
      <c r="H984" s="30"/>
    </row>
    <row r="985" ht="15.75" customHeight="1">
      <c r="A985" s="108"/>
      <c r="B985" s="30"/>
      <c r="C985" s="30"/>
      <c r="D985" s="30"/>
      <c r="E985" s="30"/>
      <c r="F985" s="30"/>
      <c r="G985" s="30"/>
      <c r="H985" s="30"/>
    </row>
    <row r="986" ht="15.75" customHeight="1">
      <c r="A986" s="108"/>
      <c r="B986" s="30"/>
      <c r="C986" s="30"/>
      <c r="D986" s="30"/>
      <c r="E986" s="30"/>
      <c r="F986" s="30"/>
      <c r="G986" s="30"/>
      <c r="H986" s="30"/>
    </row>
    <row r="987" ht="15.75" customHeight="1">
      <c r="A987" s="108"/>
      <c r="B987" s="30"/>
      <c r="C987" s="30"/>
      <c r="D987" s="30"/>
      <c r="E987" s="30"/>
      <c r="F987" s="30"/>
      <c r="G987" s="30"/>
      <c r="H987" s="30"/>
    </row>
    <row r="988" ht="15.75" customHeight="1">
      <c r="A988" s="108"/>
      <c r="B988" s="30"/>
      <c r="C988" s="30"/>
      <c r="D988" s="30"/>
      <c r="E988" s="30"/>
      <c r="F988" s="30"/>
      <c r="G988" s="30"/>
      <c r="H988" s="30"/>
    </row>
    <row r="989" ht="15.75" customHeight="1">
      <c r="A989" s="108"/>
      <c r="B989" s="30"/>
      <c r="C989" s="30"/>
      <c r="D989" s="30"/>
      <c r="E989" s="30"/>
      <c r="F989" s="30"/>
      <c r="G989" s="30"/>
      <c r="H989" s="30"/>
    </row>
    <row r="990" ht="15.75" customHeight="1">
      <c r="A990" s="108"/>
      <c r="B990" s="30"/>
      <c r="C990" s="30"/>
      <c r="D990" s="30"/>
      <c r="E990" s="30"/>
      <c r="F990" s="30"/>
      <c r="G990" s="30"/>
      <c r="H990" s="30"/>
    </row>
    <row r="991" ht="15.75" customHeight="1">
      <c r="A991" s="108"/>
      <c r="B991" s="30"/>
      <c r="C991" s="30"/>
      <c r="D991" s="30"/>
      <c r="E991" s="30"/>
      <c r="F991" s="30"/>
      <c r="G991" s="30"/>
      <c r="H991" s="30"/>
    </row>
    <row r="992" ht="15.75" customHeight="1">
      <c r="A992" s="108"/>
      <c r="B992" s="30"/>
      <c r="C992" s="30"/>
      <c r="D992" s="30"/>
      <c r="E992" s="30"/>
      <c r="F992" s="30"/>
      <c r="G992" s="30"/>
      <c r="H992" s="30"/>
    </row>
    <row r="993" ht="15.75" customHeight="1">
      <c r="A993" s="108"/>
      <c r="B993" s="30"/>
      <c r="C993" s="30"/>
      <c r="D993" s="30"/>
      <c r="E993" s="30"/>
      <c r="F993" s="30"/>
      <c r="G993" s="30"/>
      <c r="H993" s="30"/>
    </row>
    <row r="994" ht="15.75" customHeight="1">
      <c r="A994" s="108"/>
      <c r="B994" s="30"/>
      <c r="C994" s="30"/>
      <c r="D994" s="30"/>
      <c r="E994" s="30"/>
      <c r="F994" s="30"/>
      <c r="G994" s="30"/>
      <c r="H994" s="30"/>
    </row>
    <row r="995" ht="15.75" customHeight="1">
      <c r="A995" s="108"/>
      <c r="B995" s="30"/>
      <c r="C995" s="30"/>
      <c r="D995" s="30"/>
      <c r="E995" s="30"/>
      <c r="F995" s="30"/>
      <c r="G995" s="30"/>
      <c r="H995" s="30"/>
    </row>
    <row r="996" ht="15.75" customHeight="1">
      <c r="A996" s="108"/>
      <c r="B996" s="30"/>
      <c r="C996" s="30"/>
      <c r="D996" s="30"/>
      <c r="E996" s="30"/>
      <c r="F996" s="30"/>
      <c r="G996" s="30"/>
      <c r="H996" s="30"/>
    </row>
    <row r="997" ht="15.75" customHeight="1">
      <c r="A997" s="108"/>
      <c r="B997" s="30"/>
      <c r="C997" s="30"/>
      <c r="D997" s="30"/>
      <c r="E997" s="30"/>
      <c r="F997" s="30"/>
      <c r="G997" s="30"/>
      <c r="H997" s="30"/>
    </row>
    <row r="998" ht="15.75" customHeight="1">
      <c r="A998" s="108"/>
      <c r="B998" s="30"/>
      <c r="C998" s="30"/>
      <c r="D998" s="30"/>
      <c r="E998" s="30"/>
      <c r="F998" s="30"/>
      <c r="G998" s="30"/>
      <c r="H998" s="30"/>
    </row>
    <row r="999" ht="15.75" customHeight="1">
      <c r="A999" s="108"/>
      <c r="B999" s="30"/>
      <c r="C999" s="30"/>
      <c r="D999" s="30"/>
      <c r="E999" s="30"/>
      <c r="F999" s="30"/>
      <c r="G999" s="30"/>
      <c r="H999" s="30"/>
    </row>
    <row r="1000" ht="15.75" customHeight="1">
      <c r="A1000" s="108"/>
      <c r="B1000" s="30"/>
      <c r="C1000" s="30"/>
      <c r="D1000" s="30"/>
      <c r="E1000" s="30"/>
      <c r="F1000" s="30"/>
      <c r="G1000" s="30"/>
      <c r="H1000" s="30"/>
    </row>
  </sheetData>
  <autoFilter ref="$A$1:$F$98"/>
  <conditionalFormatting sqref="G15:G133">
    <cfRule type="cellIs" dxfId="0" priority="1" operator="equal">
      <formula>"PASSED"</formula>
    </cfRule>
  </conditionalFormatting>
  <conditionalFormatting sqref="G15:G133">
    <cfRule type="cellIs" dxfId="1" priority="2" operator="equal">
      <formula>"FAILED"</formula>
    </cfRule>
  </conditionalFormatting>
  <conditionalFormatting sqref="G15:G133">
    <cfRule type="cellIs" dxfId="4" priority="3" operator="equal">
      <formula>"NOT_STARTED"</formula>
    </cfRule>
  </conditionalFormatting>
  <conditionalFormatting sqref="G15:G133">
    <cfRule type="cellIs" dxfId="5" priority="4" operator="equal">
      <formula>"IN_PROGRESS"</formula>
    </cfRule>
  </conditionalFormatting>
  <conditionalFormatting sqref="G15:G133">
    <cfRule type="cellIs" dxfId="6" priority="5" operator="equal">
      <formula>"BLOCKED"</formula>
    </cfRule>
  </conditionalFormatting>
  <dataValidations>
    <dataValidation type="list" allowBlank="1" showInputMessage="1" prompt="Nhấp và nhập một giá trị từ danh sách các mục" sqref="G15:G133">
      <formula1>"NOT_STARTED,PASSED,FAILED,IN_PROGRESS,BLOCKED"</formula1>
    </dataValidation>
  </dataValidation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8" width="18.0"/>
  </cols>
  <sheetData>
    <row r="1" ht="30.0" customHeight="1">
      <c r="A1" s="151" t="s">
        <v>1448</v>
      </c>
      <c r="B1" s="152"/>
      <c r="C1" s="152"/>
      <c r="D1" s="152"/>
      <c r="E1" s="152"/>
      <c r="F1" s="152"/>
      <c r="G1" s="152"/>
      <c r="H1" s="152"/>
      <c r="I1" s="4"/>
      <c r="J1" s="4"/>
      <c r="K1" s="4"/>
      <c r="L1" s="4"/>
      <c r="M1" s="4"/>
      <c r="N1" s="4"/>
      <c r="O1" s="4"/>
      <c r="P1" s="4"/>
      <c r="Q1" s="4"/>
      <c r="R1" s="4"/>
      <c r="S1" s="4"/>
      <c r="T1" s="4"/>
      <c r="U1" s="4"/>
      <c r="V1" s="4"/>
      <c r="W1" s="4"/>
      <c r="X1" s="4"/>
      <c r="Y1" s="4"/>
      <c r="Z1" s="4"/>
    </row>
    <row r="2" ht="25.5" customHeight="1">
      <c r="A2" s="153" t="s">
        <v>1449</v>
      </c>
      <c r="B2" s="153" t="s">
        <v>1450</v>
      </c>
      <c r="C2" s="153" t="s">
        <v>1451</v>
      </c>
      <c r="D2" s="153" t="s">
        <v>1342</v>
      </c>
      <c r="E2" s="153" t="s">
        <v>1341</v>
      </c>
      <c r="F2" s="153" t="s">
        <v>1452</v>
      </c>
      <c r="G2" s="153" t="s">
        <v>1453</v>
      </c>
      <c r="H2" s="153" t="s">
        <v>62</v>
      </c>
      <c r="I2" s="4"/>
      <c r="J2" s="4"/>
      <c r="K2" s="4"/>
      <c r="L2" s="4"/>
      <c r="M2" s="4"/>
      <c r="N2" s="4"/>
      <c r="O2" s="4"/>
      <c r="P2" s="4"/>
      <c r="Q2" s="4"/>
      <c r="R2" s="4"/>
      <c r="S2" s="4"/>
      <c r="T2" s="4"/>
      <c r="U2" s="4"/>
      <c r="V2" s="4"/>
      <c r="W2" s="4"/>
      <c r="X2" s="4"/>
      <c r="Y2" s="4"/>
      <c r="Z2" s="4"/>
    </row>
    <row r="3" ht="23.25" customHeight="1">
      <c r="A3" s="154" t="s">
        <v>1454</v>
      </c>
      <c r="B3" s="155" t="s">
        <v>1455</v>
      </c>
      <c r="C3" s="154" t="s">
        <v>1456</v>
      </c>
      <c r="D3" s="155" t="s">
        <v>15</v>
      </c>
      <c r="E3" s="155" t="s">
        <v>1457</v>
      </c>
      <c r="F3" s="155" t="s">
        <v>16</v>
      </c>
      <c r="G3" s="154" t="s">
        <v>21</v>
      </c>
      <c r="H3" s="155" t="s">
        <v>1458</v>
      </c>
      <c r="I3" s="4"/>
      <c r="J3" s="4"/>
      <c r="K3" s="4"/>
      <c r="L3" s="4"/>
      <c r="M3" s="4"/>
      <c r="N3" s="4"/>
      <c r="O3" s="4"/>
      <c r="P3" s="4"/>
      <c r="Q3" s="4"/>
      <c r="R3" s="4"/>
      <c r="S3" s="4"/>
      <c r="T3" s="4"/>
      <c r="U3" s="4"/>
      <c r="V3" s="4"/>
      <c r="W3" s="4"/>
      <c r="X3" s="4"/>
      <c r="Y3" s="4"/>
      <c r="Z3" s="4"/>
    </row>
    <row r="4" ht="15.0" customHeight="1">
      <c r="A4" s="4"/>
      <c r="B4" s="4"/>
      <c r="C4" s="4"/>
      <c r="D4" s="4"/>
      <c r="E4" s="4"/>
      <c r="F4" s="4"/>
      <c r="G4" s="4"/>
      <c r="H4" s="4"/>
      <c r="I4" s="4"/>
      <c r="J4" s="4"/>
      <c r="K4" s="4"/>
      <c r="L4" s="4"/>
      <c r="M4" s="4"/>
      <c r="N4" s="4"/>
      <c r="O4" s="4"/>
      <c r="P4" s="4"/>
      <c r="Q4" s="4"/>
      <c r="R4" s="4"/>
      <c r="S4" s="4"/>
      <c r="T4" s="4"/>
      <c r="U4" s="4"/>
      <c r="V4" s="4"/>
      <c r="W4" s="4"/>
      <c r="X4" s="4"/>
      <c r="Y4" s="4"/>
      <c r="Z4" s="4"/>
    </row>
    <row r="5" ht="15.0" customHeight="1">
      <c r="A5" s="4"/>
      <c r="B5" s="4"/>
      <c r="C5" s="4"/>
      <c r="D5" s="4"/>
      <c r="E5" s="4"/>
      <c r="F5" s="4"/>
      <c r="G5" s="4"/>
      <c r="H5" s="4"/>
      <c r="I5" s="4"/>
      <c r="J5" s="4"/>
      <c r="K5" s="4"/>
      <c r="L5" s="4"/>
      <c r="M5" s="4"/>
      <c r="N5" s="4"/>
      <c r="O5" s="4"/>
      <c r="P5" s="4"/>
      <c r="Q5" s="4"/>
      <c r="R5" s="4"/>
      <c r="S5" s="4"/>
      <c r="T5" s="4"/>
      <c r="U5" s="4"/>
      <c r="V5" s="4"/>
      <c r="W5" s="4"/>
      <c r="X5" s="4"/>
      <c r="Y5" s="4"/>
      <c r="Z5" s="4"/>
    </row>
    <row r="6" ht="15.0" customHeight="1">
      <c r="A6" s="4"/>
      <c r="B6" s="4"/>
      <c r="C6" s="4"/>
      <c r="D6" s="4"/>
      <c r="E6" s="4"/>
      <c r="F6" s="4"/>
      <c r="G6" s="4"/>
      <c r="H6" s="4"/>
      <c r="I6" s="4"/>
      <c r="J6" s="4"/>
      <c r="K6" s="4"/>
      <c r="L6" s="4"/>
      <c r="M6" s="4"/>
      <c r="N6" s="4"/>
      <c r="O6" s="4"/>
      <c r="P6" s="4"/>
      <c r="Q6" s="4"/>
      <c r="R6" s="4"/>
      <c r="S6" s="4"/>
      <c r="T6" s="4"/>
      <c r="U6" s="4"/>
      <c r="V6" s="4"/>
      <c r="W6" s="4"/>
      <c r="X6" s="4"/>
      <c r="Y6" s="4"/>
      <c r="Z6" s="4"/>
    </row>
    <row r="7" ht="15.0" customHeight="1">
      <c r="A7" s="4"/>
      <c r="B7" s="4"/>
      <c r="C7" s="4"/>
      <c r="D7" s="4"/>
      <c r="E7" s="4"/>
      <c r="F7" s="4"/>
      <c r="G7" s="4"/>
      <c r="H7" s="4"/>
      <c r="I7" s="4"/>
      <c r="J7" s="4"/>
      <c r="K7" s="4"/>
      <c r="L7" s="4"/>
      <c r="M7" s="4"/>
      <c r="N7" s="4"/>
      <c r="O7" s="4"/>
      <c r="P7" s="4"/>
      <c r="Q7" s="4"/>
      <c r="R7" s="4"/>
      <c r="S7" s="4"/>
      <c r="T7" s="4"/>
      <c r="U7" s="4"/>
      <c r="V7" s="4"/>
      <c r="W7" s="4"/>
      <c r="X7" s="4"/>
      <c r="Y7" s="4"/>
      <c r="Z7" s="4"/>
    </row>
    <row r="8" ht="15.0" customHeight="1">
      <c r="A8" s="4"/>
      <c r="B8" s="4"/>
      <c r="C8" s="4"/>
      <c r="D8" s="4"/>
      <c r="E8" s="4"/>
      <c r="F8" s="4"/>
      <c r="G8" s="4"/>
      <c r="H8" s="4"/>
      <c r="I8" s="4"/>
      <c r="J8" s="4"/>
      <c r="K8" s="4"/>
      <c r="L8" s="4"/>
      <c r="M8" s="4"/>
      <c r="N8" s="4"/>
      <c r="O8" s="4"/>
      <c r="P8" s="4"/>
      <c r="Q8" s="4"/>
      <c r="R8" s="4"/>
      <c r="S8" s="4"/>
      <c r="T8" s="4"/>
      <c r="U8" s="4"/>
      <c r="V8" s="4"/>
      <c r="W8" s="4"/>
      <c r="X8" s="4"/>
      <c r="Y8" s="4"/>
      <c r="Z8" s="4"/>
    </row>
    <row r="9" ht="15.0" customHeight="1">
      <c r="A9" s="4"/>
      <c r="B9" s="4"/>
      <c r="C9" s="4"/>
      <c r="D9" s="4"/>
      <c r="E9" s="4"/>
      <c r="F9" s="4"/>
      <c r="G9" s="4"/>
      <c r="H9" s="4"/>
      <c r="I9" s="4"/>
      <c r="J9" s="4"/>
      <c r="K9" s="4"/>
      <c r="L9" s="4"/>
      <c r="M9" s="4"/>
      <c r="N9" s="4"/>
      <c r="O9" s="4"/>
      <c r="P9" s="4"/>
      <c r="Q9" s="4"/>
      <c r="R9" s="4"/>
      <c r="S9" s="4"/>
      <c r="T9" s="4"/>
      <c r="U9" s="4"/>
      <c r="V9" s="4"/>
      <c r="W9" s="4"/>
      <c r="X9" s="4"/>
      <c r="Y9" s="4"/>
      <c r="Z9" s="4"/>
    </row>
    <row r="10" ht="15.0"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ht="15.0" customHeight="1">
      <c r="A11" s="4"/>
      <c r="B11" s="4"/>
      <c r="C11" s="4"/>
      <c r="D11" s="4"/>
      <c r="E11" s="4"/>
      <c r="F11" s="4"/>
      <c r="G11" s="4"/>
      <c r="H11" s="4"/>
      <c r="I11" s="4"/>
      <c r="J11" s="4"/>
      <c r="K11" s="4"/>
      <c r="L11" s="4"/>
      <c r="M11" s="4"/>
      <c r="N11" s="4"/>
      <c r="O11" s="4"/>
      <c r="P11" s="4"/>
      <c r="Q11" s="4"/>
      <c r="R11" s="4"/>
      <c r="S11" s="4"/>
      <c r="T11" s="4"/>
      <c r="U11" s="4"/>
      <c r="V11" s="4"/>
      <c r="W11" s="4"/>
      <c r="X11" s="4"/>
      <c r="Y11" s="4"/>
      <c r="Z11" s="4"/>
    </row>
    <row r="12" ht="15.0"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ht="15.0"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15.0"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15.0"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5.0"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5.0"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5.0"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5.0"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5.0"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30"/>
      <c r="B221" s="30"/>
      <c r="C221" s="30"/>
      <c r="D221" s="30"/>
      <c r="E221" s="30"/>
      <c r="F221" s="30"/>
      <c r="G221" s="30"/>
      <c r="H221" s="30"/>
    </row>
    <row r="222" ht="15.75" customHeight="1">
      <c r="A222" s="30"/>
      <c r="B222" s="30"/>
      <c r="C222" s="30"/>
      <c r="D222" s="30"/>
      <c r="E222" s="30"/>
      <c r="F222" s="30"/>
      <c r="G222" s="30"/>
      <c r="H222" s="30"/>
    </row>
    <row r="223" ht="15.75" customHeight="1">
      <c r="A223" s="30"/>
      <c r="B223" s="30"/>
      <c r="C223" s="30"/>
      <c r="D223" s="30"/>
      <c r="E223" s="30"/>
      <c r="F223" s="30"/>
      <c r="G223" s="30"/>
      <c r="H223" s="30"/>
    </row>
    <row r="224" ht="15.75" customHeight="1">
      <c r="A224" s="30"/>
      <c r="B224" s="30"/>
      <c r="C224" s="30"/>
      <c r="D224" s="30"/>
      <c r="E224" s="30"/>
      <c r="F224" s="30"/>
      <c r="G224" s="30"/>
      <c r="H224" s="30"/>
    </row>
    <row r="225" ht="15.75" customHeight="1">
      <c r="A225" s="30"/>
      <c r="B225" s="30"/>
      <c r="C225" s="30"/>
      <c r="D225" s="30"/>
      <c r="E225" s="30"/>
      <c r="F225" s="30"/>
      <c r="G225" s="30"/>
      <c r="H225" s="30"/>
    </row>
    <row r="226" ht="15.75" customHeight="1">
      <c r="A226" s="30"/>
      <c r="B226" s="30"/>
      <c r="C226" s="30"/>
      <c r="D226" s="30"/>
      <c r="E226" s="30"/>
      <c r="F226" s="30"/>
      <c r="G226" s="30"/>
      <c r="H226" s="30"/>
    </row>
    <row r="227" ht="15.75" customHeight="1">
      <c r="A227" s="30"/>
      <c r="B227" s="30"/>
      <c r="C227" s="30"/>
      <c r="D227" s="30"/>
      <c r="E227" s="30"/>
      <c r="F227" s="30"/>
      <c r="G227" s="30"/>
      <c r="H227" s="30"/>
    </row>
    <row r="228" ht="15.75" customHeight="1">
      <c r="A228" s="30"/>
      <c r="B228" s="30"/>
      <c r="C228" s="30"/>
      <c r="D228" s="30"/>
      <c r="E228" s="30"/>
      <c r="F228" s="30"/>
      <c r="G228" s="30"/>
      <c r="H228" s="30"/>
    </row>
    <row r="229" ht="15.75" customHeight="1">
      <c r="A229" s="30"/>
      <c r="B229" s="30"/>
      <c r="C229" s="30"/>
      <c r="D229" s="30"/>
      <c r="E229" s="30"/>
      <c r="F229" s="30"/>
      <c r="G229" s="30"/>
      <c r="H229" s="30"/>
    </row>
    <row r="230" ht="15.75" customHeight="1">
      <c r="A230" s="30"/>
      <c r="B230" s="30"/>
      <c r="C230" s="30"/>
      <c r="D230" s="30"/>
      <c r="E230" s="30"/>
      <c r="F230" s="30"/>
      <c r="G230" s="30"/>
      <c r="H230" s="30"/>
    </row>
    <row r="231" ht="15.75" customHeight="1">
      <c r="A231" s="30"/>
      <c r="B231" s="30"/>
      <c r="C231" s="30"/>
      <c r="D231" s="30"/>
      <c r="E231" s="30"/>
      <c r="F231" s="30"/>
      <c r="G231" s="30"/>
      <c r="H231" s="30"/>
    </row>
    <row r="232" ht="15.75" customHeight="1">
      <c r="A232" s="30"/>
      <c r="B232" s="30"/>
      <c r="C232" s="30"/>
      <c r="D232" s="30"/>
      <c r="E232" s="30"/>
      <c r="F232" s="30"/>
      <c r="G232" s="30"/>
      <c r="H232" s="30"/>
    </row>
    <row r="233" ht="15.75" customHeight="1">
      <c r="A233" s="30"/>
      <c r="B233" s="30"/>
      <c r="C233" s="30"/>
      <c r="D233" s="30"/>
      <c r="E233" s="30"/>
      <c r="F233" s="30"/>
      <c r="G233" s="30"/>
      <c r="H233" s="30"/>
    </row>
    <row r="234" ht="15.75" customHeight="1">
      <c r="A234" s="30"/>
      <c r="B234" s="30"/>
      <c r="C234" s="30"/>
      <c r="D234" s="30"/>
      <c r="E234" s="30"/>
      <c r="F234" s="30"/>
      <c r="G234" s="30"/>
      <c r="H234" s="30"/>
    </row>
    <row r="235" ht="15.75" customHeight="1">
      <c r="A235" s="30"/>
      <c r="B235" s="30"/>
      <c r="C235" s="30"/>
      <c r="D235" s="30"/>
      <c r="E235" s="30"/>
      <c r="F235" s="30"/>
      <c r="G235" s="30"/>
      <c r="H235" s="30"/>
    </row>
    <row r="236" ht="15.75" customHeight="1">
      <c r="A236" s="30"/>
      <c r="B236" s="30"/>
      <c r="C236" s="30"/>
      <c r="D236" s="30"/>
      <c r="E236" s="30"/>
      <c r="F236" s="30"/>
      <c r="G236" s="30"/>
      <c r="H236" s="30"/>
    </row>
    <row r="237" ht="15.75" customHeight="1">
      <c r="A237" s="30"/>
      <c r="B237" s="30"/>
      <c r="C237" s="30"/>
      <c r="D237" s="30"/>
      <c r="E237" s="30"/>
      <c r="F237" s="30"/>
      <c r="G237" s="30"/>
      <c r="H237" s="30"/>
    </row>
    <row r="238" ht="15.75" customHeight="1">
      <c r="A238" s="30"/>
      <c r="B238" s="30"/>
      <c r="C238" s="30"/>
      <c r="D238" s="30"/>
      <c r="E238" s="30"/>
      <c r="F238" s="30"/>
      <c r="G238" s="30"/>
      <c r="H238" s="30"/>
    </row>
    <row r="239" ht="15.75" customHeight="1">
      <c r="A239" s="30"/>
      <c r="B239" s="30"/>
      <c r="C239" s="30"/>
      <c r="D239" s="30"/>
      <c r="E239" s="30"/>
      <c r="F239" s="30"/>
      <c r="G239" s="30"/>
      <c r="H239" s="30"/>
    </row>
    <row r="240" ht="15.75" customHeight="1">
      <c r="A240" s="30"/>
      <c r="B240" s="30"/>
      <c r="C240" s="30"/>
      <c r="D240" s="30"/>
      <c r="E240" s="30"/>
      <c r="F240" s="30"/>
      <c r="G240" s="30"/>
      <c r="H240" s="30"/>
    </row>
    <row r="241" ht="15.75" customHeight="1">
      <c r="A241" s="30"/>
      <c r="B241" s="30"/>
      <c r="C241" s="30"/>
      <c r="D241" s="30"/>
      <c r="E241" s="30"/>
      <c r="F241" s="30"/>
      <c r="G241" s="30"/>
      <c r="H241" s="30"/>
    </row>
    <row r="242" ht="15.75" customHeight="1">
      <c r="A242" s="30"/>
      <c r="B242" s="30"/>
      <c r="C242" s="30"/>
      <c r="D242" s="30"/>
      <c r="E242" s="30"/>
      <c r="F242" s="30"/>
      <c r="G242" s="30"/>
      <c r="H242" s="30"/>
    </row>
    <row r="243" ht="15.75" customHeight="1">
      <c r="A243" s="30"/>
      <c r="B243" s="30"/>
      <c r="C243" s="30"/>
      <c r="D243" s="30"/>
      <c r="E243" s="30"/>
      <c r="F243" s="30"/>
      <c r="G243" s="30"/>
      <c r="H243" s="30"/>
    </row>
    <row r="244" ht="15.75" customHeight="1">
      <c r="A244" s="30"/>
      <c r="B244" s="30"/>
      <c r="C244" s="30"/>
      <c r="D244" s="30"/>
      <c r="E244" s="30"/>
      <c r="F244" s="30"/>
      <c r="G244" s="30"/>
      <c r="H244" s="30"/>
    </row>
    <row r="245" ht="15.75" customHeight="1">
      <c r="A245" s="30"/>
      <c r="B245" s="30"/>
      <c r="C245" s="30"/>
      <c r="D245" s="30"/>
      <c r="E245" s="30"/>
      <c r="F245" s="30"/>
      <c r="G245" s="30"/>
      <c r="H245" s="30"/>
    </row>
    <row r="246" ht="15.75" customHeight="1">
      <c r="A246" s="30"/>
      <c r="B246" s="30"/>
      <c r="C246" s="30"/>
      <c r="D246" s="30"/>
      <c r="E246" s="30"/>
      <c r="F246" s="30"/>
      <c r="G246" s="30"/>
      <c r="H246" s="30"/>
    </row>
    <row r="247" ht="15.75" customHeight="1">
      <c r="A247" s="30"/>
      <c r="B247" s="30"/>
      <c r="C247" s="30"/>
      <c r="D247" s="30"/>
      <c r="E247" s="30"/>
      <c r="F247" s="30"/>
      <c r="G247" s="30"/>
      <c r="H247" s="30"/>
    </row>
    <row r="248" ht="15.75" customHeight="1">
      <c r="A248" s="30"/>
      <c r="B248" s="30"/>
      <c r="C248" s="30"/>
      <c r="D248" s="30"/>
      <c r="E248" s="30"/>
      <c r="F248" s="30"/>
      <c r="G248" s="30"/>
      <c r="H248" s="30"/>
    </row>
    <row r="249" ht="15.75" customHeight="1">
      <c r="A249" s="30"/>
      <c r="B249" s="30"/>
      <c r="C249" s="30"/>
      <c r="D249" s="30"/>
      <c r="E249" s="30"/>
      <c r="F249" s="30"/>
      <c r="G249" s="30"/>
      <c r="H249" s="30"/>
    </row>
    <row r="250" ht="15.75" customHeight="1">
      <c r="A250" s="30"/>
      <c r="B250" s="30"/>
      <c r="C250" s="30"/>
      <c r="D250" s="30"/>
      <c r="E250" s="30"/>
      <c r="F250" s="30"/>
      <c r="G250" s="30"/>
      <c r="H250" s="30"/>
    </row>
    <row r="251" ht="15.75" customHeight="1">
      <c r="A251" s="30"/>
      <c r="B251" s="30"/>
      <c r="C251" s="30"/>
      <c r="D251" s="30"/>
      <c r="E251" s="30"/>
      <c r="F251" s="30"/>
      <c r="G251" s="30"/>
      <c r="H251" s="30"/>
    </row>
    <row r="252" ht="15.75" customHeight="1">
      <c r="A252" s="30"/>
      <c r="B252" s="30"/>
      <c r="C252" s="30"/>
      <c r="D252" s="30"/>
      <c r="E252" s="30"/>
      <c r="F252" s="30"/>
      <c r="G252" s="30"/>
      <c r="H252" s="30"/>
    </row>
    <row r="253" ht="15.75" customHeight="1">
      <c r="A253" s="30"/>
      <c r="B253" s="30"/>
      <c r="C253" s="30"/>
      <c r="D253" s="30"/>
      <c r="E253" s="30"/>
      <c r="F253" s="30"/>
      <c r="G253" s="30"/>
      <c r="H253" s="30"/>
    </row>
    <row r="254" ht="15.75" customHeight="1">
      <c r="A254" s="30"/>
      <c r="B254" s="30"/>
      <c r="C254" s="30"/>
      <c r="D254" s="30"/>
      <c r="E254" s="30"/>
      <c r="F254" s="30"/>
      <c r="G254" s="30"/>
      <c r="H254" s="30"/>
    </row>
    <row r="255" ht="15.75" customHeight="1">
      <c r="A255" s="30"/>
      <c r="B255" s="30"/>
      <c r="C255" s="30"/>
      <c r="D255" s="30"/>
      <c r="E255" s="30"/>
      <c r="F255" s="30"/>
      <c r="G255" s="30"/>
      <c r="H255" s="30"/>
    </row>
    <row r="256" ht="15.75" customHeight="1">
      <c r="A256" s="30"/>
      <c r="B256" s="30"/>
      <c r="C256" s="30"/>
      <c r="D256" s="30"/>
      <c r="E256" s="30"/>
      <c r="F256" s="30"/>
      <c r="G256" s="30"/>
      <c r="H256" s="30"/>
    </row>
    <row r="257" ht="15.75" customHeight="1">
      <c r="A257" s="30"/>
      <c r="B257" s="30"/>
      <c r="C257" s="30"/>
      <c r="D257" s="30"/>
      <c r="E257" s="30"/>
      <c r="F257" s="30"/>
      <c r="G257" s="30"/>
      <c r="H257" s="30"/>
    </row>
    <row r="258" ht="15.75" customHeight="1">
      <c r="A258" s="30"/>
      <c r="B258" s="30"/>
      <c r="C258" s="30"/>
      <c r="D258" s="30"/>
      <c r="E258" s="30"/>
      <c r="F258" s="30"/>
      <c r="G258" s="30"/>
      <c r="H258" s="30"/>
    </row>
    <row r="259" ht="15.75" customHeight="1">
      <c r="A259" s="30"/>
      <c r="B259" s="30"/>
      <c r="C259" s="30"/>
      <c r="D259" s="30"/>
      <c r="E259" s="30"/>
      <c r="F259" s="30"/>
      <c r="G259" s="30"/>
      <c r="H259" s="30"/>
    </row>
    <row r="260" ht="15.75" customHeight="1">
      <c r="A260" s="30"/>
      <c r="B260" s="30"/>
      <c r="C260" s="30"/>
      <c r="D260" s="30"/>
      <c r="E260" s="30"/>
      <c r="F260" s="30"/>
      <c r="G260" s="30"/>
      <c r="H260" s="30"/>
    </row>
    <row r="261" ht="15.75" customHeight="1">
      <c r="A261" s="30"/>
      <c r="B261" s="30"/>
      <c r="C261" s="30"/>
      <c r="D261" s="30"/>
      <c r="E261" s="30"/>
      <c r="F261" s="30"/>
      <c r="G261" s="30"/>
      <c r="H261" s="30"/>
    </row>
    <row r="262" ht="15.75" customHeight="1">
      <c r="A262" s="30"/>
      <c r="B262" s="30"/>
      <c r="C262" s="30"/>
      <c r="D262" s="30"/>
      <c r="E262" s="30"/>
      <c r="F262" s="30"/>
      <c r="G262" s="30"/>
      <c r="H262" s="30"/>
    </row>
    <row r="263" ht="15.75" customHeight="1">
      <c r="A263" s="30"/>
      <c r="B263" s="30"/>
      <c r="C263" s="30"/>
      <c r="D263" s="30"/>
      <c r="E263" s="30"/>
      <c r="F263" s="30"/>
      <c r="G263" s="30"/>
      <c r="H263" s="30"/>
    </row>
    <row r="264" ht="15.75" customHeight="1">
      <c r="A264" s="30"/>
      <c r="B264" s="30"/>
      <c r="C264" s="30"/>
      <c r="D264" s="30"/>
      <c r="E264" s="30"/>
      <c r="F264" s="30"/>
      <c r="G264" s="30"/>
      <c r="H264" s="30"/>
    </row>
    <row r="265" ht="15.75" customHeight="1">
      <c r="A265" s="30"/>
      <c r="B265" s="30"/>
      <c r="C265" s="30"/>
      <c r="D265" s="30"/>
      <c r="E265" s="30"/>
      <c r="F265" s="30"/>
      <c r="G265" s="30"/>
      <c r="H265" s="30"/>
    </row>
    <row r="266" ht="15.75" customHeight="1">
      <c r="A266" s="30"/>
      <c r="B266" s="30"/>
      <c r="C266" s="30"/>
      <c r="D266" s="30"/>
      <c r="E266" s="30"/>
      <c r="F266" s="30"/>
      <c r="G266" s="30"/>
      <c r="H266" s="30"/>
    </row>
    <row r="267" ht="15.75" customHeight="1">
      <c r="A267" s="30"/>
      <c r="B267" s="30"/>
      <c r="C267" s="30"/>
      <c r="D267" s="30"/>
      <c r="E267" s="30"/>
      <c r="F267" s="30"/>
      <c r="G267" s="30"/>
      <c r="H267" s="30"/>
    </row>
    <row r="268" ht="15.75" customHeight="1">
      <c r="A268" s="30"/>
      <c r="B268" s="30"/>
      <c r="C268" s="30"/>
      <c r="D268" s="30"/>
      <c r="E268" s="30"/>
      <c r="F268" s="30"/>
      <c r="G268" s="30"/>
      <c r="H268" s="30"/>
    </row>
    <row r="269" ht="15.75" customHeight="1">
      <c r="A269" s="30"/>
      <c r="B269" s="30"/>
      <c r="C269" s="30"/>
      <c r="D269" s="30"/>
      <c r="E269" s="30"/>
      <c r="F269" s="30"/>
      <c r="G269" s="30"/>
      <c r="H269" s="30"/>
    </row>
    <row r="270" ht="15.75" customHeight="1">
      <c r="A270" s="30"/>
      <c r="B270" s="30"/>
      <c r="C270" s="30"/>
      <c r="D270" s="30"/>
      <c r="E270" s="30"/>
      <c r="F270" s="30"/>
      <c r="G270" s="30"/>
      <c r="H270" s="30"/>
    </row>
    <row r="271" ht="15.75" customHeight="1">
      <c r="A271" s="30"/>
      <c r="B271" s="30"/>
      <c r="C271" s="30"/>
      <c r="D271" s="30"/>
      <c r="E271" s="30"/>
      <c r="F271" s="30"/>
      <c r="G271" s="30"/>
      <c r="H271" s="30"/>
    </row>
    <row r="272" ht="15.75" customHeight="1">
      <c r="A272" s="30"/>
      <c r="B272" s="30"/>
      <c r="C272" s="30"/>
      <c r="D272" s="30"/>
      <c r="E272" s="30"/>
      <c r="F272" s="30"/>
      <c r="G272" s="30"/>
      <c r="H272" s="30"/>
    </row>
    <row r="273" ht="15.75" customHeight="1">
      <c r="A273" s="30"/>
      <c r="B273" s="30"/>
      <c r="C273" s="30"/>
      <c r="D273" s="30"/>
      <c r="E273" s="30"/>
      <c r="F273" s="30"/>
      <c r="G273" s="30"/>
      <c r="H273" s="30"/>
    </row>
    <row r="274" ht="15.75" customHeight="1">
      <c r="A274" s="30"/>
      <c r="B274" s="30"/>
      <c r="C274" s="30"/>
      <c r="D274" s="30"/>
      <c r="E274" s="30"/>
      <c r="F274" s="30"/>
      <c r="G274" s="30"/>
      <c r="H274" s="30"/>
    </row>
    <row r="275" ht="15.75" customHeight="1">
      <c r="A275" s="30"/>
      <c r="B275" s="30"/>
      <c r="C275" s="30"/>
      <c r="D275" s="30"/>
      <c r="E275" s="30"/>
      <c r="F275" s="30"/>
      <c r="G275" s="30"/>
      <c r="H275" s="30"/>
    </row>
    <row r="276" ht="15.75" customHeight="1">
      <c r="A276" s="30"/>
      <c r="B276" s="30"/>
      <c r="C276" s="30"/>
      <c r="D276" s="30"/>
      <c r="E276" s="30"/>
      <c r="F276" s="30"/>
      <c r="G276" s="30"/>
      <c r="H276" s="30"/>
    </row>
    <row r="277" ht="15.75" customHeight="1">
      <c r="A277" s="30"/>
      <c r="B277" s="30"/>
      <c r="C277" s="30"/>
      <c r="D277" s="30"/>
      <c r="E277" s="30"/>
      <c r="F277" s="30"/>
      <c r="G277" s="30"/>
      <c r="H277" s="30"/>
    </row>
    <row r="278" ht="15.75" customHeight="1">
      <c r="A278" s="30"/>
      <c r="B278" s="30"/>
      <c r="C278" s="30"/>
      <c r="D278" s="30"/>
      <c r="E278" s="30"/>
      <c r="F278" s="30"/>
      <c r="G278" s="30"/>
      <c r="H278" s="30"/>
    </row>
    <row r="279" ht="15.75" customHeight="1">
      <c r="A279" s="30"/>
      <c r="B279" s="30"/>
      <c r="C279" s="30"/>
      <c r="D279" s="30"/>
      <c r="E279" s="30"/>
      <c r="F279" s="30"/>
      <c r="G279" s="30"/>
      <c r="H279" s="30"/>
    </row>
    <row r="280" ht="15.75" customHeight="1">
      <c r="A280" s="30"/>
      <c r="B280" s="30"/>
      <c r="C280" s="30"/>
      <c r="D280" s="30"/>
      <c r="E280" s="30"/>
      <c r="F280" s="30"/>
      <c r="G280" s="30"/>
      <c r="H280" s="30"/>
    </row>
    <row r="281" ht="15.75" customHeight="1">
      <c r="A281" s="30"/>
      <c r="B281" s="30"/>
      <c r="C281" s="30"/>
      <c r="D281" s="30"/>
      <c r="E281" s="30"/>
      <c r="F281" s="30"/>
      <c r="G281" s="30"/>
      <c r="H281" s="30"/>
    </row>
    <row r="282" ht="15.75" customHeight="1">
      <c r="A282" s="30"/>
      <c r="B282" s="30"/>
      <c r="C282" s="30"/>
      <c r="D282" s="30"/>
      <c r="E282" s="30"/>
      <c r="F282" s="30"/>
      <c r="G282" s="30"/>
      <c r="H282" s="30"/>
    </row>
    <row r="283" ht="15.75" customHeight="1">
      <c r="A283" s="30"/>
      <c r="B283" s="30"/>
      <c r="C283" s="30"/>
      <c r="D283" s="30"/>
      <c r="E283" s="30"/>
      <c r="F283" s="30"/>
      <c r="G283" s="30"/>
      <c r="H283" s="30"/>
    </row>
    <row r="284" ht="15.75" customHeight="1">
      <c r="A284" s="30"/>
      <c r="B284" s="30"/>
      <c r="C284" s="30"/>
      <c r="D284" s="30"/>
      <c r="E284" s="30"/>
      <c r="F284" s="30"/>
      <c r="G284" s="30"/>
      <c r="H284" s="30"/>
    </row>
    <row r="285" ht="15.75" customHeight="1">
      <c r="A285" s="30"/>
      <c r="B285" s="30"/>
      <c r="C285" s="30"/>
      <c r="D285" s="30"/>
      <c r="E285" s="30"/>
      <c r="F285" s="30"/>
      <c r="G285" s="30"/>
      <c r="H285" s="30"/>
    </row>
    <row r="286" ht="15.75" customHeight="1">
      <c r="A286" s="30"/>
      <c r="B286" s="30"/>
      <c r="C286" s="30"/>
      <c r="D286" s="30"/>
      <c r="E286" s="30"/>
      <c r="F286" s="30"/>
      <c r="G286" s="30"/>
      <c r="H286" s="30"/>
    </row>
    <row r="287" ht="15.75" customHeight="1">
      <c r="A287" s="30"/>
      <c r="B287" s="30"/>
      <c r="C287" s="30"/>
      <c r="D287" s="30"/>
      <c r="E287" s="30"/>
      <c r="F287" s="30"/>
      <c r="G287" s="30"/>
      <c r="H287" s="30"/>
    </row>
    <row r="288" ht="15.75" customHeight="1">
      <c r="A288" s="30"/>
      <c r="B288" s="30"/>
      <c r="C288" s="30"/>
      <c r="D288" s="30"/>
      <c r="E288" s="30"/>
      <c r="F288" s="30"/>
      <c r="G288" s="30"/>
      <c r="H288" s="30"/>
    </row>
    <row r="289" ht="15.75" customHeight="1">
      <c r="A289" s="30"/>
      <c r="B289" s="30"/>
      <c r="C289" s="30"/>
      <c r="D289" s="30"/>
      <c r="E289" s="30"/>
      <c r="F289" s="30"/>
      <c r="G289" s="30"/>
      <c r="H289" s="30"/>
    </row>
    <row r="290" ht="15.75" customHeight="1">
      <c r="A290" s="30"/>
      <c r="B290" s="30"/>
      <c r="C290" s="30"/>
      <c r="D290" s="30"/>
      <c r="E290" s="30"/>
      <c r="F290" s="30"/>
      <c r="G290" s="30"/>
      <c r="H290" s="30"/>
    </row>
    <row r="291" ht="15.75" customHeight="1">
      <c r="A291" s="30"/>
      <c r="B291" s="30"/>
      <c r="C291" s="30"/>
      <c r="D291" s="30"/>
      <c r="E291" s="30"/>
      <c r="F291" s="30"/>
      <c r="G291" s="30"/>
      <c r="H291" s="30"/>
    </row>
    <row r="292" ht="15.75" customHeight="1">
      <c r="A292" s="30"/>
      <c r="B292" s="30"/>
      <c r="C292" s="30"/>
      <c r="D292" s="30"/>
      <c r="E292" s="30"/>
      <c r="F292" s="30"/>
      <c r="G292" s="30"/>
      <c r="H292" s="30"/>
    </row>
    <row r="293" ht="15.75" customHeight="1">
      <c r="A293" s="30"/>
      <c r="B293" s="30"/>
      <c r="C293" s="30"/>
      <c r="D293" s="30"/>
      <c r="E293" s="30"/>
      <c r="F293" s="30"/>
      <c r="G293" s="30"/>
      <c r="H293" s="30"/>
    </row>
    <row r="294" ht="15.75" customHeight="1">
      <c r="A294" s="30"/>
      <c r="B294" s="30"/>
      <c r="C294" s="30"/>
      <c r="D294" s="30"/>
      <c r="E294" s="30"/>
      <c r="F294" s="30"/>
      <c r="G294" s="30"/>
      <c r="H294" s="30"/>
    </row>
    <row r="295" ht="15.75" customHeight="1">
      <c r="A295" s="30"/>
      <c r="B295" s="30"/>
      <c r="C295" s="30"/>
      <c r="D295" s="30"/>
      <c r="E295" s="30"/>
      <c r="F295" s="30"/>
      <c r="G295" s="30"/>
      <c r="H295" s="30"/>
    </row>
    <row r="296" ht="15.75" customHeight="1">
      <c r="A296" s="30"/>
      <c r="B296" s="30"/>
      <c r="C296" s="30"/>
      <c r="D296" s="30"/>
      <c r="E296" s="30"/>
      <c r="F296" s="30"/>
      <c r="G296" s="30"/>
      <c r="H296" s="30"/>
    </row>
    <row r="297" ht="15.75" customHeight="1">
      <c r="A297" s="30"/>
      <c r="B297" s="30"/>
      <c r="C297" s="30"/>
      <c r="D297" s="30"/>
      <c r="E297" s="30"/>
      <c r="F297" s="30"/>
      <c r="G297" s="30"/>
      <c r="H297" s="30"/>
    </row>
    <row r="298" ht="15.75" customHeight="1">
      <c r="A298" s="30"/>
      <c r="B298" s="30"/>
      <c r="C298" s="30"/>
      <c r="D298" s="30"/>
      <c r="E298" s="30"/>
      <c r="F298" s="30"/>
      <c r="G298" s="30"/>
      <c r="H298" s="30"/>
    </row>
    <row r="299" ht="15.75" customHeight="1">
      <c r="A299" s="30"/>
      <c r="B299" s="30"/>
      <c r="C299" s="30"/>
      <c r="D299" s="30"/>
      <c r="E299" s="30"/>
      <c r="F299" s="30"/>
      <c r="G299" s="30"/>
      <c r="H299" s="30"/>
    </row>
    <row r="300" ht="15.75" customHeight="1">
      <c r="A300" s="30"/>
      <c r="B300" s="30"/>
      <c r="C300" s="30"/>
      <c r="D300" s="30"/>
      <c r="E300" s="30"/>
      <c r="F300" s="30"/>
      <c r="G300" s="30"/>
      <c r="H300" s="30"/>
    </row>
    <row r="301" ht="15.75" customHeight="1">
      <c r="A301" s="30"/>
      <c r="B301" s="30"/>
      <c r="C301" s="30"/>
      <c r="D301" s="30"/>
      <c r="E301" s="30"/>
      <c r="F301" s="30"/>
      <c r="G301" s="30"/>
      <c r="H301" s="30"/>
    </row>
    <row r="302" ht="15.75" customHeight="1">
      <c r="A302" s="30"/>
      <c r="B302" s="30"/>
      <c r="C302" s="30"/>
      <c r="D302" s="30"/>
      <c r="E302" s="30"/>
      <c r="F302" s="30"/>
      <c r="G302" s="30"/>
      <c r="H302" s="30"/>
    </row>
    <row r="303" ht="15.75" customHeight="1">
      <c r="A303" s="30"/>
      <c r="B303" s="30"/>
      <c r="C303" s="30"/>
      <c r="D303" s="30"/>
      <c r="E303" s="30"/>
      <c r="F303" s="30"/>
      <c r="G303" s="30"/>
      <c r="H303" s="30"/>
    </row>
    <row r="304" ht="15.75" customHeight="1">
      <c r="A304" s="30"/>
      <c r="B304" s="30"/>
      <c r="C304" s="30"/>
      <c r="D304" s="30"/>
      <c r="E304" s="30"/>
      <c r="F304" s="30"/>
      <c r="G304" s="30"/>
      <c r="H304" s="30"/>
    </row>
    <row r="305" ht="15.75" customHeight="1">
      <c r="A305" s="30"/>
      <c r="B305" s="30"/>
      <c r="C305" s="30"/>
      <c r="D305" s="30"/>
      <c r="E305" s="30"/>
      <c r="F305" s="30"/>
      <c r="G305" s="30"/>
      <c r="H305" s="30"/>
    </row>
    <row r="306" ht="15.75" customHeight="1">
      <c r="A306" s="30"/>
      <c r="B306" s="30"/>
      <c r="C306" s="30"/>
      <c r="D306" s="30"/>
      <c r="E306" s="30"/>
      <c r="F306" s="30"/>
      <c r="G306" s="30"/>
      <c r="H306" s="30"/>
    </row>
    <row r="307" ht="15.75" customHeight="1">
      <c r="A307" s="30"/>
      <c r="B307" s="30"/>
      <c r="C307" s="30"/>
      <c r="D307" s="30"/>
      <c r="E307" s="30"/>
      <c r="F307" s="30"/>
      <c r="G307" s="30"/>
      <c r="H307" s="30"/>
    </row>
    <row r="308" ht="15.75" customHeight="1">
      <c r="A308" s="30"/>
      <c r="B308" s="30"/>
      <c r="C308" s="30"/>
      <c r="D308" s="30"/>
      <c r="E308" s="30"/>
      <c r="F308" s="30"/>
      <c r="G308" s="30"/>
      <c r="H308" s="30"/>
    </row>
    <row r="309" ht="15.75" customHeight="1">
      <c r="A309" s="30"/>
      <c r="B309" s="30"/>
      <c r="C309" s="30"/>
      <c r="D309" s="30"/>
      <c r="E309" s="30"/>
      <c r="F309" s="30"/>
      <c r="G309" s="30"/>
      <c r="H309" s="30"/>
    </row>
    <row r="310" ht="15.75" customHeight="1">
      <c r="A310" s="30"/>
      <c r="B310" s="30"/>
      <c r="C310" s="30"/>
      <c r="D310" s="30"/>
      <c r="E310" s="30"/>
      <c r="F310" s="30"/>
      <c r="G310" s="30"/>
      <c r="H310" s="30"/>
    </row>
    <row r="311" ht="15.75" customHeight="1">
      <c r="A311" s="30"/>
      <c r="B311" s="30"/>
      <c r="C311" s="30"/>
      <c r="D311" s="30"/>
      <c r="E311" s="30"/>
      <c r="F311" s="30"/>
      <c r="G311" s="30"/>
      <c r="H311" s="30"/>
    </row>
    <row r="312" ht="15.75" customHeight="1">
      <c r="A312" s="30"/>
      <c r="B312" s="30"/>
      <c r="C312" s="30"/>
      <c r="D312" s="30"/>
      <c r="E312" s="30"/>
      <c r="F312" s="30"/>
      <c r="G312" s="30"/>
      <c r="H312" s="30"/>
    </row>
    <row r="313" ht="15.75" customHeight="1">
      <c r="A313" s="30"/>
      <c r="B313" s="30"/>
      <c r="C313" s="30"/>
      <c r="D313" s="30"/>
      <c r="E313" s="30"/>
      <c r="F313" s="30"/>
      <c r="G313" s="30"/>
      <c r="H313" s="30"/>
    </row>
    <row r="314" ht="15.75" customHeight="1">
      <c r="A314" s="30"/>
      <c r="B314" s="30"/>
      <c r="C314" s="30"/>
      <c r="D314" s="30"/>
      <c r="E314" s="30"/>
      <c r="F314" s="30"/>
      <c r="G314" s="30"/>
      <c r="H314" s="30"/>
    </row>
    <row r="315" ht="15.75" customHeight="1">
      <c r="A315" s="30"/>
      <c r="B315" s="30"/>
      <c r="C315" s="30"/>
      <c r="D315" s="30"/>
      <c r="E315" s="30"/>
      <c r="F315" s="30"/>
      <c r="G315" s="30"/>
      <c r="H315" s="30"/>
    </row>
    <row r="316" ht="15.75" customHeight="1">
      <c r="A316" s="30"/>
      <c r="B316" s="30"/>
      <c r="C316" s="30"/>
      <c r="D316" s="30"/>
      <c r="E316" s="30"/>
      <c r="F316" s="30"/>
      <c r="G316" s="30"/>
      <c r="H316" s="30"/>
    </row>
    <row r="317" ht="15.75" customHeight="1">
      <c r="A317" s="30"/>
      <c r="B317" s="30"/>
      <c r="C317" s="30"/>
      <c r="D317" s="30"/>
      <c r="E317" s="30"/>
      <c r="F317" s="30"/>
      <c r="G317" s="30"/>
      <c r="H317" s="30"/>
    </row>
    <row r="318" ht="15.75" customHeight="1">
      <c r="A318" s="30"/>
      <c r="B318" s="30"/>
      <c r="C318" s="30"/>
      <c r="D318" s="30"/>
      <c r="E318" s="30"/>
      <c r="F318" s="30"/>
      <c r="G318" s="30"/>
      <c r="H318" s="30"/>
    </row>
    <row r="319" ht="15.75" customHeight="1">
      <c r="A319" s="30"/>
      <c r="B319" s="30"/>
      <c r="C319" s="30"/>
      <c r="D319" s="30"/>
      <c r="E319" s="30"/>
      <c r="F319" s="30"/>
      <c r="G319" s="30"/>
      <c r="H319" s="30"/>
    </row>
    <row r="320" ht="15.75" customHeight="1">
      <c r="A320" s="30"/>
      <c r="B320" s="30"/>
      <c r="C320" s="30"/>
      <c r="D320" s="30"/>
      <c r="E320" s="30"/>
      <c r="F320" s="30"/>
      <c r="G320" s="30"/>
      <c r="H320" s="30"/>
    </row>
    <row r="321" ht="15.75" customHeight="1">
      <c r="A321" s="30"/>
      <c r="B321" s="30"/>
      <c r="C321" s="30"/>
      <c r="D321" s="30"/>
      <c r="E321" s="30"/>
      <c r="F321" s="30"/>
      <c r="G321" s="30"/>
      <c r="H321" s="30"/>
    </row>
    <row r="322" ht="15.75" customHeight="1">
      <c r="A322" s="30"/>
      <c r="B322" s="30"/>
      <c r="C322" s="30"/>
      <c r="D322" s="30"/>
      <c r="E322" s="30"/>
      <c r="F322" s="30"/>
      <c r="G322" s="30"/>
      <c r="H322" s="30"/>
    </row>
    <row r="323" ht="15.75" customHeight="1">
      <c r="A323" s="30"/>
      <c r="B323" s="30"/>
      <c r="C323" s="30"/>
      <c r="D323" s="30"/>
      <c r="E323" s="30"/>
      <c r="F323" s="30"/>
      <c r="G323" s="30"/>
      <c r="H323" s="30"/>
    </row>
    <row r="324" ht="15.75" customHeight="1">
      <c r="A324" s="30"/>
      <c r="B324" s="30"/>
      <c r="C324" s="30"/>
      <c r="D324" s="30"/>
      <c r="E324" s="30"/>
      <c r="F324" s="30"/>
      <c r="G324" s="30"/>
      <c r="H324" s="30"/>
    </row>
    <row r="325" ht="15.75" customHeight="1">
      <c r="A325" s="30"/>
      <c r="B325" s="30"/>
      <c r="C325" s="30"/>
      <c r="D325" s="30"/>
      <c r="E325" s="30"/>
      <c r="F325" s="30"/>
      <c r="G325" s="30"/>
      <c r="H325" s="30"/>
    </row>
    <row r="326" ht="15.75" customHeight="1">
      <c r="A326" s="30"/>
      <c r="B326" s="30"/>
      <c r="C326" s="30"/>
      <c r="D326" s="30"/>
      <c r="E326" s="30"/>
      <c r="F326" s="30"/>
      <c r="G326" s="30"/>
      <c r="H326" s="30"/>
    </row>
    <row r="327" ht="15.75" customHeight="1">
      <c r="A327" s="30"/>
      <c r="B327" s="30"/>
      <c r="C327" s="30"/>
      <c r="D327" s="30"/>
      <c r="E327" s="30"/>
      <c r="F327" s="30"/>
      <c r="G327" s="30"/>
      <c r="H327" s="30"/>
    </row>
    <row r="328" ht="15.75" customHeight="1">
      <c r="A328" s="30"/>
      <c r="B328" s="30"/>
      <c r="C328" s="30"/>
      <c r="D328" s="30"/>
      <c r="E328" s="30"/>
      <c r="F328" s="30"/>
      <c r="G328" s="30"/>
      <c r="H328" s="30"/>
    </row>
    <row r="329" ht="15.75" customHeight="1">
      <c r="A329" s="30"/>
      <c r="B329" s="30"/>
      <c r="C329" s="30"/>
      <c r="D329" s="30"/>
      <c r="E329" s="30"/>
      <c r="F329" s="30"/>
      <c r="G329" s="30"/>
      <c r="H329" s="30"/>
    </row>
    <row r="330" ht="15.75" customHeight="1">
      <c r="A330" s="30"/>
      <c r="B330" s="30"/>
      <c r="C330" s="30"/>
      <c r="D330" s="30"/>
      <c r="E330" s="30"/>
      <c r="F330" s="30"/>
      <c r="G330" s="30"/>
      <c r="H330" s="30"/>
    </row>
    <row r="331" ht="15.75" customHeight="1">
      <c r="A331" s="30"/>
      <c r="B331" s="30"/>
      <c r="C331" s="30"/>
      <c r="D331" s="30"/>
      <c r="E331" s="30"/>
      <c r="F331" s="30"/>
      <c r="G331" s="30"/>
      <c r="H331" s="30"/>
    </row>
    <row r="332" ht="15.75" customHeight="1">
      <c r="A332" s="30"/>
      <c r="B332" s="30"/>
      <c r="C332" s="30"/>
      <c r="D332" s="30"/>
      <c r="E332" s="30"/>
      <c r="F332" s="30"/>
      <c r="G332" s="30"/>
      <c r="H332" s="30"/>
    </row>
    <row r="333" ht="15.75" customHeight="1">
      <c r="A333" s="30"/>
      <c r="B333" s="30"/>
      <c r="C333" s="30"/>
      <c r="D333" s="30"/>
      <c r="E333" s="30"/>
      <c r="F333" s="30"/>
      <c r="G333" s="30"/>
      <c r="H333" s="30"/>
    </row>
    <row r="334" ht="15.75" customHeight="1">
      <c r="A334" s="30"/>
      <c r="B334" s="30"/>
      <c r="C334" s="30"/>
      <c r="D334" s="30"/>
      <c r="E334" s="30"/>
      <c r="F334" s="30"/>
      <c r="G334" s="30"/>
      <c r="H334" s="30"/>
    </row>
    <row r="335" ht="15.75" customHeight="1">
      <c r="A335" s="30"/>
      <c r="B335" s="30"/>
      <c r="C335" s="30"/>
      <c r="D335" s="30"/>
      <c r="E335" s="30"/>
      <c r="F335" s="30"/>
      <c r="G335" s="30"/>
      <c r="H335" s="30"/>
    </row>
    <row r="336" ht="15.75" customHeight="1">
      <c r="A336" s="30"/>
      <c r="B336" s="30"/>
      <c r="C336" s="30"/>
      <c r="D336" s="30"/>
      <c r="E336" s="30"/>
      <c r="F336" s="30"/>
      <c r="G336" s="30"/>
      <c r="H336" s="30"/>
    </row>
    <row r="337" ht="15.75" customHeight="1">
      <c r="A337" s="30"/>
      <c r="B337" s="30"/>
      <c r="C337" s="30"/>
      <c r="D337" s="30"/>
      <c r="E337" s="30"/>
      <c r="F337" s="30"/>
      <c r="G337" s="30"/>
      <c r="H337" s="30"/>
    </row>
    <row r="338" ht="15.75" customHeight="1">
      <c r="A338" s="30"/>
      <c r="B338" s="30"/>
      <c r="C338" s="30"/>
      <c r="D338" s="30"/>
      <c r="E338" s="30"/>
      <c r="F338" s="30"/>
      <c r="G338" s="30"/>
      <c r="H338" s="30"/>
    </row>
    <row r="339" ht="15.75" customHeight="1">
      <c r="A339" s="30"/>
      <c r="B339" s="30"/>
      <c r="C339" s="30"/>
      <c r="D339" s="30"/>
      <c r="E339" s="30"/>
      <c r="F339" s="30"/>
      <c r="G339" s="30"/>
      <c r="H339" s="30"/>
    </row>
    <row r="340" ht="15.75" customHeight="1">
      <c r="A340" s="30"/>
      <c r="B340" s="30"/>
      <c r="C340" s="30"/>
      <c r="D340" s="30"/>
      <c r="E340" s="30"/>
      <c r="F340" s="30"/>
      <c r="G340" s="30"/>
      <c r="H340" s="30"/>
    </row>
    <row r="341" ht="15.75" customHeight="1">
      <c r="A341" s="30"/>
      <c r="B341" s="30"/>
      <c r="C341" s="30"/>
      <c r="D341" s="30"/>
      <c r="E341" s="30"/>
      <c r="F341" s="30"/>
      <c r="G341" s="30"/>
      <c r="H341" s="30"/>
    </row>
    <row r="342" ht="15.75" customHeight="1">
      <c r="A342" s="30"/>
      <c r="B342" s="30"/>
      <c r="C342" s="30"/>
      <c r="D342" s="30"/>
      <c r="E342" s="30"/>
      <c r="F342" s="30"/>
      <c r="G342" s="30"/>
      <c r="H342" s="30"/>
    </row>
    <row r="343" ht="15.75" customHeight="1">
      <c r="A343" s="30"/>
      <c r="B343" s="30"/>
      <c r="C343" s="30"/>
      <c r="D343" s="30"/>
      <c r="E343" s="30"/>
      <c r="F343" s="30"/>
      <c r="G343" s="30"/>
      <c r="H343" s="30"/>
    </row>
    <row r="344" ht="15.75" customHeight="1">
      <c r="A344" s="30"/>
      <c r="B344" s="30"/>
      <c r="C344" s="30"/>
      <c r="D344" s="30"/>
      <c r="E344" s="30"/>
      <c r="F344" s="30"/>
      <c r="G344" s="30"/>
      <c r="H344" s="30"/>
    </row>
    <row r="345" ht="15.75" customHeight="1">
      <c r="A345" s="30"/>
      <c r="B345" s="30"/>
      <c r="C345" s="30"/>
      <c r="D345" s="30"/>
      <c r="E345" s="30"/>
      <c r="F345" s="30"/>
      <c r="G345" s="30"/>
      <c r="H345" s="30"/>
    </row>
    <row r="346" ht="15.75" customHeight="1">
      <c r="A346" s="30"/>
      <c r="B346" s="30"/>
      <c r="C346" s="30"/>
      <c r="D346" s="30"/>
      <c r="E346" s="30"/>
      <c r="F346" s="30"/>
      <c r="G346" s="30"/>
      <c r="H346" s="30"/>
    </row>
    <row r="347" ht="15.75" customHeight="1">
      <c r="A347" s="30"/>
      <c r="B347" s="30"/>
      <c r="C347" s="30"/>
      <c r="D347" s="30"/>
      <c r="E347" s="30"/>
      <c r="F347" s="30"/>
      <c r="G347" s="30"/>
      <c r="H347" s="30"/>
    </row>
    <row r="348" ht="15.75" customHeight="1">
      <c r="A348" s="30"/>
      <c r="B348" s="30"/>
      <c r="C348" s="30"/>
      <c r="D348" s="30"/>
      <c r="E348" s="30"/>
      <c r="F348" s="30"/>
      <c r="G348" s="30"/>
      <c r="H348" s="30"/>
    </row>
    <row r="349" ht="15.75" customHeight="1">
      <c r="A349" s="30"/>
      <c r="B349" s="30"/>
      <c r="C349" s="30"/>
      <c r="D349" s="30"/>
      <c r="E349" s="30"/>
      <c r="F349" s="30"/>
      <c r="G349" s="30"/>
      <c r="H349" s="30"/>
    </row>
    <row r="350" ht="15.75" customHeight="1">
      <c r="A350" s="30"/>
      <c r="B350" s="30"/>
      <c r="C350" s="30"/>
      <c r="D350" s="30"/>
      <c r="E350" s="30"/>
      <c r="F350" s="30"/>
      <c r="G350" s="30"/>
      <c r="H350" s="30"/>
    </row>
    <row r="351" ht="15.75" customHeight="1">
      <c r="A351" s="30"/>
      <c r="B351" s="30"/>
      <c r="C351" s="30"/>
      <c r="D351" s="30"/>
      <c r="E351" s="30"/>
      <c r="F351" s="30"/>
      <c r="G351" s="30"/>
      <c r="H351" s="30"/>
    </row>
    <row r="352" ht="15.75" customHeight="1">
      <c r="A352" s="30"/>
      <c r="B352" s="30"/>
      <c r="C352" s="30"/>
      <c r="D352" s="30"/>
      <c r="E352" s="30"/>
      <c r="F352" s="30"/>
      <c r="G352" s="30"/>
      <c r="H352" s="30"/>
    </row>
    <row r="353" ht="15.75" customHeight="1">
      <c r="A353" s="30"/>
      <c r="B353" s="30"/>
      <c r="C353" s="30"/>
      <c r="D353" s="30"/>
      <c r="E353" s="30"/>
      <c r="F353" s="30"/>
      <c r="G353" s="30"/>
      <c r="H353" s="30"/>
    </row>
    <row r="354" ht="15.75" customHeight="1">
      <c r="A354" s="30"/>
      <c r="B354" s="30"/>
      <c r="C354" s="30"/>
      <c r="D354" s="30"/>
      <c r="E354" s="30"/>
      <c r="F354" s="30"/>
      <c r="G354" s="30"/>
      <c r="H354" s="30"/>
    </row>
    <row r="355" ht="15.75" customHeight="1">
      <c r="A355" s="30"/>
      <c r="B355" s="30"/>
      <c r="C355" s="30"/>
      <c r="D355" s="30"/>
      <c r="E355" s="30"/>
      <c r="F355" s="30"/>
      <c r="G355" s="30"/>
      <c r="H355" s="30"/>
    </row>
    <row r="356" ht="15.75" customHeight="1">
      <c r="A356" s="30"/>
      <c r="B356" s="30"/>
      <c r="C356" s="30"/>
      <c r="D356" s="30"/>
      <c r="E356" s="30"/>
      <c r="F356" s="30"/>
      <c r="G356" s="30"/>
      <c r="H356" s="30"/>
    </row>
    <row r="357" ht="15.75" customHeight="1">
      <c r="A357" s="30"/>
      <c r="B357" s="30"/>
      <c r="C357" s="30"/>
      <c r="D357" s="30"/>
      <c r="E357" s="30"/>
      <c r="F357" s="30"/>
      <c r="G357" s="30"/>
      <c r="H357" s="30"/>
    </row>
    <row r="358" ht="15.75" customHeight="1">
      <c r="A358" s="30"/>
      <c r="B358" s="30"/>
      <c r="C358" s="30"/>
      <c r="D358" s="30"/>
      <c r="E358" s="30"/>
      <c r="F358" s="30"/>
      <c r="G358" s="30"/>
      <c r="H358" s="30"/>
    </row>
    <row r="359" ht="15.75" customHeight="1">
      <c r="A359" s="30"/>
      <c r="B359" s="30"/>
      <c r="C359" s="30"/>
      <c r="D359" s="30"/>
      <c r="E359" s="30"/>
      <c r="F359" s="30"/>
      <c r="G359" s="30"/>
      <c r="H359" s="30"/>
    </row>
    <row r="360" ht="15.75" customHeight="1">
      <c r="A360" s="30"/>
      <c r="B360" s="30"/>
      <c r="C360" s="30"/>
      <c r="D360" s="30"/>
      <c r="E360" s="30"/>
      <c r="F360" s="30"/>
      <c r="G360" s="30"/>
      <c r="H360" s="30"/>
    </row>
    <row r="361" ht="15.75" customHeight="1">
      <c r="A361" s="30"/>
      <c r="B361" s="30"/>
      <c r="C361" s="30"/>
      <c r="D361" s="30"/>
      <c r="E361" s="30"/>
      <c r="F361" s="30"/>
      <c r="G361" s="30"/>
      <c r="H361" s="30"/>
    </row>
    <row r="362" ht="15.75" customHeight="1">
      <c r="A362" s="30"/>
      <c r="B362" s="30"/>
      <c r="C362" s="30"/>
      <c r="D362" s="30"/>
      <c r="E362" s="30"/>
      <c r="F362" s="30"/>
      <c r="G362" s="30"/>
      <c r="H362" s="30"/>
    </row>
    <row r="363" ht="15.75" customHeight="1">
      <c r="A363" s="30"/>
      <c r="B363" s="30"/>
      <c r="C363" s="30"/>
      <c r="D363" s="30"/>
      <c r="E363" s="30"/>
      <c r="F363" s="30"/>
      <c r="G363" s="30"/>
      <c r="H363" s="30"/>
    </row>
    <row r="364" ht="15.75" customHeight="1">
      <c r="A364" s="30"/>
      <c r="B364" s="30"/>
      <c r="C364" s="30"/>
      <c r="D364" s="30"/>
      <c r="E364" s="30"/>
      <c r="F364" s="30"/>
      <c r="G364" s="30"/>
      <c r="H364" s="30"/>
    </row>
    <row r="365" ht="15.75" customHeight="1">
      <c r="A365" s="30"/>
      <c r="B365" s="30"/>
      <c r="C365" s="30"/>
      <c r="D365" s="30"/>
      <c r="E365" s="30"/>
      <c r="F365" s="30"/>
      <c r="G365" s="30"/>
      <c r="H365" s="30"/>
    </row>
    <row r="366" ht="15.75" customHeight="1">
      <c r="A366" s="30"/>
      <c r="B366" s="30"/>
      <c r="C366" s="30"/>
      <c r="D366" s="30"/>
      <c r="E366" s="30"/>
      <c r="F366" s="30"/>
      <c r="G366" s="30"/>
      <c r="H366" s="30"/>
    </row>
    <row r="367" ht="15.75" customHeight="1">
      <c r="A367" s="30"/>
      <c r="B367" s="30"/>
      <c r="C367" s="30"/>
      <c r="D367" s="30"/>
      <c r="E367" s="30"/>
      <c r="F367" s="30"/>
      <c r="G367" s="30"/>
      <c r="H367" s="30"/>
    </row>
    <row r="368" ht="15.75" customHeight="1">
      <c r="A368" s="30"/>
      <c r="B368" s="30"/>
      <c r="C368" s="30"/>
      <c r="D368" s="30"/>
      <c r="E368" s="30"/>
      <c r="F368" s="30"/>
      <c r="G368" s="30"/>
      <c r="H368" s="30"/>
    </row>
    <row r="369" ht="15.75" customHeight="1">
      <c r="A369" s="30"/>
      <c r="B369" s="30"/>
      <c r="C369" s="30"/>
      <c r="D369" s="30"/>
      <c r="E369" s="30"/>
      <c r="F369" s="30"/>
      <c r="G369" s="30"/>
      <c r="H369" s="30"/>
    </row>
    <row r="370" ht="15.75" customHeight="1">
      <c r="A370" s="30"/>
      <c r="B370" s="30"/>
      <c r="C370" s="30"/>
      <c r="D370" s="30"/>
      <c r="E370" s="30"/>
      <c r="F370" s="30"/>
      <c r="G370" s="30"/>
      <c r="H370" s="30"/>
    </row>
    <row r="371" ht="15.75" customHeight="1">
      <c r="A371" s="30"/>
      <c r="B371" s="30"/>
      <c r="C371" s="30"/>
      <c r="D371" s="30"/>
      <c r="E371" s="30"/>
      <c r="F371" s="30"/>
      <c r="G371" s="30"/>
      <c r="H371" s="30"/>
    </row>
    <row r="372" ht="15.75" customHeight="1">
      <c r="A372" s="30"/>
      <c r="B372" s="30"/>
      <c r="C372" s="30"/>
      <c r="D372" s="30"/>
      <c r="E372" s="30"/>
      <c r="F372" s="30"/>
      <c r="G372" s="30"/>
      <c r="H372" s="30"/>
    </row>
    <row r="373" ht="15.75" customHeight="1">
      <c r="A373" s="30"/>
      <c r="B373" s="30"/>
      <c r="C373" s="30"/>
      <c r="D373" s="30"/>
      <c r="E373" s="30"/>
      <c r="F373" s="30"/>
      <c r="G373" s="30"/>
      <c r="H373" s="30"/>
    </row>
    <row r="374" ht="15.75" customHeight="1">
      <c r="A374" s="30"/>
      <c r="B374" s="30"/>
      <c r="C374" s="30"/>
      <c r="D374" s="30"/>
      <c r="E374" s="30"/>
      <c r="F374" s="30"/>
      <c r="G374" s="30"/>
      <c r="H374" s="30"/>
    </row>
    <row r="375" ht="15.75" customHeight="1">
      <c r="A375" s="30"/>
      <c r="B375" s="30"/>
      <c r="C375" s="30"/>
      <c r="D375" s="30"/>
      <c r="E375" s="30"/>
      <c r="F375" s="30"/>
      <c r="G375" s="30"/>
      <c r="H375" s="30"/>
    </row>
    <row r="376" ht="15.75" customHeight="1">
      <c r="A376" s="30"/>
      <c r="B376" s="30"/>
      <c r="C376" s="30"/>
      <c r="D376" s="30"/>
      <c r="E376" s="30"/>
      <c r="F376" s="30"/>
      <c r="G376" s="30"/>
      <c r="H376" s="30"/>
    </row>
    <row r="377" ht="15.75" customHeight="1">
      <c r="A377" s="30"/>
      <c r="B377" s="30"/>
      <c r="C377" s="30"/>
      <c r="D377" s="30"/>
      <c r="E377" s="30"/>
      <c r="F377" s="30"/>
      <c r="G377" s="30"/>
      <c r="H377" s="30"/>
    </row>
    <row r="378" ht="15.75" customHeight="1">
      <c r="A378" s="30"/>
      <c r="B378" s="30"/>
      <c r="C378" s="30"/>
      <c r="D378" s="30"/>
      <c r="E378" s="30"/>
      <c r="F378" s="30"/>
      <c r="G378" s="30"/>
      <c r="H378" s="30"/>
    </row>
    <row r="379" ht="15.75" customHeight="1">
      <c r="A379" s="30"/>
      <c r="B379" s="30"/>
      <c r="C379" s="30"/>
      <c r="D379" s="30"/>
      <c r="E379" s="30"/>
      <c r="F379" s="30"/>
      <c r="G379" s="30"/>
      <c r="H379" s="30"/>
    </row>
    <row r="380" ht="15.75" customHeight="1">
      <c r="A380" s="30"/>
      <c r="B380" s="30"/>
      <c r="C380" s="30"/>
      <c r="D380" s="30"/>
      <c r="E380" s="30"/>
      <c r="F380" s="30"/>
      <c r="G380" s="30"/>
      <c r="H380" s="30"/>
    </row>
    <row r="381" ht="15.75" customHeight="1">
      <c r="A381" s="30"/>
      <c r="B381" s="30"/>
      <c r="C381" s="30"/>
      <c r="D381" s="30"/>
      <c r="E381" s="30"/>
      <c r="F381" s="30"/>
      <c r="G381" s="30"/>
      <c r="H381" s="30"/>
    </row>
    <row r="382" ht="15.75" customHeight="1">
      <c r="A382" s="30"/>
      <c r="B382" s="30"/>
      <c r="C382" s="30"/>
      <c r="D382" s="30"/>
      <c r="E382" s="30"/>
      <c r="F382" s="30"/>
      <c r="G382" s="30"/>
      <c r="H382" s="30"/>
    </row>
    <row r="383" ht="15.75" customHeight="1">
      <c r="A383" s="30"/>
      <c r="B383" s="30"/>
      <c r="C383" s="30"/>
      <c r="D383" s="30"/>
      <c r="E383" s="30"/>
      <c r="F383" s="30"/>
      <c r="G383" s="30"/>
      <c r="H383" s="30"/>
    </row>
    <row r="384" ht="15.75" customHeight="1">
      <c r="A384" s="30"/>
      <c r="B384" s="30"/>
      <c r="C384" s="30"/>
      <c r="D384" s="30"/>
      <c r="E384" s="30"/>
      <c r="F384" s="30"/>
      <c r="G384" s="30"/>
      <c r="H384" s="30"/>
    </row>
    <row r="385" ht="15.75" customHeight="1">
      <c r="A385" s="30"/>
      <c r="B385" s="30"/>
      <c r="C385" s="30"/>
      <c r="D385" s="30"/>
      <c r="E385" s="30"/>
      <c r="F385" s="30"/>
      <c r="G385" s="30"/>
      <c r="H385" s="30"/>
    </row>
    <row r="386" ht="15.75" customHeight="1">
      <c r="A386" s="30"/>
      <c r="B386" s="30"/>
      <c r="C386" s="30"/>
      <c r="D386" s="30"/>
      <c r="E386" s="30"/>
      <c r="F386" s="30"/>
      <c r="G386" s="30"/>
      <c r="H386" s="30"/>
    </row>
    <row r="387" ht="15.75" customHeight="1">
      <c r="A387" s="30"/>
      <c r="B387" s="30"/>
      <c r="C387" s="30"/>
      <c r="D387" s="30"/>
      <c r="E387" s="30"/>
      <c r="F387" s="30"/>
      <c r="G387" s="30"/>
      <c r="H387" s="30"/>
    </row>
    <row r="388" ht="15.75" customHeight="1">
      <c r="A388" s="30"/>
      <c r="B388" s="30"/>
      <c r="C388" s="30"/>
      <c r="D388" s="30"/>
      <c r="E388" s="30"/>
      <c r="F388" s="30"/>
      <c r="G388" s="30"/>
      <c r="H388" s="30"/>
    </row>
    <row r="389" ht="15.75" customHeight="1">
      <c r="A389" s="30"/>
      <c r="B389" s="30"/>
      <c r="C389" s="30"/>
      <c r="D389" s="30"/>
      <c r="E389" s="30"/>
      <c r="F389" s="30"/>
      <c r="G389" s="30"/>
      <c r="H389" s="30"/>
    </row>
    <row r="390" ht="15.75" customHeight="1">
      <c r="A390" s="30"/>
      <c r="B390" s="30"/>
      <c r="C390" s="30"/>
      <c r="D390" s="30"/>
      <c r="E390" s="30"/>
      <c r="F390" s="30"/>
      <c r="G390" s="30"/>
      <c r="H390" s="30"/>
    </row>
    <row r="391" ht="15.75" customHeight="1">
      <c r="A391" s="30"/>
      <c r="B391" s="30"/>
      <c r="C391" s="30"/>
      <c r="D391" s="30"/>
      <c r="E391" s="30"/>
      <c r="F391" s="30"/>
      <c r="G391" s="30"/>
      <c r="H391" s="30"/>
    </row>
    <row r="392" ht="15.75" customHeight="1">
      <c r="A392" s="30"/>
      <c r="B392" s="30"/>
      <c r="C392" s="30"/>
      <c r="D392" s="30"/>
      <c r="E392" s="30"/>
      <c r="F392" s="30"/>
      <c r="G392" s="30"/>
      <c r="H392" s="30"/>
    </row>
    <row r="393" ht="15.75" customHeight="1">
      <c r="A393" s="30"/>
      <c r="B393" s="30"/>
      <c r="C393" s="30"/>
      <c r="D393" s="30"/>
      <c r="E393" s="30"/>
      <c r="F393" s="30"/>
      <c r="G393" s="30"/>
      <c r="H393" s="30"/>
    </row>
    <row r="394" ht="15.75" customHeight="1">
      <c r="A394" s="30"/>
      <c r="B394" s="30"/>
      <c r="C394" s="30"/>
      <c r="D394" s="30"/>
      <c r="E394" s="30"/>
      <c r="F394" s="30"/>
      <c r="G394" s="30"/>
      <c r="H394" s="30"/>
    </row>
    <row r="395" ht="15.75" customHeight="1">
      <c r="A395" s="30"/>
      <c r="B395" s="30"/>
      <c r="C395" s="30"/>
      <c r="D395" s="30"/>
      <c r="E395" s="30"/>
      <c r="F395" s="30"/>
      <c r="G395" s="30"/>
      <c r="H395" s="30"/>
    </row>
    <row r="396" ht="15.75" customHeight="1">
      <c r="A396" s="30"/>
      <c r="B396" s="30"/>
      <c r="C396" s="30"/>
      <c r="D396" s="30"/>
      <c r="E396" s="30"/>
      <c r="F396" s="30"/>
      <c r="G396" s="30"/>
      <c r="H396" s="30"/>
    </row>
    <row r="397" ht="15.75" customHeight="1">
      <c r="A397" s="30"/>
      <c r="B397" s="30"/>
      <c r="C397" s="30"/>
      <c r="D397" s="30"/>
      <c r="E397" s="30"/>
      <c r="F397" s="30"/>
      <c r="G397" s="30"/>
      <c r="H397" s="30"/>
    </row>
    <row r="398" ht="15.75" customHeight="1">
      <c r="A398" s="30"/>
      <c r="B398" s="30"/>
      <c r="C398" s="30"/>
      <c r="D398" s="30"/>
      <c r="E398" s="30"/>
      <c r="F398" s="30"/>
      <c r="G398" s="30"/>
      <c r="H398" s="30"/>
    </row>
    <row r="399" ht="15.75" customHeight="1">
      <c r="A399" s="30"/>
      <c r="B399" s="30"/>
      <c r="C399" s="30"/>
      <c r="D399" s="30"/>
      <c r="E399" s="30"/>
      <c r="F399" s="30"/>
      <c r="G399" s="30"/>
      <c r="H399" s="30"/>
    </row>
    <row r="400" ht="15.75" customHeight="1">
      <c r="A400" s="30"/>
      <c r="B400" s="30"/>
      <c r="C400" s="30"/>
      <c r="D400" s="30"/>
      <c r="E400" s="30"/>
      <c r="F400" s="30"/>
      <c r="G400" s="30"/>
      <c r="H400" s="30"/>
    </row>
    <row r="401" ht="15.75" customHeight="1">
      <c r="A401" s="30"/>
      <c r="B401" s="30"/>
      <c r="C401" s="30"/>
      <c r="D401" s="30"/>
      <c r="E401" s="30"/>
      <c r="F401" s="30"/>
      <c r="G401" s="30"/>
      <c r="H401" s="30"/>
    </row>
    <row r="402" ht="15.75" customHeight="1">
      <c r="A402" s="30"/>
      <c r="B402" s="30"/>
      <c r="C402" s="30"/>
      <c r="D402" s="30"/>
      <c r="E402" s="30"/>
      <c r="F402" s="30"/>
      <c r="G402" s="30"/>
      <c r="H402" s="30"/>
    </row>
    <row r="403" ht="15.75" customHeight="1">
      <c r="A403" s="30"/>
      <c r="B403" s="30"/>
      <c r="C403" s="30"/>
      <c r="D403" s="30"/>
      <c r="E403" s="30"/>
      <c r="F403" s="30"/>
      <c r="G403" s="30"/>
      <c r="H403" s="30"/>
    </row>
    <row r="404" ht="15.75" customHeight="1">
      <c r="A404" s="30"/>
      <c r="B404" s="30"/>
      <c r="C404" s="30"/>
      <c r="D404" s="30"/>
      <c r="E404" s="30"/>
      <c r="F404" s="30"/>
      <c r="G404" s="30"/>
      <c r="H404" s="30"/>
    </row>
    <row r="405" ht="15.75" customHeight="1">
      <c r="A405" s="30"/>
      <c r="B405" s="30"/>
      <c r="C405" s="30"/>
      <c r="D405" s="30"/>
      <c r="E405" s="30"/>
      <c r="F405" s="30"/>
      <c r="G405" s="30"/>
      <c r="H405" s="30"/>
    </row>
    <row r="406" ht="15.75" customHeight="1">
      <c r="A406" s="30"/>
      <c r="B406" s="30"/>
      <c r="C406" s="30"/>
      <c r="D406" s="30"/>
      <c r="E406" s="30"/>
      <c r="F406" s="30"/>
      <c r="G406" s="30"/>
      <c r="H406" s="30"/>
    </row>
    <row r="407" ht="15.75" customHeight="1">
      <c r="A407" s="30"/>
      <c r="B407" s="30"/>
      <c r="C407" s="30"/>
      <c r="D407" s="30"/>
      <c r="E407" s="30"/>
      <c r="F407" s="30"/>
      <c r="G407" s="30"/>
      <c r="H407" s="30"/>
    </row>
    <row r="408" ht="15.75" customHeight="1">
      <c r="A408" s="30"/>
      <c r="B408" s="30"/>
      <c r="C408" s="30"/>
      <c r="D408" s="30"/>
      <c r="E408" s="30"/>
      <c r="F408" s="30"/>
      <c r="G408" s="30"/>
      <c r="H408" s="30"/>
    </row>
    <row r="409" ht="15.75" customHeight="1">
      <c r="A409" s="30"/>
      <c r="B409" s="30"/>
      <c r="C409" s="30"/>
      <c r="D409" s="30"/>
      <c r="E409" s="30"/>
      <c r="F409" s="30"/>
      <c r="G409" s="30"/>
      <c r="H409" s="30"/>
    </row>
    <row r="410" ht="15.75" customHeight="1">
      <c r="A410" s="30"/>
      <c r="B410" s="30"/>
      <c r="C410" s="30"/>
      <c r="D410" s="30"/>
      <c r="E410" s="30"/>
      <c r="F410" s="30"/>
      <c r="G410" s="30"/>
      <c r="H410" s="30"/>
    </row>
    <row r="411" ht="15.75" customHeight="1">
      <c r="A411" s="30"/>
      <c r="B411" s="30"/>
      <c r="C411" s="30"/>
      <c r="D411" s="30"/>
      <c r="E411" s="30"/>
      <c r="F411" s="30"/>
      <c r="G411" s="30"/>
      <c r="H411" s="30"/>
    </row>
    <row r="412" ht="15.75" customHeight="1">
      <c r="A412" s="30"/>
      <c r="B412" s="30"/>
      <c r="C412" s="30"/>
      <c r="D412" s="30"/>
      <c r="E412" s="30"/>
      <c r="F412" s="30"/>
      <c r="G412" s="30"/>
      <c r="H412" s="30"/>
    </row>
    <row r="413" ht="15.75" customHeight="1">
      <c r="A413" s="30"/>
      <c r="B413" s="30"/>
      <c r="C413" s="30"/>
      <c r="D413" s="30"/>
      <c r="E413" s="30"/>
      <c r="F413" s="30"/>
      <c r="G413" s="30"/>
      <c r="H413" s="30"/>
    </row>
    <row r="414" ht="15.75" customHeight="1">
      <c r="A414" s="30"/>
      <c r="B414" s="30"/>
      <c r="C414" s="30"/>
      <c r="D414" s="30"/>
      <c r="E414" s="30"/>
      <c r="F414" s="30"/>
      <c r="G414" s="30"/>
      <c r="H414" s="30"/>
    </row>
    <row r="415" ht="15.75" customHeight="1">
      <c r="A415" s="30"/>
      <c r="B415" s="30"/>
      <c r="C415" s="30"/>
      <c r="D415" s="30"/>
      <c r="E415" s="30"/>
      <c r="F415" s="30"/>
      <c r="G415" s="30"/>
      <c r="H415" s="30"/>
    </row>
    <row r="416" ht="15.75" customHeight="1">
      <c r="A416" s="30"/>
      <c r="B416" s="30"/>
      <c r="C416" s="30"/>
      <c r="D416" s="30"/>
      <c r="E416" s="30"/>
      <c r="F416" s="30"/>
      <c r="G416" s="30"/>
      <c r="H416" s="30"/>
    </row>
    <row r="417" ht="15.75" customHeight="1">
      <c r="A417" s="30"/>
      <c r="B417" s="30"/>
      <c r="C417" s="30"/>
      <c r="D417" s="30"/>
      <c r="E417" s="30"/>
      <c r="F417" s="30"/>
      <c r="G417" s="30"/>
      <c r="H417" s="30"/>
    </row>
    <row r="418" ht="15.75" customHeight="1">
      <c r="A418" s="30"/>
      <c r="B418" s="30"/>
      <c r="C418" s="30"/>
      <c r="D418" s="30"/>
      <c r="E418" s="30"/>
      <c r="F418" s="30"/>
      <c r="G418" s="30"/>
      <c r="H418" s="30"/>
    </row>
    <row r="419" ht="15.75" customHeight="1">
      <c r="A419" s="30"/>
      <c r="B419" s="30"/>
      <c r="C419" s="30"/>
      <c r="D419" s="30"/>
      <c r="E419" s="30"/>
      <c r="F419" s="30"/>
      <c r="G419" s="30"/>
      <c r="H419" s="30"/>
    </row>
    <row r="420" ht="15.75" customHeight="1">
      <c r="A420" s="30"/>
      <c r="B420" s="30"/>
      <c r="C420" s="30"/>
      <c r="D420" s="30"/>
      <c r="E420" s="30"/>
      <c r="F420" s="30"/>
      <c r="G420" s="30"/>
      <c r="H420" s="30"/>
    </row>
    <row r="421" ht="15.75" customHeight="1">
      <c r="A421" s="30"/>
      <c r="B421" s="30"/>
      <c r="C421" s="30"/>
      <c r="D421" s="30"/>
      <c r="E421" s="30"/>
      <c r="F421" s="30"/>
      <c r="G421" s="30"/>
      <c r="H421" s="30"/>
    </row>
    <row r="422" ht="15.75" customHeight="1">
      <c r="A422" s="30"/>
      <c r="B422" s="30"/>
      <c r="C422" s="30"/>
      <c r="D422" s="30"/>
      <c r="E422" s="30"/>
      <c r="F422" s="30"/>
      <c r="G422" s="30"/>
      <c r="H422" s="30"/>
    </row>
    <row r="423" ht="15.75" customHeight="1">
      <c r="A423" s="30"/>
      <c r="B423" s="30"/>
      <c r="C423" s="30"/>
      <c r="D423" s="30"/>
      <c r="E423" s="30"/>
      <c r="F423" s="30"/>
      <c r="G423" s="30"/>
      <c r="H423" s="30"/>
    </row>
    <row r="424" ht="15.75" customHeight="1">
      <c r="A424" s="30"/>
      <c r="B424" s="30"/>
      <c r="C424" s="30"/>
      <c r="D424" s="30"/>
      <c r="E424" s="30"/>
      <c r="F424" s="30"/>
      <c r="G424" s="30"/>
      <c r="H424" s="30"/>
    </row>
    <row r="425" ht="15.75" customHeight="1">
      <c r="A425" s="30"/>
      <c r="B425" s="30"/>
      <c r="C425" s="30"/>
      <c r="D425" s="30"/>
      <c r="E425" s="30"/>
      <c r="F425" s="30"/>
      <c r="G425" s="30"/>
      <c r="H425" s="30"/>
    </row>
    <row r="426" ht="15.75" customHeight="1">
      <c r="A426" s="30"/>
      <c r="B426" s="30"/>
      <c r="C426" s="30"/>
      <c r="D426" s="30"/>
      <c r="E426" s="30"/>
      <c r="F426" s="30"/>
      <c r="G426" s="30"/>
      <c r="H426" s="30"/>
    </row>
    <row r="427" ht="15.75" customHeight="1">
      <c r="A427" s="30"/>
      <c r="B427" s="30"/>
      <c r="C427" s="30"/>
      <c r="D427" s="30"/>
      <c r="E427" s="30"/>
      <c r="F427" s="30"/>
      <c r="G427" s="30"/>
      <c r="H427" s="30"/>
    </row>
    <row r="428" ht="15.75" customHeight="1">
      <c r="A428" s="30"/>
      <c r="B428" s="30"/>
      <c r="C428" s="30"/>
      <c r="D428" s="30"/>
      <c r="E428" s="30"/>
      <c r="F428" s="30"/>
      <c r="G428" s="30"/>
      <c r="H428" s="30"/>
    </row>
    <row r="429" ht="15.75" customHeight="1">
      <c r="A429" s="30"/>
      <c r="B429" s="30"/>
      <c r="C429" s="30"/>
      <c r="D429" s="30"/>
      <c r="E429" s="30"/>
      <c r="F429" s="30"/>
      <c r="G429" s="30"/>
      <c r="H429" s="30"/>
    </row>
    <row r="430" ht="15.75" customHeight="1">
      <c r="A430" s="30"/>
      <c r="B430" s="30"/>
      <c r="C430" s="30"/>
      <c r="D430" s="30"/>
      <c r="E430" s="30"/>
      <c r="F430" s="30"/>
      <c r="G430" s="30"/>
      <c r="H430" s="30"/>
    </row>
    <row r="431" ht="15.75" customHeight="1">
      <c r="A431" s="30"/>
      <c r="B431" s="30"/>
      <c r="C431" s="30"/>
      <c r="D431" s="30"/>
      <c r="E431" s="30"/>
      <c r="F431" s="30"/>
      <c r="G431" s="30"/>
      <c r="H431" s="30"/>
    </row>
    <row r="432" ht="15.75" customHeight="1">
      <c r="A432" s="30"/>
      <c r="B432" s="30"/>
      <c r="C432" s="30"/>
      <c r="D432" s="30"/>
      <c r="E432" s="30"/>
      <c r="F432" s="30"/>
      <c r="G432" s="30"/>
      <c r="H432" s="30"/>
    </row>
    <row r="433" ht="15.75" customHeight="1">
      <c r="A433" s="30"/>
      <c r="B433" s="30"/>
      <c r="C433" s="30"/>
      <c r="D433" s="30"/>
      <c r="E433" s="30"/>
      <c r="F433" s="30"/>
      <c r="G433" s="30"/>
      <c r="H433" s="30"/>
    </row>
    <row r="434" ht="15.75" customHeight="1">
      <c r="A434" s="30"/>
      <c r="B434" s="30"/>
      <c r="C434" s="30"/>
      <c r="D434" s="30"/>
      <c r="E434" s="30"/>
      <c r="F434" s="30"/>
      <c r="G434" s="30"/>
      <c r="H434" s="30"/>
    </row>
    <row r="435" ht="15.75" customHeight="1">
      <c r="A435" s="30"/>
      <c r="B435" s="30"/>
      <c r="C435" s="30"/>
      <c r="D435" s="30"/>
      <c r="E435" s="30"/>
      <c r="F435" s="30"/>
      <c r="G435" s="30"/>
      <c r="H435" s="30"/>
    </row>
    <row r="436" ht="15.75" customHeight="1">
      <c r="A436" s="30"/>
      <c r="B436" s="30"/>
      <c r="C436" s="30"/>
      <c r="D436" s="30"/>
      <c r="E436" s="30"/>
      <c r="F436" s="30"/>
      <c r="G436" s="30"/>
      <c r="H436" s="30"/>
    </row>
    <row r="437" ht="15.75" customHeight="1">
      <c r="A437" s="30"/>
      <c r="B437" s="30"/>
      <c r="C437" s="30"/>
      <c r="D437" s="30"/>
      <c r="E437" s="30"/>
      <c r="F437" s="30"/>
      <c r="G437" s="30"/>
      <c r="H437" s="30"/>
    </row>
    <row r="438" ht="15.75" customHeight="1">
      <c r="A438" s="30"/>
      <c r="B438" s="30"/>
      <c r="C438" s="30"/>
      <c r="D438" s="30"/>
      <c r="E438" s="30"/>
      <c r="F438" s="30"/>
      <c r="G438" s="30"/>
      <c r="H438" s="30"/>
    </row>
    <row r="439" ht="15.75" customHeight="1">
      <c r="A439" s="30"/>
      <c r="B439" s="30"/>
      <c r="C439" s="30"/>
      <c r="D439" s="30"/>
      <c r="E439" s="30"/>
      <c r="F439" s="30"/>
      <c r="G439" s="30"/>
      <c r="H439" s="30"/>
    </row>
    <row r="440" ht="15.75" customHeight="1">
      <c r="A440" s="30"/>
      <c r="B440" s="30"/>
      <c r="C440" s="30"/>
      <c r="D440" s="30"/>
      <c r="E440" s="30"/>
      <c r="F440" s="30"/>
      <c r="G440" s="30"/>
      <c r="H440" s="30"/>
    </row>
    <row r="441" ht="15.75" customHeight="1">
      <c r="A441" s="30"/>
      <c r="B441" s="30"/>
      <c r="C441" s="30"/>
      <c r="D441" s="30"/>
      <c r="E441" s="30"/>
      <c r="F441" s="30"/>
      <c r="G441" s="30"/>
      <c r="H441" s="30"/>
    </row>
    <row r="442" ht="15.75" customHeight="1">
      <c r="A442" s="30"/>
      <c r="B442" s="30"/>
      <c r="C442" s="30"/>
      <c r="D442" s="30"/>
      <c r="E442" s="30"/>
      <c r="F442" s="30"/>
      <c r="G442" s="30"/>
      <c r="H442" s="30"/>
    </row>
    <row r="443" ht="15.75" customHeight="1">
      <c r="A443" s="30"/>
      <c r="B443" s="30"/>
      <c r="C443" s="30"/>
      <c r="D443" s="30"/>
      <c r="E443" s="30"/>
      <c r="F443" s="30"/>
      <c r="G443" s="30"/>
      <c r="H443" s="30"/>
    </row>
    <row r="444" ht="15.75" customHeight="1">
      <c r="A444" s="30"/>
      <c r="B444" s="30"/>
      <c r="C444" s="30"/>
      <c r="D444" s="30"/>
      <c r="E444" s="30"/>
      <c r="F444" s="30"/>
      <c r="G444" s="30"/>
      <c r="H444" s="30"/>
    </row>
    <row r="445" ht="15.75" customHeight="1">
      <c r="A445" s="30"/>
      <c r="B445" s="30"/>
      <c r="C445" s="30"/>
      <c r="D445" s="30"/>
      <c r="E445" s="30"/>
      <c r="F445" s="30"/>
      <c r="G445" s="30"/>
      <c r="H445" s="30"/>
    </row>
    <row r="446" ht="15.75" customHeight="1">
      <c r="A446" s="30"/>
      <c r="B446" s="30"/>
      <c r="C446" s="30"/>
      <c r="D446" s="30"/>
      <c r="E446" s="30"/>
      <c r="F446" s="30"/>
      <c r="G446" s="30"/>
      <c r="H446" s="30"/>
    </row>
    <row r="447" ht="15.75" customHeight="1">
      <c r="A447" s="30"/>
      <c r="B447" s="30"/>
      <c r="C447" s="30"/>
      <c r="D447" s="30"/>
      <c r="E447" s="30"/>
      <c r="F447" s="30"/>
      <c r="G447" s="30"/>
      <c r="H447" s="30"/>
    </row>
    <row r="448" ht="15.75" customHeight="1">
      <c r="A448" s="30"/>
      <c r="B448" s="30"/>
      <c r="C448" s="30"/>
      <c r="D448" s="30"/>
      <c r="E448" s="30"/>
      <c r="F448" s="30"/>
      <c r="G448" s="30"/>
      <c r="H448" s="30"/>
    </row>
    <row r="449" ht="15.75" customHeight="1">
      <c r="A449" s="30"/>
      <c r="B449" s="30"/>
      <c r="C449" s="30"/>
      <c r="D449" s="30"/>
      <c r="E449" s="30"/>
      <c r="F449" s="30"/>
      <c r="G449" s="30"/>
      <c r="H449" s="30"/>
    </row>
    <row r="450" ht="15.75" customHeight="1">
      <c r="A450" s="30"/>
      <c r="B450" s="30"/>
      <c r="C450" s="30"/>
      <c r="D450" s="30"/>
      <c r="E450" s="30"/>
      <c r="F450" s="30"/>
      <c r="G450" s="30"/>
      <c r="H450" s="30"/>
    </row>
    <row r="451" ht="15.75" customHeight="1">
      <c r="A451" s="30"/>
      <c r="B451" s="30"/>
      <c r="C451" s="30"/>
      <c r="D451" s="30"/>
      <c r="E451" s="30"/>
      <c r="F451" s="30"/>
      <c r="G451" s="30"/>
      <c r="H451" s="30"/>
    </row>
    <row r="452" ht="15.75" customHeight="1">
      <c r="A452" s="30"/>
      <c r="B452" s="30"/>
      <c r="C452" s="30"/>
      <c r="D452" s="30"/>
      <c r="E452" s="30"/>
      <c r="F452" s="30"/>
      <c r="G452" s="30"/>
      <c r="H452" s="30"/>
    </row>
    <row r="453" ht="15.75" customHeight="1">
      <c r="A453" s="30"/>
      <c r="B453" s="30"/>
      <c r="C453" s="30"/>
      <c r="D453" s="30"/>
      <c r="E453" s="30"/>
      <c r="F453" s="30"/>
      <c r="G453" s="30"/>
      <c r="H453" s="30"/>
    </row>
    <row r="454" ht="15.75" customHeight="1">
      <c r="A454" s="30"/>
      <c r="B454" s="30"/>
      <c r="C454" s="30"/>
      <c r="D454" s="30"/>
      <c r="E454" s="30"/>
      <c r="F454" s="30"/>
      <c r="G454" s="30"/>
      <c r="H454" s="30"/>
    </row>
    <row r="455" ht="15.75" customHeight="1">
      <c r="A455" s="30"/>
      <c r="B455" s="30"/>
      <c r="C455" s="30"/>
      <c r="D455" s="30"/>
      <c r="E455" s="30"/>
      <c r="F455" s="30"/>
      <c r="G455" s="30"/>
      <c r="H455" s="30"/>
    </row>
    <row r="456" ht="15.75" customHeight="1">
      <c r="A456" s="30"/>
      <c r="B456" s="30"/>
      <c r="C456" s="30"/>
      <c r="D456" s="30"/>
      <c r="E456" s="30"/>
      <c r="F456" s="30"/>
      <c r="G456" s="30"/>
      <c r="H456" s="30"/>
    </row>
    <row r="457" ht="15.75" customHeight="1">
      <c r="A457" s="30"/>
      <c r="B457" s="30"/>
      <c r="C457" s="30"/>
      <c r="D457" s="30"/>
      <c r="E457" s="30"/>
      <c r="F457" s="30"/>
      <c r="G457" s="30"/>
      <c r="H457" s="30"/>
    </row>
    <row r="458" ht="15.75" customHeight="1">
      <c r="A458" s="30"/>
      <c r="B458" s="30"/>
      <c r="C458" s="30"/>
      <c r="D458" s="30"/>
      <c r="E458" s="30"/>
      <c r="F458" s="30"/>
      <c r="G458" s="30"/>
      <c r="H458" s="30"/>
    </row>
    <row r="459" ht="15.75" customHeight="1">
      <c r="A459" s="30"/>
      <c r="B459" s="30"/>
      <c r="C459" s="30"/>
      <c r="D459" s="30"/>
      <c r="E459" s="30"/>
      <c r="F459" s="30"/>
      <c r="G459" s="30"/>
      <c r="H459" s="30"/>
    </row>
    <row r="460" ht="15.75" customHeight="1">
      <c r="A460" s="30"/>
      <c r="B460" s="30"/>
      <c r="C460" s="30"/>
      <c r="D460" s="30"/>
      <c r="E460" s="30"/>
      <c r="F460" s="30"/>
      <c r="G460" s="30"/>
      <c r="H460" s="30"/>
    </row>
    <row r="461" ht="15.75" customHeight="1">
      <c r="A461" s="30"/>
      <c r="B461" s="30"/>
      <c r="C461" s="30"/>
      <c r="D461" s="30"/>
      <c r="E461" s="30"/>
      <c r="F461" s="30"/>
      <c r="G461" s="30"/>
      <c r="H461" s="30"/>
    </row>
    <row r="462" ht="15.75" customHeight="1">
      <c r="A462" s="30"/>
      <c r="B462" s="30"/>
      <c r="C462" s="30"/>
      <c r="D462" s="30"/>
      <c r="E462" s="30"/>
      <c r="F462" s="30"/>
      <c r="G462" s="30"/>
      <c r="H462" s="30"/>
    </row>
    <row r="463" ht="15.75" customHeight="1">
      <c r="A463" s="30"/>
      <c r="B463" s="30"/>
      <c r="C463" s="30"/>
      <c r="D463" s="30"/>
      <c r="E463" s="30"/>
      <c r="F463" s="30"/>
      <c r="G463" s="30"/>
      <c r="H463" s="30"/>
    </row>
    <row r="464" ht="15.75" customHeight="1">
      <c r="A464" s="30"/>
      <c r="B464" s="30"/>
      <c r="C464" s="30"/>
      <c r="D464" s="30"/>
      <c r="E464" s="30"/>
      <c r="F464" s="30"/>
      <c r="G464" s="30"/>
      <c r="H464" s="30"/>
    </row>
    <row r="465" ht="15.75" customHeight="1">
      <c r="A465" s="30"/>
      <c r="B465" s="30"/>
      <c r="C465" s="30"/>
      <c r="D465" s="30"/>
      <c r="E465" s="30"/>
      <c r="F465" s="30"/>
      <c r="G465" s="30"/>
      <c r="H465" s="30"/>
    </row>
    <row r="466" ht="15.75" customHeight="1">
      <c r="A466" s="30"/>
      <c r="B466" s="30"/>
      <c r="C466" s="30"/>
      <c r="D466" s="30"/>
      <c r="E466" s="30"/>
      <c r="F466" s="30"/>
      <c r="G466" s="30"/>
      <c r="H466" s="30"/>
    </row>
    <row r="467" ht="15.75" customHeight="1">
      <c r="A467" s="30"/>
      <c r="B467" s="30"/>
      <c r="C467" s="30"/>
      <c r="D467" s="30"/>
      <c r="E467" s="30"/>
      <c r="F467" s="30"/>
      <c r="G467" s="30"/>
      <c r="H467" s="30"/>
    </row>
    <row r="468" ht="15.75" customHeight="1">
      <c r="A468" s="30"/>
      <c r="B468" s="30"/>
      <c r="C468" s="30"/>
      <c r="D468" s="30"/>
      <c r="E468" s="30"/>
      <c r="F468" s="30"/>
      <c r="G468" s="30"/>
      <c r="H468" s="30"/>
    </row>
    <row r="469" ht="15.75" customHeight="1">
      <c r="A469" s="30"/>
      <c r="B469" s="30"/>
      <c r="C469" s="30"/>
      <c r="D469" s="30"/>
      <c r="E469" s="30"/>
      <c r="F469" s="30"/>
      <c r="G469" s="30"/>
      <c r="H469" s="30"/>
    </row>
    <row r="470" ht="15.75" customHeight="1">
      <c r="A470" s="30"/>
      <c r="B470" s="30"/>
      <c r="C470" s="30"/>
      <c r="D470" s="30"/>
      <c r="E470" s="30"/>
      <c r="F470" s="30"/>
      <c r="G470" s="30"/>
      <c r="H470" s="30"/>
    </row>
    <row r="471" ht="15.75" customHeight="1">
      <c r="A471" s="30"/>
      <c r="B471" s="30"/>
      <c r="C471" s="30"/>
      <c r="D471" s="30"/>
      <c r="E471" s="30"/>
      <c r="F471" s="30"/>
      <c r="G471" s="30"/>
      <c r="H471" s="30"/>
    </row>
    <row r="472" ht="15.75" customHeight="1">
      <c r="A472" s="30"/>
      <c r="B472" s="30"/>
      <c r="C472" s="30"/>
      <c r="D472" s="30"/>
      <c r="E472" s="30"/>
      <c r="F472" s="30"/>
      <c r="G472" s="30"/>
      <c r="H472" s="30"/>
    </row>
    <row r="473" ht="15.75" customHeight="1">
      <c r="A473" s="30"/>
      <c r="B473" s="30"/>
      <c r="C473" s="30"/>
      <c r="D473" s="30"/>
      <c r="E473" s="30"/>
      <c r="F473" s="30"/>
      <c r="G473" s="30"/>
      <c r="H473" s="30"/>
    </row>
    <row r="474" ht="15.75" customHeight="1">
      <c r="A474" s="30"/>
      <c r="B474" s="30"/>
      <c r="C474" s="30"/>
      <c r="D474" s="30"/>
      <c r="E474" s="30"/>
      <c r="F474" s="30"/>
      <c r="G474" s="30"/>
      <c r="H474" s="30"/>
    </row>
    <row r="475" ht="15.75" customHeight="1">
      <c r="A475" s="30"/>
      <c r="B475" s="30"/>
      <c r="C475" s="30"/>
      <c r="D475" s="30"/>
      <c r="E475" s="30"/>
      <c r="F475" s="30"/>
      <c r="G475" s="30"/>
      <c r="H475" s="30"/>
    </row>
    <row r="476" ht="15.75" customHeight="1">
      <c r="A476" s="30"/>
      <c r="B476" s="30"/>
      <c r="C476" s="30"/>
      <c r="D476" s="30"/>
      <c r="E476" s="30"/>
      <c r="F476" s="30"/>
      <c r="G476" s="30"/>
      <c r="H476" s="30"/>
    </row>
    <row r="477" ht="15.75" customHeight="1">
      <c r="A477" s="30"/>
      <c r="B477" s="30"/>
      <c r="C477" s="30"/>
      <c r="D477" s="30"/>
      <c r="E477" s="30"/>
      <c r="F477" s="30"/>
      <c r="G477" s="30"/>
      <c r="H477" s="30"/>
    </row>
    <row r="478" ht="15.75" customHeight="1">
      <c r="A478" s="30"/>
      <c r="B478" s="30"/>
      <c r="C478" s="30"/>
      <c r="D478" s="30"/>
      <c r="E478" s="30"/>
      <c r="F478" s="30"/>
      <c r="G478" s="30"/>
      <c r="H478" s="30"/>
    </row>
    <row r="479" ht="15.75" customHeight="1">
      <c r="A479" s="30"/>
      <c r="B479" s="30"/>
      <c r="C479" s="30"/>
      <c r="D479" s="30"/>
      <c r="E479" s="30"/>
      <c r="F479" s="30"/>
      <c r="G479" s="30"/>
      <c r="H479" s="30"/>
    </row>
    <row r="480" ht="15.75" customHeight="1">
      <c r="A480" s="30"/>
      <c r="B480" s="30"/>
      <c r="C480" s="30"/>
      <c r="D480" s="30"/>
      <c r="E480" s="30"/>
      <c r="F480" s="30"/>
      <c r="G480" s="30"/>
      <c r="H480" s="30"/>
    </row>
    <row r="481" ht="15.75" customHeight="1">
      <c r="A481" s="30"/>
      <c r="B481" s="30"/>
      <c r="C481" s="30"/>
      <c r="D481" s="30"/>
      <c r="E481" s="30"/>
      <c r="F481" s="30"/>
      <c r="G481" s="30"/>
      <c r="H481" s="30"/>
    </row>
    <row r="482" ht="15.75" customHeight="1">
      <c r="A482" s="30"/>
      <c r="B482" s="30"/>
      <c r="C482" s="30"/>
      <c r="D482" s="30"/>
      <c r="E482" s="30"/>
      <c r="F482" s="30"/>
      <c r="G482" s="30"/>
      <c r="H482" s="30"/>
    </row>
    <row r="483" ht="15.75" customHeight="1">
      <c r="A483" s="30"/>
      <c r="B483" s="30"/>
      <c r="C483" s="30"/>
      <c r="D483" s="30"/>
      <c r="E483" s="30"/>
      <c r="F483" s="30"/>
      <c r="G483" s="30"/>
      <c r="H483" s="30"/>
    </row>
    <row r="484" ht="15.75" customHeight="1">
      <c r="A484" s="30"/>
      <c r="B484" s="30"/>
      <c r="C484" s="30"/>
      <c r="D484" s="30"/>
      <c r="E484" s="30"/>
      <c r="F484" s="30"/>
      <c r="G484" s="30"/>
      <c r="H484" s="30"/>
    </row>
    <row r="485" ht="15.75" customHeight="1">
      <c r="A485" s="30"/>
      <c r="B485" s="30"/>
      <c r="C485" s="30"/>
      <c r="D485" s="30"/>
      <c r="E485" s="30"/>
      <c r="F485" s="30"/>
      <c r="G485" s="30"/>
      <c r="H485" s="30"/>
    </row>
    <row r="486" ht="15.75" customHeight="1">
      <c r="A486" s="30"/>
      <c r="B486" s="30"/>
      <c r="C486" s="30"/>
      <c r="D486" s="30"/>
      <c r="E486" s="30"/>
      <c r="F486" s="30"/>
      <c r="G486" s="30"/>
      <c r="H486" s="30"/>
    </row>
    <row r="487" ht="15.75" customHeight="1">
      <c r="A487" s="30"/>
      <c r="B487" s="30"/>
      <c r="C487" s="30"/>
      <c r="D487" s="30"/>
      <c r="E487" s="30"/>
      <c r="F487" s="30"/>
      <c r="G487" s="30"/>
      <c r="H487" s="30"/>
    </row>
    <row r="488" ht="15.75" customHeight="1">
      <c r="A488" s="30"/>
      <c r="B488" s="30"/>
      <c r="C488" s="30"/>
      <c r="D488" s="30"/>
      <c r="E488" s="30"/>
      <c r="F488" s="30"/>
      <c r="G488" s="30"/>
      <c r="H488" s="30"/>
    </row>
    <row r="489" ht="15.75" customHeight="1">
      <c r="A489" s="30"/>
      <c r="B489" s="30"/>
      <c r="C489" s="30"/>
      <c r="D489" s="30"/>
      <c r="E489" s="30"/>
      <c r="F489" s="30"/>
      <c r="G489" s="30"/>
      <c r="H489" s="30"/>
    </row>
    <row r="490" ht="15.75" customHeight="1">
      <c r="A490" s="30"/>
      <c r="B490" s="30"/>
      <c r="C490" s="30"/>
      <c r="D490" s="30"/>
      <c r="E490" s="30"/>
      <c r="F490" s="30"/>
      <c r="G490" s="30"/>
      <c r="H490" s="30"/>
    </row>
    <row r="491" ht="15.75" customHeight="1">
      <c r="A491" s="30"/>
      <c r="B491" s="30"/>
      <c r="C491" s="30"/>
      <c r="D491" s="30"/>
      <c r="E491" s="30"/>
      <c r="F491" s="30"/>
      <c r="G491" s="30"/>
      <c r="H491" s="30"/>
    </row>
    <row r="492" ht="15.75" customHeight="1">
      <c r="A492" s="30"/>
      <c r="B492" s="30"/>
      <c r="C492" s="30"/>
      <c r="D492" s="30"/>
      <c r="E492" s="30"/>
      <c r="F492" s="30"/>
      <c r="G492" s="30"/>
      <c r="H492" s="30"/>
    </row>
    <row r="493" ht="15.75" customHeight="1">
      <c r="A493" s="30"/>
      <c r="B493" s="30"/>
      <c r="C493" s="30"/>
      <c r="D493" s="30"/>
      <c r="E493" s="30"/>
      <c r="F493" s="30"/>
      <c r="G493" s="30"/>
      <c r="H493" s="30"/>
    </row>
    <row r="494" ht="15.75" customHeight="1">
      <c r="A494" s="30"/>
      <c r="B494" s="30"/>
      <c r="C494" s="30"/>
      <c r="D494" s="30"/>
      <c r="E494" s="30"/>
      <c r="F494" s="30"/>
      <c r="G494" s="30"/>
      <c r="H494" s="30"/>
    </row>
    <row r="495" ht="15.75" customHeight="1">
      <c r="A495" s="30"/>
      <c r="B495" s="30"/>
      <c r="C495" s="30"/>
      <c r="D495" s="30"/>
      <c r="E495" s="30"/>
      <c r="F495" s="30"/>
      <c r="G495" s="30"/>
      <c r="H495" s="30"/>
    </row>
    <row r="496" ht="15.75" customHeight="1">
      <c r="A496" s="30"/>
      <c r="B496" s="30"/>
      <c r="C496" s="30"/>
      <c r="D496" s="30"/>
      <c r="E496" s="30"/>
      <c r="F496" s="30"/>
      <c r="G496" s="30"/>
      <c r="H496" s="30"/>
    </row>
    <row r="497" ht="15.75" customHeight="1">
      <c r="A497" s="30"/>
      <c r="B497" s="30"/>
      <c r="C497" s="30"/>
      <c r="D497" s="30"/>
      <c r="E497" s="30"/>
      <c r="F497" s="30"/>
      <c r="G497" s="30"/>
      <c r="H497" s="30"/>
    </row>
    <row r="498" ht="15.75" customHeight="1">
      <c r="A498" s="30"/>
      <c r="B498" s="30"/>
      <c r="C498" s="30"/>
      <c r="D498" s="30"/>
      <c r="E498" s="30"/>
      <c r="F498" s="30"/>
      <c r="G498" s="30"/>
      <c r="H498" s="30"/>
    </row>
    <row r="499" ht="15.75" customHeight="1">
      <c r="A499" s="30"/>
      <c r="B499" s="30"/>
      <c r="C499" s="30"/>
      <c r="D499" s="30"/>
      <c r="E499" s="30"/>
      <c r="F499" s="30"/>
      <c r="G499" s="30"/>
      <c r="H499" s="30"/>
    </row>
    <row r="500" ht="15.75" customHeight="1">
      <c r="A500" s="30"/>
      <c r="B500" s="30"/>
      <c r="C500" s="30"/>
      <c r="D500" s="30"/>
      <c r="E500" s="30"/>
      <c r="F500" s="30"/>
      <c r="G500" s="30"/>
      <c r="H500" s="30"/>
    </row>
    <row r="501" ht="15.75" customHeight="1">
      <c r="A501" s="30"/>
      <c r="B501" s="30"/>
      <c r="C501" s="30"/>
      <c r="D501" s="30"/>
      <c r="E501" s="30"/>
      <c r="F501" s="30"/>
      <c r="G501" s="30"/>
      <c r="H501" s="30"/>
    </row>
    <row r="502" ht="15.75" customHeight="1">
      <c r="A502" s="30"/>
      <c r="B502" s="30"/>
      <c r="C502" s="30"/>
      <c r="D502" s="30"/>
      <c r="E502" s="30"/>
      <c r="F502" s="30"/>
      <c r="G502" s="30"/>
      <c r="H502" s="30"/>
    </row>
    <row r="503" ht="15.75" customHeight="1">
      <c r="A503" s="30"/>
      <c r="B503" s="30"/>
      <c r="C503" s="30"/>
      <c r="D503" s="30"/>
      <c r="E503" s="30"/>
      <c r="F503" s="30"/>
      <c r="G503" s="30"/>
      <c r="H503" s="30"/>
    </row>
    <row r="504" ht="15.75" customHeight="1">
      <c r="A504" s="30"/>
      <c r="B504" s="30"/>
      <c r="C504" s="30"/>
      <c r="D504" s="30"/>
      <c r="E504" s="30"/>
      <c r="F504" s="30"/>
      <c r="G504" s="30"/>
      <c r="H504" s="30"/>
    </row>
    <row r="505" ht="15.75" customHeight="1">
      <c r="A505" s="30"/>
      <c r="B505" s="30"/>
      <c r="C505" s="30"/>
      <c r="D505" s="30"/>
      <c r="E505" s="30"/>
      <c r="F505" s="30"/>
      <c r="G505" s="30"/>
      <c r="H505" s="30"/>
    </row>
    <row r="506" ht="15.75" customHeight="1">
      <c r="A506" s="30"/>
      <c r="B506" s="30"/>
      <c r="C506" s="30"/>
      <c r="D506" s="30"/>
      <c r="E506" s="30"/>
      <c r="F506" s="30"/>
      <c r="G506" s="30"/>
      <c r="H506" s="30"/>
    </row>
    <row r="507" ht="15.75" customHeight="1">
      <c r="A507" s="30"/>
      <c r="B507" s="30"/>
      <c r="C507" s="30"/>
      <c r="D507" s="30"/>
      <c r="E507" s="30"/>
      <c r="F507" s="30"/>
      <c r="G507" s="30"/>
      <c r="H507" s="30"/>
    </row>
    <row r="508" ht="15.75" customHeight="1">
      <c r="A508" s="30"/>
      <c r="B508" s="30"/>
      <c r="C508" s="30"/>
      <c r="D508" s="30"/>
      <c r="E508" s="30"/>
      <c r="F508" s="30"/>
      <c r="G508" s="30"/>
      <c r="H508" s="30"/>
    </row>
    <row r="509" ht="15.75" customHeight="1">
      <c r="A509" s="30"/>
      <c r="B509" s="30"/>
      <c r="C509" s="30"/>
      <c r="D509" s="30"/>
      <c r="E509" s="30"/>
      <c r="F509" s="30"/>
      <c r="G509" s="30"/>
      <c r="H509" s="30"/>
    </row>
    <row r="510" ht="15.75" customHeight="1">
      <c r="A510" s="30"/>
      <c r="B510" s="30"/>
      <c r="C510" s="30"/>
      <c r="D510" s="30"/>
      <c r="E510" s="30"/>
      <c r="F510" s="30"/>
      <c r="G510" s="30"/>
      <c r="H510" s="30"/>
    </row>
    <row r="511" ht="15.75" customHeight="1">
      <c r="A511" s="30"/>
      <c r="B511" s="30"/>
      <c r="C511" s="30"/>
      <c r="D511" s="30"/>
      <c r="E511" s="30"/>
      <c r="F511" s="30"/>
      <c r="G511" s="30"/>
      <c r="H511" s="30"/>
    </row>
    <row r="512" ht="15.75" customHeight="1">
      <c r="A512" s="30"/>
      <c r="B512" s="30"/>
      <c r="C512" s="30"/>
      <c r="D512" s="30"/>
      <c r="E512" s="30"/>
      <c r="F512" s="30"/>
      <c r="G512" s="30"/>
      <c r="H512" s="30"/>
    </row>
    <row r="513" ht="15.75" customHeight="1">
      <c r="A513" s="30"/>
      <c r="B513" s="30"/>
      <c r="C513" s="30"/>
      <c r="D513" s="30"/>
      <c r="E513" s="30"/>
      <c r="F513" s="30"/>
      <c r="G513" s="30"/>
      <c r="H513" s="30"/>
    </row>
    <row r="514" ht="15.75" customHeight="1">
      <c r="A514" s="30"/>
      <c r="B514" s="30"/>
      <c r="C514" s="30"/>
      <c r="D514" s="30"/>
      <c r="E514" s="30"/>
      <c r="F514" s="30"/>
      <c r="G514" s="30"/>
      <c r="H514" s="30"/>
    </row>
    <row r="515" ht="15.75" customHeight="1">
      <c r="A515" s="30"/>
      <c r="B515" s="30"/>
      <c r="C515" s="30"/>
      <c r="D515" s="30"/>
      <c r="E515" s="30"/>
      <c r="F515" s="30"/>
      <c r="G515" s="30"/>
      <c r="H515" s="30"/>
    </row>
    <row r="516" ht="15.75" customHeight="1">
      <c r="A516" s="30"/>
      <c r="B516" s="30"/>
      <c r="C516" s="30"/>
      <c r="D516" s="30"/>
      <c r="E516" s="30"/>
      <c r="F516" s="30"/>
      <c r="G516" s="30"/>
      <c r="H516" s="30"/>
    </row>
    <row r="517" ht="15.75" customHeight="1">
      <c r="A517" s="30"/>
      <c r="B517" s="30"/>
      <c r="C517" s="30"/>
      <c r="D517" s="30"/>
      <c r="E517" s="30"/>
      <c r="F517" s="30"/>
      <c r="G517" s="30"/>
      <c r="H517" s="30"/>
    </row>
    <row r="518" ht="15.75" customHeight="1">
      <c r="A518" s="30"/>
      <c r="B518" s="30"/>
      <c r="C518" s="30"/>
      <c r="D518" s="30"/>
      <c r="E518" s="30"/>
      <c r="F518" s="30"/>
      <c r="G518" s="30"/>
      <c r="H518" s="30"/>
    </row>
    <row r="519" ht="15.75" customHeight="1">
      <c r="A519" s="30"/>
      <c r="B519" s="30"/>
      <c r="C519" s="30"/>
      <c r="D519" s="30"/>
      <c r="E519" s="30"/>
      <c r="F519" s="30"/>
      <c r="G519" s="30"/>
      <c r="H519" s="30"/>
    </row>
    <row r="520" ht="15.75" customHeight="1">
      <c r="A520" s="30"/>
      <c r="B520" s="30"/>
      <c r="C520" s="30"/>
      <c r="D520" s="30"/>
      <c r="E520" s="30"/>
      <c r="F520" s="30"/>
      <c r="G520" s="30"/>
      <c r="H520" s="30"/>
    </row>
    <row r="521" ht="15.75" customHeight="1">
      <c r="A521" s="30"/>
      <c r="B521" s="30"/>
      <c r="C521" s="30"/>
      <c r="D521" s="30"/>
      <c r="E521" s="30"/>
      <c r="F521" s="30"/>
      <c r="G521" s="30"/>
      <c r="H521" s="30"/>
    </row>
    <row r="522" ht="15.75" customHeight="1">
      <c r="A522" s="30"/>
      <c r="B522" s="30"/>
      <c r="C522" s="30"/>
      <c r="D522" s="30"/>
      <c r="E522" s="30"/>
      <c r="F522" s="30"/>
      <c r="G522" s="30"/>
      <c r="H522" s="30"/>
    </row>
    <row r="523" ht="15.75" customHeight="1">
      <c r="A523" s="30"/>
      <c r="B523" s="30"/>
      <c r="C523" s="30"/>
      <c r="D523" s="30"/>
      <c r="E523" s="30"/>
      <c r="F523" s="30"/>
      <c r="G523" s="30"/>
      <c r="H523" s="30"/>
    </row>
    <row r="524" ht="15.75" customHeight="1">
      <c r="A524" s="30"/>
      <c r="B524" s="30"/>
      <c r="C524" s="30"/>
      <c r="D524" s="30"/>
      <c r="E524" s="30"/>
      <c r="F524" s="30"/>
      <c r="G524" s="30"/>
      <c r="H524" s="30"/>
    </row>
    <row r="525" ht="15.75" customHeight="1">
      <c r="A525" s="30"/>
      <c r="B525" s="30"/>
      <c r="C525" s="30"/>
      <c r="D525" s="30"/>
      <c r="E525" s="30"/>
      <c r="F525" s="30"/>
      <c r="G525" s="30"/>
      <c r="H525" s="30"/>
    </row>
    <row r="526" ht="15.75" customHeight="1">
      <c r="A526" s="30"/>
      <c r="B526" s="30"/>
      <c r="C526" s="30"/>
      <c r="D526" s="30"/>
      <c r="E526" s="30"/>
      <c r="F526" s="30"/>
      <c r="G526" s="30"/>
      <c r="H526" s="30"/>
    </row>
    <row r="527" ht="15.75" customHeight="1">
      <c r="A527" s="30"/>
      <c r="B527" s="30"/>
      <c r="C527" s="30"/>
      <c r="D527" s="30"/>
      <c r="E527" s="30"/>
      <c r="F527" s="30"/>
      <c r="G527" s="30"/>
      <c r="H527" s="30"/>
    </row>
    <row r="528" ht="15.75" customHeight="1">
      <c r="A528" s="30"/>
      <c r="B528" s="30"/>
      <c r="C528" s="30"/>
      <c r="D528" s="30"/>
      <c r="E528" s="30"/>
      <c r="F528" s="30"/>
      <c r="G528" s="30"/>
      <c r="H528" s="30"/>
    </row>
    <row r="529" ht="15.75" customHeight="1">
      <c r="A529" s="30"/>
      <c r="B529" s="30"/>
      <c r="C529" s="30"/>
      <c r="D529" s="30"/>
      <c r="E529" s="30"/>
      <c r="F529" s="30"/>
      <c r="G529" s="30"/>
      <c r="H529" s="30"/>
    </row>
    <row r="530" ht="15.75" customHeight="1">
      <c r="A530" s="30"/>
      <c r="B530" s="30"/>
      <c r="C530" s="30"/>
      <c r="D530" s="30"/>
      <c r="E530" s="30"/>
      <c r="F530" s="30"/>
      <c r="G530" s="30"/>
      <c r="H530" s="30"/>
    </row>
    <row r="531" ht="15.75" customHeight="1">
      <c r="A531" s="30"/>
      <c r="B531" s="30"/>
      <c r="C531" s="30"/>
      <c r="D531" s="30"/>
      <c r="E531" s="30"/>
      <c r="F531" s="30"/>
      <c r="G531" s="30"/>
      <c r="H531" s="30"/>
    </row>
    <row r="532" ht="15.75" customHeight="1">
      <c r="A532" s="30"/>
      <c r="B532" s="30"/>
      <c r="C532" s="30"/>
      <c r="D532" s="30"/>
      <c r="E532" s="30"/>
      <c r="F532" s="30"/>
      <c r="G532" s="30"/>
      <c r="H532" s="30"/>
    </row>
    <row r="533" ht="15.75" customHeight="1">
      <c r="A533" s="30"/>
      <c r="B533" s="30"/>
      <c r="C533" s="30"/>
      <c r="D533" s="30"/>
      <c r="E533" s="30"/>
      <c r="F533" s="30"/>
      <c r="G533" s="30"/>
      <c r="H533" s="30"/>
    </row>
    <row r="534" ht="15.75" customHeight="1">
      <c r="A534" s="30"/>
      <c r="B534" s="30"/>
      <c r="C534" s="30"/>
      <c r="D534" s="30"/>
      <c r="E534" s="30"/>
      <c r="F534" s="30"/>
      <c r="G534" s="30"/>
      <c r="H534" s="30"/>
    </row>
    <row r="535" ht="15.75" customHeight="1">
      <c r="A535" s="30"/>
      <c r="B535" s="30"/>
      <c r="C535" s="30"/>
      <c r="D535" s="30"/>
      <c r="E535" s="30"/>
      <c r="F535" s="30"/>
      <c r="G535" s="30"/>
      <c r="H535" s="30"/>
    </row>
    <row r="536" ht="15.75" customHeight="1">
      <c r="A536" s="30"/>
      <c r="B536" s="30"/>
      <c r="C536" s="30"/>
      <c r="D536" s="30"/>
      <c r="E536" s="30"/>
      <c r="F536" s="30"/>
      <c r="G536" s="30"/>
      <c r="H536" s="30"/>
    </row>
    <row r="537" ht="15.75" customHeight="1">
      <c r="A537" s="30"/>
      <c r="B537" s="30"/>
      <c r="C537" s="30"/>
      <c r="D537" s="30"/>
      <c r="E537" s="30"/>
      <c r="F537" s="30"/>
      <c r="G537" s="30"/>
      <c r="H537" s="30"/>
    </row>
    <row r="538" ht="15.75" customHeight="1">
      <c r="A538" s="30"/>
      <c r="B538" s="30"/>
      <c r="C538" s="30"/>
      <c r="D538" s="30"/>
      <c r="E538" s="30"/>
      <c r="F538" s="30"/>
      <c r="G538" s="30"/>
      <c r="H538" s="30"/>
    </row>
    <row r="539" ht="15.75" customHeight="1">
      <c r="A539" s="30"/>
      <c r="B539" s="30"/>
      <c r="C539" s="30"/>
      <c r="D539" s="30"/>
      <c r="E539" s="30"/>
      <c r="F539" s="30"/>
      <c r="G539" s="30"/>
      <c r="H539" s="30"/>
    </row>
    <row r="540" ht="15.75" customHeight="1">
      <c r="A540" s="30"/>
      <c r="B540" s="30"/>
      <c r="C540" s="30"/>
      <c r="D540" s="30"/>
      <c r="E540" s="30"/>
      <c r="F540" s="30"/>
      <c r="G540" s="30"/>
      <c r="H540" s="30"/>
    </row>
    <row r="541" ht="15.75" customHeight="1">
      <c r="A541" s="30"/>
      <c r="B541" s="30"/>
      <c r="C541" s="30"/>
      <c r="D541" s="30"/>
      <c r="E541" s="30"/>
      <c r="F541" s="30"/>
      <c r="G541" s="30"/>
      <c r="H541" s="30"/>
    </row>
    <row r="542" ht="15.75" customHeight="1">
      <c r="A542" s="30"/>
      <c r="B542" s="30"/>
      <c r="C542" s="30"/>
      <c r="D542" s="30"/>
      <c r="E542" s="30"/>
      <c r="F542" s="30"/>
      <c r="G542" s="30"/>
      <c r="H542" s="30"/>
    </row>
    <row r="543" ht="15.75" customHeight="1">
      <c r="A543" s="30"/>
      <c r="B543" s="30"/>
      <c r="C543" s="30"/>
      <c r="D543" s="30"/>
      <c r="E543" s="30"/>
      <c r="F543" s="30"/>
      <c r="G543" s="30"/>
      <c r="H543" s="30"/>
    </row>
    <row r="544" ht="15.75" customHeight="1">
      <c r="A544" s="30"/>
      <c r="B544" s="30"/>
      <c r="C544" s="30"/>
      <c r="D544" s="30"/>
      <c r="E544" s="30"/>
      <c r="F544" s="30"/>
      <c r="G544" s="30"/>
      <c r="H544" s="30"/>
    </row>
    <row r="545" ht="15.75" customHeight="1">
      <c r="A545" s="30"/>
      <c r="B545" s="30"/>
      <c r="C545" s="30"/>
      <c r="D545" s="30"/>
      <c r="E545" s="30"/>
      <c r="F545" s="30"/>
      <c r="G545" s="30"/>
      <c r="H545" s="30"/>
    </row>
    <row r="546" ht="15.75" customHeight="1">
      <c r="A546" s="30"/>
      <c r="B546" s="30"/>
      <c r="C546" s="30"/>
      <c r="D546" s="30"/>
      <c r="E546" s="30"/>
      <c r="F546" s="30"/>
      <c r="G546" s="30"/>
      <c r="H546" s="30"/>
    </row>
    <row r="547" ht="15.75" customHeight="1">
      <c r="A547" s="30"/>
      <c r="B547" s="30"/>
      <c r="C547" s="30"/>
      <c r="D547" s="30"/>
      <c r="E547" s="30"/>
      <c r="F547" s="30"/>
      <c r="G547" s="30"/>
      <c r="H547" s="30"/>
    </row>
    <row r="548" ht="15.75" customHeight="1">
      <c r="A548" s="30"/>
      <c r="B548" s="30"/>
      <c r="C548" s="30"/>
      <c r="D548" s="30"/>
      <c r="E548" s="30"/>
      <c r="F548" s="30"/>
      <c r="G548" s="30"/>
      <c r="H548" s="30"/>
    </row>
    <row r="549" ht="15.75" customHeight="1">
      <c r="A549" s="30"/>
      <c r="B549" s="30"/>
      <c r="C549" s="30"/>
      <c r="D549" s="30"/>
      <c r="E549" s="30"/>
      <c r="F549" s="30"/>
      <c r="G549" s="30"/>
      <c r="H549" s="30"/>
    </row>
    <row r="550" ht="15.75" customHeight="1">
      <c r="A550" s="30"/>
      <c r="B550" s="30"/>
      <c r="C550" s="30"/>
      <c r="D550" s="30"/>
      <c r="E550" s="30"/>
      <c r="F550" s="30"/>
      <c r="G550" s="30"/>
      <c r="H550" s="30"/>
    </row>
    <row r="551" ht="15.75" customHeight="1">
      <c r="A551" s="30"/>
      <c r="B551" s="30"/>
      <c r="C551" s="30"/>
      <c r="D551" s="30"/>
      <c r="E551" s="30"/>
      <c r="F551" s="30"/>
      <c r="G551" s="30"/>
      <c r="H551" s="30"/>
    </row>
    <row r="552" ht="15.75" customHeight="1">
      <c r="A552" s="30"/>
      <c r="B552" s="30"/>
      <c r="C552" s="30"/>
      <c r="D552" s="30"/>
      <c r="E552" s="30"/>
      <c r="F552" s="30"/>
      <c r="G552" s="30"/>
      <c r="H552" s="30"/>
    </row>
    <row r="553" ht="15.75" customHeight="1">
      <c r="A553" s="30"/>
      <c r="B553" s="30"/>
      <c r="C553" s="30"/>
      <c r="D553" s="30"/>
      <c r="E553" s="30"/>
      <c r="F553" s="30"/>
      <c r="G553" s="30"/>
      <c r="H553" s="30"/>
    </row>
    <row r="554" ht="15.75" customHeight="1">
      <c r="A554" s="30"/>
      <c r="B554" s="30"/>
      <c r="C554" s="30"/>
      <c r="D554" s="30"/>
      <c r="E554" s="30"/>
      <c r="F554" s="30"/>
      <c r="G554" s="30"/>
      <c r="H554" s="30"/>
    </row>
    <row r="555" ht="15.75" customHeight="1">
      <c r="A555" s="30"/>
      <c r="B555" s="30"/>
      <c r="C555" s="30"/>
      <c r="D555" s="30"/>
      <c r="E555" s="30"/>
      <c r="F555" s="30"/>
      <c r="G555" s="30"/>
      <c r="H555" s="30"/>
    </row>
    <row r="556" ht="15.75" customHeight="1">
      <c r="A556" s="30"/>
      <c r="B556" s="30"/>
      <c r="C556" s="30"/>
      <c r="D556" s="30"/>
      <c r="E556" s="30"/>
      <c r="F556" s="30"/>
      <c r="G556" s="30"/>
      <c r="H556" s="30"/>
    </row>
    <row r="557" ht="15.75" customHeight="1">
      <c r="A557" s="30"/>
      <c r="B557" s="30"/>
      <c r="C557" s="30"/>
      <c r="D557" s="30"/>
      <c r="E557" s="30"/>
      <c r="F557" s="30"/>
      <c r="G557" s="30"/>
      <c r="H557" s="30"/>
    </row>
    <row r="558" ht="15.75" customHeight="1">
      <c r="A558" s="30"/>
      <c r="B558" s="30"/>
      <c r="C558" s="30"/>
      <c r="D558" s="30"/>
      <c r="E558" s="30"/>
      <c r="F558" s="30"/>
      <c r="G558" s="30"/>
      <c r="H558" s="30"/>
    </row>
    <row r="559" ht="15.75" customHeight="1">
      <c r="A559" s="30"/>
      <c r="B559" s="30"/>
      <c r="C559" s="30"/>
      <c r="D559" s="30"/>
      <c r="E559" s="30"/>
      <c r="F559" s="30"/>
      <c r="G559" s="30"/>
      <c r="H559" s="30"/>
    </row>
    <row r="560" ht="15.75" customHeight="1">
      <c r="A560" s="30"/>
      <c r="B560" s="30"/>
      <c r="C560" s="30"/>
      <c r="D560" s="30"/>
      <c r="E560" s="30"/>
      <c r="F560" s="30"/>
      <c r="G560" s="30"/>
      <c r="H560" s="30"/>
    </row>
    <row r="561" ht="15.75" customHeight="1">
      <c r="A561" s="30"/>
      <c r="B561" s="30"/>
      <c r="C561" s="30"/>
      <c r="D561" s="30"/>
      <c r="E561" s="30"/>
      <c r="F561" s="30"/>
      <c r="G561" s="30"/>
      <c r="H561" s="30"/>
    </row>
    <row r="562" ht="15.75" customHeight="1">
      <c r="A562" s="30"/>
      <c r="B562" s="30"/>
      <c r="C562" s="30"/>
      <c r="D562" s="30"/>
      <c r="E562" s="30"/>
      <c r="F562" s="30"/>
      <c r="G562" s="30"/>
      <c r="H562" s="30"/>
    </row>
    <row r="563" ht="15.75" customHeight="1">
      <c r="A563" s="30"/>
      <c r="B563" s="30"/>
      <c r="C563" s="30"/>
      <c r="D563" s="30"/>
      <c r="E563" s="30"/>
      <c r="F563" s="30"/>
      <c r="G563" s="30"/>
      <c r="H563" s="30"/>
    </row>
    <row r="564" ht="15.75" customHeight="1">
      <c r="A564" s="30"/>
      <c r="B564" s="30"/>
      <c r="C564" s="30"/>
      <c r="D564" s="30"/>
      <c r="E564" s="30"/>
      <c r="F564" s="30"/>
      <c r="G564" s="30"/>
      <c r="H564" s="30"/>
    </row>
    <row r="565" ht="15.75" customHeight="1">
      <c r="A565" s="30"/>
      <c r="B565" s="30"/>
      <c r="C565" s="30"/>
      <c r="D565" s="30"/>
      <c r="E565" s="30"/>
      <c r="F565" s="30"/>
      <c r="G565" s="30"/>
      <c r="H565" s="30"/>
    </row>
    <row r="566" ht="15.75" customHeight="1">
      <c r="A566" s="30"/>
      <c r="B566" s="30"/>
      <c r="C566" s="30"/>
      <c r="D566" s="30"/>
      <c r="E566" s="30"/>
      <c r="F566" s="30"/>
      <c r="G566" s="30"/>
      <c r="H566" s="30"/>
    </row>
    <row r="567" ht="15.75" customHeight="1">
      <c r="A567" s="30"/>
      <c r="B567" s="30"/>
      <c r="C567" s="30"/>
      <c r="D567" s="30"/>
      <c r="E567" s="30"/>
      <c r="F567" s="30"/>
      <c r="G567" s="30"/>
      <c r="H567" s="30"/>
    </row>
    <row r="568" ht="15.75" customHeight="1">
      <c r="A568" s="30"/>
      <c r="B568" s="30"/>
      <c r="C568" s="30"/>
      <c r="D568" s="30"/>
      <c r="E568" s="30"/>
      <c r="F568" s="30"/>
      <c r="G568" s="30"/>
      <c r="H568" s="30"/>
    </row>
    <row r="569" ht="15.75" customHeight="1">
      <c r="A569" s="30"/>
      <c r="B569" s="30"/>
      <c r="C569" s="30"/>
      <c r="D569" s="30"/>
      <c r="E569" s="30"/>
      <c r="F569" s="30"/>
      <c r="G569" s="30"/>
      <c r="H569" s="30"/>
    </row>
    <row r="570" ht="15.75" customHeight="1">
      <c r="A570" s="30"/>
      <c r="B570" s="30"/>
      <c r="C570" s="30"/>
      <c r="D570" s="30"/>
      <c r="E570" s="30"/>
      <c r="F570" s="30"/>
      <c r="G570" s="30"/>
      <c r="H570" s="30"/>
    </row>
    <row r="571" ht="15.75" customHeight="1">
      <c r="A571" s="30"/>
      <c r="B571" s="30"/>
      <c r="C571" s="30"/>
      <c r="D571" s="30"/>
      <c r="E571" s="30"/>
      <c r="F571" s="30"/>
      <c r="G571" s="30"/>
      <c r="H571" s="30"/>
    </row>
    <row r="572" ht="15.75" customHeight="1">
      <c r="A572" s="30"/>
      <c r="B572" s="30"/>
      <c r="C572" s="30"/>
      <c r="D572" s="30"/>
      <c r="E572" s="30"/>
      <c r="F572" s="30"/>
      <c r="G572" s="30"/>
      <c r="H572" s="30"/>
    </row>
    <row r="573" ht="15.75" customHeight="1">
      <c r="A573" s="30"/>
      <c r="B573" s="30"/>
      <c r="C573" s="30"/>
      <c r="D573" s="30"/>
      <c r="E573" s="30"/>
      <c r="F573" s="30"/>
      <c r="G573" s="30"/>
      <c r="H573" s="30"/>
    </row>
    <row r="574" ht="15.75" customHeight="1">
      <c r="A574" s="30"/>
      <c r="B574" s="30"/>
      <c r="C574" s="30"/>
      <c r="D574" s="30"/>
      <c r="E574" s="30"/>
      <c r="F574" s="30"/>
      <c r="G574" s="30"/>
      <c r="H574" s="30"/>
    </row>
    <row r="575" ht="15.75" customHeight="1">
      <c r="A575" s="30"/>
      <c r="B575" s="30"/>
      <c r="C575" s="30"/>
      <c r="D575" s="30"/>
      <c r="E575" s="30"/>
      <c r="F575" s="30"/>
      <c r="G575" s="30"/>
      <c r="H575" s="30"/>
    </row>
    <row r="576" ht="15.75" customHeight="1">
      <c r="A576" s="30"/>
      <c r="B576" s="30"/>
      <c r="C576" s="30"/>
      <c r="D576" s="30"/>
      <c r="E576" s="30"/>
      <c r="F576" s="30"/>
      <c r="G576" s="30"/>
      <c r="H576" s="30"/>
    </row>
    <row r="577" ht="15.75" customHeight="1">
      <c r="A577" s="30"/>
      <c r="B577" s="30"/>
      <c r="C577" s="30"/>
      <c r="D577" s="30"/>
      <c r="E577" s="30"/>
      <c r="F577" s="30"/>
      <c r="G577" s="30"/>
      <c r="H577" s="30"/>
    </row>
    <row r="578" ht="15.75" customHeight="1">
      <c r="A578" s="30"/>
      <c r="B578" s="30"/>
      <c r="C578" s="30"/>
      <c r="D578" s="30"/>
      <c r="E578" s="30"/>
      <c r="F578" s="30"/>
      <c r="G578" s="30"/>
      <c r="H578" s="30"/>
    </row>
    <row r="579" ht="15.75" customHeight="1">
      <c r="A579" s="30"/>
      <c r="B579" s="30"/>
      <c r="C579" s="30"/>
      <c r="D579" s="30"/>
      <c r="E579" s="30"/>
      <c r="F579" s="30"/>
      <c r="G579" s="30"/>
      <c r="H579" s="30"/>
    </row>
    <row r="580" ht="15.75" customHeight="1">
      <c r="A580" s="30"/>
      <c r="B580" s="30"/>
      <c r="C580" s="30"/>
      <c r="D580" s="30"/>
      <c r="E580" s="30"/>
      <c r="F580" s="30"/>
      <c r="G580" s="30"/>
      <c r="H580" s="30"/>
    </row>
    <row r="581" ht="15.75" customHeight="1">
      <c r="A581" s="30"/>
      <c r="B581" s="30"/>
      <c r="C581" s="30"/>
      <c r="D581" s="30"/>
      <c r="E581" s="30"/>
      <c r="F581" s="30"/>
      <c r="G581" s="30"/>
      <c r="H581" s="30"/>
    </row>
    <row r="582" ht="15.75" customHeight="1">
      <c r="A582" s="30"/>
      <c r="B582" s="30"/>
      <c r="C582" s="30"/>
      <c r="D582" s="30"/>
      <c r="E582" s="30"/>
      <c r="F582" s="30"/>
      <c r="G582" s="30"/>
      <c r="H582" s="30"/>
    </row>
    <row r="583" ht="15.75" customHeight="1">
      <c r="A583" s="30"/>
      <c r="B583" s="30"/>
      <c r="C583" s="30"/>
      <c r="D583" s="30"/>
      <c r="E583" s="30"/>
      <c r="F583" s="30"/>
      <c r="G583" s="30"/>
      <c r="H583" s="30"/>
    </row>
    <row r="584" ht="15.75" customHeight="1">
      <c r="A584" s="30"/>
      <c r="B584" s="30"/>
      <c r="C584" s="30"/>
      <c r="D584" s="30"/>
      <c r="E584" s="30"/>
      <c r="F584" s="30"/>
      <c r="G584" s="30"/>
      <c r="H584" s="30"/>
    </row>
    <row r="585" ht="15.75" customHeight="1">
      <c r="A585" s="30"/>
      <c r="B585" s="30"/>
      <c r="C585" s="30"/>
      <c r="D585" s="30"/>
      <c r="E585" s="30"/>
      <c r="F585" s="30"/>
      <c r="G585" s="30"/>
      <c r="H585" s="30"/>
    </row>
    <row r="586" ht="15.75" customHeight="1">
      <c r="A586" s="30"/>
      <c r="B586" s="30"/>
      <c r="C586" s="30"/>
      <c r="D586" s="30"/>
      <c r="E586" s="30"/>
      <c r="F586" s="30"/>
      <c r="G586" s="30"/>
      <c r="H586" s="30"/>
    </row>
    <row r="587" ht="15.75" customHeight="1">
      <c r="A587" s="30"/>
      <c r="B587" s="30"/>
      <c r="C587" s="30"/>
      <c r="D587" s="30"/>
      <c r="E587" s="30"/>
      <c r="F587" s="30"/>
      <c r="G587" s="30"/>
      <c r="H587" s="30"/>
    </row>
    <row r="588" ht="15.75" customHeight="1">
      <c r="A588" s="30"/>
      <c r="B588" s="30"/>
      <c r="C588" s="30"/>
      <c r="D588" s="30"/>
      <c r="E588" s="30"/>
      <c r="F588" s="30"/>
      <c r="G588" s="30"/>
      <c r="H588" s="30"/>
    </row>
    <row r="589" ht="15.75" customHeight="1">
      <c r="A589" s="30"/>
      <c r="B589" s="30"/>
      <c r="C589" s="30"/>
      <c r="D589" s="30"/>
      <c r="E589" s="30"/>
      <c r="F589" s="30"/>
      <c r="G589" s="30"/>
      <c r="H589" s="30"/>
    </row>
    <row r="590" ht="15.75" customHeight="1">
      <c r="A590" s="30"/>
      <c r="B590" s="30"/>
      <c r="C590" s="30"/>
      <c r="D590" s="30"/>
      <c r="E590" s="30"/>
      <c r="F590" s="30"/>
      <c r="G590" s="30"/>
      <c r="H590" s="30"/>
    </row>
    <row r="591" ht="15.75" customHeight="1">
      <c r="A591" s="30"/>
      <c r="B591" s="30"/>
      <c r="C591" s="30"/>
      <c r="D591" s="30"/>
      <c r="E591" s="30"/>
      <c r="F591" s="30"/>
      <c r="G591" s="30"/>
      <c r="H591" s="30"/>
    </row>
    <row r="592" ht="15.75" customHeight="1">
      <c r="A592" s="30"/>
      <c r="B592" s="30"/>
      <c r="C592" s="30"/>
      <c r="D592" s="30"/>
      <c r="E592" s="30"/>
      <c r="F592" s="30"/>
      <c r="G592" s="30"/>
      <c r="H592" s="30"/>
    </row>
    <row r="593" ht="15.75" customHeight="1">
      <c r="A593" s="30"/>
      <c r="B593" s="30"/>
      <c r="C593" s="30"/>
      <c r="D593" s="30"/>
      <c r="E593" s="30"/>
      <c r="F593" s="30"/>
      <c r="G593" s="30"/>
      <c r="H593" s="30"/>
    </row>
    <row r="594" ht="15.75" customHeight="1">
      <c r="A594" s="30"/>
      <c r="B594" s="30"/>
      <c r="C594" s="30"/>
      <c r="D594" s="30"/>
      <c r="E594" s="30"/>
      <c r="F594" s="30"/>
      <c r="G594" s="30"/>
      <c r="H594" s="30"/>
    </row>
    <row r="595" ht="15.75" customHeight="1">
      <c r="A595" s="30"/>
      <c r="B595" s="30"/>
      <c r="C595" s="30"/>
      <c r="D595" s="30"/>
      <c r="E595" s="30"/>
      <c r="F595" s="30"/>
      <c r="G595" s="30"/>
      <c r="H595" s="30"/>
    </row>
    <row r="596" ht="15.75" customHeight="1">
      <c r="A596" s="30"/>
      <c r="B596" s="30"/>
      <c r="C596" s="30"/>
      <c r="D596" s="30"/>
      <c r="E596" s="30"/>
      <c r="F596" s="30"/>
      <c r="G596" s="30"/>
      <c r="H596" s="30"/>
    </row>
    <row r="597" ht="15.75" customHeight="1">
      <c r="A597" s="30"/>
      <c r="B597" s="30"/>
      <c r="C597" s="30"/>
      <c r="D597" s="30"/>
      <c r="E597" s="30"/>
      <c r="F597" s="30"/>
      <c r="G597" s="30"/>
      <c r="H597" s="30"/>
    </row>
    <row r="598" ht="15.75" customHeight="1">
      <c r="A598" s="30"/>
      <c r="B598" s="30"/>
      <c r="C598" s="30"/>
      <c r="D598" s="30"/>
      <c r="E598" s="30"/>
      <c r="F598" s="30"/>
      <c r="G598" s="30"/>
      <c r="H598" s="30"/>
    </row>
    <row r="599" ht="15.75" customHeight="1">
      <c r="A599" s="30"/>
      <c r="B599" s="30"/>
      <c r="C599" s="30"/>
      <c r="D599" s="30"/>
      <c r="E599" s="30"/>
      <c r="F599" s="30"/>
      <c r="G599" s="30"/>
      <c r="H599" s="30"/>
    </row>
    <row r="600" ht="15.75" customHeight="1">
      <c r="A600" s="30"/>
      <c r="B600" s="30"/>
      <c r="C600" s="30"/>
      <c r="D600" s="30"/>
      <c r="E600" s="30"/>
      <c r="F600" s="30"/>
      <c r="G600" s="30"/>
      <c r="H600" s="30"/>
    </row>
    <row r="601" ht="15.75" customHeight="1">
      <c r="A601" s="30"/>
      <c r="B601" s="30"/>
      <c r="C601" s="30"/>
      <c r="D601" s="30"/>
      <c r="E601" s="30"/>
      <c r="F601" s="30"/>
      <c r="G601" s="30"/>
      <c r="H601" s="30"/>
    </row>
    <row r="602" ht="15.75" customHeight="1">
      <c r="A602" s="30"/>
      <c r="B602" s="30"/>
      <c r="C602" s="30"/>
      <c r="D602" s="30"/>
      <c r="E602" s="30"/>
      <c r="F602" s="30"/>
      <c r="G602" s="30"/>
      <c r="H602" s="30"/>
    </row>
    <row r="603" ht="15.75" customHeight="1">
      <c r="A603" s="30"/>
      <c r="B603" s="30"/>
      <c r="C603" s="30"/>
      <c r="D603" s="30"/>
      <c r="E603" s="30"/>
      <c r="F603" s="30"/>
      <c r="G603" s="30"/>
      <c r="H603" s="30"/>
    </row>
    <row r="604" ht="15.75" customHeight="1">
      <c r="A604" s="30"/>
      <c r="B604" s="30"/>
      <c r="C604" s="30"/>
      <c r="D604" s="30"/>
      <c r="E604" s="30"/>
      <c r="F604" s="30"/>
      <c r="G604" s="30"/>
      <c r="H604" s="30"/>
    </row>
    <row r="605" ht="15.75" customHeight="1">
      <c r="A605" s="30"/>
      <c r="B605" s="30"/>
      <c r="C605" s="30"/>
      <c r="D605" s="30"/>
      <c r="E605" s="30"/>
      <c r="F605" s="30"/>
      <c r="G605" s="30"/>
      <c r="H605" s="30"/>
    </row>
    <row r="606" ht="15.75" customHeight="1">
      <c r="A606" s="30"/>
      <c r="B606" s="30"/>
      <c r="C606" s="30"/>
      <c r="D606" s="30"/>
      <c r="E606" s="30"/>
      <c r="F606" s="30"/>
      <c r="G606" s="30"/>
      <c r="H606" s="30"/>
    </row>
    <row r="607" ht="15.75" customHeight="1">
      <c r="A607" s="30"/>
      <c r="B607" s="30"/>
      <c r="C607" s="30"/>
      <c r="D607" s="30"/>
      <c r="E607" s="30"/>
      <c r="F607" s="30"/>
      <c r="G607" s="30"/>
      <c r="H607" s="30"/>
    </row>
    <row r="608" ht="15.75" customHeight="1">
      <c r="A608" s="30"/>
      <c r="B608" s="30"/>
      <c r="C608" s="30"/>
      <c r="D608" s="30"/>
      <c r="E608" s="30"/>
      <c r="F608" s="30"/>
      <c r="G608" s="30"/>
      <c r="H608" s="30"/>
    </row>
    <row r="609" ht="15.75" customHeight="1">
      <c r="A609" s="30"/>
      <c r="B609" s="30"/>
      <c r="C609" s="30"/>
      <c r="D609" s="30"/>
      <c r="E609" s="30"/>
      <c r="F609" s="30"/>
      <c r="G609" s="30"/>
      <c r="H609" s="30"/>
    </row>
    <row r="610" ht="15.75" customHeight="1">
      <c r="A610" s="30"/>
      <c r="B610" s="30"/>
      <c r="C610" s="30"/>
      <c r="D610" s="30"/>
      <c r="E610" s="30"/>
      <c r="F610" s="30"/>
      <c r="G610" s="30"/>
      <c r="H610" s="30"/>
    </row>
    <row r="611" ht="15.75" customHeight="1">
      <c r="A611" s="30"/>
      <c r="B611" s="30"/>
      <c r="C611" s="30"/>
      <c r="D611" s="30"/>
      <c r="E611" s="30"/>
      <c r="F611" s="30"/>
      <c r="G611" s="30"/>
      <c r="H611" s="30"/>
    </row>
    <row r="612" ht="15.75" customHeight="1">
      <c r="A612" s="30"/>
      <c r="B612" s="30"/>
      <c r="C612" s="30"/>
      <c r="D612" s="30"/>
      <c r="E612" s="30"/>
      <c r="F612" s="30"/>
      <c r="G612" s="30"/>
      <c r="H612" s="30"/>
    </row>
    <row r="613" ht="15.75" customHeight="1">
      <c r="A613" s="30"/>
      <c r="B613" s="30"/>
      <c r="C613" s="30"/>
      <c r="D613" s="30"/>
      <c r="E613" s="30"/>
      <c r="F613" s="30"/>
      <c r="G613" s="30"/>
      <c r="H613" s="30"/>
    </row>
    <row r="614" ht="15.75" customHeight="1">
      <c r="A614" s="30"/>
      <c r="B614" s="30"/>
      <c r="C614" s="30"/>
      <c r="D614" s="30"/>
      <c r="E614" s="30"/>
      <c r="F614" s="30"/>
      <c r="G614" s="30"/>
      <c r="H614" s="30"/>
    </row>
    <row r="615" ht="15.75" customHeight="1">
      <c r="A615" s="30"/>
      <c r="B615" s="30"/>
      <c r="C615" s="30"/>
      <c r="D615" s="30"/>
      <c r="E615" s="30"/>
      <c r="F615" s="30"/>
      <c r="G615" s="30"/>
      <c r="H615" s="30"/>
    </row>
    <row r="616" ht="15.75" customHeight="1">
      <c r="A616" s="30"/>
      <c r="B616" s="30"/>
      <c r="C616" s="30"/>
      <c r="D616" s="30"/>
      <c r="E616" s="30"/>
      <c r="F616" s="30"/>
      <c r="G616" s="30"/>
      <c r="H616" s="30"/>
    </row>
    <row r="617" ht="15.75" customHeight="1">
      <c r="A617" s="30"/>
      <c r="B617" s="30"/>
      <c r="C617" s="30"/>
      <c r="D617" s="30"/>
      <c r="E617" s="30"/>
      <c r="F617" s="30"/>
      <c r="G617" s="30"/>
      <c r="H617" s="30"/>
    </row>
    <row r="618" ht="15.75" customHeight="1">
      <c r="A618" s="30"/>
      <c r="B618" s="30"/>
      <c r="C618" s="30"/>
      <c r="D618" s="30"/>
      <c r="E618" s="30"/>
      <c r="F618" s="30"/>
      <c r="G618" s="30"/>
      <c r="H618" s="30"/>
    </row>
    <row r="619" ht="15.75" customHeight="1">
      <c r="A619" s="30"/>
      <c r="B619" s="30"/>
      <c r="C619" s="30"/>
      <c r="D619" s="30"/>
      <c r="E619" s="30"/>
      <c r="F619" s="30"/>
      <c r="G619" s="30"/>
      <c r="H619" s="30"/>
    </row>
    <row r="620" ht="15.75" customHeight="1">
      <c r="A620" s="30"/>
      <c r="B620" s="30"/>
      <c r="C620" s="30"/>
      <c r="D620" s="30"/>
      <c r="E620" s="30"/>
      <c r="F620" s="30"/>
      <c r="G620" s="30"/>
      <c r="H620" s="30"/>
    </row>
    <row r="621" ht="15.75" customHeight="1">
      <c r="A621" s="30"/>
      <c r="B621" s="30"/>
      <c r="C621" s="30"/>
      <c r="D621" s="30"/>
      <c r="E621" s="30"/>
      <c r="F621" s="30"/>
      <c r="G621" s="30"/>
      <c r="H621" s="30"/>
    </row>
    <row r="622" ht="15.75" customHeight="1">
      <c r="A622" s="30"/>
      <c r="B622" s="30"/>
      <c r="C622" s="30"/>
      <c r="D622" s="30"/>
      <c r="E622" s="30"/>
      <c r="F622" s="30"/>
      <c r="G622" s="30"/>
      <c r="H622" s="30"/>
    </row>
    <row r="623" ht="15.75" customHeight="1">
      <c r="A623" s="30"/>
      <c r="B623" s="30"/>
      <c r="C623" s="30"/>
      <c r="D623" s="30"/>
      <c r="E623" s="30"/>
      <c r="F623" s="30"/>
      <c r="G623" s="30"/>
      <c r="H623" s="30"/>
    </row>
    <row r="624" ht="15.75" customHeight="1">
      <c r="A624" s="30"/>
      <c r="B624" s="30"/>
      <c r="C624" s="30"/>
      <c r="D624" s="30"/>
      <c r="E624" s="30"/>
      <c r="F624" s="30"/>
      <c r="G624" s="30"/>
      <c r="H624" s="30"/>
    </row>
    <row r="625" ht="15.75" customHeight="1">
      <c r="A625" s="30"/>
      <c r="B625" s="30"/>
      <c r="C625" s="30"/>
      <c r="D625" s="30"/>
      <c r="E625" s="30"/>
      <c r="F625" s="30"/>
      <c r="G625" s="30"/>
      <c r="H625" s="30"/>
    </row>
    <row r="626" ht="15.75" customHeight="1">
      <c r="A626" s="30"/>
      <c r="B626" s="30"/>
      <c r="C626" s="30"/>
      <c r="D626" s="30"/>
      <c r="E626" s="30"/>
      <c r="F626" s="30"/>
      <c r="G626" s="30"/>
      <c r="H626" s="30"/>
    </row>
    <row r="627" ht="15.75" customHeight="1">
      <c r="A627" s="30"/>
      <c r="B627" s="30"/>
      <c r="C627" s="30"/>
      <c r="D627" s="30"/>
      <c r="E627" s="30"/>
      <c r="F627" s="30"/>
      <c r="G627" s="30"/>
      <c r="H627" s="30"/>
    </row>
    <row r="628" ht="15.75" customHeight="1">
      <c r="A628" s="30"/>
      <c r="B628" s="30"/>
      <c r="C628" s="30"/>
      <c r="D628" s="30"/>
      <c r="E628" s="30"/>
      <c r="F628" s="30"/>
      <c r="G628" s="30"/>
      <c r="H628" s="30"/>
    </row>
    <row r="629" ht="15.75" customHeight="1">
      <c r="A629" s="30"/>
      <c r="B629" s="30"/>
      <c r="C629" s="30"/>
      <c r="D629" s="30"/>
      <c r="E629" s="30"/>
      <c r="F629" s="30"/>
      <c r="G629" s="30"/>
      <c r="H629" s="30"/>
    </row>
    <row r="630" ht="15.75" customHeight="1">
      <c r="A630" s="30"/>
      <c r="B630" s="30"/>
      <c r="C630" s="30"/>
      <c r="D630" s="30"/>
      <c r="E630" s="30"/>
      <c r="F630" s="30"/>
      <c r="G630" s="30"/>
      <c r="H630" s="30"/>
    </row>
    <row r="631" ht="15.75" customHeight="1">
      <c r="A631" s="30"/>
      <c r="B631" s="30"/>
      <c r="C631" s="30"/>
      <c r="D631" s="30"/>
      <c r="E631" s="30"/>
      <c r="F631" s="30"/>
      <c r="G631" s="30"/>
      <c r="H631" s="30"/>
    </row>
    <row r="632" ht="15.75" customHeight="1">
      <c r="A632" s="30"/>
      <c r="B632" s="30"/>
      <c r="C632" s="30"/>
      <c r="D632" s="30"/>
      <c r="E632" s="30"/>
      <c r="F632" s="30"/>
      <c r="G632" s="30"/>
      <c r="H632" s="30"/>
    </row>
    <row r="633" ht="15.75" customHeight="1">
      <c r="A633" s="30"/>
      <c r="B633" s="30"/>
      <c r="C633" s="30"/>
      <c r="D633" s="30"/>
      <c r="E633" s="30"/>
      <c r="F633" s="30"/>
      <c r="G633" s="30"/>
      <c r="H633" s="30"/>
    </row>
    <row r="634" ht="15.75" customHeight="1">
      <c r="A634" s="30"/>
      <c r="B634" s="30"/>
      <c r="C634" s="30"/>
      <c r="D634" s="30"/>
      <c r="E634" s="30"/>
      <c r="F634" s="30"/>
      <c r="G634" s="30"/>
      <c r="H634" s="30"/>
    </row>
    <row r="635" ht="15.75" customHeight="1">
      <c r="A635" s="30"/>
      <c r="B635" s="30"/>
      <c r="C635" s="30"/>
      <c r="D635" s="30"/>
      <c r="E635" s="30"/>
      <c r="F635" s="30"/>
      <c r="G635" s="30"/>
      <c r="H635" s="30"/>
    </row>
    <row r="636" ht="15.75" customHeight="1">
      <c r="A636" s="30"/>
      <c r="B636" s="30"/>
      <c r="C636" s="30"/>
      <c r="D636" s="30"/>
      <c r="E636" s="30"/>
      <c r="F636" s="30"/>
      <c r="G636" s="30"/>
      <c r="H636" s="30"/>
    </row>
    <row r="637" ht="15.75" customHeight="1">
      <c r="A637" s="30"/>
      <c r="B637" s="30"/>
      <c r="C637" s="30"/>
      <c r="D637" s="30"/>
      <c r="E637" s="30"/>
      <c r="F637" s="30"/>
      <c r="G637" s="30"/>
      <c r="H637" s="30"/>
    </row>
    <row r="638" ht="15.75" customHeight="1">
      <c r="A638" s="30"/>
      <c r="B638" s="30"/>
      <c r="C638" s="30"/>
      <c r="D638" s="30"/>
      <c r="E638" s="30"/>
      <c r="F638" s="30"/>
      <c r="G638" s="30"/>
      <c r="H638" s="30"/>
    </row>
    <row r="639" ht="15.75" customHeight="1">
      <c r="A639" s="30"/>
      <c r="B639" s="30"/>
      <c r="C639" s="30"/>
      <c r="D639" s="30"/>
      <c r="E639" s="30"/>
      <c r="F639" s="30"/>
      <c r="G639" s="30"/>
      <c r="H639" s="30"/>
    </row>
    <row r="640" ht="15.75" customHeight="1">
      <c r="A640" s="30"/>
      <c r="B640" s="30"/>
      <c r="C640" s="30"/>
      <c r="D640" s="30"/>
      <c r="E640" s="30"/>
      <c r="F640" s="30"/>
      <c r="G640" s="30"/>
      <c r="H640" s="30"/>
    </row>
    <row r="641" ht="15.75" customHeight="1">
      <c r="A641" s="30"/>
      <c r="B641" s="30"/>
      <c r="C641" s="30"/>
      <c r="D641" s="30"/>
      <c r="E641" s="30"/>
      <c r="F641" s="30"/>
      <c r="G641" s="30"/>
      <c r="H641" s="30"/>
    </row>
    <row r="642" ht="15.75" customHeight="1">
      <c r="A642" s="30"/>
      <c r="B642" s="30"/>
      <c r="C642" s="30"/>
      <c r="D642" s="30"/>
      <c r="E642" s="30"/>
      <c r="F642" s="30"/>
      <c r="G642" s="30"/>
      <c r="H642" s="30"/>
    </row>
    <row r="643" ht="15.75" customHeight="1">
      <c r="A643" s="30"/>
      <c r="B643" s="30"/>
      <c r="C643" s="30"/>
      <c r="D643" s="30"/>
      <c r="E643" s="30"/>
      <c r="F643" s="30"/>
      <c r="G643" s="30"/>
      <c r="H643" s="30"/>
    </row>
    <row r="644" ht="15.75" customHeight="1">
      <c r="A644" s="30"/>
      <c r="B644" s="30"/>
      <c r="C644" s="30"/>
      <c r="D644" s="30"/>
      <c r="E644" s="30"/>
      <c r="F644" s="30"/>
      <c r="G644" s="30"/>
      <c r="H644" s="30"/>
    </row>
    <row r="645" ht="15.75" customHeight="1">
      <c r="A645" s="30"/>
      <c r="B645" s="30"/>
      <c r="C645" s="30"/>
      <c r="D645" s="30"/>
      <c r="E645" s="30"/>
      <c r="F645" s="30"/>
      <c r="G645" s="30"/>
      <c r="H645" s="30"/>
    </row>
    <row r="646" ht="15.75" customHeight="1">
      <c r="A646" s="30"/>
      <c r="B646" s="30"/>
      <c r="C646" s="30"/>
      <c r="D646" s="30"/>
      <c r="E646" s="30"/>
      <c r="F646" s="30"/>
      <c r="G646" s="30"/>
      <c r="H646" s="30"/>
    </row>
    <row r="647" ht="15.75" customHeight="1">
      <c r="A647" s="30"/>
      <c r="B647" s="30"/>
      <c r="C647" s="30"/>
      <c r="D647" s="30"/>
      <c r="E647" s="30"/>
      <c r="F647" s="30"/>
      <c r="G647" s="30"/>
      <c r="H647" s="30"/>
    </row>
    <row r="648" ht="15.75" customHeight="1">
      <c r="A648" s="30"/>
      <c r="B648" s="30"/>
      <c r="C648" s="30"/>
      <c r="D648" s="30"/>
      <c r="E648" s="30"/>
      <c r="F648" s="30"/>
      <c r="G648" s="30"/>
      <c r="H648" s="30"/>
    </row>
    <row r="649" ht="15.75" customHeight="1">
      <c r="A649" s="30"/>
      <c r="B649" s="30"/>
      <c r="C649" s="30"/>
      <c r="D649" s="30"/>
      <c r="E649" s="30"/>
      <c r="F649" s="30"/>
      <c r="G649" s="30"/>
      <c r="H649" s="30"/>
    </row>
    <row r="650" ht="15.75" customHeight="1">
      <c r="A650" s="30"/>
      <c r="B650" s="30"/>
      <c r="C650" s="30"/>
      <c r="D650" s="30"/>
      <c r="E650" s="30"/>
      <c r="F650" s="30"/>
      <c r="G650" s="30"/>
      <c r="H650" s="30"/>
    </row>
    <row r="651" ht="15.75" customHeight="1">
      <c r="A651" s="30"/>
      <c r="B651" s="30"/>
      <c r="C651" s="30"/>
      <c r="D651" s="30"/>
      <c r="E651" s="30"/>
      <c r="F651" s="30"/>
      <c r="G651" s="30"/>
      <c r="H651" s="30"/>
    </row>
    <row r="652" ht="15.75" customHeight="1">
      <c r="A652" s="30"/>
      <c r="B652" s="30"/>
      <c r="C652" s="30"/>
      <c r="D652" s="30"/>
      <c r="E652" s="30"/>
      <c r="F652" s="30"/>
      <c r="G652" s="30"/>
      <c r="H652" s="30"/>
    </row>
    <row r="653" ht="15.75" customHeight="1">
      <c r="A653" s="30"/>
      <c r="B653" s="30"/>
      <c r="C653" s="30"/>
      <c r="D653" s="30"/>
      <c r="E653" s="30"/>
      <c r="F653" s="30"/>
      <c r="G653" s="30"/>
      <c r="H653" s="30"/>
    </row>
    <row r="654" ht="15.75" customHeight="1">
      <c r="A654" s="30"/>
      <c r="B654" s="30"/>
      <c r="C654" s="30"/>
      <c r="D654" s="30"/>
      <c r="E654" s="30"/>
      <c r="F654" s="30"/>
      <c r="G654" s="30"/>
      <c r="H654" s="30"/>
    </row>
    <row r="655" ht="15.75" customHeight="1">
      <c r="A655" s="30"/>
      <c r="B655" s="30"/>
      <c r="C655" s="30"/>
      <c r="D655" s="30"/>
      <c r="E655" s="30"/>
      <c r="F655" s="30"/>
      <c r="G655" s="30"/>
      <c r="H655" s="30"/>
    </row>
    <row r="656" ht="15.75" customHeight="1">
      <c r="A656" s="30"/>
      <c r="B656" s="30"/>
      <c r="C656" s="30"/>
      <c r="D656" s="30"/>
      <c r="E656" s="30"/>
      <c r="F656" s="30"/>
      <c r="G656" s="30"/>
      <c r="H656" s="30"/>
    </row>
    <row r="657" ht="15.75" customHeight="1">
      <c r="A657" s="30"/>
      <c r="B657" s="30"/>
      <c r="C657" s="30"/>
      <c r="D657" s="30"/>
      <c r="E657" s="30"/>
      <c r="F657" s="30"/>
      <c r="G657" s="30"/>
      <c r="H657" s="30"/>
    </row>
    <row r="658" ht="15.75" customHeight="1">
      <c r="A658" s="30"/>
      <c r="B658" s="30"/>
      <c r="C658" s="30"/>
      <c r="D658" s="30"/>
      <c r="E658" s="30"/>
      <c r="F658" s="30"/>
      <c r="G658" s="30"/>
      <c r="H658" s="30"/>
    </row>
    <row r="659" ht="15.75" customHeight="1">
      <c r="A659" s="30"/>
      <c r="B659" s="30"/>
      <c r="C659" s="30"/>
      <c r="D659" s="30"/>
      <c r="E659" s="30"/>
      <c r="F659" s="30"/>
      <c r="G659" s="30"/>
      <c r="H659" s="30"/>
    </row>
    <row r="660" ht="15.75" customHeight="1">
      <c r="A660" s="30"/>
      <c r="B660" s="30"/>
      <c r="C660" s="30"/>
      <c r="D660" s="30"/>
      <c r="E660" s="30"/>
      <c r="F660" s="30"/>
      <c r="G660" s="30"/>
      <c r="H660" s="30"/>
    </row>
    <row r="661" ht="15.75" customHeight="1">
      <c r="A661" s="30"/>
      <c r="B661" s="30"/>
      <c r="C661" s="30"/>
      <c r="D661" s="30"/>
      <c r="E661" s="30"/>
      <c r="F661" s="30"/>
      <c r="G661" s="30"/>
      <c r="H661" s="30"/>
    </row>
    <row r="662" ht="15.75" customHeight="1">
      <c r="A662" s="30"/>
      <c r="B662" s="30"/>
      <c r="C662" s="30"/>
      <c r="D662" s="30"/>
      <c r="E662" s="30"/>
      <c r="F662" s="30"/>
      <c r="G662" s="30"/>
      <c r="H662" s="30"/>
    </row>
    <row r="663" ht="15.75" customHeight="1">
      <c r="A663" s="30"/>
      <c r="B663" s="30"/>
      <c r="C663" s="30"/>
      <c r="D663" s="30"/>
      <c r="E663" s="30"/>
      <c r="F663" s="30"/>
      <c r="G663" s="30"/>
      <c r="H663" s="30"/>
    </row>
    <row r="664" ht="15.75" customHeight="1">
      <c r="A664" s="30"/>
      <c r="B664" s="30"/>
      <c r="C664" s="30"/>
      <c r="D664" s="30"/>
      <c r="E664" s="30"/>
      <c r="F664" s="30"/>
      <c r="G664" s="30"/>
      <c r="H664" s="30"/>
    </row>
    <row r="665" ht="15.75" customHeight="1">
      <c r="A665" s="30"/>
      <c r="B665" s="30"/>
      <c r="C665" s="30"/>
      <c r="D665" s="30"/>
      <c r="E665" s="30"/>
      <c r="F665" s="30"/>
      <c r="G665" s="30"/>
      <c r="H665" s="30"/>
    </row>
    <row r="666" ht="15.75" customHeight="1">
      <c r="A666" s="30"/>
      <c r="B666" s="30"/>
      <c r="C666" s="30"/>
      <c r="D666" s="30"/>
      <c r="E666" s="30"/>
      <c r="F666" s="30"/>
      <c r="G666" s="30"/>
      <c r="H666" s="30"/>
    </row>
    <row r="667" ht="15.75" customHeight="1">
      <c r="A667" s="30"/>
      <c r="B667" s="30"/>
      <c r="C667" s="30"/>
      <c r="D667" s="30"/>
      <c r="E667" s="30"/>
      <c r="F667" s="30"/>
      <c r="G667" s="30"/>
      <c r="H667" s="30"/>
    </row>
    <row r="668" ht="15.75" customHeight="1">
      <c r="A668" s="30"/>
      <c r="B668" s="30"/>
      <c r="C668" s="30"/>
      <c r="D668" s="30"/>
      <c r="E668" s="30"/>
      <c r="F668" s="30"/>
      <c r="G668" s="30"/>
      <c r="H668" s="30"/>
    </row>
    <row r="669" ht="15.75" customHeight="1">
      <c r="A669" s="30"/>
      <c r="B669" s="30"/>
      <c r="C669" s="30"/>
      <c r="D669" s="30"/>
      <c r="E669" s="30"/>
      <c r="F669" s="30"/>
      <c r="G669" s="30"/>
      <c r="H669" s="30"/>
    </row>
    <row r="670" ht="15.75" customHeight="1">
      <c r="A670" s="30"/>
      <c r="B670" s="30"/>
      <c r="C670" s="30"/>
      <c r="D670" s="30"/>
      <c r="E670" s="30"/>
      <c r="F670" s="30"/>
      <c r="G670" s="30"/>
      <c r="H670" s="30"/>
    </row>
    <row r="671" ht="15.75" customHeight="1">
      <c r="A671" s="30"/>
      <c r="B671" s="30"/>
      <c r="C671" s="30"/>
      <c r="D671" s="30"/>
      <c r="E671" s="30"/>
      <c r="F671" s="30"/>
      <c r="G671" s="30"/>
      <c r="H671" s="30"/>
    </row>
    <row r="672" ht="15.75" customHeight="1">
      <c r="A672" s="30"/>
      <c r="B672" s="30"/>
      <c r="C672" s="30"/>
      <c r="D672" s="30"/>
      <c r="E672" s="30"/>
      <c r="F672" s="30"/>
      <c r="G672" s="30"/>
      <c r="H672" s="30"/>
    </row>
    <row r="673" ht="15.75" customHeight="1">
      <c r="A673" s="30"/>
      <c r="B673" s="30"/>
      <c r="C673" s="30"/>
      <c r="D673" s="30"/>
      <c r="E673" s="30"/>
      <c r="F673" s="30"/>
      <c r="G673" s="30"/>
      <c r="H673" s="30"/>
    </row>
    <row r="674" ht="15.75" customHeight="1">
      <c r="A674" s="30"/>
      <c r="B674" s="30"/>
      <c r="C674" s="30"/>
      <c r="D674" s="30"/>
      <c r="E674" s="30"/>
      <c r="F674" s="30"/>
      <c r="G674" s="30"/>
      <c r="H674" s="30"/>
    </row>
    <row r="675" ht="15.75" customHeight="1">
      <c r="A675" s="30"/>
      <c r="B675" s="30"/>
      <c r="C675" s="30"/>
      <c r="D675" s="30"/>
      <c r="E675" s="30"/>
      <c r="F675" s="30"/>
      <c r="G675" s="30"/>
      <c r="H675" s="30"/>
    </row>
    <row r="676" ht="15.75" customHeight="1">
      <c r="A676" s="30"/>
      <c r="B676" s="30"/>
      <c r="C676" s="30"/>
      <c r="D676" s="30"/>
      <c r="E676" s="30"/>
      <c r="F676" s="30"/>
      <c r="G676" s="30"/>
      <c r="H676" s="30"/>
    </row>
    <row r="677" ht="15.75" customHeight="1">
      <c r="A677" s="30"/>
      <c r="B677" s="30"/>
      <c r="C677" s="30"/>
      <c r="D677" s="30"/>
      <c r="E677" s="30"/>
      <c r="F677" s="30"/>
      <c r="G677" s="30"/>
      <c r="H677" s="30"/>
    </row>
    <row r="678" ht="15.75" customHeight="1">
      <c r="A678" s="30"/>
      <c r="B678" s="30"/>
      <c r="C678" s="30"/>
      <c r="D678" s="30"/>
      <c r="E678" s="30"/>
      <c r="F678" s="30"/>
      <c r="G678" s="30"/>
      <c r="H678" s="30"/>
    </row>
    <row r="679" ht="15.75" customHeight="1">
      <c r="A679" s="30"/>
      <c r="B679" s="30"/>
      <c r="C679" s="30"/>
      <c r="D679" s="30"/>
      <c r="E679" s="30"/>
      <c r="F679" s="30"/>
      <c r="G679" s="30"/>
      <c r="H679" s="30"/>
    </row>
    <row r="680" ht="15.75" customHeight="1">
      <c r="A680" s="30"/>
      <c r="B680" s="30"/>
      <c r="C680" s="30"/>
      <c r="D680" s="30"/>
      <c r="E680" s="30"/>
      <c r="F680" s="30"/>
      <c r="G680" s="30"/>
      <c r="H680" s="30"/>
    </row>
    <row r="681" ht="15.75" customHeight="1">
      <c r="A681" s="30"/>
      <c r="B681" s="30"/>
      <c r="C681" s="30"/>
      <c r="D681" s="30"/>
      <c r="E681" s="30"/>
      <c r="F681" s="30"/>
      <c r="G681" s="30"/>
      <c r="H681" s="30"/>
    </row>
    <row r="682" ht="15.75" customHeight="1">
      <c r="A682" s="30"/>
      <c r="B682" s="30"/>
      <c r="C682" s="30"/>
      <c r="D682" s="30"/>
      <c r="E682" s="30"/>
      <c r="F682" s="30"/>
      <c r="G682" s="30"/>
      <c r="H682" s="30"/>
    </row>
    <row r="683" ht="15.75" customHeight="1">
      <c r="A683" s="30"/>
      <c r="B683" s="30"/>
      <c r="C683" s="30"/>
      <c r="D683" s="30"/>
      <c r="E683" s="30"/>
      <c r="F683" s="30"/>
      <c r="G683" s="30"/>
      <c r="H683" s="30"/>
    </row>
    <row r="684" ht="15.75" customHeight="1">
      <c r="A684" s="30"/>
      <c r="B684" s="30"/>
      <c r="C684" s="30"/>
      <c r="D684" s="30"/>
      <c r="E684" s="30"/>
      <c r="F684" s="30"/>
      <c r="G684" s="30"/>
      <c r="H684" s="30"/>
    </row>
    <row r="685" ht="15.75" customHeight="1">
      <c r="A685" s="30"/>
      <c r="B685" s="30"/>
      <c r="C685" s="30"/>
      <c r="D685" s="30"/>
      <c r="E685" s="30"/>
      <c r="F685" s="30"/>
      <c r="G685" s="30"/>
      <c r="H685" s="30"/>
    </row>
    <row r="686" ht="15.75" customHeight="1">
      <c r="A686" s="30"/>
      <c r="B686" s="30"/>
      <c r="C686" s="30"/>
      <c r="D686" s="30"/>
      <c r="E686" s="30"/>
      <c r="F686" s="30"/>
      <c r="G686" s="30"/>
      <c r="H686" s="30"/>
    </row>
    <row r="687" ht="15.75" customHeight="1">
      <c r="A687" s="30"/>
      <c r="B687" s="30"/>
      <c r="C687" s="30"/>
      <c r="D687" s="30"/>
      <c r="E687" s="30"/>
      <c r="F687" s="30"/>
      <c r="G687" s="30"/>
      <c r="H687" s="30"/>
    </row>
    <row r="688" ht="15.75" customHeight="1">
      <c r="A688" s="30"/>
      <c r="B688" s="30"/>
      <c r="C688" s="30"/>
      <c r="D688" s="30"/>
      <c r="E688" s="30"/>
      <c r="F688" s="30"/>
      <c r="G688" s="30"/>
      <c r="H688" s="30"/>
    </row>
    <row r="689" ht="15.75" customHeight="1">
      <c r="A689" s="30"/>
      <c r="B689" s="30"/>
      <c r="C689" s="30"/>
      <c r="D689" s="30"/>
      <c r="E689" s="30"/>
      <c r="F689" s="30"/>
      <c r="G689" s="30"/>
      <c r="H689" s="30"/>
    </row>
    <row r="690" ht="15.75" customHeight="1">
      <c r="A690" s="30"/>
      <c r="B690" s="30"/>
      <c r="C690" s="30"/>
      <c r="D690" s="30"/>
      <c r="E690" s="30"/>
      <c r="F690" s="30"/>
      <c r="G690" s="30"/>
      <c r="H690" s="30"/>
    </row>
    <row r="691" ht="15.75" customHeight="1">
      <c r="A691" s="30"/>
      <c r="B691" s="30"/>
      <c r="C691" s="30"/>
      <c r="D691" s="30"/>
      <c r="E691" s="30"/>
      <c r="F691" s="30"/>
      <c r="G691" s="30"/>
      <c r="H691" s="30"/>
    </row>
    <row r="692" ht="15.75" customHeight="1">
      <c r="A692" s="30"/>
      <c r="B692" s="30"/>
      <c r="C692" s="30"/>
      <c r="D692" s="30"/>
      <c r="E692" s="30"/>
      <c r="F692" s="30"/>
      <c r="G692" s="30"/>
      <c r="H692" s="30"/>
    </row>
    <row r="693" ht="15.75" customHeight="1">
      <c r="A693" s="30"/>
      <c r="B693" s="30"/>
      <c r="C693" s="30"/>
      <c r="D693" s="30"/>
      <c r="E693" s="30"/>
      <c r="F693" s="30"/>
      <c r="G693" s="30"/>
      <c r="H693" s="30"/>
    </row>
    <row r="694" ht="15.75" customHeight="1">
      <c r="A694" s="30"/>
      <c r="B694" s="30"/>
      <c r="C694" s="30"/>
      <c r="D694" s="30"/>
      <c r="E694" s="30"/>
      <c r="F694" s="30"/>
      <c r="G694" s="30"/>
      <c r="H694" s="30"/>
    </row>
    <row r="695" ht="15.75" customHeight="1">
      <c r="A695" s="30"/>
      <c r="B695" s="30"/>
      <c r="C695" s="30"/>
      <c r="D695" s="30"/>
      <c r="E695" s="30"/>
      <c r="F695" s="30"/>
      <c r="G695" s="30"/>
      <c r="H695" s="30"/>
    </row>
    <row r="696" ht="15.75" customHeight="1">
      <c r="A696" s="30"/>
      <c r="B696" s="30"/>
      <c r="C696" s="30"/>
      <c r="D696" s="30"/>
      <c r="E696" s="30"/>
      <c r="F696" s="30"/>
      <c r="G696" s="30"/>
      <c r="H696" s="30"/>
    </row>
    <row r="697" ht="15.75" customHeight="1">
      <c r="A697" s="30"/>
      <c r="B697" s="30"/>
      <c r="C697" s="30"/>
      <c r="D697" s="30"/>
      <c r="E697" s="30"/>
      <c r="F697" s="30"/>
      <c r="G697" s="30"/>
      <c r="H697" s="30"/>
    </row>
    <row r="698" ht="15.75" customHeight="1">
      <c r="A698" s="30"/>
      <c r="B698" s="30"/>
      <c r="C698" s="30"/>
      <c r="D698" s="30"/>
      <c r="E698" s="30"/>
      <c r="F698" s="30"/>
      <c r="G698" s="30"/>
      <c r="H698" s="30"/>
    </row>
    <row r="699" ht="15.75" customHeight="1">
      <c r="A699" s="30"/>
      <c r="B699" s="30"/>
      <c r="C699" s="30"/>
      <c r="D699" s="30"/>
      <c r="E699" s="30"/>
      <c r="F699" s="30"/>
      <c r="G699" s="30"/>
      <c r="H699" s="30"/>
    </row>
    <row r="700" ht="15.75" customHeight="1">
      <c r="A700" s="30"/>
      <c r="B700" s="30"/>
      <c r="C700" s="30"/>
      <c r="D700" s="30"/>
      <c r="E700" s="30"/>
      <c r="F700" s="30"/>
      <c r="G700" s="30"/>
      <c r="H700" s="30"/>
    </row>
    <row r="701" ht="15.75" customHeight="1">
      <c r="A701" s="30"/>
      <c r="B701" s="30"/>
      <c r="C701" s="30"/>
      <c r="D701" s="30"/>
      <c r="E701" s="30"/>
      <c r="F701" s="30"/>
      <c r="G701" s="30"/>
      <c r="H701" s="30"/>
    </row>
    <row r="702" ht="15.75" customHeight="1">
      <c r="A702" s="30"/>
      <c r="B702" s="30"/>
      <c r="C702" s="30"/>
      <c r="D702" s="30"/>
      <c r="E702" s="30"/>
      <c r="F702" s="30"/>
      <c r="G702" s="30"/>
      <c r="H702" s="30"/>
    </row>
    <row r="703" ht="15.75" customHeight="1">
      <c r="A703" s="30"/>
      <c r="B703" s="30"/>
      <c r="C703" s="30"/>
      <c r="D703" s="30"/>
      <c r="E703" s="30"/>
      <c r="F703" s="30"/>
      <c r="G703" s="30"/>
      <c r="H703" s="30"/>
    </row>
    <row r="704" ht="15.75" customHeight="1">
      <c r="A704" s="30"/>
      <c r="B704" s="30"/>
      <c r="C704" s="30"/>
      <c r="D704" s="30"/>
      <c r="E704" s="30"/>
      <c r="F704" s="30"/>
      <c r="G704" s="30"/>
      <c r="H704" s="30"/>
    </row>
    <row r="705" ht="15.75" customHeight="1">
      <c r="A705" s="30"/>
      <c r="B705" s="30"/>
      <c r="C705" s="30"/>
      <c r="D705" s="30"/>
      <c r="E705" s="30"/>
      <c r="F705" s="30"/>
      <c r="G705" s="30"/>
      <c r="H705" s="30"/>
    </row>
    <row r="706" ht="15.75" customHeight="1">
      <c r="A706" s="30"/>
      <c r="B706" s="30"/>
      <c r="C706" s="30"/>
      <c r="D706" s="30"/>
      <c r="E706" s="30"/>
      <c r="F706" s="30"/>
      <c r="G706" s="30"/>
      <c r="H706" s="30"/>
    </row>
    <row r="707" ht="15.75" customHeight="1">
      <c r="A707" s="30"/>
      <c r="B707" s="30"/>
      <c r="C707" s="30"/>
      <c r="D707" s="30"/>
      <c r="E707" s="30"/>
      <c r="F707" s="30"/>
      <c r="G707" s="30"/>
      <c r="H707" s="30"/>
    </row>
    <row r="708" ht="15.75" customHeight="1">
      <c r="A708" s="30"/>
      <c r="B708" s="30"/>
      <c r="C708" s="30"/>
      <c r="D708" s="30"/>
      <c r="E708" s="30"/>
      <c r="F708" s="30"/>
      <c r="G708" s="30"/>
      <c r="H708" s="30"/>
    </row>
    <row r="709" ht="15.75" customHeight="1">
      <c r="A709" s="30"/>
      <c r="B709" s="30"/>
      <c r="C709" s="30"/>
      <c r="D709" s="30"/>
      <c r="E709" s="30"/>
      <c r="F709" s="30"/>
      <c r="G709" s="30"/>
      <c r="H709" s="30"/>
    </row>
    <row r="710" ht="15.75" customHeight="1">
      <c r="A710" s="30"/>
      <c r="B710" s="30"/>
      <c r="C710" s="30"/>
      <c r="D710" s="30"/>
      <c r="E710" s="30"/>
      <c r="F710" s="30"/>
      <c r="G710" s="30"/>
      <c r="H710" s="30"/>
    </row>
    <row r="711" ht="15.75" customHeight="1">
      <c r="A711" s="30"/>
      <c r="B711" s="30"/>
      <c r="C711" s="30"/>
      <c r="D711" s="30"/>
      <c r="E711" s="30"/>
      <c r="F711" s="30"/>
      <c r="G711" s="30"/>
      <c r="H711" s="30"/>
    </row>
    <row r="712" ht="15.75" customHeight="1">
      <c r="A712" s="30"/>
      <c r="B712" s="30"/>
      <c r="C712" s="30"/>
      <c r="D712" s="30"/>
      <c r="E712" s="30"/>
      <c r="F712" s="30"/>
      <c r="G712" s="30"/>
      <c r="H712" s="30"/>
    </row>
    <row r="713" ht="15.75" customHeight="1">
      <c r="A713" s="30"/>
      <c r="B713" s="30"/>
      <c r="C713" s="30"/>
      <c r="D713" s="30"/>
      <c r="E713" s="30"/>
      <c r="F713" s="30"/>
      <c r="G713" s="30"/>
      <c r="H713" s="30"/>
    </row>
    <row r="714" ht="15.75" customHeight="1">
      <c r="A714" s="30"/>
      <c r="B714" s="30"/>
      <c r="C714" s="30"/>
      <c r="D714" s="30"/>
      <c r="E714" s="30"/>
      <c r="F714" s="30"/>
      <c r="G714" s="30"/>
      <c r="H714" s="30"/>
    </row>
    <row r="715" ht="15.75" customHeight="1">
      <c r="A715" s="30"/>
      <c r="B715" s="30"/>
      <c r="C715" s="30"/>
      <c r="D715" s="30"/>
      <c r="E715" s="30"/>
      <c r="F715" s="30"/>
      <c r="G715" s="30"/>
      <c r="H715" s="30"/>
    </row>
    <row r="716" ht="15.75" customHeight="1">
      <c r="A716" s="30"/>
      <c r="B716" s="30"/>
      <c r="C716" s="30"/>
      <c r="D716" s="30"/>
      <c r="E716" s="30"/>
      <c r="F716" s="30"/>
      <c r="G716" s="30"/>
      <c r="H716" s="30"/>
    </row>
    <row r="717" ht="15.75" customHeight="1">
      <c r="A717" s="30"/>
      <c r="B717" s="30"/>
      <c r="C717" s="30"/>
      <c r="D717" s="30"/>
      <c r="E717" s="30"/>
      <c r="F717" s="30"/>
      <c r="G717" s="30"/>
      <c r="H717" s="30"/>
    </row>
    <row r="718" ht="15.75" customHeight="1">
      <c r="A718" s="30"/>
      <c r="B718" s="30"/>
      <c r="C718" s="30"/>
      <c r="D718" s="30"/>
      <c r="E718" s="30"/>
      <c r="F718" s="30"/>
      <c r="G718" s="30"/>
      <c r="H718" s="30"/>
    </row>
    <row r="719" ht="15.75" customHeight="1">
      <c r="A719" s="30"/>
      <c r="B719" s="30"/>
      <c r="C719" s="30"/>
      <c r="D719" s="30"/>
      <c r="E719" s="30"/>
      <c r="F719" s="30"/>
      <c r="G719" s="30"/>
      <c r="H719" s="30"/>
    </row>
    <row r="720" ht="15.75" customHeight="1">
      <c r="A720" s="30"/>
      <c r="B720" s="30"/>
      <c r="C720" s="30"/>
      <c r="D720" s="30"/>
      <c r="E720" s="30"/>
      <c r="F720" s="30"/>
      <c r="G720" s="30"/>
      <c r="H720" s="30"/>
    </row>
    <row r="721" ht="15.75" customHeight="1">
      <c r="A721" s="30"/>
      <c r="B721" s="30"/>
      <c r="C721" s="30"/>
      <c r="D721" s="30"/>
      <c r="E721" s="30"/>
      <c r="F721" s="30"/>
      <c r="G721" s="30"/>
      <c r="H721" s="30"/>
    </row>
    <row r="722" ht="15.75" customHeight="1">
      <c r="A722" s="30"/>
      <c r="B722" s="30"/>
      <c r="C722" s="30"/>
      <c r="D722" s="30"/>
      <c r="E722" s="30"/>
      <c r="F722" s="30"/>
      <c r="G722" s="30"/>
      <c r="H722" s="30"/>
    </row>
    <row r="723" ht="15.75" customHeight="1">
      <c r="A723" s="30"/>
      <c r="B723" s="30"/>
      <c r="C723" s="30"/>
      <c r="D723" s="30"/>
      <c r="E723" s="30"/>
      <c r="F723" s="30"/>
      <c r="G723" s="30"/>
      <c r="H723" s="30"/>
    </row>
    <row r="724" ht="15.75" customHeight="1">
      <c r="A724" s="30"/>
      <c r="B724" s="30"/>
      <c r="C724" s="30"/>
      <c r="D724" s="30"/>
      <c r="E724" s="30"/>
      <c r="F724" s="30"/>
      <c r="G724" s="30"/>
      <c r="H724" s="30"/>
    </row>
    <row r="725" ht="15.75" customHeight="1">
      <c r="A725" s="30"/>
      <c r="B725" s="30"/>
      <c r="C725" s="30"/>
      <c r="D725" s="30"/>
      <c r="E725" s="30"/>
      <c r="F725" s="30"/>
      <c r="G725" s="30"/>
      <c r="H725" s="30"/>
    </row>
    <row r="726" ht="15.75" customHeight="1">
      <c r="A726" s="30"/>
      <c r="B726" s="30"/>
      <c r="C726" s="30"/>
      <c r="D726" s="30"/>
      <c r="E726" s="30"/>
      <c r="F726" s="30"/>
      <c r="G726" s="30"/>
      <c r="H726" s="30"/>
    </row>
    <row r="727" ht="15.75" customHeight="1">
      <c r="A727" s="30"/>
      <c r="B727" s="30"/>
      <c r="C727" s="30"/>
      <c r="D727" s="30"/>
      <c r="E727" s="30"/>
      <c r="F727" s="30"/>
      <c r="G727" s="30"/>
      <c r="H727" s="30"/>
    </row>
    <row r="728" ht="15.75" customHeight="1">
      <c r="A728" s="30"/>
      <c r="B728" s="30"/>
      <c r="C728" s="30"/>
      <c r="D728" s="30"/>
      <c r="E728" s="30"/>
      <c r="F728" s="30"/>
      <c r="G728" s="30"/>
      <c r="H728" s="30"/>
    </row>
    <row r="729" ht="15.75" customHeight="1">
      <c r="A729" s="30"/>
      <c r="B729" s="30"/>
      <c r="C729" s="30"/>
      <c r="D729" s="30"/>
      <c r="E729" s="30"/>
      <c r="F729" s="30"/>
      <c r="G729" s="30"/>
      <c r="H729" s="30"/>
    </row>
    <row r="730" ht="15.75" customHeight="1">
      <c r="A730" s="30"/>
      <c r="B730" s="30"/>
      <c r="C730" s="30"/>
      <c r="D730" s="30"/>
      <c r="E730" s="30"/>
      <c r="F730" s="30"/>
      <c r="G730" s="30"/>
      <c r="H730" s="30"/>
    </row>
    <row r="731" ht="15.75" customHeight="1">
      <c r="A731" s="30"/>
      <c r="B731" s="30"/>
      <c r="C731" s="30"/>
      <c r="D731" s="30"/>
      <c r="E731" s="30"/>
      <c r="F731" s="30"/>
      <c r="G731" s="30"/>
      <c r="H731" s="30"/>
    </row>
    <row r="732" ht="15.75" customHeight="1">
      <c r="A732" s="30"/>
      <c r="B732" s="30"/>
      <c r="C732" s="30"/>
      <c r="D732" s="30"/>
      <c r="E732" s="30"/>
      <c r="F732" s="30"/>
      <c r="G732" s="30"/>
      <c r="H732" s="30"/>
    </row>
    <row r="733" ht="15.75" customHeight="1">
      <c r="A733" s="30"/>
      <c r="B733" s="30"/>
      <c r="C733" s="30"/>
      <c r="D733" s="30"/>
      <c r="E733" s="30"/>
      <c r="F733" s="30"/>
      <c r="G733" s="30"/>
      <c r="H733" s="30"/>
    </row>
    <row r="734" ht="15.75" customHeight="1">
      <c r="A734" s="30"/>
      <c r="B734" s="30"/>
      <c r="C734" s="30"/>
      <c r="D734" s="30"/>
      <c r="E734" s="30"/>
      <c r="F734" s="30"/>
      <c r="G734" s="30"/>
      <c r="H734" s="30"/>
    </row>
    <row r="735" ht="15.75" customHeight="1">
      <c r="A735" s="30"/>
      <c r="B735" s="30"/>
      <c r="C735" s="30"/>
      <c r="D735" s="30"/>
      <c r="E735" s="30"/>
      <c r="F735" s="30"/>
      <c r="G735" s="30"/>
      <c r="H735" s="30"/>
    </row>
    <row r="736" ht="15.75" customHeight="1">
      <c r="A736" s="30"/>
      <c r="B736" s="30"/>
      <c r="C736" s="30"/>
      <c r="D736" s="30"/>
      <c r="E736" s="30"/>
      <c r="F736" s="30"/>
      <c r="G736" s="30"/>
      <c r="H736" s="30"/>
    </row>
    <row r="737" ht="15.75" customHeight="1">
      <c r="A737" s="30"/>
      <c r="B737" s="30"/>
      <c r="C737" s="30"/>
      <c r="D737" s="30"/>
      <c r="E737" s="30"/>
      <c r="F737" s="30"/>
      <c r="G737" s="30"/>
      <c r="H737" s="30"/>
    </row>
    <row r="738" ht="15.75" customHeight="1">
      <c r="A738" s="30"/>
      <c r="B738" s="30"/>
      <c r="C738" s="30"/>
      <c r="D738" s="30"/>
      <c r="E738" s="30"/>
      <c r="F738" s="30"/>
      <c r="G738" s="30"/>
      <c r="H738" s="30"/>
    </row>
    <row r="739" ht="15.75" customHeight="1">
      <c r="A739" s="30"/>
      <c r="B739" s="30"/>
      <c r="C739" s="30"/>
      <c r="D739" s="30"/>
      <c r="E739" s="30"/>
      <c r="F739" s="30"/>
      <c r="G739" s="30"/>
      <c r="H739" s="30"/>
    </row>
    <row r="740" ht="15.75" customHeight="1">
      <c r="A740" s="30"/>
      <c r="B740" s="30"/>
      <c r="C740" s="30"/>
      <c r="D740" s="30"/>
      <c r="E740" s="30"/>
      <c r="F740" s="30"/>
      <c r="G740" s="30"/>
      <c r="H740" s="30"/>
    </row>
    <row r="741" ht="15.75" customHeight="1">
      <c r="A741" s="30"/>
      <c r="B741" s="30"/>
      <c r="C741" s="30"/>
      <c r="D741" s="30"/>
      <c r="E741" s="30"/>
      <c r="F741" s="30"/>
      <c r="G741" s="30"/>
      <c r="H741" s="30"/>
    </row>
    <row r="742" ht="15.75" customHeight="1">
      <c r="A742" s="30"/>
      <c r="B742" s="30"/>
      <c r="C742" s="30"/>
      <c r="D742" s="30"/>
      <c r="E742" s="30"/>
      <c r="F742" s="30"/>
      <c r="G742" s="30"/>
      <c r="H742" s="30"/>
    </row>
    <row r="743" ht="15.75" customHeight="1">
      <c r="A743" s="30"/>
      <c r="B743" s="30"/>
      <c r="C743" s="30"/>
      <c r="D743" s="30"/>
      <c r="E743" s="30"/>
      <c r="F743" s="30"/>
      <c r="G743" s="30"/>
      <c r="H743" s="30"/>
    </row>
    <row r="744" ht="15.75" customHeight="1">
      <c r="A744" s="30"/>
      <c r="B744" s="30"/>
      <c r="C744" s="30"/>
      <c r="D744" s="30"/>
      <c r="E744" s="30"/>
      <c r="F744" s="30"/>
      <c r="G744" s="30"/>
      <c r="H744" s="30"/>
    </row>
    <row r="745" ht="15.75" customHeight="1">
      <c r="A745" s="30"/>
      <c r="B745" s="30"/>
      <c r="C745" s="30"/>
      <c r="D745" s="30"/>
      <c r="E745" s="30"/>
      <c r="F745" s="30"/>
      <c r="G745" s="30"/>
      <c r="H745" s="30"/>
    </row>
    <row r="746" ht="15.75" customHeight="1">
      <c r="A746" s="30"/>
      <c r="B746" s="30"/>
      <c r="C746" s="30"/>
      <c r="D746" s="30"/>
      <c r="E746" s="30"/>
      <c r="F746" s="30"/>
      <c r="G746" s="30"/>
      <c r="H746" s="30"/>
    </row>
    <row r="747" ht="15.75" customHeight="1">
      <c r="A747" s="30"/>
      <c r="B747" s="30"/>
      <c r="C747" s="30"/>
      <c r="D747" s="30"/>
      <c r="E747" s="30"/>
      <c r="F747" s="30"/>
      <c r="G747" s="30"/>
      <c r="H747" s="30"/>
    </row>
    <row r="748" ht="15.75" customHeight="1">
      <c r="A748" s="30"/>
      <c r="B748" s="30"/>
      <c r="C748" s="30"/>
      <c r="D748" s="30"/>
      <c r="E748" s="30"/>
      <c r="F748" s="30"/>
      <c r="G748" s="30"/>
      <c r="H748" s="30"/>
    </row>
    <row r="749" ht="15.75" customHeight="1">
      <c r="A749" s="30"/>
      <c r="B749" s="30"/>
      <c r="C749" s="30"/>
      <c r="D749" s="30"/>
      <c r="E749" s="30"/>
      <c r="F749" s="30"/>
      <c r="G749" s="30"/>
      <c r="H749" s="30"/>
    </row>
    <row r="750" ht="15.75" customHeight="1">
      <c r="A750" s="30"/>
      <c r="B750" s="30"/>
      <c r="C750" s="30"/>
      <c r="D750" s="30"/>
      <c r="E750" s="30"/>
      <c r="F750" s="30"/>
      <c r="G750" s="30"/>
      <c r="H750" s="30"/>
    </row>
    <row r="751" ht="15.75" customHeight="1">
      <c r="A751" s="30"/>
      <c r="B751" s="30"/>
      <c r="C751" s="30"/>
      <c r="D751" s="30"/>
      <c r="E751" s="30"/>
      <c r="F751" s="30"/>
      <c r="G751" s="30"/>
      <c r="H751" s="30"/>
    </row>
    <row r="752" ht="15.75" customHeight="1">
      <c r="A752" s="30"/>
      <c r="B752" s="30"/>
      <c r="C752" s="30"/>
      <c r="D752" s="30"/>
      <c r="E752" s="30"/>
      <c r="F752" s="30"/>
      <c r="G752" s="30"/>
      <c r="H752" s="30"/>
    </row>
    <row r="753" ht="15.75" customHeight="1">
      <c r="A753" s="30"/>
      <c r="B753" s="30"/>
      <c r="C753" s="30"/>
      <c r="D753" s="30"/>
      <c r="E753" s="30"/>
      <c r="F753" s="30"/>
      <c r="G753" s="30"/>
      <c r="H753" s="30"/>
    </row>
    <row r="754" ht="15.75" customHeight="1">
      <c r="A754" s="30"/>
      <c r="B754" s="30"/>
      <c r="C754" s="30"/>
      <c r="D754" s="30"/>
      <c r="E754" s="30"/>
      <c r="F754" s="30"/>
      <c r="G754" s="30"/>
      <c r="H754" s="30"/>
    </row>
    <row r="755" ht="15.75" customHeight="1">
      <c r="A755" s="30"/>
      <c r="B755" s="30"/>
      <c r="C755" s="30"/>
      <c r="D755" s="30"/>
      <c r="E755" s="30"/>
      <c r="F755" s="30"/>
      <c r="G755" s="30"/>
      <c r="H755" s="30"/>
    </row>
    <row r="756" ht="15.75" customHeight="1">
      <c r="A756" s="30"/>
      <c r="B756" s="30"/>
      <c r="C756" s="30"/>
      <c r="D756" s="30"/>
      <c r="E756" s="30"/>
      <c r="F756" s="30"/>
      <c r="G756" s="30"/>
      <c r="H756" s="30"/>
    </row>
    <row r="757" ht="15.75" customHeight="1">
      <c r="A757" s="30"/>
      <c r="B757" s="30"/>
      <c r="C757" s="30"/>
      <c r="D757" s="30"/>
      <c r="E757" s="30"/>
      <c r="F757" s="30"/>
      <c r="G757" s="30"/>
      <c r="H757" s="30"/>
    </row>
    <row r="758" ht="15.75" customHeight="1">
      <c r="A758" s="30"/>
      <c r="B758" s="30"/>
      <c r="C758" s="30"/>
      <c r="D758" s="30"/>
      <c r="E758" s="30"/>
      <c r="F758" s="30"/>
      <c r="G758" s="30"/>
      <c r="H758" s="30"/>
    </row>
    <row r="759" ht="15.75" customHeight="1">
      <c r="A759" s="30"/>
      <c r="B759" s="30"/>
      <c r="C759" s="30"/>
      <c r="D759" s="30"/>
      <c r="E759" s="30"/>
      <c r="F759" s="30"/>
      <c r="G759" s="30"/>
      <c r="H759" s="30"/>
    </row>
    <row r="760" ht="15.75" customHeight="1">
      <c r="A760" s="30"/>
      <c r="B760" s="30"/>
      <c r="C760" s="30"/>
      <c r="D760" s="30"/>
      <c r="E760" s="30"/>
      <c r="F760" s="30"/>
      <c r="G760" s="30"/>
      <c r="H760" s="30"/>
    </row>
    <row r="761" ht="15.75" customHeight="1">
      <c r="A761" s="30"/>
      <c r="B761" s="30"/>
      <c r="C761" s="30"/>
      <c r="D761" s="30"/>
      <c r="E761" s="30"/>
      <c r="F761" s="30"/>
      <c r="G761" s="30"/>
      <c r="H761" s="30"/>
    </row>
    <row r="762" ht="15.75" customHeight="1">
      <c r="A762" s="30"/>
      <c r="B762" s="30"/>
      <c r="C762" s="30"/>
      <c r="D762" s="30"/>
      <c r="E762" s="30"/>
      <c r="F762" s="30"/>
      <c r="G762" s="30"/>
      <c r="H762" s="30"/>
    </row>
    <row r="763" ht="15.75" customHeight="1">
      <c r="A763" s="30"/>
      <c r="B763" s="30"/>
      <c r="C763" s="30"/>
      <c r="D763" s="30"/>
      <c r="E763" s="30"/>
      <c r="F763" s="30"/>
      <c r="G763" s="30"/>
      <c r="H763" s="30"/>
    </row>
    <row r="764" ht="15.75" customHeight="1">
      <c r="A764" s="30"/>
      <c r="B764" s="30"/>
      <c r="C764" s="30"/>
      <c r="D764" s="30"/>
      <c r="E764" s="30"/>
      <c r="F764" s="30"/>
      <c r="G764" s="30"/>
      <c r="H764" s="30"/>
    </row>
    <row r="765" ht="15.75" customHeight="1">
      <c r="A765" s="30"/>
      <c r="B765" s="30"/>
      <c r="C765" s="30"/>
      <c r="D765" s="30"/>
      <c r="E765" s="30"/>
      <c r="F765" s="30"/>
      <c r="G765" s="30"/>
      <c r="H765" s="30"/>
    </row>
    <row r="766" ht="15.75" customHeight="1">
      <c r="A766" s="30"/>
      <c r="B766" s="30"/>
      <c r="C766" s="30"/>
      <c r="D766" s="30"/>
      <c r="E766" s="30"/>
      <c r="F766" s="30"/>
      <c r="G766" s="30"/>
      <c r="H766" s="30"/>
    </row>
    <row r="767" ht="15.75" customHeight="1">
      <c r="A767" s="30"/>
      <c r="B767" s="30"/>
      <c r="C767" s="30"/>
      <c r="D767" s="30"/>
      <c r="E767" s="30"/>
      <c r="F767" s="30"/>
      <c r="G767" s="30"/>
      <c r="H767" s="30"/>
    </row>
    <row r="768" ht="15.75" customHeight="1">
      <c r="A768" s="30"/>
      <c r="B768" s="30"/>
      <c r="C768" s="30"/>
      <c r="D768" s="30"/>
      <c r="E768" s="30"/>
      <c r="F768" s="30"/>
      <c r="G768" s="30"/>
      <c r="H768" s="30"/>
    </row>
    <row r="769" ht="15.75" customHeight="1">
      <c r="A769" s="30"/>
      <c r="B769" s="30"/>
      <c r="C769" s="30"/>
      <c r="D769" s="30"/>
      <c r="E769" s="30"/>
      <c r="F769" s="30"/>
      <c r="G769" s="30"/>
      <c r="H769" s="30"/>
    </row>
    <row r="770" ht="15.75" customHeight="1">
      <c r="A770" s="30"/>
      <c r="B770" s="30"/>
      <c r="C770" s="30"/>
      <c r="D770" s="30"/>
      <c r="E770" s="30"/>
      <c r="F770" s="30"/>
      <c r="G770" s="30"/>
      <c r="H770" s="30"/>
    </row>
    <row r="771" ht="15.75" customHeight="1">
      <c r="A771" s="30"/>
      <c r="B771" s="30"/>
      <c r="C771" s="30"/>
      <c r="D771" s="30"/>
      <c r="E771" s="30"/>
      <c r="F771" s="30"/>
      <c r="G771" s="30"/>
      <c r="H771" s="30"/>
    </row>
    <row r="772" ht="15.75" customHeight="1">
      <c r="A772" s="30"/>
      <c r="B772" s="30"/>
      <c r="C772" s="30"/>
      <c r="D772" s="30"/>
      <c r="E772" s="30"/>
      <c r="F772" s="30"/>
      <c r="G772" s="30"/>
      <c r="H772" s="30"/>
    </row>
    <row r="773" ht="15.75" customHeight="1">
      <c r="A773" s="30"/>
      <c r="B773" s="30"/>
      <c r="C773" s="30"/>
      <c r="D773" s="30"/>
      <c r="E773" s="30"/>
      <c r="F773" s="30"/>
      <c r="G773" s="30"/>
      <c r="H773" s="30"/>
    </row>
    <row r="774" ht="15.75" customHeight="1">
      <c r="A774" s="30"/>
      <c r="B774" s="30"/>
      <c r="C774" s="30"/>
      <c r="D774" s="30"/>
      <c r="E774" s="30"/>
      <c r="F774" s="30"/>
      <c r="G774" s="30"/>
      <c r="H774" s="30"/>
    </row>
    <row r="775" ht="15.75" customHeight="1">
      <c r="A775" s="30"/>
      <c r="B775" s="30"/>
      <c r="C775" s="30"/>
      <c r="D775" s="30"/>
      <c r="E775" s="30"/>
      <c r="F775" s="30"/>
      <c r="G775" s="30"/>
      <c r="H775" s="30"/>
    </row>
    <row r="776" ht="15.75" customHeight="1">
      <c r="A776" s="30"/>
      <c r="B776" s="30"/>
      <c r="C776" s="30"/>
      <c r="D776" s="30"/>
      <c r="E776" s="30"/>
      <c r="F776" s="30"/>
      <c r="G776" s="30"/>
      <c r="H776" s="30"/>
    </row>
    <row r="777" ht="15.75" customHeight="1">
      <c r="A777" s="30"/>
      <c r="B777" s="30"/>
      <c r="C777" s="30"/>
      <c r="D777" s="30"/>
      <c r="E777" s="30"/>
      <c r="F777" s="30"/>
      <c r="G777" s="30"/>
      <c r="H777" s="30"/>
    </row>
    <row r="778" ht="15.75" customHeight="1">
      <c r="A778" s="30"/>
      <c r="B778" s="30"/>
      <c r="C778" s="30"/>
      <c r="D778" s="30"/>
      <c r="E778" s="30"/>
      <c r="F778" s="30"/>
      <c r="G778" s="30"/>
      <c r="H778" s="30"/>
    </row>
    <row r="779" ht="15.75" customHeight="1">
      <c r="A779" s="30"/>
      <c r="B779" s="30"/>
      <c r="C779" s="30"/>
      <c r="D779" s="30"/>
      <c r="E779" s="30"/>
      <c r="F779" s="30"/>
      <c r="G779" s="30"/>
      <c r="H779" s="30"/>
    </row>
    <row r="780" ht="15.75" customHeight="1">
      <c r="A780" s="30"/>
      <c r="B780" s="30"/>
      <c r="C780" s="30"/>
      <c r="D780" s="30"/>
      <c r="E780" s="30"/>
      <c r="F780" s="30"/>
      <c r="G780" s="30"/>
      <c r="H780" s="30"/>
    </row>
    <row r="781" ht="15.75" customHeight="1">
      <c r="A781" s="30"/>
      <c r="B781" s="30"/>
      <c r="C781" s="30"/>
      <c r="D781" s="30"/>
      <c r="E781" s="30"/>
      <c r="F781" s="30"/>
      <c r="G781" s="30"/>
      <c r="H781" s="30"/>
    </row>
    <row r="782" ht="15.75" customHeight="1">
      <c r="A782" s="30"/>
      <c r="B782" s="30"/>
      <c r="C782" s="30"/>
      <c r="D782" s="30"/>
      <c r="E782" s="30"/>
      <c r="F782" s="30"/>
      <c r="G782" s="30"/>
      <c r="H782" s="30"/>
    </row>
    <row r="783" ht="15.75" customHeight="1">
      <c r="A783" s="30"/>
      <c r="B783" s="30"/>
      <c r="C783" s="30"/>
      <c r="D783" s="30"/>
      <c r="E783" s="30"/>
      <c r="F783" s="30"/>
      <c r="G783" s="30"/>
      <c r="H783" s="30"/>
    </row>
    <row r="784" ht="15.75" customHeight="1">
      <c r="A784" s="30"/>
      <c r="B784" s="30"/>
      <c r="C784" s="30"/>
      <c r="D784" s="30"/>
      <c r="E784" s="30"/>
      <c r="F784" s="30"/>
      <c r="G784" s="30"/>
      <c r="H784" s="30"/>
    </row>
    <row r="785" ht="15.75" customHeight="1">
      <c r="A785" s="30"/>
      <c r="B785" s="30"/>
      <c r="C785" s="30"/>
      <c r="D785" s="30"/>
      <c r="E785" s="30"/>
      <c r="F785" s="30"/>
      <c r="G785" s="30"/>
      <c r="H785" s="30"/>
    </row>
    <row r="786" ht="15.75" customHeight="1">
      <c r="A786" s="30"/>
      <c r="B786" s="30"/>
      <c r="C786" s="30"/>
      <c r="D786" s="30"/>
      <c r="E786" s="30"/>
      <c r="F786" s="30"/>
      <c r="G786" s="30"/>
      <c r="H786" s="30"/>
    </row>
    <row r="787" ht="15.75" customHeight="1">
      <c r="A787" s="30"/>
      <c r="B787" s="30"/>
      <c r="C787" s="30"/>
      <c r="D787" s="30"/>
      <c r="E787" s="30"/>
      <c r="F787" s="30"/>
      <c r="G787" s="30"/>
      <c r="H787" s="30"/>
    </row>
    <row r="788" ht="15.75" customHeight="1">
      <c r="A788" s="30"/>
      <c r="B788" s="30"/>
      <c r="C788" s="30"/>
      <c r="D788" s="30"/>
      <c r="E788" s="30"/>
      <c r="F788" s="30"/>
      <c r="G788" s="30"/>
      <c r="H788" s="30"/>
    </row>
    <row r="789" ht="15.75" customHeight="1">
      <c r="A789" s="30"/>
      <c r="B789" s="30"/>
      <c r="C789" s="30"/>
      <c r="D789" s="30"/>
      <c r="E789" s="30"/>
      <c r="F789" s="30"/>
      <c r="G789" s="30"/>
      <c r="H789" s="30"/>
    </row>
    <row r="790" ht="15.75" customHeight="1">
      <c r="A790" s="30"/>
      <c r="B790" s="30"/>
      <c r="C790" s="30"/>
      <c r="D790" s="30"/>
      <c r="E790" s="30"/>
      <c r="F790" s="30"/>
      <c r="G790" s="30"/>
      <c r="H790" s="30"/>
    </row>
    <row r="791" ht="15.75" customHeight="1">
      <c r="A791" s="30"/>
      <c r="B791" s="30"/>
      <c r="C791" s="30"/>
      <c r="D791" s="30"/>
      <c r="E791" s="30"/>
      <c r="F791" s="30"/>
      <c r="G791" s="30"/>
      <c r="H791" s="30"/>
    </row>
    <row r="792" ht="15.75" customHeight="1">
      <c r="A792" s="30"/>
      <c r="B792" s="30"/>
      <c r="C792" s="30"/>
      <c r="D792" s="30"/>
      <c r="E792" s="30"/>
      <c r="F792" s="30"/>
      <c r="G792" s="30"/>
      <c r="H792" s="30"/>
    </row>
    <row r="793" ht="15.75" customHeight="1">
      <c r="A793" s="30"/>
      <c r="B793" s="30"/>
      <c r="C793" s="30"/>
      <c r="D793" s="30"/>
      <c r="E793" s="30"/>
      <c r="F793" s="30"/>
      <c r="G793" s="30"/>
      <c r="H793" s="30"/>
    </row>
    <row r="794" ht="15.75" customHeight="1">
      <c r="A794" s="30"/>
      <c r="B794" s="30"/>
      <c r="C794" s="30"/>
      <c r="D794" s="30"/>
      <c r="E794" s="30"/>
      <c r="F794" s="30"/>
      <c r="G794" s="30"/>
      <c r="H794" s="30"/>
    </row>
    <row r="795" ht="15.75" customHeight="1">
      <c r="A795" s="30"/>
      <c r="B795" s="30"/>
      <c r="C795" s="30"/>
      <c r="D795" s="30"/>
      <c r="E795" s="30"/>
      <c r="F795" s="30"/>
      <c r="G795" s="30"/>
      <c r="H795" s="30"/>
    </row>
    <row r="796" ht="15.75" customHeight="1">
      <c r="A796" s="30"/>
      <c r="B796" s="30"/>
      <c r="C796" s="30"/>
      <c r="D796" s="30"/>
      <c r="E796" s="30"/>
      <c r="F796" s="30"/>
      <c r="G796" s="30"/>
      <c r="H796" s="30"/>
    </row>
    <row r="797" ht="15.75" customHeight="1">
      <c r="A797" s="30"/>
      <c r="B797" s="30"/>
      <c r="C797" s="30"/>
      <c r="D797" s="30"/>
      <c r="E797" s="30"/>
      <c r="F797" s="30"/>
      <c r="G797" s="30"/>
      <c r="H797" s="30"/>
    </row>
    <row r="798" ht="15.75" customHeight="1">
      <c r="A798" s="30"/>
      <c r="B798" s="30"/>
      <c r="C798" s="30"/>
      <c r="D798" s="30"/>
      <c r="E798" s="30"/>
      <c r="F798" s="30"/>
      <c r="G798" s="30"/>
      <c r="H798" s="30"/>
    </row>
    <row r="799" ht="15.75" customHeight="1">
      <c r="A799" s="30"/>
      <c r="B799" s="30"/>
      <c r="C799" s="30"/>
      <c r="D799" s="30"/>
      <c r="E799" s="30"/>
      <c r="F799" s="30"/>
      <c r="G799" s="30"/>
      <c r="H799" s="30"/>
    </row>
    <row r="800" ht="15.75" customHeight="1">
      <c r="A800" s="30"/>
      <c r="B800" s="30"/>
      <c r="C800" s="30"/>
      <c r="D800" s="30"/>
      <c r="E800" s="30"/>
      <c r="F800" s="30"/>
      <c r="G800" s="30"/>
      <c r="H800" s="30"/>
    </row>
    <row r="801" ht="15.75" customHeight="1">
      <c r="A801" s="30"/>
      <c r="B801" s="30"/>
      <c r="C801" s="30"/>
      <c r="D801" s="30"/>
      <c r="E801" s="30"/>
      <c r="F801" s="30"/>
      <c r="G801" s="30"/>
      <c r="H801" s="30"/>
    </row>
    <row r="802" ht="15.75" customHeight="1">
      <c r="A802" s="30"/>
      <c r="B802" s="30"/>
      <c r="C802" s="30"/>
      <c r="D802" s="30"/>
      <c r="E802" s="30"/>
      <c r="F802" s="30"/>
      <c r="G802" s="30"/>
      <c r="H802" s="30"/>
    </row>
    <row r="803" ht="15.75" customHeight="1">
      <c r="A803" s="30"/>
      <c r="B803" s="30"/>
      <c r="C803" s="30"/>
      <c r="D803" s="30"/>
      <c r="E803" s="30"/>
      <c r="F803" s="30"/>
      <c r="G803" s="30"/>
      <c r="H803" s="30"/>
    </row>
    <row r="804" ht="15.75" customHeight="1">
      <c r="A804" s="30"/>
      <c r="B804" s="30"/>
      <c r="C804" s="30"/>
      <c r="D804" s="30"/>
      <c r="E804" s="30"/>
      <c r="F804" s="30"/>
      <c r="G804" s="30"/>
      <c r="H804" s="30"/>
    </row>
    <row r="805" ht="15.75" customHeight="1">
      <c r="A805" s="30"/>
      <c r="B805" s="30"/>
      <c r="C805" s="30"/>
      <c r="D805" s="30"/>
      <c r="E805" s="30"/>
      <c r="F805" s="30"/>
      <c r="G805" s="30"/>
      <c r="H805" s="30"/>
    </row>
    <row r="806" ht="15.75" customHeight="1">
      <c r="A806" s="30"/>
      <c r="B806" s="30"/>
      <c r="C806" s="30"/>
      <c r="D806" s="30"/>
      <c r="E806" s="30"/>
      <c r="F806" s="30"/>
      <c r="G806" s="30"/>
      <c r="H806" s="30"/>
    </row>
    <row r="807" ht="15.75" customHeight="1">
      <c r="A807" s="30"/>
      <c r="B807" s="30"/>
      <c r="C807" s="30"/>
      <c r="D807" s="30"/>
      <c r="E807" s="30"/>
      <c r="F807" s="30"/>
      <c r="G807" s="30"/>
      <c r="H807" s="30"/>
    </row>
    <row r="808" ht="15.75" customHeight="1">
      <c r="A808" s="30"/>
      <c r="B808" s="30"/>
      <c r="C808" s="30"/>
      <c r="D808" s="30"/>
      <c r="E808" s="30"/>
      <c r="F808" s="30"/>
      <c r="G808" s="30"/>
      <c r="H808" s="30"/>
    </row>
    <row r="809" ht="15.75" customHeight="1">
      <c r="A809" s="30"/>
      <c r="B809" s="30"/>
      <c r="C809" s="30"/>
      <c r="D809" s="30"/>
      <c r="E809" s="30"/>
      <c r="F809" s="30"/>
      <c r="G809" s="30"/>
      <c r="H809" s="30"/>
    </row>
    <row r="810" ht="15.75" customHeight="1">
      <c r="A810" s="30"/>
      <c r="B810" s="30"/>
      <c r="C810" s="30"/>
      <c r="D810" s="30"/>
      <c r="E810" s="30"/>
      <c r="F810" s="30"/>
      <c r="G810" s="30"/>
      <c r="H810" s="30"/>
    </row>
    <row r="811" ht="15.75" customHeight="1">
      <c r="A811" s="30"/>
      <c r="B811" s="30"/>
      <c r="C811" s="30"/>
      <c r="D811" s="30"/>
      <c r="E811" s="30"/>
      <c r="F811" s="30"/>
      <c r="G811" s="30"/>
      <c r="H811" s="30"/>
    </row>
    <row r="812" ht="15.75" customHeight="1">
      <c r="A812" s="30"/>
      <c r="B812" s="30"/>
      <c r="C812" s="30"/>
      <c r="D812" s="30"/>
      <c r="E812" s="30"/>
      <c r="F812" s="30"/>
      <c r="G812" s="30"/>
      <c r="H812" s="30"/>
    </row>
    <row r="813" ht="15.75" customHeight="1">
      <c r="A813" s="30"/>
      <c r="B813" s="30"/>
      <c r="C813" s="30"/>
      <c r="D813" s="30"/>
      <c r="E813" s="30"/>
      <c r="F813" s="30"/>
      <c r="G813" s="30"/>
      <c r="H813" s="30"/>
    </row>
    <row r="814" ht="15.75" customHeight="1">
      <c r="A814" s="30"/>
      <c r="B814" s="30"/>
      <c r="C814" s="30"/>
      <c r="D814" s="30"/>
      <c r="E814" s="30"/>
      <c r="F814" s="30"/>
      <c r="G814" s="30"/>
      <c r="H814" s="30"/>
    </row>
    <row r="815" ht="15.75" customHeight="1">
      <c r="A815" s="30"/>
      <c r="B815" s="30"/>
      <c r="C815" s="30"/>
      <c r="D815" s="30"/>
      <c r="E815" s="30"/>
      <c r="F815" s="30"/>
      <c r="G815" s="30"/>
      <c r="H815" s="30"/>
    </row>
    <row r="816" ht="15.75" customHeight="1">
      <c r="A816" s="30"/>
      <c r="B816" s="30"/>
      <c r="C816" s="30"/>
      <c r="D816" s="30"/>
      <c r="E816" s="30"/>
      <c r="F816" s="30"/>
      <c r="G816" s="30"/>
      <c r="H816" s="30"/>
    </row>
    <row r="817" ht="15.75" customHeight="1">
      <c r="A817" s="30"/>
      <c r="B817" s="30"/>
      <c r="C817" s="30"/>
      <c r="D817" s="30"/>
      <c r="E817" s="30"/>
      <c r="F817" s="30"/>
      <c r="G817" s="30"/>
      <c r="H817" s="30"/>
    </row>
    <row r="818" ht="15.75" customHeight="1">
      <c r="A818" s="30"/>
      <c r="B818" s="30"/>
      <c r="C818" s="30"/>
      <c r="D818" s="30"/>
      <c r="E818" s="30"/>
      <c r="F818" s="30"/>
      <c r="G818" s="30"/>
      <c r="H818" s="30"/>
    </row>
    <row r="819" ht="15.75" customHeight="1">
      <c r="A819" s="30"/>
      <c r="B819" s="30"/>
      <c r="C819" s="30"/>
      <c r="D819" s="30"/>
      <c r="E819" s="30"/>
      <c r="F819" s="30"/>
      <c r="G819" s="30"/>
      <c r="H819" s="30"/>
    </row>
    <row r="820" ht="15.75" customHeight="1">
      <c r="A820" s="30"/>
      <c r="B820" s="30"/>
      <c r="C820" s="30"/>
      <c r="D820" s="30"/>
      <c r="E820" s="30"/>
      <c r="F820" s="30"/>
      <c r="G820" s="30"/>
      <c r="H820" s="30"/>
    </row>
    <row r="821" ht="15.75" customHeight="1">
      <c r="A821" s="30"/>
      <c r="B821" s="30"/>
      <c r="C821" s="30"/>
      <c r="D821" s="30"/>
      <c r="E821" s="30"/>
      <c r="F821" s="30"/>
      <c r="G821" s="30"/>
      <c r="H821" s="30"/>
    </row>
    <row r="822" ht="15.75" customHeight="1">
      <c r="A822" s="30"/>
      <c r="B822" s="30"/>
      <c r="C822" s="30"/>
      <c r="D822" s="30"/>
      <c r="E822" s="30"/>
      <c r="F822" s="30"/>
      <c r="G822" s="30"/>
      <c r="H822" s="30"/>
    </row>
    <row r="823" ht="15.75" customHeight="1">
      <c r="A823" s="30"/>
      <c r="B823" s="30"/>
      <c r="C823" s="30"/>
      <c r="D823" s="30"/>
      <c r="E823" s="30"/>
      <c r="F823" s="30"/>
      <c r="G823" s="30"/>
      <c r="H823" s="30"/>
    </row>
    <row r="824" ht="15.75" customHeight="1">
      <c r="A824" s="30"/>
      <c r="B824" s="30"/>
      <c r="C824" s="30"/>
      <c r="D824" s="30"/>
      <c r="E824" s="30"/>
      <c r="F824" s="30"/>
      <c r="G824" s="30"/>
      <c r="H824" s="30"/>
    </row>
    <row r="825" ht="15.75" customHeight="1">
      <c r="A825" s="30"/>
      <c r="B825" s="30"/>
      <c r="C825" s="30"/>
      <c r="D825" s="30"/>
      <c r="E825" s="30"/>
      <c r="F825" s="30"/>
      <c r="G825" s="30"/>
      <c r="H825" s="30"/>
    </row>
    <row r="826" ht="15.75" customHeight="1">
      <c r="A826" s="30"/>
      <c r="B826" s="30"/>
      <c r="C826" s="30"/>
      <c r="D826" s="30"/>
      <c r="E826" s="30"/>
      <c r="F826" s="30"/>
      <c r="G826" s="30"/>
      <c r="H826" s="30"/>
    </row>
    <row r="827" ht="15.75" customHeight="1">
      <c r="A827" s="30"/>
      <c r="B827" s="30"/>
      <c r="C827" s="30"/>
      <c r="D827" s="30"/>
      <c r="E827" s="30"/>
      <c r="F827" s="30"/>
      <c r="G827" s="30"/>
      <c r="H827" s="30"/>
    </row>
    <row r="828" ht="15.75" customHeight="1">
      <c r="A828" s="30"/>
      <c r="B828" s="30"/>
      <c r="C828" s="30"/>
      <c r="D828" s="30"/>
      <c r="E828" s="30"/>
      <c r="F828" s="30"/>
      <c r="G828" s="30"/>
      <c r="H828" s="30"/>
    </row>
    <row r="829" ht="15.75" customHeight="1">
      <c r="A829" s="30"/>
      <c r="B829" s="30"/>
      <c r="C829" s="30"/>
      <c r="D829" s="30"/>
      <c r="E829" s="30"/>
      <c r="F829" s="30"/>
      <c r="G829" s="30"/>
      <c r="H829" s="30"/>
    </row>
    <row r="830" ht="15.75" customHeight="1">
      <c r="A830" s="30"/>
      <c r="B830" s="30"/>
      <c r="C830" s="30"/>
      <c r="D830" s="30"/>
      <c r="E830" s="30"/>
      <c r="F830" s="30"/>
      <c r="G830" s="30"/>
      <c r="H830" s="30"/>
    </row>
    <row r="831" ht="15.75" customHeight="1">
      <c r="A831" s="30"/>
      <c r="B831" s="30"/>
      <c r="C831" s="30"/>
      <c r="D831" s="30"/>
      <c r="E831" s="30"/>
      <c r="F831" s="30"/>
      <c r="G831" s="30"/>
      <c r="H831" s="30"/>
    </row>
    <row r="832" ht="15.75" customHeight="1">
      <c r="A832" s="30"/>
      <c r="B832" s="30"/>
      <c r="C832" s="30"/>
      <c r="D832" s="30"/>
      <c r="E832" s="30"/>
      <c r="F832" s="30"/>
      <c r="G832" s="30"/>
      <c r="H832" s="30"/>
    </row>
    <row r="833" ht="15.75" customHeight="1">
      <c r="A833" s="30"/>
      <c r="B833" s="30"/>
      <c r="C833" s="30"/>
      <c r="D833" s="30"/>
      <c r="E833" s="30"/>
      <c r="F833" s="30"/>
      <c r="G833" s="30"/>
      <c r="H833" s="30"/>
    </row>
    <row r="834" ht="15.75" customHeight="1">
      <c r="A834" s="30"/>
      <c r="B834" s="30"/>
      <c r="C834" s="30"/>
      <c r="D834" s="30"/>
      <c r="E834" s="30"/>
      <c r="F834" s="30"/>
      <c r="G834" s="30"/>
      <c r="H834" s="30"/>
    </row>
    <row r="835" ht="15.75" customHeight="1">
      <c r="A835" s="30"/>
      <c r="B835" s="30"/>
      <c r="C835" s="30"/>
      <c r="D835" s="30"/>
      <c r="E835" s="30"/>
      <c r="F835" s="30"/>
      <c r="G835" s="30"/>
      <c r="H835" s="30"/>
    </row>
    <row r="836" ht="15.75" customHeight="1">
      <c r="A836" s="30"/>
      <c r="B836" s="30"/>
      <c r="C836" s="30"/>
      <c r="D836" s="30"/>
      <c r="E836" s="30"/>
      <c r="F836" s="30"/>
      <c r="G836" s="30"/>
      <c r="H836" s="30"/>
    </row>
    <row r="837" ht="15.75" customHeight="1">
      <c r="A837" s="30"/>
      <c r="B837" s="30"/>
      <c r="C837" s="30"/>
      <c r="D837" s="30"/>
      <c r="E837" s="30"/>
      <c r="F837" s="30"/>
      <c r="G837" s="30"/>
      <c r="H837" s="30"/>
    </row>
    <row r="838" ht="15.75" customHeight="1">
      <c r="A838" s="30"/>
      <c r="B838" s="30"/>
      <c r="C838" s="30"/>
      <c r="D838" s="30"/>
      <c r="E838" s="30"/>
      <c r="F838" s="30"/>
      <c r="G838" s="30"/>
      <c r="H838" s="30"/>
    </row>
    <row r="839" ht="15.75" customHeight="1">
      <c r="A839" s="30"/>
      <c r="B839" s="30"/>
      <c r="C839" s="30"/>
      <c r="D839" s="30"/>
      <c r="E839" s="30"/>
      <c r="F839" s="30"/>
      <c r="G839" s="30"/>
      <c r="H839" s="30"/>
    </row>
    <row r="840" ht="15.75" customHeight="1">
      <c r="A840" s="30"/>
      <c r="B840" s="30"/>
      <c r="C840" s="30"/>
      <c r="D840" s="30"/>
      <c r="E840" s="30"/>
      <c r="F840" s="30"/>
      <c r="G840" s="30"/>
      <c r="H840" s="30"/>
    </row>
    <row r="841" ht="15.75" customHeight="1">
      <c r="A841" s="30"/>
      <c r="B841" s="30"/>
      <c r="C841" s="30"/>
      <c r="D841" s="30"/>
      <c r="E841" s="30"/>
      <c r="F841" s="30"/>
      <c r="G841" s="30"/>
      <c r="H841" s="30"/>
    </row>
    <row r="842" ht="15.75" customHeight="1">
      <c r="A842" s="30"/>
      <c r="B842" s="30"/>
      <c r="C842" s="30"/>
      <c r="D842" s="30"/>
      <c r="E842" s="30"/>
      <c r="F842" s="30"/>
      <c r="G842" s="30"/>
      <c r="H842" s="30"/>
    </row>
    <row r="843" ht="15.75" customHeight="1">
      <c r="A843" s="30"/>
      <c r="B843" s="30"/>
      <c r="C843" s="30"/>
      <c r="D843" s="30"/>
      <c r="E843" s="30"/>
      <c r="F843" s="30"/>
      <c r="G843" s="30"/>
      <c r="H843" s="30"/>
    </row>
    <row r="844" ht="15.75" customHeight="1">
      <c r="A844" s="30"/>
      <c r="B844" s="30"/>
      <c r="C844" s="30"/>
      <c r="D844" s="30"/>
      <c r="E844" s="30"/>
      <c r="F844" s="30"/>
      <c r="G844" s="30"/>
      <c r="H844" s="30"/>
    </row>
    <row r="845" ht="15.75" customHeight="1">
      <c r="A845" s="30"/>
      <c r="B845" s="30"/>
      <c r="C845" s="30"/>
      <c r="D845" s="30"/>
      <c r="E845" s="30"/>
      <c r="F845" s="30"/>
      <c r="G845" s="30"/>
      <c r="H845" s="30"/>
    </row>
    <row r="846" ht="15.75" customHeight="1">
      <c r="A846" s="30"/>
      <c r="B846" s="30"/>
      <c r="C846" s="30"/>
      <c r="D846" s="30"/>
      <c r="E846" s="30"/>
      <c r="F846" s="30"/>
      <c r="G846" s="30"/>
      <c r="H846" s="30"/>
    </row>
    <row r="847" ht="15.75" customHeight="1">
      <c r="A847" s="30"/>
      <c r="B847" s="30"/>
      <c r="C847" s="30"/>
      <c r="D847" s="30"/>
      <c r="E847" s="30"/>
      <c r="F847" s="30"/>
      <c r="G847" s="30"/>
      <c r="H847" s="30"/>
    </row>
    <row r="848" ht="15.75" customHeight="1">
      <c r="A848" s="30"/>
      <c r="B848" s="30"/>
      <c r="C848" s="30"/>
      <c r="D848" s="30"/>
      <c r="E848" s="30"/>
      <c r="F848" s="30"/>
      <c r="G848" s="30"/>
      <c r="H848" s="30"/>
    </row>
    <row r="849" ht="15.75" customHeight="1">
      <c r="A849" s="30"/>
      <c r="B849" s="30"/>
      <c r="C849" s="30"/>
      <c r="D849" s="30"/>
      <c r="E849" s="30"/>
      <c r="F849" s="30"/>
      <c r="G849" s="30"/>
      <c r="H849" s="30"/>
    </row>
    <row r="850" ht="15.75" customHeight="1">
      <c r="A850" s="30"/>
      <c r="B850" s="30"/>
      <c r="C850" s="30"/>
      <c r="D850" s="30"/>
      <c r="E850" s="30"/>
      <c r="F850" s="30"/>
      <c r="G850" s="30"/>
      <c r="H850" s="30"/>
    </row>
    <row r="851" ht="15.75" customHeight="1">
      <c r="A851" s="30"/>
      <c r="B851" s="30"/>
      <c r="C851" s="30"/>
      <c r="D851" s="30"/>
      <c r="E851" s="30"/>
      <c r="F851" s="30"/>
      <c r="G851" s="30"/>
      <c r="H851" s="30"/>
    </row>
    <row r="852" ht="15.75" customHeight="1">
      <c r="A852" s="30"/>
      <c r="B852" s="30"/>
      <c r="C852" s="30"/>
      <c r="D852" s="30"/>
      <c r="E852" s="30"/>
      <c r="F852" s="30"/>
      <c r="G852" s="30"/>
      <c r="H852" s="30"/>
    </row>
    <row r="853" ht="15.75" customHeight="1">
      <c r="A853" s="30"/>
      <c r="B853" s="30"/>
      <c r="C853" s="30"/>
      <c r="D853" s="30"/>
      <c r="E853" s="30"/>
      <c r="F853" s="30"/>
      <c r="G853" s="30"/>
      <c r="H853" s="30"/>
    </row>
    <row r="854" ht="15.75" customHeight="1">
      <c r="A854" s="30"/>
      <c r="B854" s="30"/>
      <c r="C854" s="30"/>
      <c r="D854" s="30"/>
      <c r="E854" s="30"/>
      <c r="F854" s="30"/>
      <c r="G854" s="30"/>
      <c r="H854" s="30"/>
    </row>
    <row r="855" ht="15.75" customHeight="1">
      <c r="A855" s="30"/>
      <c r="B855" s="30"/>
      <c r="C855" s="30"/>
      <c r="D855" s="30"/>
      <c r="E855" s="30"/>
      <c r="F855" s="30"/>
      <c r="G855" s="30"/>
      <c r="H855" s="30"/>
    </row>
    <row r="856" ht="15.75" customHeight="1">
      <c r="A856" s="30"/>
      <c r="B856" s="30"/>
      <c r="C856" s="30"/>
      <c r="D856" s="30"/>
      <c r="E856" s="30"/>
      <c r="F856" s="30"/>
      <c r="G856" s="30"/>
      <c r="H856" s="30"/>
    </row>
    <row r="857" ht="15.75" customHeight="1">
      <c r="A857" s="30"/>
      <c r="B857" s="30"/>
      <c r="C857" s="30"/>
      <c r="D857" s="30"/>
      <c r="E857" s="30"/>
      <c r="F857" s="30"/>
      <c r="G857" s="30"/>
      <c r="H857" s="30"/>
    </row>
    <row r="858" ht="15.75" customHeight="1">
      <c r="A858" s="30"/>
      <c r="B858" s="30"/>
      <c r="C858" s="30"/>
      <c r="D858" s="30"/>
      <c r="E858" s="30"/>
      <c r="F858" s="30"/>
      <c r="G858" s="30"/>
      <c r="H858" s="30"/>
    </row>
    <row r="859" ht="15.75" customHeight="1">
      <c r="A859" s="30"/>
      <c r="B859" s="30"/>
      <c r="C859" s="30"/>
      <c r="D859" s="30"/>
      <c r="E859" s="30"/>
      <c r="F859" s="30"/>
      <c r="G859" s="30"/>
      <c r="H859" s="30"/>
    </row>
    <row r="860" ht="15.75" customHeight="1">
      <c r="A860" s="30"/>
      <c r="B860" s="30"/>
      <c r="C860" s="30"/>
      <c r="D860" s="30"/>
      <c r="E860" s="30"/>
      <c r="F860" s="30"/>
      <c r="G860" s="30"/>
      <c r="H860" s="30"/>
    </row>
    <row r="861" ht="15.75" customHeight="1">
      <c r="A861" s="30"/>
      <c r="B861" s="30"/>
      <c r="C861" s="30"/>
      <c r="D861" s="30"/>
      <c r="E861" s="30"/>
      <c r="F861" s="30"/>
      <c r="G861" s="30"/>
      <c r="H861" s="30"/>
    </row>
    <row r="862" ht="15.75" customHeight="1">
      <c r="A862" s="30"/>
      <c r="B862" s="30"/>
      <c r="C862" s="30"/>
      <c r="D862" s="30"/>
      <c r="E862" s="30"/>
      <c r="F862" s="30"/>
      <c r="G862" s="30"/>
      <c r="H862" s="30"/>
    </row>
    <row r="863" ht="15.75" customHeight="1">
      <c r="A863" s="30"/>
      <c r="B863" s="30"/>
      <c r="C863" s="30"/>
      <c r="D863" s="30"/>
      <c r="E863" s="30"/>
      <c r="F863" s="30"/>
      <c r="G863" s="30"/>
      <c r="H863" s="30"/>
    </row>
    <row r="864" ht="15.75" customHeight="1">
      <c r="A864" s="30"/>
      <c r="B864" s="30"/>
      <c r="C864" s="30"/>
      <c r="D864" s="30"/>
      <c r="E864" s="30"/>
      <c r="F864" s="30"/>
      <c r="G864" s="30"/>
      <c r="H864" s="30"/>
    </row>
    <row r="865" ht="15.75" customHeight="1">
      <c r="A865" s="30"/>
      <c r="B865" s="30"/>
      <c r="C865" s="30"/>
      <c r="D865" s="30"/>
      <c r="E865" s="30"/>
      <c r="F865" s="30"/>
      <c r="G865" s="30"/>
      <c r="H865" s="30"/>
    </row>
    <row r="866" ht="15.75" customHeight="1">
      <c r="A866" s="30"/>
      <c r="B866" s="30"/>
      <c r="C866" s="30"/>
      <c r="D866" s="30"/>
      <c r="E866" s="30"/>
      <c r="F866" s="30"/>
      <c r="G866" s="30"/>
      <c r="H866" s="30"/>
    </row>
    <row r="867" ht="15.75" customHeight="1">
      <c r="A867" s="30"/>
      <c r="B867" s="30"/>
      <c r="C867" s="30"/>
      <c r="D867" s="30"/>
      <c r="E867" s="30"/>
      <c r="F867" s="30"/>
      <c r="G867" s="30"/>
      <c r="H867" s="30"/>
    </row>
    <row r="868" ht="15.75" customHeight="1">
      <c r="A868" s="30"/>
      <c r="B868" s="30"/>
      <c r="C868" s="30"/>
      <c r="D868" s="30"/>
      <c r="E868" s="30"/>
      <c r="F868" s="30"/>
      <c r="G868" s="30"/>
      <c r="H868" s="30"/>
    </row>
    <row r="869" ht="15.75" customHeight="1">
      <c r="A869" s="30"/>
      <c r="B869" s="30"/>
      <c r="C869" s="30"/>
      <c r="D869" s="30"/>
      <c r="E869" s="30"/>
      <c r="F869" s="30"/>
      <c r="G869" s="30"/>
      <c r="H869" s="30"/>
    </row>
    <row r="870" ht="15.75" customHeight="1">
      <c r="A870" s="30"/>
      <c r="B870" s="30"/>
      <c r="C870" s="30"/>
      <c r="D870" s="30"/>
      <c r="E870" s="30"/>
      <c r="F870" s="30"/>
      <c r="G870" s="30"/>
      <c r="H870" s="30"/>
    </row>
    <row r="871" ht="15.75" customHeight="1">
      <c r="A871" s="30"/>
      <c r="B871" s="30"/>
      <c r="C871" s="30"/>
      <c r="D871" s="30"/>
      <c r="E871" s="30"/>
      <c r="F871" s="30"/>
      <c r="G871" s="30"/>
      <c r="H871" s="30"/>
    </row>
    <row r="872" ht="15.75" customHeight="1">
      <c r="A872" s="30"/>
      <c r="B872" s="30"/>
      <c r="C872" s="30"/>
      <c r="D872" s="30"/>
      <c r="E872" s="30"/>
      <c r="F872" s="30"/>
      <c r="G872" s="30"/>
      <c r="H872" s="30"/>
    </row>
    <row r="873" ht="15.75" customHeight="1">
      <c r="A873" s="30"/>
      <c r="B873" s="30"/>
      <c r="C873" s="30"/>
      <c r="D873" s="30"/>
      <c r="E873" s="30"/>
      <c r="F873" s="30"/>
      <c r="G873" s="30"/>
      <c r="H873" s="30"/>
    </row>
    <row r="874" ht="15.75" customHeight="1">
      <c r="A874" s="30"/>
      <c r="B874" s="30"/>
      <c r="C874" s="30"/>
      <c r="D874" s="30"/>
      <c r="E874" s="30"/>
      <c r="F874" s="30"/>
      <c r="G874" s="30"/>
      <c r="H874" s="30"/>
    </row>
    <row r="875" ht="15.75" customHeight="1">
      <c r="A875" s="30"/>
      <c r="B875" s="30"/>
      <c r="C875" s="30"/>
      <c r="D875" s="30"/>
      <c r="E875" s="30"/>
      <c r="F875" s="30"/>
      <c r="G875" s="30"/>
      <c r="H875" s="30"/>
    </row>
    <row r="876" ht="15.75" customHeight="1">
      <c r="A876" s="30"/>
      <c r="B876" s="30"/>
      <c r="C876" s="30"/>
      <c r="D876" s="30"/>
      <c r="E876" s="30"/>
      <c r="F876" s="30"/>
      <c r="G876" s="30"/>
      <c r="H876" s="30"/>
    </row>
    <row r="877" ht="15.75" customHeight="1">
      <c r="A877" s="30"/>
      <c r="B877" s="30"/>
      <c r="C877" s="30"/>
      <c r="D877" s="30"/>
      <c r="E877" s="30"/>
      <c r="F877" s="30"/>
      <c r="G877" s="30"/>
      <c r="H877" s="30"/>
    </row>
    <row r="878" ht="15.75" customHeight="1">
      <c r="A878" s="30"/>
      <c r="B878" s="30"/>
      <c r="C878" s="30"/>
      <c r="D878" s="30"/>
      <c r="E878" s="30"/>
      <c r="F878" s="30"/>
      <c r="G878" s="30"/>
      <c r="H878" s="30"/>
    </row>
    <row r="879" ht="15.75" customHeight="1">
      <c r="A879" s="30"/>
      <c r="B879" s="30"/>
      <c r="C879" s="30"/>
      <c r="D879" s="30"/>
      <c r="E879" s="30"/>
      <c r="F879" s="30"/>
      <c r="G879" s="30"/>
      <c r="H879" s="30"/>
    </row>
    <row r="880" ht="15.75" customHeight="1">
      <c r="A880" s="30"/>
      <c r="B880" s="30"/>
      <c r="C880" s="30"/>
      <c r="D880" s="30"/>
      <c r="E880" s="30"/>
      <c r="F880" s="30"/>
      <c r="G880" s="30"/>
      <c r="H880" s="30"/>
    </row>
    <row r="881" ht="15.75" customHeight="1">
      <c r="A881" s="30"/>
      <c r="B881" s="30"/>
      <c r="C881" s="30"/>
      <c r="D881" s="30"/>
      <c r="E881" s="30"/>
      <c r="F881" s="30"/>
      <c r="G881" s="30"/>
      <c r="H881" s="30"/>
    </row>
    <row r="882" ht="15.75" customHeight="1">
      <c r="A882" s="30"/>
      <c r="B882" s="30"/>
      <c r="C882" s="30"/>
      <c r="D882" s="30"/>
      <c r="E882" s="30"/>
      <c r="F882" s="30"/>
      <c r="G882" s="30"/>
      <c r="H882" s="30"/>
    </row>
    <row r="883" ht="15.75" customHeight="1">
      <c r="A883" s="30"/>
      <c r="B883" s="30"/>
      <c r="C883" s="30"/>
      <c r="D883" s="30"/>
      <c r="E883" s="30"/>
      <c r="F883" s="30"/>
      <c r="G883" s="30"/>
      <c r="H883" s="30"/>
    </row>
    <row r="884" ht="15.75" customHeight="1">
      <c r="A884" s="30"/>
      <c r="B884" s="30"/>
      <c r="C884" s="30"/>
      <c r="D884" s="30"/>
      <c r="E884" s="30"/>
      <c r="F884" s="30"/>
      <c r="G884" s="30"/>
      <c r="H884" s="30"/>
    </row>
    <row r="885" ht="15.75" customHeight="1">
      <c r="A885" s="30"/>
      <c r="B885" s="30"/>
      <c r="C885" s="30"/>
      <c r="D885" s="30"/>
      <c r="E885" s="30"/>
      <c r="F885" s="30"/>
      <c r="G885" s="30"/>
      <c r="H885" s="30"/>
    </row>
    <row r="886" ht="15.75" customHeight="1">
      <c r="A886" s="30"/>
      <c r="B886" s="30"/>
      <c r="C886" s="30"/>
      <c r="D886" s="30"/>
      <c r="E886" s="30"/>
      <c r="F886" s="30"/>
      <c r="G886" s="30"/>
      <c r="H886" s="30"/>
    </row>
    <row r="887" ht="15.75" customHeight="1">
      <c r="A887" s="30"/>
      <c r="B887" s="30"/>
      <c r="C887" s="30"/>
      <c r="D887" s="30"/>
      <c r="E887" s="30"/>
      <c r="F887" s="30"/>
      <c r="G887" s="30"/>
      <c r="H887" s="30"/>
    </row>
    <row r="888" ht="15.75" customHeight="1">
      <c r="A888" s="30"/>
      <c r="B888" s="30"/>
      <c r="C888" s="30"/>
      <c r="D888" s="30"/>
      <c r="E888" s="30"/>
      <c r="F888" s="30"/>
      <c r="G888" s="30"/>
      <c r="H888" s="30"/>
    </row>
    <row r="889" ht="15.75" customHeight="1">
      <c r="A889" s="30"/>
      <c r="B889" s="30"/>
      <c r="C889" s="30"/>
      <c r="D889" s="30"/>
      <c r="E889" s="30"/>
      <c r="F889" s="30"/>
      <c r="G889" s="30"/>
      <c r="H889" s="30"/>
    </row>
    <row r="890" ht="15.75" customHeight="1">
      <c r="A890" s="30"/>
      <c r="B890" s="30"/>
      <c r="C890" s="30"/>
      <c r="D890" s="30"/>
      <c r="E890" s="30"/>
      <c r="F890" s="30"/>
      <c r="G890" s="30"/>
      <c r="H890" s="30"/>
    </row>
    <row r="891" ht="15.75" customHeight="1">
      <c r="A891" s="30"/>
      <c r="B891" s="30"/>
      <c r="C891" s="30"/>
      <c r="D891" s="30"/>
      <c r="E891" s="30"/>
      <c r="F891" s="30"/>
      <c r="G891" s="30"/>
      <c r="H891" s="30"/>
    </row>
    <row r="892" ht="15.75" customHeight="1">
      <c r="A892" s="30"/>
      <c r="B892" s="30"/>
      <c r="C892" s="30"/>
      <c r="D892" s="30"/>
      <c r="E892" s="30"/>
      <c r="F892" s="30"/>
      <c r="G892" s="30"/>
      <c r="H892" s="30"/>
    </row>
    <row r="893" ht="15.75" customHeight="1">
      <c r="A893" s="30"/>
      <c r="B893" s="30"/>
      <c r="C893" s="30"/>
      <c r="D893" s="30"/>
      <c r="E893" s="30"/>
      <c r="F893" s="30"/>
      <c r="G893" s="30"/>
      <c r="H893" s="30"/>
    </row>
    <row r="894" ht="15.75" customHeight="1">
      <c r="A894" s="30"/>
      <c r="B894" s="30"/>
      <c r="C894" s="30"/>
      <c r="D894" s="30"/>
      <c r="E894" s="30"/>
      <c r="F894" s="30"/>
      <c r="G894" s="30"/>
      <c r="H894" s="30"/>
    </row>
    <row r="895" ht="15.75" customHeight="1">
      <c r="A895" s="30"/>
      <c r="B895" s="30"/>
      <c r="C895" s="30"/>
      <c r="D895" s="30"/>
      <c r="E895" s="30"/>
      <c r="F895" s="30"/>
      <c r="G895" s="30"/>
      <c r="H895" s="30"/>
    </row>
    <row r="896" ht="15.75" customHeight="1">
      <c r="A896" s="30"/>
      <c r="B896" s="30"/>
      <c r="C896" s="30"/>
      <c r="D896" s="30"/>
      <c r="E896" s="30"/>
      <c r="F896" s="30"/>
      <c r="G896" s="30"/>
      <c r="H896" s="30"/>
    </row>
    <row r="897" ht="15.75" customHeight="1">
      <c r="A897" s="30"/>
      <c r="B897" s="30"/>
      <c r="C897" s="30"/>
      <c r="D897" s="30"/>
      <c r="E897" s="30"/>
      <c r="F897" s="30"/>
      <c r="G897" s="30"/>
      <c r="H897" s="30"/>
    </row>
    <row r="898" ht="15.75" customHeight="1">
      <c r="A898" s="30"/>
      <c r="B898" s="30"/>
      <c r="C898" s="30"/>
      <c r="D898" s="30"/>
      <c r="E898" s="30"/>
      <c r="F898" s="30"/>
      <c r="G898" s="30"/>
      <c r="H898" s="30"/>
    </row>
    <row r="899" ht="15.75" customHeight="1">
      <c r="A899" s="30"/>
      <c r="B899" s="30"/>
      <c r="C899" s="30"/>
      <c r="D899" s="30"/>
      <c r="E899" s="30"/>
      <c r="F899" s="30"/>
      <c r="G899" s="30"/>
      <c r="H899" s="30"/>
    </row>
    <row r="900" ht="15.75" customHeight="1">
      <c r="A900" s="30"/>
      <c r="B900" s="30"/>
      <c r="C900" s="30"/>
      <c r="D900" s="30"/>
      <c r="E900" s="30"/>
      <c r="F900" s="30"/>
      <c r="G900" s="30"/>
      <c r="H900" s="30"/>
    </row>
    <row r="901" ht="15.75" customHeight="1">
      <c r="A901" s="30"/>
      <c r="B901" s="30"/>
      <c r="C901" s="30"/>
      <c r="D901" s="30"/>
      <c r="E901" s="30"/>
      <c r="F901" s="30"/>
      <c r="G901" s="30"/>
      <c r="H901" s="30"/>
    </row>
    <row r="902" ht="15.75" customHeight="1">
      <c r="A902" s="30"/>
      <c r="B902" s="30"/>
      <c r="C902" s="30"/>
      <c r="D902" s="30"/>
      <c r="E902" s="30"/>
      <c r="F902" s="30"/>
      <c r="G902" s="30"/>
      <c r="H902" s="30"/>
    </row>
    <row r="903" ht="15.75" customHeight="1">
      <c r="A903" s="30"/>
      <c r="B903" s="30"/>
      <c r="C903" s="30"/>
      <c r="D903" s="30"/>
      <c r="E903" s="30"/>
      <c r="F903" s="30"/>
      <c r="G903" s="30"/>
      <c r="H903" s="30"/>
    </row>
    <row r="904" ht="15.75" customHeight="1">
      <c r="A904" s="30"/>
      <c r="B904" s="30"/>
      <c r="C904" s="30"/>
      <c r="D904" s="30"/>
      <c r="E904" s="30"/>
      <c r="F904" s="30"/>
      <c r="G904" s="30"/>
      <c r="H904" s="30"/>
    </row>
    <row r="905" ht="15.75" customHeight="1">
      <c r="A905" s="30"/>
      <c r="B905" s="30"/>
      <c r="C905" s="30"/>
      <c r="D905" s="30"/>
      <c r="E905" s="30"/>
      <c r="F905" s="30"/>
      <c r="G905" s="30"/>
      <c r="H905" s="30"/>
    </row>
    <row r="906" ht="15.75" customHeight="1">
      <c r="A906" s="30"/>
      <c r="B906" s="30"/>
      <c r="C906" s="30"/>
      <c r="D906" s="30"/>
      <c r="E906" s="30"/>
      <c r="F906" s="30"/>
      <c r="G906" s="30"/>
      <c r="H906" s="30"/>
    </row>
    <row r="907" ht="15.75" customHeight="1">
      <c r="A907" s="30"/>
      <c r="B907" s="30"/>
      <c r="C907" s="30"/>
      <c r="D907" s="30"/>
      <c r="E907" s="30"/>
      <c r="F907" s="30"/>
      <c r="G907" s="30"/>
      <c r="H907" s="30"/>
    </row>
    <row r="908" ht="15.75" customHeight="1">
      <c r="A908" s="30"/>
      <c r="B908" s="30"/>
      <c r="C908" s="30"/>
      <c r="D908" s="30"/>
      <c r="E908" s="30"/>
      <c r="F908" s="30"/>
      <c r="G908" s="30"/>
      <c r="H908" s="30"/>
    </row>
    <row r="909" ht="15.75" customHeight="1">
      <c r="A909" s="30"/>
      <c r="B909" s="30"/>
      <c r="C909" s="30"/>
      <c r="D909" s="30"/>
      <c r="E909" s="30"/>
      <c r="F909" s="30"/>
      <c r="G909" s="30"/>
      <c r="H909" s="30"/>
    </row>
    <row r="910" ht="15.75" customHeight="1">
      <c r="A910" s="30"/>
      <c r="B910" s="30"/>
      <c r="C910" s="30"/>
      <c r="D910" s="30"/>
      <c r="E910" s="30"/>
      <c r="F910" s="30"/>
      <c r="G910" s="30"/>
      <c r="H910" s="30"/>
    </row>
    <row r="911" ht="15.75" customHeight="1">
      <c r="A911" s="30"/>
      <c r="B911" s="30"/>
      <c r="C911" s="30"/>
      <c r="D911" s="30"/>
      <c r="E911" s="30"/>
      <c r="F911" s="30"/>
      <c r="G911" s="30"/>
      <c r="H911" s="30"/>
    </row>
    <row r="912" ht="15.75" customHeight="1">
      <c r="A912" s="30"/>
      <c r="B912" s="30"/>
      <c r="C912" s="30"/>
      <c r="D912" s="30"/>
      <c r="E912" s="30"/>
      <c r="F912" s="30"/>
      <c r="G912" s="30"/>
      <c r="H912" s="30"/>
    </row>
    <row r="913" ht="15.75" customHeight="1">
      <c r="A913" s="30"/>
      <c r="B913" s="30"/>
      <c r="C913" s="30"/>
      <c r="D913" s="30"/>
      <c r="E913" s="30"/>
      <c r="F913" s="30"/>
      <c r="G913" s="30"/>
      <c r="H913" s="30"/>
    </row>
    <row r="914" ht="15.75" customHeight="1">
      <c r="A914" s="30"/>
      <c r="B914" s="30"/>
      <c r="C914" s="30"/>
      <c r="D914" s="30"/>
      <c r="E914" s="30"/>
      <c r="F914" s="30"/>
      <c r="G914" s="30"/>
      <c r="H914" s="30"/>
    </row>
    <row r="915" ht="15.75" customHeight="1">
      <c r="A915" s="30"/>
      <c r="B915" s="30"/>
      <c r="C915" s="30"/>
      <c r="D915" s="30"/>
      <c r="E915" s="30"/>
      <c r="F915" s="30"/>
      <c r="G915" s="30"/>
      <c r="H915" s="30"/>
    </row>
    <row r="916" ht="15.75" customHeight="1">
      <c r="A916" s="30"/>
      <c r="B916" s="30"/>
      <c r="C916" s="30"/>
      <c r="D916" s="30"/>
      <c r="E916" s="30"/>
      <c r="F916" s="30"/>
      <c r="G916" s="30"/>
      <c r="H916" s="30"/>
    </row>
    <row r="917" ht="15.75" customHeight="1">
      <c r="A917" s="30"/>
      <c r="B917" s="30"/>
      <c r="C917" s="30"/>
      <c r="D917" s="30"/>
      <c r="E917" s="30"/>
      <c r="F917" s="30"/>
      <c r="G917" s="30"/>
      <c r="H917" s="30"/>
    </row>
    <row r="918" ht="15.75" customHeight="1">
      <c r="A918" s="30"/>
      <c r="B918" s="30"/>
      <c r="C918" s="30"/>
      <c r="D918" s="30"/>
      <c r="E918" s="30"/>
      <c r="F918" s="30"/>
      <c r="G918" s="30"/>
      <c r="H918" s="30"/>
    </row>
    <row r="919" ht="15.75" customHeight="1">
      <c r="A919" s="30"/>
      <c r="B919" s="30"/>
      <c r="C919" s="30"/>
      <c r="D919" s="30"/>
      <c r="E919" s="30"/>
      <c r="F919" s="30"/>
      <c r="G919" s="30"/>
      <c r="H919" s="30"/>
    </row>
    <row r="920" ht="15.75" customHeight="1">
      <c r="A920" s="30"/>
      <c r="B920" s="30"/>
      <c r="C920" s="30"/>
      <c r="D920" s="30"/>
      <c r="E920" s="30"/>
      <c r="F920" s="30"/>
      <c r="G920" s="30"/>
      <c r="H920" s="30"/>
    </row>
    <row r="921" ht="15.75" customHeight="1">
      <c r="A921" s="30"/>
      <c r="B921" s="30"/>
      <c r="C921" s="30"/>
      <c r="D921" s="30"/>
      <c r="E921" s="30"/>
      <c r="F921" s="30"/>
      <c r="G921" s="30"/>
      <c r="H921" s="30"/>
    </row>
    <row r="922" ht="15.75" customHeight="1">
      <c r="A922" s="30"/>
      <c r="B922" s="30"/>
      <c r="C922" s="30"/>
      <c r="D922" s="30"/>
      <c r="E922" s="30"/>
      <c r="F922" s="30"/>
      <c r="G922" s="30"/>
      <c r="H922" s="30"/>
    </row>
    <row r="923" ht="15.75" customHeight="1">
      <c r="A923" s="30"/>
      <c r="B923" s="30"/>
      <c r="C923" s="30"/>
      <c r="D923" s="30"/>
      <c r="E923" s="30"/>
      <c r="F923" s="30"/>
      <c r="G923" s="30"/>
      <c r="H923" s="30"/>
    </row>
    <row r="924" ht="15.75" customHeight="1">
      <c r="A924" s="30"/>
      <c r="B924" s="30"/>
      <c r="C924" s="30"/>
      <c r="D924" s="30"/>
      <c r="E924" s="30"/>
      <c r="F924" s="30"/>
      <c r="G924" s="30"/>
      <c r="H924" s="30"/>
    </row>
    <row r="925" ht="15.75" customHeight="1">
      <c r="A925" s="30"/>
      <c r="B925" s="30"/>
      <c r="C925" s="30"/>
      <c r="D925" s="30"/>
      <c r="E925" s="30"/>
      <c r="F925" s="30"/>
      <c r="G925" s="30"/>
      <c r="H925" s="30"/>
    </row>
    <row r="926" ht="15.75" customHeight="1">
      <c r="A926" s="30"/>
      <c r="B926" s="30"/>
      <c r="C926" s="30"/>
      <c r="D926" s="30"/>
      <c r="E926" s="30"/>
      <c r="F926" s="30"/>
      <c r="G926" s="30"/>
      <c r="H926" s="30"/>
    </row>
    <row r="927" ht="15.75" customHeight="1">
      <c r="A927" s="30"/>
      <c r="B927" s="30"/>
      <c r="C927" s="30"/>
      <c r="D927" s="30"/>
      <c r="E927" s="30"/>
      <c r="F927" s="30"/>
      <c r="G927" s="30"/>
      <c r="H927" s="30"/>
    </row>
    <row r="928" ht="15.75" customHeight="1">
      <c r="A928" s="30"/>
      <c r="B928" s="30"/>
      <c r="C928" s="30"/>
      <c r="D928" s="30"/>
      <c r="E928" s="30"/>
      <c r="F928" s="30"/>
      <c r="G928" s="30"/>
      <c r="H928" s="30"/>
    </row>
    <row r="929" ht="15.75" customHeight="1">
      <c r="A929" s="30"/>
      <c r="B929" s="30"/>
      <c r="C929" s="30"/>
      <c r="D929" s="30"/>
      <c r="E929" s="30"/>
      <c r="F929" s="30"/>
      <c r="G929" s="30"/>
      <c r="H929" s="30"/>
    </row>
    <row r="930" ht="15.75" customHeight="1">
      <c r="A930" s="30"/>
      <c r="B930" s="30"/>
      <c r="C930" s="30"/>
      <c r="D930" s="30"/>
      <c r="E930" s="30"/>
      <c r="F930" s="30"/>
      <c r="G930" s="30"/>
      <c r="H930" s="30"/>
    </row>
    <row r="931" ht="15.75" customHeight="1">
      <c r="A931" s="30"/>
      <c r="B931" s="30"/>
      <c r="C931" s="30"/>
      <c r="D931" s="30"/>
      <c r="E931" s="30"/>
      <c r="F931" s="30"/>
      <c r="G931" s="30"/>
      <c r="H931" s="30"/>
    </row>
    <row r="932" ht="15.75" customHeight="1">
      <c r="A932" s="30"/>
      <c r="B932" s="30"/>
      <c r="C932" s="30"/>
      <c r="D932" s="30"/>
      <c r="E932" s="30"/>
      <c r="F932" s="30"/>
      <c r="G932" s="30"/>
      <c r="H932" s="30"/>
    </row>
    <row r="933" ht="15.75" customHeight="1">
      <c r="A933" s="30"/>
      <c r="B933" s="30"/>
      <c r="C933" s="30"/>
      <c r="D933" s="30"/>
      <c r="E933" s="30"/>
      <c r="F933" s="30"/>
      <c r="G933" s="30"/>
      <c r="H933" s="30"/>
    </row>
    <row r="934" ht="15.75" customHeight="1">
      <c r="A934" s="30"/>
      <c r="B934" s="30"/>
      <c r="C934" s="30"/>
      <c r="D934" s="30"/>
      <c r="E934" s="30"/>
      <c r="F934" s="30"/>
      <c r="G934" s="30"/>
      <c r="H934" s="30"/>
    </row>
    <row r="935" ht="15.75" customHeight="1">
      <c r="A935" s="30"/>
      <c r="B935" s="30"/>
      <c r="C935" s="30"/>
      <c r="D935" s="30"/>
      <c r="E935" s="30"/>
      <c r="F935" s="30"/>
      <c r="G935" s="30"/>
      <c r="H935" s="30"/>
    </row>
    <row r="936" ht="15.75" customHeight="1">
      <c r="A936" s="30"/>
      <c r="B936" s="30"/>
      <c r="C936" s="30"/>
      <c r="D936" s="30"/>
      <c r="E936" s="30"/>
      <c r="F936" s="30"/>
      <c r="G936" s="30"/>
      <c r="H936" s="30"/>
    </row>
    <row r="937" ht="15.75" customHeight="1">
      <c r="A937" s="30"/>
      <c r="B937" s="30"/>
      <c r="C937" s="30"/>
      <c r="D937" s="30"/>
      <c r="E937" s="30"/>
      <c r="F937" s="30"/>
      <c r="G937" s="30"/>
      <c r="H937" s="30"/>
    </row>
    <row r="938" ht="15.75" customHeight="1">
      <c r="A938" s="30"/>
      <c r="B938" s="30"/>
      <c r="C938" s="30"/>
      <c r="D938" s="30"/>
      <c r="E938" s="30"/>
      <c r="F938" s="30"/>
      <c r="G938" s="30"/>
      <c r="H938" s="30"/>
    </row>
    <row r="939" ht="15.75" customHeight="1">
      <c r="A939" s="30"/>
      <c r="B939" s="30"/>
      <c r="C939" s="30"/>
      <c r="D939" s="30"/>
      <c r="E939" s="30"/>
      <c r="F939" s="30"/>
      <c r="G939" s="30"/>
      <c r="H939" s="30"/>
    </row>
    <row r="940" ht="15.75" customHeight="1">
      <c r="A940" s="30"/>
      <c r="B940" s="30"/>
      <c r="C940" s="30"/>
      <c r="D940" s="30"/>
      <c r="E940" s="30"/>
      <c r="F940" s="30"/>
      <c r="G940" s="30"/>
      <c r="H940" s="30"/>
    </row>
    <row r="941" ht="15.75" customHeight="1">
      <c r="A941" s="30"/>
      <c r="B941" s="30"/>
      <c r="C941" s="30"/>
      <c r="D941" s="30"/>
      <c r="E941" s="30"/>
      <c r="F941" s="30"/>
      <c r="G941" s="30"/>
      <c r="H941" s="30"/>
    </row>
    <row r="942" ht="15.75" customHeight="1">
      <c r="A942" s="30"/>
      <c r="B942" s="30"/>
      <c r="C942" s="30"/>
      <c r="D942" s="30"/>
      <c r="E942" s="30"/>
      <c r="F942" s="30"/>
      <c r="G942" s="30"/>
      <c r="H942" s="30"/>
    </row>
    <row r="943" ht="15.75" customHeight="1">
      <c r="A943" s="30"/>
      <c r="B943" s="30"/>
      <c r="C943" s="30"/>
      <c r="D943" s="30"/>
      <c r="E943" s="30"/>
      <c r="F943" s="30"/>
      <c r="G943" s="30"/>
      <c r="H943" s="30"/>
    </row>
    <row r="944" ht="15.75" customHeight="1">
      <c r="A944" s="30"/>
      <c r="B944" s="30"/>
      <c r="C944" s="30"/>
      <c r="D944" s="30"/>
      <c r="E944" s="30"/>
      <c r="F944" s="30"/>
      <c r="G944" s="30"/>
      <c r="H944" s="30"/>
    </row>
    <row r="945" ht="15.75" customHeight="1">
      <c r="A945" s="30"/>
      <c r="B945" s="30"/>
      <c r="C945" s="30"/>
      <c r="D945" s="30"/>
      <c r="E945" s="30"/>
      <c r="F945" s="30"/>
      <c r="G945" s="30"/>
      <c r="H945" s="30"/>
    </row>
    <row r="946" ht="15.75" customHeight="1">
      <c r="A946" s="30"/>
      <c r="B946" s="30"/>
      <c r="C946" s="30"/>
      <c r="D946" s="30"/>
      <c r="E946" s="30"/>
      <c r="F946" s="30"/>
      <c r="G946" s="30"/>
      <c r="H946" s="30"/>
    </row>
    <row r="947" ht="15.75" customHeight="1">
      <c r="A947" s="30"/>
      <c r="B947" s="30"/>
      <c r="C947" s="30"/>
      <c r="D947" s="30"/>
      <c r="E947" s="30"/>
      <c r="F947" s="30"/>
      <c r="G947" s="30"/>
      <c r="H947" s="30"/>
    </row>
    <row r="948" ht="15.75" customHeight="1">
      <c r="A948" s="30"/>
      <c r="B948" s="30"/>
      <c r="C948" s="30"/>
      <c r="D948" s="30"/>
      <c r="E948" s="30"/>
      <c r="F948" s="30"/>
      <c r="G948" s="30"/>
      <c r="H948" s="30"/>
    </row>
    <row r="949" ht="15.75" customHeight="1">
      <c r="A949" s="30"/>
      <c r="B949" s="30"/>
      <c r="C949" s="30"/>
      <c r="D949" s="30"/>
      <c r="E949" s="30"/>
      <c r="F949" s="30"/>
      <c r="G949" s="30"/>
      <c r="H949" s="30"/>
    </row>
    <row r="950" ht="15.75" customHeight="1">
      <c r="A950" s="30"/>
      <c r="B950" s="30"/>
      <c r="C950" s="30"/>
      <c r="D950" s="30"/>
      <c r="E950" s="30"/>
      <c r="F950" s="30"/>
      <c r="G950" s="30"/>
      <c r="H950" s="30"/>
    </row>
    <row r="951" ht="15.75" customHeight="1">
      <c r="A951" s="30"/>
      <c r="B951" s="30"/>
      <c r="C951" s="30"/>
      <c r="D951" s="30"/>
      <c r="E951" s="30"/>
      <c r="F951" s="30"/>
      <c r="G951" s="30"/>
      <c r="H951" s="30"/>
    </row>
    <row r="952" ht="15.75" customHeight="1">
      <c r="A952" s="30"/>
      <c r="B952" s="30"/>
      <c r="C952" s="30"/>
      <c r="D952" s="30"/>
      <c r="E952" s="30"/>
      <c r="F952" s="30"/>
      <c r="G952" s="30"/>
      <c r="H952" s="30"/>
    </row>
    <row r="953" ht="15.75" customHeight="1">
      <c r="A953" s="30"/>
      <c r="B953" s="30"/>
      <c r="C953" s="30"/>
      <c r="D953" s="30"/>
      <c r="E953" s="30"/>
      <c r="F953" s="30"/>
      <c r="G953" s="30"/>
      <c r="H953" s="30"/>
    </row>
    <row r="954" ht="15.75" customHeight="1">
      <c r="A954" s="30"/>
      <c r="B954" s="30"/>
      <c r="C954" s="30"/>
      <c r="D954" s="30"/>
      <c r="E954" s="30"/>
      <c r="F954" s="30"/>
      <c r="G954" s="30"/>
      <c r="H954" s="30"/>
    </row>
    <row r="955" ht="15.75" customHeight="1">
      <c r="A955" s="30"/>
      <c r="B955" s="30"/>
      <c r="C955" s="30"/>
      <c r="D955" s="30"/>
      <c r="E955" s="30"/>
      <c r="F955" s="30"/>
      <c r="G955" s="30"/>
      <c r="H955" s="30"/>
    </row>
    <row r="956" ht="15.75" customHeight="1">
      <c r="A956" s="30"/>
      <c r="B956" s="30"/>
      <c r="C956" s="30"/>
      <c r="D956" s="30"/>
      <c r="E956" s="30"/>
      <c r="F956" s="30"/>
      <c r="G956" s="30"/>
      <c r="H956" s="30"/>
    </row>
    <row r="957" ht="15.75" customHeight="1">
      <c r="A957" s="30"/>
      <c r="B957" s="30"/>
      <c r="C957" s="30"/>
      <c r="D957" s="30"/>
      <c r="E957" s="30"/>
      <c r="F957" s="30"/>
      <c r="G957" s="30"/>
      <c r="H957" s="30"/>
    </row>
    <row r="958" ht="15.75" customHeight="1">
      <c r="A958" s="30"/>
      <c r="B958" s="30"/>
      <c r="C958" s="30"/>
      <c r="D958" s="30"/>
      <c r="E958" s="30"/>
      <c r="F958" s="30"/>
      <c r="G958" s="30"/>
      <c r="H958" s="30"/>
    </row>
    <row r="959" ht="15.75" customHeight="1">
      <c r="A959" s="30"/>
      <c r="B959" s="30"/>
      <c r="C959" s="30"/>
      <c r="D959" s="30"/>
      <c r="E959" s="30"/>
      <c r="F959" s="30"/>
      <c r="G959" s="30"/>
      <c r="H959" s="30"/>
    </row>
    <row r="960" ht="15.75" customHeight="1">
      <c r="A960" s="30"/>
      <c r="B960" s="30"/>
      <c r="C960" s="30"/>
      <c r="D960" s="30"/>
      <c r="E960" s="30"/>
      <c r="F960" s="30"/>
      <c r="G960" s="30"/>
      <c r="H960" s="30"/>
    </row>
    <row r="961" ht="15.75" customHeight="1">
      <c r="A961" s="30"/>
      <c r="B961" s="30"/>
      <c r="C961" s="30"/>
      <c r="D961" s="30"/>
      <c r="E961" s="30"/>
      <c r="F961" s="30"/>
      <c r="G961" s="30"/>
      <c r="H961" s="30"/>
    </row>
    <row r="962" ht="15.75" customHeight="1">
      <c r="A962" s="30"/>
      <c r="B962" s="30"/>
      <c r="C962" s="30"/>
      <c r="D962" s="30"/>
      <c r="E962" s="30"/>
      <c r="F962" s="30"/>
      <c r="G962" s="30"/>
      <c r="H962" s="30"/>
    </row>
    <row r="963" ht="15.75" customHeight="1">
      <c r="A963" s="30"/>
      <c r="B963" s="30"/>
      <c r="C963" s="30"/>
      <c r="D963" s="30"/>
      <c r="E963" s="30"/>
      <c r="F963" s="30"/>
      <c r="G963" s="30"/>
      <c r="H963" s="30"/>
    </row>
    <row r="964" ht="15.75" customHeight="1">
      <c r="A964" s="30"/>
      <c r="B964" s="30"/>
      <c r="C964" s="30"/>
      <c r="D964" s="30"/>
      <c r="E964" s="30"/>
      <c r="F964" s="30"/>
      <c r="G964" s="30"/>
      <c r="H964" s="30"/>
    </row>
    <row r="965" ht="15.75" customHeight="1">
      <c r="A965" s="30"/>
      <c r="B965" s="30"/>
      <c r="C965" s="30"/>
      <c r="D965" s="30"/>
      <c r="E965" s="30"/>
      <c r="F965" s="30"/>
      <c r="G965" s="30"/>
      <c r="H965" s="30"/>
    </row>
    <row r="966" ht="15.75" customHeight="1">
      <c r="A966" s="30"/>
      <c r="B966" s="30"/>
      <c r="C966" s="30"/>
      <c r="D966" s="30"/>
      <c r="E966" s="30"/>
      <c r="F966" s="30"/>
      <c r="G966" s="30"/>
      <c r="H966" s="30"/>
    </row>
    <row r="967" ht="15.75" customHeight="1">
      <c r="A967" s="30"/>
      <c r="B967" s="30"/>
      <c r="C967" s="30"/>
      <c r="D967" s="30"/>
      <c r="E967" s="30"/>
      <c r="F967" s="30"/>
      <c r="G967" s="30"/>
      <c r="H967" s="30"/>
    </row>
    <row r="968" ht="15.75" customHeight="1">
      <c r="A968" s="30"/>
      <c r="B968" s="30"/>
      <c r="C968" s="30"/>
      <c r="D968" s="30"/>
      <c r="E968" s="30"/>
      <c r="F968" s="30"/>
      <c r="G968" s="30"/>
      <c r="H968" s="30"/>
    </row>
    <row r="969" ht="15.75" customHeight="1">
      <c r="A969" s="30"/>
      <c r="B969" s="30"/>
      <c r="C969" s="30"/>
      <c r="D969" s="30"/>
      <c r="E969" s="30"/>
      <c r="F969" s="30"/>
      <c r="G969" s="30"/>
      <c r="H969" s="30"/>
    </row>
    <row r="970" ht="15.75" customHeight="1">
      <c r="A970" s="30"/>
      <c r="B970" s="30"/>
      <c r="C970" s="30"/>
      <c r="D970" s="30"/>
      <c r="E970" s="30"/>
      <c r="F970" s="30"/>
      <c r="G970" s="30"/>
      <c r="H970" s="30"/>
    </row>
    <row r="971" ht="15.75" customHeight="1">
      <c r="A971" s="30"/>
      <c r="B971" s="30"/>
      <c r="C971" s="30"/>
      <c r="D971" s="30"/>
      <c r="E971" s="30"/>
      <c r="F971" s="30"/>
      <c r="G971" s="30"/>
      <c r="H971" s="30"/>
    </row>
    <row r="972" ht="15.75" customHeight="1">
      <c r="A972" s="30"/>
      <c r="B972" s="30"/>
      <c r="C972" s="30"/>
      <c r="D972" s="30"/>
      <c r="E972" s="30"/>
      <c r="F972" s="30"/>
      <c r="G972" s="30"/>
      <c r="H972" s="30"/>
    </row>
    <row r="973" ht="15.75" customHeight="1">
      <c r="A973" s="30"/>
      <c r="B973" s="30"/>
      <c r="C973" s="30"/>
      <c r="D973" s="30"/>
      <c r="E973" s="30"/>
      <c r="F973" s="30"/>
      <c r="G973" s="30"/>
      <c r="H973" s="30"/>
    </row>
    <row r="974" ht="15.75" customHeight="1">
      <c r="A974" s="30"/>
      <c r="B974" s="30"/>
      <c r="C974" s="30"/>
      <c r="D974" s="30"/>
      <c r="E974" s="30"/>
      <c r="F974" s="30"/>
      <c r="G974" s="30"/>
      <c r="H974" s="30"/>
    </row>
    <row r="975" ht="15.75" customHeight="1">
      <c r="A975" s="30"/>
      <c r="B975" s="30"/>
      <c r="C975" s="30"/>
      <c r="D975" s="30"/>
      <c r="E975" s="30"/>
      <c r="F975" s="30"/>
      <c r="G975" s="30"/>
      <c r="H975" s="30"/>
    </row>
    <row r="976" ht="15.75" customHeight="1">
      <c r="A976" s="30"/>
      <c r="B976" s="30"/>
      <c r="C976" s="30"/>
      <c r="D976" s="30"/>
      <c r="E976" s="30"/>
      <c r="F976" s="30"/>
      <c r="G976" s="30"/>
      <c r="H976" s="30"/>
    </row>
    <row r="977" ht="15.75" customHeight="1">
      <c r="A977" s="30"/>
      <c r="B977" s="30"/>
      <c r="C977" s="30"/>
      <c r="D977" s="30"/>
      <c r="E977" s="30"/>
      <c r="F977" s="30"/>
      <c r="G977" s="30"/>
      <c r="H977" s="30"/>
    </row>
    <row r="978" ht="15.75" customHeight="1">
      <c r="A978" s="30"/>
      <c r="B978" s="30"/>
      <c r="C978" s="30"/>
      <c r="D978" s="30"/>
      <c r="E978" s="30"/>
      <c r="F978" s="30"/>
      <c r="G978" s="30"/>
      <c r="H978" s="30"/>
    </row>
    <row r="979" ht="15.75" customHeight="1">
      <c r="A979" s="30"/>
      <c r="B979" s="30"/>
      <c r="C979" s="30"/>
      <c r="D979" s="30"/>
      <c r="E979" s="30"/>
      <c r="F979" s="30"/>
      <c r="G979" s="30"/>
      <c r="H979" s="30"/>
    </row>
    <row r="980" ht="15.75" customHeight="1">
      <c r="A980" s="30"/>
      <c r="B980" s="30"/>
      <c r="C980" s="30"/>
      <c r="D980" s="30"/>
      <c r="E980" s="30"/>
      <c r="F980" s="30"/>
      <c r="G980" s="30"/>
      <c r="H980" s="30"/>
    </row>
    <row r="981" ht="15.75" customHeight="1">
      <c r="A981" s="30"/>
      <c r="B981" s="30"/>
      <c r="C981" s="30"/>
      <c r="D981" s="30"/>
      <c r="E981" s="30"/>
      <c r="F981" s="30"/>
      <c r="G981" s="30"/>
      <c r="H981" s="30"/>
    </row>
    <row r="982" ht="15.75" customHeight="1">
      <c r="A982" s="30"/>
      <c r="B982" s="30"/>
      <c r="C982" s="30"/>
      <c r="D982" s="30"/>
      <c r="E982" s="30"/>
      <c r="F982" s="30"/>
      <c r="G982" s="30"/>
      <c r="H982" s="30"/>
    </row>
    <row r="983" ht="15.75" customHeight="1">
      <c r="A983" s="30"/>
      <c r="B983" s="30"/>
      <c r="C983" s="30"/>
      <c r="D983" s="30"/>
      <c r="E983" s="30"/>
      <c r="F983" s="30"/>
      <c r="G983" s="30"/>
      <c r="H983" s="30"/>
    </row>
    <row r="984" ht="15.75" customHeight="1">
      <c r="A984" s="30"/>
      <c r="B984" s="30"/>
      <c r="C984" s="30"/>
      <c r="D984" s="30"/>
      <c r="E984" s="30"/>
      <c r="F984" s="30"/>
      <c r="G984" s="30"/>
      <c r="H984" s="30"/>
    </row>
    <row r="985" ht="15.75" customHeight="1">
      <c r="A985" s="30"/>
      <c r="B985" s="30"/>
      <c r="C985" s="30"/>
      <c r="D985" s="30"/>
      <c r="E985" s="30"/>
      <c r="F985" s="30"/>
      <c r="G985" s="30"/>
      <c r="H985" s="30"/>
    </row>
    <row r="986" ht="15.75" customHeight="1">
      <c r="A986" s="30"/>
      <c r="B986" s="30"/>
      <c r="C986" s="30"/>
      <c r="D986" s="30"/>
      <c r="E986" s="30"/>
      <c r="F986" s="30"/>
      <c r="G986" s="30"/>
      <c r="H986" s="30"/>
    </row>
    <row r="987" ht="15.75" customHeight="1">
      <c r="A987" s="30"/>
      <c r="B987" s="30"/>
      <c r="C987" s="30"/>
      <c r="D987" s="30"/>
      <c r="E987" s="30"/>
      <c r="F987" s="30"/>
      <c r="G987" s="30"/>
      <c r="H987" s="30"/>
    </row>
    <row r="988" ht="15.75" customHeight="1">
      <c r="A988" s="30"/>
      <c r="B988" s="30"/>
      <c r="C988" s="30"/>
      <c r="D988" s="30"/>
      <c r="E988" s="30"/>
      <c r="F988" s="30"/>
      <c r="G988" s="30"/>
      <c r="H988" s="30"/>
    </row>
    <row r="989" ht="15.75" customHeight="1">
      <c r="A989" s="30"/>
      <c r="B989" s="30"/>
      <c r="C989" s="30"/>
      <c r="D989" s="30"/>
      <c r="E989" s="30"/>
      <c r="F989" s="30"/>
      <c r="G989" s="30"/>
      <c r="H989" s="30"/>
    </row>
    <row r="990" ht="15.75" customHeight="1">
      <c r="A990" s="30"/>
      <c r="B990" s="30"/>
      <c r="C990" s="30"/>
      <c r="D990" s="30"/>
      <c r="E990" s="30"/>
      <c r="F990" s="30"/>
      <c r="G990" s="30"/>
      <c r="H990" s="30"/>
    </row>
    <row r="991" ht="15.75" customHeight="1">
      <c r="A991" s="30"/>
      <c r="B991" s="30"/>
      <c r="C991" s="30"/>
      <c r="D991" s="30"/>
      <c r="E991" s="30"/>
      <c r="F991" s="30"/>
      <c r="G991" s="30"/>
      <c r="H991" s="30"/>
    </row>
    <row r="992" ht="15.75" customHeight="1">
      <c r="A992" s="30"/>
      <c r="B992" s="30"/>
      <c r="C992" s="30"/>
      <c r="D992" s="30"/>
      <c r="E992" s="30"/>
      <c r="F992" s="30"/>
      <c r="G992" s="30"/>
      <c r="H992" s="30"/>
    </row>
    <row r="993" ht="15.75" customHeight="1">
      <c r="A993" s="30"/>
      <c r="B993" s="30"/>
      <c r="C993" s="30"/>
      <c r="D993" s="30"/>
      <c r="E993" s="30"/>
      <c r="F993" s="30"/>
      <c r="G993" s="30"/>
      <c r="H993" s="30"/>
    </row>
    <row r="994" ht="15.75" customHeight="1">
      <c r="A994" s="30"/>
      <c r="B994" s="30"/>
      <c r="C994" s="30"/>
      <c r="D994" s="30"/>
      <c r="E994" s="30"/>
      <c r="F994" s="30"/>
      <c r="G994" s="30"/>
      <c r="H994" s="30"/>
    </row>
    <row r="995" ht="15.75" customHeight="1">
      <c r="A995" s="30"/>
      <c r="B995" s="30"/>
      <c r="C995" s="30"/>
      <c r="D995" s="30"/>
      <c r="E995" s="30"/>
      <c r="F995" s="30"/>
      <c r="G995" s="30"/>
      <c r="H995" s="30"/>
    </row>
    <row r="996" ht="15.75" customHeight="1">
      <c r="A996" s="30"/>
      <c r="B996" s="30"/>
      <c r="C996" s="30"/>
      <c r="D996" s="30"/>
      <c r="E996" s="30"/>
      <c r="F996" s="30"/>
      <c r="G996" s="30"/>
      <c r="H996" s="30"/>
    </row>
    <row r="997" ht="15.75" customHeight="1">
      <c r="A997" s="30"/>
      <c r="B997" s="30"/>
      <c r="C997" s="30"/>
      <c r="D997" s="30"/>
      <c r="E997" s="30"/>
      <c r="F997" s="30"/>
      <c r="G997" s="30"/>
      <c r="H997" s="30"/>
    </row>
    <row r="998" ht="15.75" customHeight="1">
      <c r="A998" s="30"/>
      <c r="B998" s="30"/>
      <c r="C998" s="30"/>
      <c r="D998" s="30"/>
      <c r="E998" s="30"/>
      <c r="F998" s="30"/>
      <c r="G998" s="30"/>
      <c r="H998" s="30"/>
    </row>
    <row r="999" ht="15.75" customHeight="1">
      <c r="A999" s="30"/>
      <c r="B999" s="30"/>
      <c r="C999" s="30"/>
      <c r="D999" s="30"/>
      <c r="E999" s="30"/>
      <c r="F999" s="30"/>
      <c r="G999" s="30"/>
      <c r="H999" s="30"/>
    </row>
    <row r="1000" ht="15.75" customHeight="1">
      <c r="A1000" s="30"/>
      <c r="B1000" s="30"/>
      <c r="C1000" s="30"/>
      <c r="D1000" s="30"/>
      <c r="E1000" s="30"/>
      <c r="F1000" s="30"/>
      <c r="G1000" s="30"/>
      <c r="H1000" s="30"/>
    </row>
  </sheetData>
  <autoFilter ref="$A$1:$H$101"/>
  <mergeCells count="1">
    <mergeCell ref="A1:H1"/>
  </mergeCells>
  <dataValidations>
    <dataValidation type="list" allowBlank="1" showErrorMessage="1" sqref="G2:G101">
      <formula1>"Pass,Fail"</formula1>
    </dataValidation>
  </dataValidation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5.0"/>
    <col customWidth="1" min="2" max="2" width="20.0"/>
    <col customWidth="1" min="3" max="3" width="68.0"/>
    <col customWidth="1" min="4" max="4" width="13.0"/>
    <col customWidth="1" min="5" max="5" width="11.0"/>
    <col customWidth="1" min="6" max="6" width="8.71"/>
  </cols>
  <sheetData>
    <row r="1" ht="30.0" customHeight="1">
      <c r="A1" s="156" t="s">
        <v>1459</v>
      </c>
      <c r="B1" s="4"/>
      <c r="C1" s="4"/>
      <c r="D1" s="4"/>
      <c r="E1" s="4"/>
      <c r="F1" s="4"/>
      <c r="G1" s="4"/>
      <c r="H1" s="4"/>
      <c r="I1" s="4"/>
      <c r="J1" s="4"/>
      <c r="K1" s="4"/>
      <c r="L1" s="4"/>
      <c r="M1" s="4"/>
      <c r="N1" s="4"/>
      <c r="O1" s="4"/>
      <c r="P1" s="4"/>
      <c r="Q1" s="4"/>
      <c r="R1" s="4"/>
      <c r="S1" s="4"/>
      <c r="T1" s="4"/>
      <c r="U1" s="4"/>
      <c r="V1" s="4"/>
      <c r="W1" s="4"/>
      <c r="X1" s="4"/>
      <c r="Y1" s="4"/>
      <c r="Z1" s="4"/>
    </row>
    <row r="2" ht="13.5" customHeight="1">
      <c r="A2" s="157" t="s">
        <v>1460</v>
      </c>
      <c r="B2" s="4"/>
      <c r="C2" s="4"/>
      <c r="D2" s="4"/>
      <c r="E2" s="4"/>
      <c r="F2" s="4"/>
      <c r="G2" s="4"/>
      <c r="H2" s="4"/>
      <c r="I2" s="4"/>
      <c r="J2" s="4"/>
      <c r="K2" s="4"/>
      <c r="L2" s="4"/>
      <c r="M2" s="4"/>
      <c r="N2" s="4"/>
      <c r="O2" s="4"/>
      <c r="P2" s="4"/>
      <c r="Q2" s="4"/>
      <c r="R2" s="4"/>
      <c r="S2" s="4"/>
      <c r="T2" s="4"/>
      <c r="U2" s="4"/>
      <c r="V2" s="4"/>
      <c r="W2" s="4"/>
      <c r="X2" s="4"/>
      <c r="Y2" s="4"/>
      <c r="Z2" s="4"/>
    </row>
    <row r="3" ht="24.0" customHeight="1">
      <c r="A3" s="158" t="s">
        <v>1461</v>
      </c>
      <c r="B3" s="152"/>
      <c r="C3" s="152"/>
      <c r="D3" s="152"/>
      <c r="E3" s="152"/>
      <c r="F3" s="4"/>
      <c r="G3" s="4"/>
      <c r="H3" s="4"/>
      <c r="I3" s="4"/>
      <c r="J3" s="4"/>
      <c r="K3" s="4"/>
      <c r="L3" s="4"/>
      <c r="M3" s="4"/>
      <c r="N3" s="4"/>
      <c r="O3" s="4"/>
      <c r="P3" s="4"/>
      <c r="Q3" s="4"/>
      <c r="R3" s="4"/>
      <c r="S3" s="4"/>
      <c r="T3" s="4"/>
      <c r="U3" s="4"/>
      <c r="V3" s="4"/>
      <c r="W3" s="4"/>
      <c r="X3" s="4"/>
      <c r="Y3" s="4"/>
      <c r="Z3" s="4"/>
    </row>
    <row r="4" ht="21.75" customHeight="1">
      <c r="A4" s="159" t="s">
        <v>1462</v>
      </c>
      <c r="B4" s="160" t="s">
        <v>1342</v>
      </c>
      <c r="C4" s="159" t="s">
        <v>37</v>
      </c>
      <c r="D4" s="160" t="s">
        <v>61</v>
      </c>
      <c r="E4" s="159" t="s">
        <v>17</v>
      </c>
      <c r="F4" s="4"/>
      <c r="G4" s="4"/>
      <c r="H4" s="4"/>
      <c r="I4" s="4"/>
      <c r="J4" s="4"/>
      <c r="K4" s="4"/>
      <c r="L4" s="4"/>
      <c r="M4" s="4"/>
      <c r="N4" s="4"/>
      <c r="O4" s="4"/>
      <c r="P4" s="4"/>
      <c r="Q4" s="4"/>
      <c r="R4" s="4"/>
      <c r="S4" s="4"/>
      <c r="T4" s="4"/>
      <c r="U4" s="4"/>
      <c r="V4" s="4"/>
      <c r="W4" s="4"/>
      <c r="X4" s="4"/>
      <c r="Y4" s="4"/>
      <c r="Z4" s="4"/>
    </row>
    <row r="5" ht="18.0" customHeight="1">
      <c r="A5" s="161" t="s">
        <v>1346</v>
      </c>
      <c r="B5" s="162"/>
      <c r="C5" s="162"/>
      <c r="D5" s="162"/>
      <c r="E5" s="162"/>
      <c r="F5" s="4"/>
      <c r="G5" s="4"/>
      <c r="H5" s="4"/>
      <c r="I5" s="4"/>
      <c r="J5" s="4"/>
      <c r="K5" s="4"/>
      <c r="L5" s="4"/>
      <c r="M5" s="4"/>
      <c r="N5" s="4"/>
      <c r="O5" s="4"/>
      <c r="P5" s="4"/>
      <c r="Q5" s="4"/>
      <c r="R5" s="4"/>
      <c r="S5" s="4"/>
      <c r="T5" s="4"/>
      <c r="U5" s="4"/>
      <c r="V5" s="4"/>
      <c r="W5" s="4"/>
      <c r="X5" s="4"/>
      <c r="Y5" s="4"/>
      <c r="Z5" s="4"/>
    </row>
    <row r="6" ht="37.5" customHeight="1">
      <c r="A6" s="163" t="s">
        <v>1463</v>
      </c>
      <c r="B6" s="164" t="s">
        <v>15</v>
      </c>
      <c r="C6" s="165" t="s">
        <v>1464</v>
      </c>
      <c r="D6" s="164" t="s">
        <v>1465</v>
      </c>
      <c r="E6" s="166" t="s">
        <v>1466</v>
      </c>
      <c r="F6" s="4"/>
      <c r="G6" s="4"/>
      <c r="H6" s="4"/>
      <c r="I6" s="4"/>
      <c r="J6" s="4"/>
      <c r="K6" s="4"/>
      <c r="L6" s="4"/>
      <c r="M6" s="4"/>
      <c r="N6" s="4"/>
      <c r="O6" s="4"/>
      <c r="P6" s="4"/>
      <c r="Q6" s="4"/>
      <c r="R6" s="4"/>
      <c r="S6" s="4"/>
      <c r="T6" s="4"/>
      <c r="U6" s="4"/>
      <c r="V6" s="4"/>
      <c r="W6" s="4"/>
      <c r="X6" s="4"/>
      <c r="Y6" s="4"/>
      <c r="Z6" s="4"/>
    </row>
    <row r="7" ht="37.5" customHeight="1">
      <c r="A7" s="167" t="s">
        <v>1463</v>
      </c>
      <c r="B7" s="168" t="s">
        <v>15</v>
      </c>
      <c r="C7" s="169" t="s">
        <v>1467</v>
      </c>
      <c r="D7" s="168" t="s">
        <v>1465</v>
      </c>
      <c r="E7" s="166" t="s">
        <v>1466</v>
      </c>
      <c r="F7" s="4"/>
      <c r="G7" s="4"/>
      <c r="H7" s="4"/>
      <c r="I7" s="4"/>
      <c r="J7" s="4"/>
      <c r="K7" s="4"/>
      <c r="L7" s="4"/>
      <c r="M7" s="4"/>
      <c r="N7" s="4"/>
      <c r="O7" s="4"/>
      <c r="P7" s="4"/>
      <c r="Q7" s="4"/>
      <c r="R7" s="4"/>
      <c r="S7" s="4"/>
      <c r="T7" s="4"/>
      <c r="U7" s="4"/>
      <c r="V7" s="4"/>
      <c r="W7" s="4"/>
      <c r="X7" s="4"/>
      <c r="Y7" s="4"/>
      <c r="Z7" s="4"/>
    </row>
    <row r="8" ht="37.5" customHeight="1">
      <c r="A8" s="163" t="s">
        <v>1463</v>
      </c>
      <c r="B8" s="164" t="s">
        <v>15</v>
      </c>
      <c r="C8" s="165" t="s">
        <v>1468</v>
      </c>
      <c r="D8" s="164" t="s">
        <v>1465</v>
      </c>
      <c r="E8" s="166" t="s">
        <v>1466</v>
      </c>
      <c r="F8" s="4"/>
      <c r="G8" s="4"/>
      <c r="H8" s="4"/>
      <c r="I8" s="4"/>
      <c r="J8" s="4"/>
      <c r="K8" s="4"/>
      <c r="L8" s="4"/>
      <c r="M8" s="4"/>
      <c r="N8" s="4"/>
      <c r="O8" s="4"/>
      <c r="P8" s="4"/>
      <c r="Q8" s="4"/>
      <c r="R8" s="4"/>
      <c r="S8" s="4"/>
      <c r="T8" s="4"/>
      <c r="U8" s="4"/>
      <c r="V8" s="4"/>
      <c r="W8" s="4"/>
      <c r="X8" s="4"/>
      <c r="Y8" s="4"/>
      <c r="Z8" s="4"/>
    </row>
    <row r="9" ht="37.5" customHeight="1">
      <c r="A9" s="167" t="s">
        <v>1463</v>
      </c>
      <c r="B9" s="168" t="s">
        <v>15</v>
      </c>
      <c r="C9" s="169" t="s">
        <v>1469</v>
      </c>
      <c r="D9" s="168" t="s">
        <v>1465</v>
      </c>
      <c r="E9" s="166" t="s">
        <v>1466</v>
      </c>
      <c r="F9" s="4"/>
      <c r="G9" s="4"/>
      <c r="H9" s="4"/>
      <c r="I9" s="4"/>
      <c r="J9" s="4"/>
      <c r="K9" s="4"/>
      <c r="L9" s="4"/>
      <c r="M9" s="4"/>
      <c r="N9" s="4"/>
      <c r="O9" s="4"/>
      <c r="P9" s="4"/>
      <c r="Q9" s="4"/>
      <c r="R9" s="4"/>
      <c r="S9" s="4"/>
      <c r="T9" s="4"/>
      <c r="U9" s="4"/>
      <c r="V9" s="4"/>
      <c r="W9" s="4"/>
      <c r="X9" s="4"/>
      <c r="Y9" s="4"/>
      <c r="Z9" s="4"/>
    </row>
    <row r="10" ht="37.5" customHeight="1">
      <c r="A10" s="163" t="s">
        <v>1463</v>
      </c>
      <c r="B10" s="164" t="s">
        <v>15</v>
      </c>
      <c r="C10" s="165" t="s">
        <v>1470</v>
      </c>
      <c r="D10" s="164" t="s">
        <v>1465</v>
      </c>
      <c r="E10" s="166" t="s">
        <v>1466</v>
      </c>
      <c r="F10" s="4"/>
      <c r="G10" s="4"/>
      <c r="H10" s="4"/>
      <c r="I10" s="4"/>
      <c r="J10" s="4"/>
      <c r="K10" s="4"/>
      <c r="L10" s="4"/>
      <c r="M10" s="4"/>
      <c r="N10" s="4"/>
      <c r="O10" s="4"/>
      <c r="P10" s="4"/>
      <c r="Q10" s="4"/>
      <c r="R10" s="4"/>
      <c r="S10" s="4"/>
      <c r="T10" s="4"/>
      <c r="U10" s="4"/>
      <c r="V10" s="4"/>
      <c r="W10" s="4"/>
      <c r="X10" s="4"/>
      <c r="Y10" s="4"/>
      <c r="Z10" s="4"/>
    </row>
    <row r="11" ht="37.5" customHeight="1">
      <c r="A11" s="167" t="s">
        <v>1463</v>
      </c>
      <c r="B11" s="168" t="s">
        <v>15</v>
      </c>
      <c r="C11" s="169" t="s">
        <v>1471</v>
      </c>
      <c r="D11" s="168" t="s">
        <v>1465</v>
      </c>
      <c r="E11" s="166" t="s">
        <v>1466</v>
      </c>
      <c r="F11" s="4"/>
      <c r="G11" s="4"/>
      <c r="H11" s="4"/>
      <c r="I11" s="4"/>
      <c r="J11" s="4"/>
      <c r="K11" s="4"/>
      <c r="L11" s="4"/>
      <c r="M11" s="4"/>
      <c r="N11" s="4"/>
      <c r="O11" s="4"/>
      <c r="P11" s="4"/>
      <c r="Q11" s="4"/>
      <c r="R11" s="4"/>
      <c r="S11" s="4"/>
      <c r="T11" s="4"/>
      <c r="U11" s="4"/>
      <c r="V11" s="4"/>
      <c r="W11" s="4"/>
      <c r="X11" s="4"/>
      <c r="Y11" s="4"/>
      <c r="Z11" s="4"/>
    </row>
    <row r="12" ht="37.5" customHeight="1">
      <c r="A12" s="163" t="s">
        <v>1463</v>
      </c>
      <c r="B12" s="164" t="s">
        <v>15</v>
      </c>
      <c r="C12" s="165" t="s">
        <v>1472</v>
      </c>
      <c r="D12" s="164" t="s">
        <v>1465</v>
      </c>
      <c r="E12" s="166" t="s">
        <v>1466</v>
      </c>
      <c r="F12" s="4"/>
      <c r="G12" s="4"/>
      <c r="H12" s="4"/>
      <c r="I12" s="4"/>
      <c r="J12" s="4"/>
      <c r="K12" s="4"/>
      <c r="L12" s="4"/>
      <c r="M12" s="4"/>
      <c r="N12" s="4"/>
      <c r="O12" s="4"/>
      <c r="P12" s="4"/>
      <c r="Q12" s="4"/>
      <c r="R12" s="4"/>
      <c r="S12" s="4"/>
      <c r="T12" s="4"/>
      <c r="U12" s="4"/>
      <c r="V12" s="4"/>
      <c r="W12" s="4"/>
      <c r="X12" s="4"/>
      <c r="Y12" s="4"/>
      <c r="Z12" s="4"/>
    </row>
    <row r="13" ht="37.5" customHeight="1">
      <c r="A13" s="167" t="s">
        <v>1463</v>
      </c>
      <c r="B13" s="168" t="s">
        <v>15</v>
      </c>
      <c r="C13" s="169" t="s">
        <v>1473</v>
      </c>
      <c r="D13" s="168" t="s">
        <v>1465</v>
      </c>
      <c r="E13" s="166" t="s">
        <v>1466</v>
      </c>
      <c r="F13" s="4"/>
      <c r="G13" s="4"/>
      <c r="H13" s="4"/>
      <c r="I13" s="4"/>
      <c r="J13" s="4"/>
      <c r="K13" s="4"/>
      <c r="L13" s="4"/>
      <c r="M13" s="4"/>
      <c r="N13" s="4"/>
      <c r="O13" s="4"/>
      <c r="P13" s="4"/>
      <c r="Q13" s="4"/>
      <c r="R13" s="4"/>
      <c r="S13" s="4"/>
      <c r="T13" s="4"/>
      <c r="U13" s="4"/>
      <c r="V13" s="4"/>
      <c r="W13" s="4"/>
      <c r="X13" s="4"/>
      <c r="Y13" s="4"/>
      <c r="Z13" s="4"/>
    </row>
    <row r="14" ht="37.5" customHeight="1">
      <c r="A14" s="163" t="s">
        <v>1463</v>
      </c>
      <c r="B14" s="164" t="s">
        <v>15</v>
      </c>
      <c r="C14" s="165" t="s">
        <v>1474</v>
      </c>
      <c r="D14" s="164" t="s">
        <v>1465</v>
      </c>
      <c r="E14" s="166" t="s">
        <v>1466</v>
      </c>
      <c r="F14" s="4"/>
      <c r="G14" s="4"/>
      <c r="H14" s="4"/>
      <c r="I14" s="4"/>
      <c r="J14" s="4"/>
      <c r="K14" s="4"/>
      <c r="L14" s="4"/>
      <c r="M14" s="4"/>
      <c r="N14" s="4"/>
      <c r="O14" s="4"/>
      <c r="P14" s="4"/>
      <c r="Q14" s="4"/>
      <c r="R14" s="4"/>
      <c r="S14" s="4"/>
      <c r="T14" s="4"/>
      <c r="U14" s="4"/>
      <c r="V14" s="4"/>
      <c r="W14" s="4"/>
      <c r="X14" s="4"/>
      <c r="Y14" s="4"/>
      <c r="Z14" s="4"/>
    </row>
    <row r="15" ht="37.5" customHeight="1">
      <c r="A15" s="167" t="s">
        <v>1463</v>
      </c>
      <c r="B15" s="168" t="s">
        <v>15</v>
      </c>
      <c r="C15" s="169" t="s">
        <v>1475</v>
      </c>
      <c r="D15" s="168" t="s">
        <v>1465</v>
      </c>
      <c r="E15" s="166" t="s">
        <v>1466</v>
      </c>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ht="24.0" customHeight="1">
      <c r="A17" s="158" t="s">
        <v>1476</v>
      </c>
      <c r="B17" s="152"/>
      <c r="C17" s="152"/>
      <c r="D17" s="152"/>
      <c r="E17" s="152"/>
      <c r="F17" s="4"/>
      <c r="G17" s="4"/>
      <c r="H17" s="4"/>
      <c r="I17" s="4"/>
      <c r="J17" s="4"/>
      <c r="K17" s="4"/>
      <c r="L17" s="4"/>
      <c r="M17" s="4"/>
      <c r="N17" s="4"/>
      <c r="O17" s="4"/>
      <c r="P17" s="4"/>
      <c r="Q17" s="4"/>
      <c r="R17" s="4"/>
      <c r="S17" s="4"/>
      <c r="T17" s="4"/>
      <c r="U17" s="4"/>
      <c r="V17" s="4"/>
      <c r="W17" s="4"/>
      <c r="X17" s="4"/>
      <c r="Y17" s="4"/>
      <c r="Z17" s="4"/>
    </row>
    <row r="18" ht="21.75" customHeight="1">
      <c r="A18" s="159" t="s">
        <v>1462</v>
      </c>
      <c r="B18" s="160" t="s">
        <v>1342</v>
      </c>
      <c r="C18" s="159" t="s">
        <v>37</v>
      </c>
      <c r="D18" s="160" t="s">
        <v>61</v>
      </c>
      <c r="E18" s="159" t="s">
        <v>17</v>
      </c>
      <c r="F18" s="4"/>
      <c r="G18" s="4"/>
      <c r="H18" s="4"/>
      <c r="I18" s="4"/>
      <c r="J18" s="4"/>
      <c r="K18" s="4"/>
      <c r="L18" s="4"/>
      <c r="M18" s="4"/>
      <c r="N18" s="4"/>
      <c r="O18" s="4"/>
      <c r="P18" s="4"/>
      <c r="Q18" s="4"/>
      <c r="R18" s="4"/>
      <c r="S18" s="4"/>
      <c r="T18" s="4"/>
      <c r="U18" s="4"/>
      <c r="V18" s="4"/>
      <c r="W18" s="4"/>
      <c r="X18" s="4"/>
      <c r="Y18" s="4"/>
      <c r="Z18" s="4"/>
    </row>
    <row r="19" ht="18.0" customHeight="1">
      <c r="A19" s="161" t="s">
        <v>1477</v>
      </c>
      <c r="B19" s="162"/>
      <c r="C19" s="162"/>
      <c r="D19" s="162"/>
      <c r="E19" s="162"/>
      <c r="F19" s="4"/>
      <c r="G19" s="4"/>
      <c r="H19" s="4"/>
      <c r="I19" s="4"/>
      <c r="J19" s="4"/>
      <c r="K19" s="4"/>
      <c r="L19" s="4"/>
      <c r="M19" s="4"/>
      <c r="N19" s="4"/>
      <c r="O19" s="4"/>
      <c r="P19" s="4"/>
      <c r="Q19" s="4"/>
      <c r="R19" s="4"/>
      <c r="S19" s="4"/>
      <c r="T19" s="4"/>
      <c r="U19" s="4"/>
      <c r="V19" s="4"/>
      <c r="W19" s="4"/>
      <c r="X19" s="4"/>
      <c r="Y19" s="4"/>
      <c r="Z19" s="4"/>
    </row>
    <row r="20" ht="37.5" customHeight="1">
      <c r="A20" s="163" t="s">
        <v>1478</v>
      </c>
      <c r="B20" s="164" t="s">
        <v>1479</v>
      </c>
      <c r="C20" s="165" t="s">
        <v>1480</v>
      </c>
      <c r="D20" s="164" t="s">
        <v>1481</v>
      </c>
      <c r="E20" s="170" t="s">
        <v>1482</v>
      </c>
      <c r="F20" s="4"/>
      <c r="G20" s="4"/>
      <c r="H20" s="4"/>
      <c r="I20" s="4"/>
      <c r="J20" s="4"/>
      <c r="K20" s="4"/>
      <c r="L20" s="4"/>
      <c r="M20" s="4"/>
      <c r="N20" s="4"/>
      <c r="O20" s="4"/>
      <c r="P20" s="4"/>
      <c r="Q20" s="4"/>
      <c r="R20" s="4"/>
      <c r="S20" s="4"/>
      <c r="T20" s="4"/>
      <c r="U20" s="4"/>
      <c r="V20" s="4"/>
      <c r="W20" s="4"/>
      <c r="X20" s="4"/>
      <c r="Y20" s="4"/>
      <c r="Z20" s="4"/>
    </row>
    <row r="21" ht="18.0" customHeight="1">
      <c r="A21" s="161" t="s">
        <v>1346</v>
      </c>
      <c r="B21" s="162"/>
      <c r="C21" s="162"/>
      <c r="D21" s="162"/>
      <c r="E21" s="162"/>
      <c r="F21" s="4"/>
      <c r="G21" s="4"/>
      <c r="H21" s="4"/>
      <c r="I21" s="4"/>
      <c r="J21" s="4"/>
      <c r="K21" s="4"/>
      <c r="L21" s="4"/>
      <c r="M21" s="4"/>
      <c r="N21" s="4"/>
      <c r="O21" s="4"/>
      <c r="P21" s="4"/>
      <c r="Q21" s="4"/>
      <c r="R21" s="4"/>
      <c r="S21" s="4"/>
      <c r="T21" s="4"/>
      <c r="U21" s="4"/>
      <c r="V21" s="4"/>
      <c r="W21" s="4"/>
      <c r="X21" s="4"/>
      <c r="Y21" s="4"/>
      <c r="Z21" s="4"/>
    </row>
    <row r="22" ht="37.5" customHeight="1">
      <c r="A22" s="163" t="s">
        <v>1478</v>
      </c>
      <c r="B22" s="164" t="s">
        <v>15</v>
      </c>
      <c r="C22" s="165" t="s">
        <v>1483</v>
      </c>
      <c r="D22" s="164" t="s">
        <v>1481</v>
      </c>
      <c r="E22" s="170" t="s">
        <v>1482</v>
      </c>
      <c r="F22" s="4"/>
      <c r="G22" s="4"/>
      <c r="H22" s="4"/>
      <c r="I22" s="4"/>
      <c r="J22" s="4"/>
      <c r="K22" s="4"/>
      <c r="L22" s="4"/>
      <c r="M22" s="4"/>
      <c r="N22" s="4"/>
      <c r="O22" s="4"/>
      <c r="P22" s="4"/>
      <c r="Q22" s="4"/>
      <c r="R22" s="4"/>
      <c r="S22" s="4"/>
      <c r="T22" s="4"/>
      <c r="U22" s="4"/>
      <c r="V22" s="4"/>
      <c r="W22" s="4"/>
      <c r="X22" s="4"/>
      <c r="Y22" s="4"/>
      <c r="Z22" s="4"/>
    </row>
    <row r="23" ht="37.5" customHeight="1">
      <c r="A23" s="167" t="s">
        <v>1478</v>
      </c>
      <c r="B23" s="168" t="s">
        <v>15</v>
      </c>
      <c r="C23" s="169" t="s">
        <v>1484</v>
      </c>
      <c r="D23" s="168" t="s">
        <v>1481</v>
      </c>
      <c r="E23" s="171" t="s">
        <v>1485</v>
      </c>
      <c r="F23" s="4"/>
      <c r="G23" s="4"/>
      <c r="H23" s="4"/>
      <c r="I23" s="4"/>
      <c r="J23" s="4"/>
      <c r="K23" s="4"/>
      <c r="L23" s="4"/>
      <c r="M23" s="4"/>
      <c r="N23" s="4"/>
      <c r="O23" s="4"/>
      <c r="P23" s="4"/>
      <c r="Q23" s="4"/>
      <c r="R23" s="4"/>
      <c r="S23" s="4"/>
      <c r="T23" s="4"/>
      <c r="U23" s="4"/>
      <c r="V23" s="4"/>
      <c r="W23" s="4"/>
      <c r="X23" s="4"/>
      <c r="Y23" s="4"/>
      <c r="Z23" s="4"/>
    </row>
    <row r="24" ht="37.5" customHeight="1">
      <c r="A24" s="163" t="s">
        <v>1478</v>
      </c>
      <c r="B24" s="164" t="s">
        <v>15</v>
      </c>
      <c r="C24" s="165" t="s">
        <v>1486</v>
      </c>
      <c r="D24" s="164" t="s">
        <v>1481</v>
      </c>
      <c r="E24" s="171" t="s">
        <v>1485</v>
      </c>
      <c r="F24" s="4"/>
      <c r="G24" s="4"/>
      <c r="H24" s="4"/>
      <c r="I24" s="4"/>
      <c r="J24" s="4"/>
      <c r="K24" s="4"/>
      <c r="L24" s="4"/>
      <c r="M24" s="4"/>
      <c r="N24" s="4"/>
      <c r="O24" s="4"/>
      <c r="P24" s="4"/>
      <c r="Q24" s="4"/>
      <c r="R24" s="4"/>
      <c r="S24" s="4"/>
      <c r="T24" s="4"/>
      <c r="U24" s="4"/>
      <c r="V24" s="4"/>
      <c r="W24" s="4"/>
      <c r="X24" s="4"/>
      <c r="Y24" s="4"/>
      <c r="Z24" s="4"/>
    </row>
    <row r="25" ht="18.0" customHeight="1">
      <c r="A25" s="161" t="s">
        <v>1487</v>
      </c>
      <c r="B25" s="162"/>
      <c r="C25" s="162"/>
      <c r="D25" s="162"/>
      <c r="E25" s="162"/>
      <c r="F25" s="4"/>
      <c r="G25" s="4"/>
      <c r="H25" s="4"/>
      <c r="I25" s="4"/>
      <c r="J25" s="4"/>
      <c r="K25" s="4"/>
      <c r="L25" s="4"/>
      <c r="M25" s="4"/>
      <c r="N25" s="4"/>
      <c r="O25" s="4"/>
      <c r="P25" s="4"/>
      <c r="Q25" s="4"/>
      <c r="R25" s="4"/>
      <c r="S25" s="4"/>
      <c r="T25" s="4"/>
      <c r="U25" s="4"/>
      <c r="V25" s="4"/>
      <c r="W25" s="4"/>
      <c r="X25" s="4"/>
      <c r="Y25" s="4"/>
      <c r="Z25" s="4"/>
    </row>
    <row r="26" ht="37.5" customHeight="1">
      <c r="A26" s="163" t="s">
        <v>1478</v>
      </c>
      <c r="B26" s="164" t="s">
        <v>1488</v>
      </c>
      <c r="C26" s="165" t="s">
        <v>1489</v>
      </c>
      <c r="D26" s="164" t="s">
        <v>1481</v>
      </c>
      <c r="E26" s="171" t="s">
        <v>1485</v>
      </c>
      <c r="F26" s="4"/>
      <c r="G26" s="4"/>
      <c r="H26" s="4"/>
      <c r="I26" s="4"/>
      <c r="J26" s="4"/>
      <c r="K26" s="4"/>
      <c r="L26" s="4"/>
      <c r="M26" s="4"/>
      <c r="N26" s="4"/>
      <c r="O26" s="4"/>
      <c r="P26" s="4"/>
      <c r="Q26" s="4"/>
      <c r="R26" s="4"/>
      <c r="S26" s="4"/>
      <c r="T26" s="4"/>
      <c r="U26" s="4"/>
      <c r="V26" s="4"/>
      <c r="W26" s="4"/>
      <c r="X26" s="4"/>
      <c r="Y26" s="4"/>
      <c r="Z26" s="4"/>
    </row>
    <row r="27" ht="39.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24.0" customHeight="1">
      <c r="A28" s="158" t="s">
        <v>1490</v>
      </c>
      <c r="B28" s="152"/>
      <c r="C28" s="152"/>
      <c r="D28" s="152"/>
      <c r="E28" s="152"/>
      <c r="F28" s="4"/>
      <c r="G28" s="4"/>
      <c r="H28" s="4"/>
      <c r="I28" s="4"/>
      <c r="J28" s="4"/>
      <c r="K28" s="4"/>
      <c r="L28" s="4"/>
      <c r="M28" s="4"/>
      <c r="N28" s="4"/>
      <c r="O28" s="4"/>
      <c r="P28" s="4"/>
      <c r="Q28" s="4"/>
      <c r="R28" s="4"/>
      <c r="S28" s="4"/>
      <c r="T28" s="4"/>
      <c r="U28" s="4"/>
      <c r="V28" s="4"/>
      <c r="W28" s="4"/>
      <c r="X28" s="4"/>
      <c r="Y28" s="4"/>
      <c r="Z28" s="4"/>
    </row>
    <row r="29" ht="21.75" customHeight="1">
      <c r="A29" s="159" t="s">
        <v>1462</v>
      </c>
      <c r="B29" s="160" t="s">
        <v>1342</v>
      </c>
      <c r="C29" s="159" t="s">
        <v>37</v>
      </c>
      <c r="D29" s="160" t="s">
        <v>61</v>
      </c>
      <c r="E29" s="159" t="s">
        <v>17</v>
      </c>
      <c r="F29" s="4"/>
      <c r="G29" s="4"/>
      <c r="H29" s="4"/>
      <c r="I29" s="4"/>
      <c r="J29" s="4"/>
      <c r="K29" s="4"/>
      <c r="L29" s="4"/>
      <c r="M29" s="4"/>
      <c r="N29" s="4"/>
      <c r="O29" s="4"/>
      <c r="P29" s="4"/>
      <c r="Q29" s="4"/>
      <c r="R29" s="4"/>
      <c r="S29" s="4"/>
      <c r="T29" s="4"/>
      <c r="U29" s="4"/>
      <c r="V29" s="4"/>
      <c r="W29" s="4"/>
      <c r="X29" s="4"/>
      <c r="Y29" s="4"/>
      <c r="Z29" s="4"/>
    </row>
    <row r="30" ht="18.0" customHeight="1">
      <c r="A30" s="161" t="s">
        <v>1491</v>
      </c>
      <c r="B30" s="162"/>
      <c r="C30" s="162"/>
      <c r="D30" s="162"/>
      <c r="E30" s="162"/>
      <c r="F30" s="4"/>
      <c r="G30" s="4"/>
      <c r="H30" s="4"/>
      <c r="I30" s="4"/>
      <c r="J30" s="4"/>
      <c r="K30" s="4"/>
      <c r="L30" s="4"/>
      <c r="M30" s="4"/>
      <c r="N30" s="4"/>
      <c r="O30" s="4"/>
      <c r="P30" s="4"/>
      <c r="Q30" s="4"/>
      <c r="R30" s="4"/>
      <c r="S30" s="4"/>
      <c r="T30" s="4"/>
      <c r="U30" s="4"/>
      <c r="V30" s="4"/>
      <c r="W30" s="4"/>
      <c r="X30" s="4"/>
      <c r="Y30" s="4"/>
      <c r="Z30" s="4"/>
    </row>
    <row r="31" ht="37.5" customHeight="1">
      <c r="A31" s="163" t="s">
        <v>1492</v>
      </c>
      <c r="B31" s="164" t="s">
        <v>1493</v>
      </c>
      <c r="C31" s="165" t="s">
        <v>1494</v>
      </c>
      <c r="D31" s="164" t="s">
        <v>1465</v>
      </c>
      <c r="E31" s="166" t="s">
        <v>1466</v>
      </c>
      <c r="F31" s="4"/>
      <c r="G31" s="4"/>
      <c r="H31" s="4"/>
      <c r="I31" s="4"/>
      <c r="J31" s="4"/>
      <c r="K31" s="4"/>
      <c r="L31" s="4"/>
      <c r="M31" s="4"/>
      <c r="N31" s="4"/>
      <c r="O31" s="4"/>
      <c r="P31" s="4"/>
      <c r="Q31" s="4"/>
      <c r="R31" s="4"/>
      <c r="S31" s="4"/>
      <c r="T31" s="4"/>
      <c r="U31" s="4"/>
      <c r="V31" s="4"/>
      <c r="W31" s="4"/>
      <c r="X31" s="4"/>
      <c r="Y31" s="4"/>
      <c r="Z31" s="4"/>
    </row>
    <row r="32" ht="37.5" customHeight="1">
      <c r="A32" s="163" t="s">
        <v>1463</v>
      </c>
      <c r="B32" s="164" t="s">
        <v>15</v>
      </c>
      <c r="C32" s="165" t="s">
        <v>1495</v>
      </c>
      <c r="D32" s="164" t="s">
        <v>1465</v>
      </c>
      <c r="E32" s="172" t="s">
        <v>1466</v>
      </c>
      <c r="F32" s="4"/>
      <c r="G32" s="4"/>
      <c r="H32" s="4"/>
      <c r="I32" s="4"/>
      <c r="J32" s="4"/>
      <c r="K32" s="4"/>
      <c r="L32" s="4"/>
      <c r="M32" s="4"/>
      <c r="N32" s="4"/>
      <c r="O32" s="4"/>
      <c r="P32" s="4"/>
      <c r="Q32" s="4"/>
      <c r="R32" s="4"/>
      <c r="S32" s="4"/>
      <c r="T32" s="4"/>
      <c r="U32" s="4"/>
      <c r="V32" s="4"/>
      <c r="W32" s="4"/>
      <c r="X32" s="4"/>
      <c r="Y32" s="4"/>
      <c r="Z32" s="4"/>
    </row>
    <row r="33" ht="18.0" customHeight="1">
      <c r="A33" s="161" t="s">
        <v>1346</v>
      </c>
      <c r="B33" s="162"/>
      <c r="C33" s="162"/>
      <c r="D33" s="162"/>
      <c r="E33" s="162"/>
      <c r="F33" s="4"/>
      <c r="G33" s="4"/>
      <c r="H33" s="4"/>
      <c r="I33" s="4"/>
      <c r="J33" s="4"/>
      <c r="K33" s="4"/>
      <c r="L33" s="4"/>
      <c r="M33" s="4"/>
      <c r="N33" s="4"/>
      <c r="O33" s="4"/>
      <c r="P33" s="4"/>
      <c r="Q33" s="4"/>
      <c r="R33" s="4"/>
      <c r="S33" s="4"/>
      <c r="T33" s="4"/>
      <c r="U33" s="4"/>
      <c r="V33" s="4"/>
      <c r="W33" s="4"/>
      <c r="X33" s="4"/>
      <c r="Y33" s="4"/>
      <c r="Z33" s="4"/>
    </row>
    <row r="34" ht="37.5" customHeight="1">
      <c r="A34" s="163" t="s">
        <v>1492</v>
      </c>
      <c r="B34" s="164" t="s">
        <v>15</v>
      </c>
      <c r="C34" s="165" t="s">
        <v>1496</v>
      </c>
      <c r="D34" s="164" t="s">
        <v>1465</v>
      </c>
      <c r="E34" s="166" t="s">
        <v>1466</v>
      </c>
      <c r="F34" s="4"/>
      <c r="G34" s="4"/>
      <c r="H34" s="4"/>
      <c r="I34" s="4"/>
      <c r="J34" s="4"/>
      <c r="K34" s="4"/>
      <c r="L34" s="4"/>
      <c r="M34" s="4"/>
      <c r="N34" s="4"/>
      <c r="O34" s="4"/>
      <c r="P34" s="4"/>
      <c r="Q34" s="4"/>
      <c r="R34" s="4"/>
      <c r="S34" s="4"/>
      <c r="T34" s="4"/>
      <c r="U34" s="4"/>
      <c r="V34" s="4"/>
      <c r="W34" s="4"/>
      <c r="X34" s="4"/>
      <c r="Y34" s="4"/>
      <c r="Z34" s="4"/>
    </row>
    <row r="35" ht="37.5" customHeight="1">
      <c r="A35" s="167" t="s">
        <v>1492</v>
      </c>
      <c r="B35" s="168" t="s">
        <v>15</v>
      </c>
      <c r="C35" s="169" t="s">
        <v>1497</v>
      </c>
      <c r="D35" s="168" t="s">
        <v>1465</v>
      </c>
      <c r="E35" s="166" t="s">
        <v>1466</v>
      </c>
      <c r="F35" s="4"/>
      <c r="G35" s="4"/>
      <c r="H35" s="4"/>
      <c r="I35" s="4"/>
      <c r="J35" s="4"/>
      <c r="K35" s="4"/>
      <c r="L35" s="4"/>
      <c r="M35" s="4"/>
      <c r="N35" s="4"/>
      <c r="O35" s="4"/>
      <c r="P35" s="4"/>
      <c r="Q35" s="4"/>
      <c r="R35" s="4"/>
      <c r="S35" s="4"/>
      <c r="T35" s="4"/>
      <c r="U35" s="4"/>
      <c r="V35" s="4"/>
      <c r="W35" s="4"/>
      <c r="X35" s="4"/>
      <c r="Y35" s="4"/>
      <c r="Z35" s="4"/>
    </row>
    <row r="36" ht="37.5" customHeight="1">
      <c r="A36" s="163" t="s">
        <v>1492</v>
      </c>
      <c r="B36" s="164" t="s">
        <v>15</v>
      </c>
      <c r="C36" s="165" t="s">
        <v>1498</v>
      </c>
      <c r="D36" s="164" t="s">
        <v>1499</v>
      </c>
      <c r="E36" s="166" t="s">
        <v>1466</v>
      </c>
      <c r="F36" s="4"/>
      <c r="G36" s="4"/>
      <c r="H36" s="4"/>
      <c r="I36" s="4"/>
      <c r="J36" s="4"/>
      <c r="K36" s="4"/>
      <c r="L36" s="4"/>
      <c r="M36" s="4"/>
      <c r="N36" s="4"/>
      <c r="O36" s="4"/>
      <c r="P36" s="4"/>
      <c r="Q36" s="4"/>
      <c r="R36" s="4"/>
      <c r="S36" s="4"/>
      <c r="T36" s="4"/>
      <c r="U36" s="4"/>
      <c r="V36" s="4"/>
      <c r="W36" s="4"/>
      <c r="X36" s="4"/>
      <c r="Y36" s="4"/>
      <c r="Z36" s="4"/>
    </row>
    <row r="37" ht="39.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24.0" customHeight="1">
      <c r="A38" s="158" t="s">
        <v>1500</v>
      </c>
      <c r="B38" s="152"/>
      <c r="C38" s="152"/>
      <c r="D38" s="152"/>
      <c r="E38" s="152"/>
      <c r="F38" s="4"/>
      <c r="G38" s="4"/>
      <c r="H38" s="4"/>
      <c r="I38" s="4"/>
      <c r="J38" s="4"/>
      <c r="K38" s="4"/>
      <c r="L38" s="4"/>
      <c r="M38" s="4"/>
      <c r="N38" s="4"/>
      <c r="O38" s="4"/>
      <c r="P38" s="4"/>
      <c r="Q38" s="4"/>
      <c r="R38" s="4"/>
      <c r="S38" s="4"/>
      <c r="T38" s="4"/>
      <c r="U38" s="4"/>
      <c r="V38" s="4"/>
      <c r="W38" s="4"/>
      <c r="X38" s="4"/>
      <c r="Y38" s="4"/>
      <c r="Z38" s="4"/>
    </row>
    <row r="39" ht="21.75" customHeight="1">
      <c r="A39" s="159" t="s">
        <v>1462</v>
      </c>
      <c r="B39" s="160" t="s">
        <v>1342</v>
      </c>
      <c r="C39" s="159" t="s">
        <v>37</v>
      </c>
      <c r="D39" s="160" t="s">
        <v>61</v>
      </c>
      <c r="E39" s="159" t="s">
        <v>17</v>
      </c>
      <c r="F39" s="4"/>
      <c r="G39" s="4"/>
      <c r="H39" s="4"/>
      <c r="I39" s="4"/>
      <c r="J39" s="4"/>
      <c r="K39" s="4"/>
      <c r="L39" s="4"/>
      <c r="M39" s="4"/>
      <c r="N39" s="4"/>
      <c r="O39" s="4"/>
      <c r="P39" s="4"/>
      <c r="Q39" s="4"/>
      <c r="R39" s="4"/>
      <c r="S39" s="4"/>
      <c r="T39" s="4"/>
      <c r="U39" s="4"/>
      <c r="V39" s="4"/>
      <c r="W39" s="4"/>
      <c r="X39" s="4"/>
      <c r="Y39" s="4"/>
      <c r="Z39" s="4"/>
    </row>
    <row r="40" ht="18.0" customHeight="1">
      <c r="A40" s="161" t="s">
        <v>1346</v>
      </c>
      <c r="B40" s="162"/>
      <c r="C40" s="162"/>
      <c r="D40" s="162"/>
      <c r="E40" s="162"/>
      <c r="F40" s="4"/>
      <c r="G40" s="4"/>
      <c r="H40" s="4"/>
      <c r="I40" s="4"/>
      <c r="J40" s="4"/>
      <c r="K40" s="4"/>
      <c r="L40" s="4"/>
      <c r="M40" s="4"/>
      <c r="N40" s="4"/>
      <c r="O40" s="4"/>
      <c r="P40" s="4"/>
      <c r="Q40" s="4"/>
      <c r="R40" s="4"/>
      <c r="S40" s="4"/>
      <c r="T40" s="4"/>
      <c r="U40" s="4"/>
      <c r="V40" s="4"/>
      <c r="W40" s="4"/>
      <c r="X40" s="4"/>
      <c r="Y40" s="4"/>
      <c r="Z40" s="4"/>
    </row>
    <row r="41" ht="37.5" customHeight="1">
      <c r="A41" s="163" t="s">
        <v>1501</v>
      </c>
      <c r="B41" s="164" t="s">
        <v>15</v>
      </c>
      <c r="C41" s="165" t="s">
        <v>1502</v>
      </c>
      <c r="D41" s="164" t="s">
        <v>1503</v>
      </c>
      <c r="E41" s="166" t="s">
        <v>1466</v>
      </c>
      <c r="F41" s="4"/>
      <c r="G41" s="4"/>
      <c r="H41" s="4"/>
      <c r="I41" s="4"/>
      <c r="J41" s="4"/>
      <c r="K41" s="4"/>
      <c r="L41" s="4"/>
      <c r="M41" s="4"/>
      <c r="N41" s="4"/>
      <c r="O41" s="4"/>
      <c r="P41" s="4"/>
      <c r="Q41" s="4"/>
      <c r="R41" s="4"/>
      <c r="S41" s="4"/>
      <c r="T41" s="4"/>
      <c r="U41" s="4"/>
      <c r="V41" s="4"/>
      <c r="W41" s="4"/>
      <c r="X41" s="4"/>
      <c r="Y41" s="4"/>
      <c r="Z41" s="4"/>
    </row>
    <row r="42" ht="37.5" customHeight="1">
      <c r="A42" s="167" t="s">
        <v>1501</v>
      </c>
      <c r="B42" s="168" t="s">
        <v>15</v>
      </c>
      <c r="C42" s="169" t="s">
        <v>1504</v>
      </c>
      <c r="D42" s="168" t="s">
        <v>1499</v>
      </c>
      <c r="E42" s="166" t="s">
        <v>1466</v>
      </c>
      <c r="F42" s="4"/>
      <c r="G42" s="4"/>
      <c r="H42" s="4"/>
      <c r="I42" s="4"/>
      <c r="J42" s="4"/>
      <c r="K42" s="4"/>
      <c r="L42" s="4"/>
      <c r="M42" s="4"/>
      <c r="N42" s="4"/>
      <c r="O42" s="4"/>
      <c r="P42" s="4"/>
      <c r="Q42" s="4"/>
      <c r="R42" s="4"/>
      <c r="S42" s="4"/>
      <c r="T42" s="4"/>
      <c r="U42" s="4"/>
      <c r="V42" s="4"/>
      <c r="W42" s="4"/>
      <c r="X42" s="4"/>
      <c r="Y42" s="4"/>
      <c r="Z42" s="4"/>
    </row>
    <row r="43" ht="37.5" customHeight="1">
      <c r="A43" s="163" t="s">
        <v>1501</v>
      </c>
      <c r="B43" s="164" t="s">
        <v>15</v>
      </c>
      <c r="C43" s="165" t="s">
        <v>1505</v>
      </c>
      <c r="D43" s="164" t="s">
        <v>1499</v>
      </c>
      <c r="E43" s="166" t="s">
        <v>1466</v>
      </c>
      <c r="F43" s="4"/>
      <c r="G43" s="4"/>
      <c r="H43" s="4"/>
      <c r="I43" s="4"/>
      <c r="J43" s="4"/>
      <c r="K43" s="4"/>
      <c r="L43" s="4"/>
      <c r="M43" s="4"/>
      <c r="N43" s="4"/>
      <c r="O43" s="4"/>
      <c r="P43" s="4"/>
      <c r="Q43" s="4"/>
      <c r="R43" s="4"/>
      <c r="S43" s="4"/>
      <c r="T43" s="4"/>
      <c r="U43" s="4"/>
      <c r="V43" s="4"/>
      <c r="W43" s="4"/>
      <c r="X43" s="4"/>
      <c r="Y43" s="4"/>
      <c r="Z43" s="4"/>
    </row>
    <row r="44" ht="37.5" customHeight="1">
      <c r="A44" s="167" t="s">
        <v>1501</v>
      </c>
      <c r="B44" s="168" t="s">
        <v>15</v>
      </c>
      <c r="C44" s="169" t="s">
        <v>1506</v>
      </c>
      <c r="D44" s="168" t="s">
        <v>1499</v>
      </c>
      <c r="E44" s="166" t="s">
        <v>1466</v>
      </c>
      <c r="F44" s="4"/>
      <c r="G44" s="4"/>
      <c r="H44" s="4"/>
      <c r="I44" s="4"/>
      <c r="J44" s="4"/>
      <c r="K44" s="4"/>
      <c r="L44" s="4"/>
      <c r="M44" s="4"/>
      <c r="N44" s="4"/>
      <c r="O44" s="4"/>
      <c r="P44" s="4"/>
      <c r="Q44" s="4"/>
      <c r="R44" s="4"/>
      <c r="S44" s="4"/>
      <c r="T44" s="4"/>
      <c r="U44" s="4"/>
      <c r="V44" s="4"/>
      <c r="W44" s="4"/>
      <c r="X44" s="4"/>
      <c r="Y44" s="4"/>
      <c r="Z44" s="4"/>
    </row>
    <row r="45" ht="37.5" customHeight="1">
      <c r="A45" s="163" t="s">
        <v>1507</v>
      </c>
      <c r="B45" s="164" t="s">
        <v>15</v>
      </c>
      <c r="C45" s="165" t="s">
        <v>1508</v>
      </c>
      <c r="D45" s="164" t="s">
        <v>1465</v>
      </c>
      <c r="E45" s="166" t="s">
        <v>1466</v>
      </c>
      <c r="F45" s="4"/>
      <c r="G45" s="4"/>
      <c r="H45" s="4"/>
      <c r="I45" s="4"/>
      <c r="J45" s="4"/>
      <c r="K45" s="4"/>
      <c r="L45" s="4"/>
      <c r="M45" s="4"/>
      <c r="N45" s="4"/>
      <c r="O45" s="4"/>
      <c r="P45" s="4"/>
      <c r="Q45" s="4"/>
      <c r="R45" s="4"/>
      <c r="S45" s="4"/>
      <c r="T45" s="4"/>
      <c r="U45" s="4"/>
      <c r="V45" s="4"/>
      <c r="W45" s="4"/>
      <c r="X45" s="4"/>
      <c r="Y45" s="4"/>
      <c r="Z45" s="4"/>
    </row>
    <row r="46" ht="37.5" customHeight="1">
      <c r="A46" s="167" t="s">
        <v>1507</v>
      </c>
      <c r="B46" s="168" t="s">
        <v>15</v>
      </c>
      <c r="C46" s="169" t="s">
        <v>1509</v>
      </c>
      <c r="D46" s="168" t="s">
        <v>1465</v>
      </c>
      <c r="E46" s="166" t="s">
        <v>1466</v>
      </c>
      <c r="F46" s="4"/>
      <c r="G46" s="4"/>
      <c r="H46" s="4"/>
      <c r="I46" s="4"/>
      <c r="J46" s="4"/>
      <c r="K46" s="4"/>
      <c r="L46" s="4"/>
      <c r="M46" s="4"/>
      <c r="N46" s="4"/>
      <c r="O46" s="4"/>
      <c r="P46" s="4"/>
      <c r="Q46" s="4"/>
      <c r="R46" s="4"/>
      <c r="S46" s="4"/>
      <c r="T46" s="4"/>
      <c r="U46" s="4"/>
      <c r="V46" s="4"/>
      <c r="W46" s="4"/>
      <c r="X46" s="4"/>
      <c r="Y46" s="4"/>
      <c r="Z46" s="4"/>
    </row>
    <row r="47" ht="37.5" customHeight="1">
      <c r="A47" s="163" t="s">
        <v>1507</v>
      </c>
      <c r="B47" s="164" t="s">
        <v>15</v>
      </c>
      <c r="C47" s="165" t="s">
        <v>1510</v>
      </c>
      <c r="D47" s="164" t="s">
        <v>1465</v>
      </c>
      <c r="E47" s="166" t="s">
        <v>1466</v>
      </c>
      <c r="F47" s="4"/>
      <c r="G47" s="4"/>
      <c r="H47" s="4"/>
      <c r="I47" s="4"/>
      <c r="J47" s="4"/>
      <c r="K47" s="4"/>
      <c r="L47" s="4"/>
      <c r="M47" s="4"/>
      <c r="N47" s="4"/>
      <c r="O47" s="4"/>
      <c r="P47" s="4"/>
      <c r="Q47" s="4"/>
      <c r="R47" s="4"/>
      <c r="S47" s="4"/>
      <c r="T47" s="4"/>
      <c r="U47" s="4"/>
      <c r="V47" s="4"/>
      <c r="W47" s="4"/>
      <c r="X47" s="4"/>
      <c r="Y47" s="4"/>
      <c r="Z47" s="4"/>
    </row>
    <row r="48" ht="37.5" customHeight="1">
      <c r="A48" s="167" t="s">
        <v>1507</v>
      </c>
      <c r="B48" s="168" t="s">
        <v>15</v>
      </c>
      <c r="C48" s="169" t="s">
        <v>1511</v>
      </c>
      <c r="D48" s="168" t="s">
        <v>1465</v>
      </c>
      <c r="E48" s="166" t="s">
        <v>1466</v>
      </c>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30"/>
      <c r="B249" s="30"/>
      <c r="C249" s="30"/>
      <c r="D249" s="30"/>
      <c r="E249" s="30"/>
      <c r="F249" s="30"/>
    </row>
    <row r="250" ht="15.75" customHeight="1">
      <c r="A250" s="30"/>
      <c r="B250" s="30"/>
      <c r="C250" s="30"/>
      <c r="D250" s="30"/>
      <c r="E250" s="30"/>
      <c r="F250" s="30"/>
    </row>
    <row r="251" ht="15.75" customHeight="1">
      <c r="A251" s="30"/>
      <c r="B251" s="30"/>
      <c r="C251" s="30"/>
      <c r="D251" s="30"/>
      <c r="E251" s="30"/>
      <c r="F251" s="30"/>
    </row>
    <row r="252" ht="15.75" customHeight="1">
      <c r="A252" s="30"/>
      <c r="B252" s="30"/>
      <c r="C252" s="30"/>
      <c r="D252" s="30"/>
      <c r="E252" s="30"/>
      <c r="F252" s="30"/>
    </row>
    <row r="253" ht="15.75" customHeight="1">
      <c r="A253" s="30"/>
      <c r="B253" s="30"/>
      <c r="C253" s="30"/>
      <c r="D253" s="30"/>
      <c r="E253" s="30"/>
      <c r="F253" s="30"/>
    </row>
    <row r="254" ht="15.75" customHeight="1">
      <c r="A254" s="30"/>
      <c r="B254" s="30"/>
      <c r="C254" s="30"/>
      <c r="D254" s="30"/>
      <c r="E254" s="30"/>
      <c r="F254" s="30"/>
    </row>
    <row r="255" ht="15.75" customHeight="1">
      <c r="A255" s="30"/>
      <c r="B255" s="30"/>
      <c r="C255" s="30"/>
      <c r="D255" s="30"/>
      <c r="E255" s="30"/>
      <c r="F255" s="30"/>
    </row>
    <row r="256" ht="15.75" customHeight="1">
      <c r="A256" s="30"/>
      <c r="B256" s="30"/>
      <c r="C256" s="30"/>
      <c r="D256" s="30"/>
      <c r="E256" s="30"/>
      <c r="F256" s="30"/>
    </row>
    <row r="257" ht="15.75" customHeight="1">
      <c r="A257" s="30"/>
      <c r="B257" s="30"/>
      <c r="C257" s="30"/>
      <c r="D257" s="30"/>
      <c r="E257" s="30"/>
      <c r="F257" s="30"/>
    </row>
    <row r="258" ht="15.75" customHeight="1">
      <c r="A258" s="30"/>
      <c r="B258" s="30"/>
      <c r="C258" s="30"/>
      <c r="D258" s="30"/>
      <c r="E258" s="30"/>
      <c r="F258" s="30"/>
    </row>
    <row r="259" ht="15.75" customHeight="1">
      <c r="A259" s="30"/>
      <c r="B259" s="30"/>
      <c r="C259" s="30"/>
      <c r="D259" s="30"/>
      <c r="E259" s="30"/>
      <c r="F259" s="30"/>
    </row>
    <row r="260" ht="15.75" customHeight="1">
      <c r="A260" s="30"/>
      <c r="B260" s="30"/>
      <c r="C260" s="30"/>
      <c r="D260" s="30"/>
      <c r="E260" s="30"/>
      <c r="F260" s="30"/>
    </row>
    <row r="261" ht="15.75" customHeight="1">
      <c r="A261" s="30"/>
      <c r="B261" s="30"/>
      <c r="C261" s="30"/>
      <c r="D261" s="30"/>
      <c r="E261" s="30"/>
      <c r="F261" s="30"/>
    </row>
    <row r="262" ht="15.75" customHeight="1">
      <c r="A262" s="30"/>
      <c r="B262" s="30"/>
      <c r="C262" s="30"/>
      <c r="D262" s="30"/>
      <c r="E262" s="30"/>
      <c r="F262" s="30"/>
    </row>
    <row r="263" ht="15.75" customHeight="1">
      <c r="A263" s="30"/>
      <c r="B263" s="30"/>
      <c r="C263" s="30"/>
      <c r="D263" s="30"/>
      <c r="E263" s="30"/>
      <c r="F263" s="30"/>
    </row>
    <row r="264" ht="15.75" customHeight="1">
      <c r="A264" s="30"/>
      <c r="B264" s="30"/>
      <c r="C264" s="30"/>
      <c r="D264" s="30"/>
      <c r="E264" s="30"/>
      <c r="F264" s="30"/>
    </row>
    <row r="265" ht="15.75" customHeight="1">
      <c r="A265" s="30"/>
      <c r="B265" s="30"/>
      <c r="C265" s="30"/>
      <c r="D265" s="30"/>
      <c r="E265" s="30"/>
      <c r="F265" s="30"/>
    </row>
    <row r="266" ht="15.75" customHeight="1">
      <c r="A266" s="30"/>
      <c r="B266" s="30"/>
      <c r="C266" s="30"/>
      <c r="D266" s="30"/>
      <c r="E266" s="30"/>
      <c r="F266" s="30"/>
    </row>
    <row r="267" ht="15.75" customHeight="1">
      <c r="A267" s="30"/>
      <c r="B267" s="30"/>
      <c r="C267" s="30"/>
      <c r="D267" s="30"/>
      <c r="E267" s="30"/>
      <c r="F267" s="30"/>
    </row>
    <row r="268" ht="15.75" customHeight="1">
      <c r="A268" s="30"/>
      <c r="B268" s="30"/>
      <c r="C268" s="30"/>
      <c r="D268" s="30"/>
      <c r="E268" s="30"/>
      <c r="F268" s="30"/>
    </row>
    <row r="269" ht="15.75" customHeight="1">
      <c r="A269" s="30"/>
      <c r="B269" s="30"/>
      <c r="C269" s="30"/>
      <c r="D269" s="30"/>
      <c r="E269" s="30"/>
      <c r="F269" s="30"/>
    </row>
    <row r="270" ht="15.75" customHeight="1">
      <c r="A270" s="30"/>
      <c r="B270" s="30"/>
      <c r="C270" s="30"/>
      <c r="D270" s="30"/>
      <c r="E270" s="30"/>
      <c r="F270" s="30"/>
    </row>
    <row r="271" ht="15.75" customHeight="1">
      <c r="A271" s="30"/>
      <c r="B271" s="30"/>
      <c r="C271" s="30"/>
      <c r="D271" s="30"/>
      <c r="E271" s="30"/>
      <c r="F271" s="30"/>
    </row>
    <row r="272" ht="15.75" customHeight="1">
      <c r="A272" s="30"/>
      <c r="B272" s="30"/>
      <c r="C272" s="30"/>
      <c r="D272" s="30"/>
      <c r="E272" s="30"/>
      <c r="F272" s="30"/>
    </row>
    <row r="273" ht="15.75" customHeight="1">
      <c r="A273" s="30"/>
      <c r="B273" s="30"/>
      <c r="C273" s="30"/>
      <c r="D273" s="30"/>
      <c r="E273" s="30"/>
      <c r="F273" s="30"/>
    </row>
    <row r="274" ht="15.75" customHeight="1">
      <c r="A274" s="30"/>
      <c r="B274" s="30"/>
      <c r="C274" s="30"/>
      <c r="D274" s="30"/>
      <c r="E274" s="30"/>
      <c r="F274" s="30"/>
    </row>
    <row r="275" ht="15.75" customHeight="1">
      <c r="A275" s="30"/>
      <c r="B275" s="30"/>
      <c r="C275" s="30"/>
      <c r="D275" s="30"/>
      <c r="E275" s="30"/>
      <c r="F275" s="30"/>
    </row>
    <row r="276" ht="15.75" customHeight="1">
      <c r="A276" s="30"/>
      <c r="B276" s="30"/>
      <c r="C276" s="30"/>
      <c r="D276" s="30"/>
      <c r="E276" s="30"/>
      <c r="F276" s="30"/>
    </row>
    <row r="277" ht="15.75" customHeight="1">
      <c r="A277" s="30"/>
      <c r="B277" s="30"/>
      <c r="C277" s="30"/>
      <c r="D277" s="30"/>
      <c r="E277" s="30"/>
      <c r="F277" s="30"/>
    </row>
    <row r="278" ht="15.75" customHeight="1">
      <c r="A278" s="30"/>
      <c r="B278" s="30"/>
      <c r="C278" s="30"/>
      <c r="D278" s="30"/>
      <c r="E278" s="30"/>
      <c r="F278" s="30"/>
    </row>
    <row r="279" ht="15.75" customHeight="1">
      <c r="A279" s="30"/>
      <c r="B279" s="30"/>
      <c r="C279" s="30"/>
      <c r="D279" s="30"/>
      <c r="E279" s="30"/>
      <c r="F279" s="30"/>
    </row>
    <row r="280" ht="15.75" customHeight="1">
      <c r="A280" s="30"/>
      <c r="B280" s="30"/>
      <c r="C280" s="30"/>
      <c r="D280" s="30"/>
      <c r="E280" s="30"/>
      <c r="F280" s="30"/>
    </row>
    <row r="281" ht="15.75" customHeight="1">
      <c r="A281" s="30"/>
      <c r="B281" s="30"/>
      <c r="C281" s="30"/>
      <c r="D281" s="30"/>
      <c r="E281" s="30"/>
      <c r="F281" s="30"/>
    </row>
    <row r="282" ht="15.75" customHeight="1">
      <c r="A282" s="30"/>
      <c r="B282" s="30"/>
      <c r="C282" s="30"/>
      <c r="D282" s="30"/>
      <c r="E282" s="30"/>
      <c r="F282" s="30"/>
    </row>
    <row r="283" ht="15.75" customHeight="1">
      <c r="A283" s="30"/>
      <c r="B283" s="30"/>
      <c r="C283" s="30"/>
      <c r="D283" s="30"/>
      <c r="E283" s="30"/>
      <c r="F283" s="30"/>
    </row>
    <row r="284" ht="15.75" customHeight="1">
      <c r="A284" s="30"/>
      <c r="B284" s="30"/>
      <c r="C284" s="30"/>
      <c r="D284" s="30"/>
      <c r="E284" s="30"/>
      <c r="F284" s="30"/>
    </row>
    <row r="285" ht="15.75" customHeight="1">
      <c r="A285" s="30"/>
      <c r="B285" s="30"/>
      <c r="C285" s="30"/>
      <c r="D285" s="30"/>
      <c r="E285" s="30"/>
      <c r="F285" s="30"/>
    </row>
    <row r="286" ht="15.75" customHeight="1">
      <c r="A286" s="30"/>
      <c r="B286" s="30"/>
      <c r="C286" s="30"/>
      <c r="D286" s="30"/>
      <c r="E286" s="30"/>
      <c r="F286" s="30"/>
    </row>
    <row r="287" ht="15.75" customHeight="1">
      <c r="A287" s="30"/>
      <c r="B287" s="30"/>
      <c r="C287" s="30"/>
      <c r="D287" s="30"/>
      <c r="E287" s="30"/>
      <c r="F287" s="30"/>
    </row>
    <row r="288" ht="15.75" customHeight="1">
      <c r="A288" s="30"/>
      <c r="B288" s="30"/>
      <c r="C288" s="30"/>
      <c r="D288" s="30"/>
      <c r="E288" s="30"/>
      <c r="F288" s="30"/>
    </row>
    <row r="289" ht="15.75" customHeight="1">
      <c r="A289" s="30"/>
      <c r="B289" s="30"/>
      <c r="C289" s="30"/>
      <c r="D289" s="30"/>
      <c r="E289" s="30"/>
      <c r="F289" s="30"/>
    </row>
    <row r="290" ht="15.75" customHeight="1">
      <c r="A290" s="30"/>
      <c r="B290" s="30"/>
      <c r="C290" s="30"/>
      <c r="D290" s="30"/>
      <c r="E290" s="30"/>
      <c r="F290" s="30"/>
    </row>
    <row r="291" ht="15.75" customHeight="1">
      <c r="A291" s="30"/>
      <c r="B291" s="30"/>
      <c r="C291" s="30"/>
      <c r="D291" s="30"/>
      <c r="E291" s="30"/>
      <c r="F291" s="30"/>
    </row>
    <row r="292" ht="15.75" customHeight="1">
      <c r="A292" s="30"/>
      <c r="B292" s="30"/>
      <c r="C292" s="30"/>
      <c r="D292" s="30"/>
      <c r="E292" s="30"/>
      <c r="F292" s="30"/>
    </row>
    <row r="293" ht="15.75" customHeight="1">
      <c r="A293" s="30"/>
      <c r="B293" s="30"/>
      <c r="C293" s="30"/>
      <c r="D293" s="30"/>
      <c r="E293" s="30"/>
      <c r="F293" s="30"/>
    </row>
    <row r="294" ht="15.75" customHeight="1">
      <c r="A294" s="30"/>
      <c r="B294" s="30"/>
      <c r="C294" s="30"/>
      <c r="D294" s="30"/>
      <c r="E294" s="30"/>
      <c r="F294" s="30"/>
    </row>
    <row r="295" ht="15.75" customHeight="1">
      <c r="A295" s="30"/>
      <c r="B295" s="30"/>
      <c r="C295" s="30"/>
      <c r="D295" s="30"/>
      <c r="E295" s="30"/>
      <c r="F295" s="30"/>
    </row>
    <row r="296" ht="15.75" customHeight="1">
      <c r="A296" s="30"/>
      <c r="B296" s="30"/>
      <c r="C296" s="30"/>
      <c r="D296" s="30"/>
      <c r="E296" s="30"/>
      <c r="F296" s="30"/>
    </row>
    <row r="297" ht="15.75" customHeight="1">
      <c r="A297" s="30"/>
      <c r="B297" s="30"/>
      <c r="C297" s="30"/>
      <c r="D297" s="30"/>
      <c r="E297" s="30"/>
      <c r="F297" s="30"/>
    </row>
    <row r="298" ht="15.75" customHeight="1">
      <c r="A298" s="30"/>
      <c r="B298" s="30"/>
      <c r="C298" s="30"/>
      <c r="D298" s="30"/>
      <c r="E298" s="30"/>
      <c r="F298" s="30"/>
    </row>
    <row r="299" ht="15.75" customHeight="1">
      <c r="A299" s="30"/>
      <c r="B299" s="30"/>
      <c r="C299" s="30"/>
      <c r="D299" s="30"/>
      <c r="E299" s="30"/>
      <c r="F299" s="30"/>
    </row>
    <row r="300" ht="15.75" customHeight="1">
      <c r="A300" s="30"/>
      <c r="B300" s="30"/>
      <c r="C300" s="30"/>
      <c r="D300" s="30"/>
      <c r="E300" s="30"/>
      <c r="F300" s="30"/>
    </row>
    <row r="301" ht="15.75" customHeight="1">
      <c r="A301" s="30"/>
      <c r="B301" s="30"/>
      <c r="C301" s="30"/>
      <c r="D301" s="30"/>
      <c r="E301" s="30"/>
      <c r="F301" s="30"/>
    </row>
    <row r="302" ht="15.75" customHeight="1">
      <c r="A302" s="30"/>
      <c r="B302" s="30"/>
      <c r="C302" s="30"/>
      <c r="D302" s="30"/>
      <c r="E302" s="30"/>
      <c r="F302" s="30"/>
    </row>
    <row r="303" ht="15.75" customHeight="1">
      <c r="A303" s="30"/>
      <c r="B303" s="30"/>
      <c r="C303" s="30"/>
      <c r="D303" s="30"/>
      <c r="E303" s="30"/>
      <c r="F303" s="30"/>
    </row>
    <row r="304" ht="15.75" customHeight="1">
      <c r="A304" s="30"/>
      <c r="B304" s="30"/>
      <c r="C304" s="30"/>
      <c r="D304" s="30"/>
      <c r="E304" s="30"/>
      <c r="F304" s="30"/>
    </row>
    <row r="305" ht="15.75" customHeight="1">
      <c r="A305" s="30"/>
      <c r="B305" s="30"/>
      <c r="C305" s="30"/>
      <c r="D305" s="30"/>
      <c r="E305" s="30"/>
      <c r="F305" s="30"/>
    </row>
    <row r="306" ht="15.75" customHeight="1">
      <c r="A306" s="30"/>
      <c r="B306" s="30"/>
      <c r="C306" s="30"/>
      <c r="D306" s="30"/>
      <c r="E306" s="30"/>
      <c r="F306" s="30"/>
    </row>
    <row r="307" ht="15.75" customHeight="1">
      <c r="A307" s="30"/>
      <c r="B307" s="30"/>
      <c r="C307" s="30"/>
      <c r="D307" s="30"/>
      <c r="E307" s="30"/>
      <c r="F307" s="30"/>
    </row>
    <row r="308" ht="15.75" customHeight="1">
      <c r="A308" s="30"/>
      <c r="B308" s="30"/>
      <c r="C308" s="30"/>
      <c r="D308" s="30"/>
      <c r="E308" s="30"/>
      <c r="F308" s="30"/>
    </row>
    <row r="309" ht="15.75" customHeight="1">
      <c r="A309" s="30"/>
      <c r="B309" s="30"/>
      <c r="C309" s="30"/>
      <c r="D309" s="30"/>
      <c r="E309" s="30"/>
      <c r="F309" s="30"/>
    </row>
    <row r="310" ht="15.75" customHeight="1">
      <c r="A310" s="30"/>
      <c r="B310" s="30"/>
      <c r="C310" s="30"/>
      <c r="D310" s="30"/>
      <c r="E310" s="30"/>
      <c r="F310" s="30"/>
    </row>
    <row r="311" ht="15.75" customHeight="1">
      <c r="A311" s="30"/>
      <c r="B311" s="30"/>
      <c r="C311" s="30"/>
      <c r="D311" s="30"/>
      <c r="E311" s="30"/>
      <c r="F311" s="30"/>
    </row>
    <row r="312" ht="15.75" customHeight="1">
      <c r="A312" s="30"/>
      <c r="B312" s="30"/>
      <c r="C312" s="30"/>
      <c r="D312" s="30"/>
      <c r="E312" s="30"/>
      <c r="F312" s="30"/>
    </row>
    <row r="313" ht="15.75" customHeight="1">
      <c r="A313" s="30"/>
      <c r="B313" s="30"/>
      <c r="C313" s="30"/>
      <c r="D313" s="30"/>
      <c r="E313" s="30"/>
      <c r="F313" s="30"/>
    </row>
    <row r="314" ht="15.75" customHeight="1">
      <c r="A314" s="30"/>
      <c r="B314" s="30"/>
      <c r="C314" s="30"/>
      <c r="D314" s="30"/>
      <c r="E314" s="30"/>
      <c r="F314" s="30"/>
    </row>
    <row r="315" ht="15.75" customHeight="1">
      <c r="A315" s="30"/>
      <c r="B315" s="30"/>
      <c r="C315" s="30"/>
      <c r="D315" s="30"/>
      <c r="E315" s="30"/>
      <c r="F315" s="30"/>
    </row>
    <row r="316" ht="15.75" customHeight="1">
      <c r="A316" s="30"/>
      <c r="B316" s="30"/>
      <c r="C316" s="30"/>
      <c r="D316" s="30"/>
      <c r="E316" s="30"/>
      <c r="F316" s="30"/>
    </row>
    <row r="317" ht="15.75" customHeight="1">
      <c r="A317" s="30"/>
      <c r="B317" s="30"/>
      <c r="C317" s="30"/>
      <c r="D317" s="30"/>
      <c r="E317" s="30"/>
      <c r="F317" s="30"/>
    </row>
    <row r="318" ht="15.75" customHeight="1">
      <c r="A318" s="30"/>
      <c r="B318" s="30"/>
      <c r="C318" s="30"/>
      <c r="D318" s="30"/>
      <c r="E318" s="30"/>
      <c r="F318" s="30"/>
    </row>
    <row r="319" ht="15.75" customHeight="1">
      <c r="A319" s="30"/>
      <c r="B319" s="30"/>
      <c r="C319" s="30"/>
      <c r="D319" s="30"/>
      <c r="E319" s="30"/>
      <c r="F319" s="30"/>
    </row>
    <row r="320" ht="15.75" customHeight="1">
      <c r="A320" s="30"/>
      <c r="B320" s="30"/>
      <c r="C320" s="30"/>
      <c r="D320" s="30"/>
      <c r="E320" s="30"/>
      <c r="F320" s="30"/>
    </row>
    <row r="321" ht="15.75" customHeight="1">
      <c r="A321" s="30"/>
      <c r="B321" s="30"/>
      <c r="C321" s="30"/>
      <c r="D321" s="30"/>
      <c r="E321" s="30"/>
      <c r="F321" s="30"/>
    </row>
    <row r="322" ht="15.75" customHeight="1">
      <c r="A322" s="30"/>
      <c r="B322" s="30"/>
      <c r="C322" s="30"/>
      <c r="D322" s="30"/>
      <c r="E322" s="30"/>
      <c r="F322" s="30"/>
    </row>
    <row r="323" ht="15.75" customHeight="1">
      <c r="A323" s="30"/>
      <c r="B323" s="30"/>
      <c r="C323" s="30"/>
      <c r="D323" s="30"/>
      <c r="E323" s="30"/>
      <c r="F323" s="30"/>
    </row>
    <row r="324" ht="15.75" customHeight="1">
      <c r="A324" s="30"/>
      <c r="B324" s="30"/>
      <c r="C324" s="30"/>
      <c r="D324" s="30"/>
      <c r="E324" s="30"/>
      <c r="F324" s="30"/>
    </row>
    <row r="325" ht="15.75" customHeight="1">
      <c r="A325" s="30"/>
      <c r="B325" s="30"/>
      <c r="C325" s="30"/>
      <c r="D325" s="30"/>
      <c r="E325" s="30"/>
      <c r="F325" s="30"/>
    </row>
    <row r="326" ht="15.75" customHeight="1">
      <c r="A326" s="30"/>
      <c r="B326" s="30"/>
      <c r="C326" s="30"/>
      <c r="D326" s="30"/>
      <c r="E326" s="30"/>
      <c r="F326" s="30"/>
    </row>
    <row r="327" ht="15.75" customHeight="1">
      <c r="A327" s="30"/>
      <c r="B327" s="30"/>
      <c r="C327" s="30"/>
      <c r="D327" s="30"/>
      <c r="E327" s="30"/>
      <c r="F327" s="30"/>
    </row>
    <row r="328" ht="15.75" customHeight="1">
      <c r="A328" s="30"/>
      <c r="B328" s="30"/>
      <c r="C328" s="30"/>
      <c r="D328" s="30"/>
      <c r="E328" s="30"/>
      <c r="F328" s="30"/>
    </row>
    <row r="329" ht="15.75" customHeight="1">
      <c r="A329" s="30"/>
      <c r="B329" s="30"/>
      <c r="C329" s="30"/>
      <c r="D329" s="30"/>
      <c r="E329" s="30"/>
      <c r="F329" s="30"/>
    </row>
    <row r="330" ht="15.75" customHeight="1">
      <c r="A330" s="30"/>
      <c r="B330" s="30"/>
      <c r="C330" s="30"/>
      <c r="D330" s="30"/>
      <c r="E330" s="30"/>
      <c r="F330" s="30"/>
    </row>
    <row r="331" ht="15.75" customHeight="1">
      <c r="A331" s="30"/>
      <c r="B331" s="30"/>
      <c r="C331" s="30"/>
      <c r="D331" s="30"/>
      <c r="E331" s="30"/>
      <c r="F331" s="30"/>
    </row>
    <row r="332" ht="15.75" customHeight="1">
      <c r="A332" s="30"/>
      <c r="B332" s="30"/>
      <c r="C332" s="30"/>
      <c r="D332" s="30"/>
      <c r="E332" s="30"/>
      <c r="F332" s="30"/>
    </row>
    <row r="333" ht="15.75" customHeight="1">
      <c r="A333" s="30"/>
      <c r="B333" s="30"/>
      <c r="C333" s="30"/>
      <c r="D333" s="30"/>
      <c r="E333" s="30"/>
      <c r="F333" s="30"/>
    </row>
    <row r="334" ht="15.75" customHeight="1">
      <c r="A334" s="30"/>
      <c r="B334" s="30"/>
      <c r="C334" s="30"/>
      <c r="D334" s="30"/>
      <c r="E334" s="30"/>
      <c r="F334" s="30"/>
    </row>
    <row r="335" ht="15.75" customHeight="1">
      <c r="A335" s="30"/>
      <c r="B335" s="30"/>
      <c r="C335" s="30"/>
      <c r="D335" s="30"/>
      <c r="E335" s="30"/>
      <c r="F335" s="30"/>
    </row>
    <row r="336" ht="15.75" customHeight="1">
      <c r="A336" s="30"/>
      <c r="B336" s="30"/>
      <c r="C336" s="30"/>
      <c r="D336" s="30"/>
      <c r="E336" s="30"/>
      <c r="F336" s="30"/>
    </row>
    <row r="337" ht="15.75" customHeight="1">
      <c r="A337" s="30"/>
      <c r="B337" s="30"/>
      <c r="C337" s="30"/>
      <c r="D337" s="30"/>
      <c r="E337" s="30"/>
      <c r="F337" s="30"/>
    </row>
    <row r="338" ht="15.75" customHeight="1">
      <c r="A338" s="30"/>
      <c r="B338" s="30"/>
      <c r="C338" s="30"/>
      <c r="D338" s="30"/>
      <c r="E338" s="30"/>
      <c r="F338" s="30"/>
    </row>
    <row r="339" ht="15.75" customHeight="1">
      <c r="A339" s="30"/>
      <c r="B339" s="30"/>
      <c r="C339" s="30"/>
      <c r="D339" s="30"/>
      <c r="E339" s="30"/>
      <c r="F339" s="30"/>
    </row>
    <row r="340" ht="15.75" customHeight="1">
      <c r="A340" s="30"/>
      <c r="B340" s="30"/>
      <c r="C340" s="30"/>
      <c r="D340" s="30"/>
      <c r="E340" s="30"/>
      <c r="F340" s="30"/>
    </row>
    <row r="341" ht="15.75" customHeight="1">
      <c r="A341" s="30"/>
      <c r="B341" s="30"/>
      <c r="C341" s="30"/>
      <c r="D341" s="30"/>
      <c r="E341" s="30"/>
      <c r="F341" s="30"/>
    </row>
    <row r="342" ht="15.75" customHeight="1">
      <c r="A342" s="30"/>
      <c r="B342" s="30"/>
      <c r="C342" s="30"/>
      <c r="D342" s="30"/>
      <c r="E342" s="30"/>
      <c r="F342" s="30"/>
    </row>
    <row r="343" ht="15.75" customHeight="1">
      <c r="A343" s="30"/>
      <c r="B343" s="30"/>
      <c r="C343" s="30"/>
      <c r="D343" s="30"/>
      <c r="E343" s="30"/>
      <c r="F343" s="30"/>
    </row>
    <row r="344" ht="15.75" customHeight="1">
      <c r="A344" s="30"/>
      <c r="B344" s="30"/>
      <c r="C344" s="30"/>
      <c r="D344" s="30"/>
      <c r="E344" s="30"/>
      <c r="F344" s="30"/>
    </row>
    <row r="345" ht="15.75" customHeight="1">
      <c r="A345" s="30"/>
      <c r="B345" s="30"/>
      <c r="C345" s="30"/>
      <c r="D345" s="30"/>
      <c r="E345" s="30"/>
      <c r="F345" s="30"/>
    </row>
    <row r="346" ht="15.75" customHeight="1">
      <c r="A346" s="30"/>
      <c r="B346" s="30"/>
      <c r="C346" s="30"/>
      <c r="D346" s="30"/>
      <c r="E346" s="30"/>
      <c r="F346" s="30"/>
    </row>
    <row r="347" ht="15.75" customHeight="1">
      <c r="A347" s="30"/>
      <c r="B347" s="30"/>
      <c r="C347" s="30"/>
      <c r="D347" s="30"/>
      <c r="E347" s="30"/>
      <c r="F347" s="30"/>
    </row>
    <row r="348" ht="15.75" customHeight="1">
      <c r="A348" s="30"/>
      <c r="B348" s="30"/>
      <c r="C348" s="30"/>
      <c r="D348" s="30"/>
      <c r="E348" s="30"/>
      <c r="F348" s="30"/>
    </row>
    <row r="349" ht="15.75" customHeight="1">
      <c r="A349" s="30"/>
      <c r="B349" s="30"/>
      <c r="C349" s="30"/>
      <c r="D349" s="30"/>
      <c r="E349" s="30"/>
      <c r="F349" s="30"/>
    </row>
    <row r="350" ht="15.75" customHeight="1">
      <c r="A350" s="30"/>
      <c r="B350" s="30"/>
      <c r="C350" s="30"/>
      <c r="D350" s="30"/>
      <c r="E350" s="30"/>
      <c r="F350" s="30"/>
    </row>
    <row r="351" ht="15.75" customHeight="1">
      <c r="A351" s="30"/>
      <c r="B351" s="30"/>
      <c r="C351" s="30"/>
      <c r="D351" s="30"/>
      <c r="E351" s="30"/>
      <c r="F351" s="30"/>
    </row>
    <row r="352" ht="15.75" customHeight="1">
      <c r="A352" s="30"/>
      <c r="B352" s="30"/>
      <c r="C352" s="30"/>
      <c r="D352" s="30"/>
      <c r="E352" s="30"/>
      <c r="F352" s="30"/>
    </row>
    <row r="353" ht="15.75" customHeight="1">
      <c r="A353" s="30"/>
      <c r="B353" s="30"/>
      <c r="C353" s="30"/>
      <c r="D353" s="30"/>
      <c r="E353" s="30"/>
      <c r="F353" s="30"/>
    </row>
    <row r="354" ht="15.75" customHeight="1">
      <c r="A354" s="30"/>
      <c r="B354" s="30"/>
      <c r="C354" s="30"/>
      <c r="D354" s="30"/>
      <c r="E354" s="30"/>
      <c r="F354" s="30"/>
    </row>
    <row r="355" ht="15.75" customHeight="1">
      <c r="A355" s="30"/>
      <c r="B355" s="30"/>
      <c r="C355" s="30"/>
      <c r="D355" s="30"/>
      <c r="E355" s="30"/>
      <c r="F355" s="30"/>
    </row>
    <row r="356" ht="15.75" customHeight="1">
      <c r="A356" s="30"/>
      <c r="B356" s="30"/>
      <c r="C356" s="30"/>
      <c r="D356" s="30"/>
      <c r="E356" s="30"/>
      <c r="F356" s="30"/>
    </row>
    <row r="357" ht="15.75" customHeight="1">
      <c r="A357" s="30"/>
      <c r="B357" s="30"/>
      <c r="C357" s="30"/>
      <c r="D357" s="30"/>
      <c r="E357" s="30"/>
      <c r="F357" s="30"/>
    </row>
    <row r="358" ht="15.75" customHeight="1">
      <c r="A358" s="30"/>
      <c r="B358" s="30"/>
      <c r="C358" s="30"/>
      <c r="D358" s="30"/>
      <c r="E358" s="30"/>
      <c r="F358" s="30"/>
    </row>
    <row r="359" ht="15.75" customHeight="1">
      <c r="A359" s="30"/>
      <c r="B359" s="30"/>
      <c r="C359" s="30"/>
      <c r="D359" s="30"/>
      <c r="E359" s="30"/>
      <c r="F359" s="30"/>
    </row>
    <row r="360" ht="15.75" customHeight="1">
      <c r="A360" s="30"/>
      <c r="B360" s="30"/>
      <c r="C360" s="30"/>
      <c r="D360" s="30"/>
      <c r="E360" s="30"/>
      <c r="F360" s="30"/>
    </row>
    <row r="361" ht="15.75" customHeight="1">
      <c r="A361" s="30"/>
      <c r="B361" s="30"/>
      <c r="C361" s="30"/>
      <c r="D361" s="30"/>
      <c r="E361" s="30"/>
      <c r="F361" s="30"/>
    </row>
    <row r="362" ht="15.75" customHeight="1">
      <c r="A362" s="30"/>
      <c r="B362" s="30"/>
      <c r="C362" s="30"/>
      <c r="D362" s="30"/>
      <c r="E362" s="30"/>
      <c r="F362" s="30"/>
    </row>
    <row r="363" ht="15.75" customHeight="1">
      <c r="A363" s="30"/>
      <c r="B363" s="30"/>
      <c r="C363" s="30"/>
      <c r="D363" s="30"/>
      <c r="E363" s="30"/>
      <c r="F363" s="30"/>
    </row>
    <row r="364" ht="15.75" customHeight="1">
      <c r="A364" s="30"/>
      <c r="B364" s="30"/>
      <c r="C364" s="30"/>
      <c r="D364" s="30"/>
      <c r="E364" s="30"/>
      <c r="F364" s="30"/>
    </row>
    <row r="365" ht="15.75" customHeight="1">
      <c r="A365" s="30"/>
      <c r="B365" s="30"/>
      <c r="C365" s="30"/>
      <c r="D365" s="30"/>
      <c r="E365" s="30"/>
      <c r="F365" s="30"/>
    </row>
    <row r="366" ht="15.75" customHeight="1">
      <c r="A366" s="30"/>
      <c r="B366" s="30"/>
      <c r="C366" s="30"/>
      <c r="D366" s="30"/>
      <c r="E366" s="30"/>
      <c r="F366" s="30"/>
    </row>
    <row r="367" ht="15.75" customHeight="1">
      <c r="A367" s="30"/>
      <c r="B367" s="30"/>
      <c r="C367" s="30"/>
      <c r="D367" s="30"/>
      <c r="E367" s="30"/>
      <c r="F367" s="30"/>
    </row>
    <row r="368" ht="15.75" customHeight="1">
      <c r="A368" s="30"/>
      <c r="B368" s="30"/>
      <c r="C368" s="30"/>
      <c r="D368" s="30"/>
      <c r="E368" s="30"/>
      <c r="F368" s="30"/>
    </row>
    <row r="369" ht="15.75" customHeight="1">
      <c r="A369" s="30"/>
      <c r="B369" s="30"/>
      <c r="C369" s="30"/>
      <c r="D369" s="30"/>
      <c r="E369" s="30"/>
      <c r="F369" s="30"/>
    </row>
    <row r="370" ht="15.75" customHeight="1">
      <c r="A370" s="30"/>
      <c r="B370" s="30"/>
      <c r="C370" s="30"/>
      <c r="D370" s="30"/>
      <c r="E370" s="30"/>
      <c r="F370" s="30"/>
    </row>
    <row r="371" ht="15.75" customHeight="1">
      <c r="A371" s="30"/>
      <c r="B371" s="30"/>
      <c r="C371" s="30"/>
      <c r="D371" s="30"/>
      <c r="E371" s="30"/>
      <c r="F371" s="30"/>
    </row>
    <row r="372" ht="15.75" customHeight="1">
      <c r="A372" s="30"/>
      <c r="B372" s="30"/>
      <c r="C372" s="30"/>
      <c r="D372" s="30"/>
      <c r="E372" s="30"/>
      <c r="F372" s="30"/>
    </row>
    <row r="373" ht="15.75" customHeight="1">
      <c r="A373" s="30"/>
      <c r="B373" s="30"/>
      <c r="C373" s="30"/>
      <c r="D373" s="30"/>
      <c r="E373" s="30"/>
      <c r="F373" s="30"/>
    </row>
    <row r="374" ht="15.75" customHeight="1">
      <c r="A374" s="30"/>
      <c r="B374" s="30"/>
      <c r="C374" s="30"/>
      <c r="D374" s="30"/>
      <c r="E374" s="30"/>
      <c r="F374" s="30"/>
    </row>
    <row r="375" ht="15.75" customHeight="1">
      <c r="A375" s="30"/>
      <c r="B375" s="30"/>
      <c r="C375" s="30"/>
      <c r="D375" s="30"/>
      <c r="E375" s="30"/>
      <c r="F375" s="30"/>
    </row>
    <row r="376" ht="15.75" customHeight="1">
      <c r="A376" s="30"/>
      <c r="B376" s="30"/>
      <c r="C376" s="30"/>
      <c r="D376" s="30"/>
      <c r="E376" s="30"/>
      <c r="F376" s="30"/>
    </row>
    <row r="377" ht="15.75" customHeight="1">
      <c r="A377" s="30"/>
      <c r="B377" s="30"/>
      <c r="C377" s="30"/>
      <c r="D377" s="30"/>
      <c r="E377" s="30"/>
      <c r="F377" s="30"/>
    </row>
    <row r="378" ht="15.75" customHeight="1">
      <c r="A378" s="30"/>
      <c r="B378" s="30"/>
      <c r="C378" s="30"/>
      <c r="D378" s="30"/>
      <c r="E378" s="30"/>
      <c r="F378" s="30"/>
    </row>
    <row r="379" ht="15.75" customHeight="1">
      <c r="A379" s="30"/>
      <c r="B379" s="30"/>
      <c r="C379" s="30"/>
      <c r="D379" s="30"/>
      <c r="E379" s="30"/>
      <c r="F379" s="30"/>
    </row>
    <row r="380" ht="15.75" customHeight="1">
      <c r="A380" s="30"/>
      <c r="B380" s="30"/>
      <c r="C380" s="30"/>
      <c r="D380" s="30"/>
      <c r="E380" s="30"/>
      <c r="F380" s="30"/>
    </row>
    <row r="381" ht="15.75" customHeight="1">
      <c r="A381" s="30"/>
      <c r="B381" s="30"/>
      <c r="C381" s="30"/>
      <c r="D381" s="30"/>
      <c r="E381" s="30"/>
      <c r="F381" s="30"/>
    </row>
    <row r="382" ht="15.75" customHeight="1">
      <c r="A382" s="30"/>
      <c r="B382" s="30"/>
      <c r="C382" s="30"/>
      <c r="D382" s="30"/>
      <c r="E382" s="30"/>
      <c r="F382" s="30"/>
    </row>
    <row r="383" ht="15.75" customHeight="1">
      <c r="A383" s="30"/>
      <c r="B383" s="30"/>
      <c r="C383" s="30"/>
      <c r="D383" s="30"/>
      <c r="E383" s="30"/>
      <c r="F383" s="30"/>
    </row>
    <row r="384" ht="15.75" customHeight="1">
      <c r="A384" s="30"/>
      <c r="B384" s="30"/>
      <c r="C384" s="30"/>
      <c r="D384" s="30"/>
      <c r="E384" s="30"/>
      <c r="F384" s="30"/>
    </row>
    <row r="385" ht="15.75" customHeight="1">
      <c r="A385" s="30"/>
      <c r="B385" s="30"/>
      <c r="C385" s="30"/>
      <c r="D385" s="30"/>
      <c r="E385" s="30"/>
      <c r="F385" s="30"/>
    </row>
    <row r="386" ht="15.75" customHeight="1">
      <c r="A386" s="30"/>
      <c r="B386" s="30"/>
      <c r="C386" s="30"/>
      <c r="D386" s="30"/>
      <c r="E386" s="30"/>
      <c r="F386" s="30"/>
    </row>
    <row r="387" ht="15.75" customHeight="1">
      <c r="A387" s="30"/>
      <c r="B387" s="30"/>
      <c r="C387" s="30"/>
      <c r="D387" s="30"/>
      <c r="E387" s="30"/>
      <c r="F387" s="30"/>
    </row>
    <row r="388" ht="15.75" customHeight="1">
      <c r="A388" s="30"/>
      <c r="B388" s="30"/>
      <c r="C388" s="30"/>
      <c r="D388" s="30"/>
      <c r="E388" s="30"/>
      <c r="F388" s="30"/>
    </row>
    <row r="389" ht="15.75" customHeight="1">
      <c r="A389" s="30"/>
      <c r="B389" s="30"/>
      <c r="C389" s="30"/>
      <c r="D389" s="30"/>
      <c r="E389" s="30"/>
      <c r="F389" s="30"/>
    </row>
    <row r="390" ht="15.75" customHeight="1">
      <c r="A390" s="30"/>
      <c r="B390" s="30"/>
      <c r="C390" s="30"/>
      <c r="D390" s="30"/>
      <c r="E390" s="30"/>
      <c r="F390" s="30"/>
    </row>
    <row r="391" ht="15.75" customHeight="1">
      <c r="A391" s="30"/>
      <c r="B391" s="30"/>
      <c r="C391" s="30"/>
      <c r="D391" s="30"/>
      <c r="E391" s="30"/>
      <c r="F391" s="30"/>
    </row>
    <row r="392" ht="15.75" customHeight="1">
      <c r="A392" s="30"/>
      <c r="B392" s="30"/>
      <c r="C392" s="30"/>
      <c r="D392" s="30"/>
      <c r="E392" s="30"/>
      <c r="F392" s="30"/>
    </row>
    <row r="393" ht="15.75" customHeight="1">
      <c r="A393" s="30"/>
      <c r="B393" s="30"/>
      <c r="C393" s="30"/>
      <c r="D393" s="30"/>
      <c r="E393" s="30"/>
      <c r="F393" s="30"/>
    </row>
    <row r="394" ht="15.75" customHeight="1">
      <c r="A394" s="30"/>
      <c r="B394" s="30"/>
      <c r="C394" s="30"/>
      <c r="D394" s="30"/>
      <c r="E394" s="30"/>
      <c r="F394" s="30"/>
    </row>
    <row r="395" ht="15.75" customHeight="1">
      <c r="A395" s="30"/>
      <c r="B395" s="30"/>
      <c r="C395" s="30"/>
      <c r="D395" s="30"/>
      <c r="E395" s="30"/>
      <c r="F395" s="30"/>
    </row>
    <row r="396" ht="15.75" customHeight="1">
      <c r="A396" s="30"/>
      <c r="B396" s="30"/>
      <c r="C396" s="30"/>
      <c r="D396" s="30"/>
      <c r="E396" s="30"/>
      <c r="F396" s="30"/>
    </row>
    <row r="397" ht="15.75" customHeight="1">
      <c r="A397" s="30"/>
      <c r="B397" s="30"/>
      <c r="C397" s="30"/>
      <c r="D397" s="30"/>
      <c r="E397" s="30"/>
      <c r="F397" s="30"/>
    </row>
    <row r="398" ht="15.75" customHeight="1">
      <c r="A398" s="30"/>
      <c r="B398" s="30"/>
      <c r="C398" s="30"/>
      <c r="D398" s="30"/>
      <c r="E398" s="30"/>
      <c r="F398" s="30"/>
    </row>
    <row r="399" ht="15.75" customHeight="1">
      <c r="A399" s="30"/>
      <c r="B399" s="30"/>
      <c r="C399" s="30"/>
      <c r="D399" s="30"/>
      <c r="E399" s="30"/>
      <c r="F399" s="30"/>
    </row>
    <row r="400" ht="15.75" customHeight="1">
      <c r="A400" s="30"/>
      <c r="B400" s="30"/>
      <c r="C400" s="30"/>
      <c r="D400" s="30"/>
      <c r="E400" s="30"/>
      <c r="F400" s="30"/>
    </row>
    <row r="401" ht="15.75" customHeight="1">
      <c r="A401" s="30"/>
      <c r="B401" s="30"/>
      <c r="C401" s="30"/>
      <c r="D401" s="30"/>
      <c r="E401" s="30"/>
      <c r="F401" s="30"/>
    </row>
    <row r="402" ht="15.75" customHeight="1">
      <c r="A402" s="30"/>
      <c r="B402" s="30"/>
      <c r="C402" s="30"/>
      <c r="D402" s="30"/>
      <c r="E402" s="30"/>
      <c r="F402" s="30"/>
    </row>
    <row r="403" ht="15.75" customHeight="1">
      <c r="A403" s="30"/>
      <c r="B403" s="30"/>
      <c r="C403" s="30"/>
      <c r="D403" s="30"/>
      <c r="E403" s="30"/>
      <c r="F403" s="30"/>
    </row>
    <row r="404" ht="15.75" customHeight="1">
      <c r="A404" s="30"/>
      <c r="B404" s="30"/>
      <c r="C404" s="30"/>
      <c r="D404" s="30"/>
      <c r="E404" s="30"/>
      <c r="F404" s="30"/>
    </row>
    <row r="405" ht="15.75" customHeight="1">
      <c r="A405" s="30"/>
      <c r="B405" s="30"/>
      <c r="C405" s="30"/>
      <c r="D405" s="30"/>
      <c r="E405" s="30"/>
      <c r="F405" s="30"/>
    </row>
    <row r="406" ht="15.75" customHeight="1">
      <c r="A406" s="30"/>
      <c r="B406" s="30"/>
      <c r="C406" s="30"/>
      <c r="D406" s="30"/>
      <c r="E406" s="30"/>
      <c r="F406" s="30"/>
    </row>
    <row r="407" ht="15.75" customHeight="1">
      <c r="A407" s="30"/>
      <c r="B407" s="30"/>
      <c r="C407" s="30"/>
      <c r="D407" s="30"/>
      <c r="E407" s="30"/>
      <c r="F407" s="30"/>
    </row>
    <row r="408" ht="15.75" customHeight="1">
      <c r="A408" s="30"/>
      <c r="B408" s="30"/>
      <c r="C408" s="30"/>
      <c r="D408" s="30"/>
      <c r="E408" s="30"/>
      <c r="F408" s="30"/>
    </row>
    <row r="409" ht="15.75" customHeight="1">
      <c r="A409" s="30"/>
      <c r="B409" s="30"/>
      <c r="C409" s="30"/>
      <c r="D409" s="30"/>
      <c r="E409" s="30"/>
      <c r="F409" s="30"/>
    </row>
    <row r="410" ht="15.75" customHeight="1">
      <c r="A410" s="30"/>
      <c r="B410" s="30"/>
      <c r="C410" s="30"/>
      <c r="D410" s="30"/>
      <c r="E410" s="30"/>
      <c r="F410" s="30"/>
    </row>
    <row r="411" ht="15.75" customHeight="1">
      <c r="A411" s="30"/>
      <c r="B411" s="30"/>
      <c r="C411" s="30"/>
      <c r="D411" s="30"/>
      <c r="E411" s="30"/>
      <c r="F411" s="30"/>
    </row>
    <row r="412" ht="15.75" customHeight="1">
      <c r="A412" s="30"/>
      <c r="B412" s="30"/>
      <c r="C412" s="30"/>
      <c r="D412" s="30"/>
      <c r="E412" s="30"/>
      <c r="F412" s="30"/>
    </row>
    <row r="413" ht="15.75" customHeight="1">
      <c r="A413" s="30"/>
      <c r="B413" s="30"/>
      <c r="C413" s="30"/>
      <c r="D413" s="30"/>
      <c r="E413" s="30"/>
      <c r="F413" s="30"/>
    </row>
    <row r="414" ht="15.75" customHeight="1">
      <c r="A414" s="30"/>
      <c r="B414" s="30"/>
      <c r="C414" s="30"/>
      <c r="D414" s="30"/>
      <c r="E414" s="30"/>
      <c r="F414" s="30"/>
    </row>
    <row r="415" ht="15.75" customHeight="1">
      <c r="A415" s="30"/>
      <c r="B415" s="30"/>
      <c r="C415" s="30"/>
      <c r="D415" s="30"/>
      <c r="E415" s="30"/>
      <c r="F415" s="30"/>
    </row>
    <row r="416" ht="15.75" customHeight="1">
      <c r="A416" s="30"/>
      <c r="B416" s="30"/>
      <c r="C416" s="30"/>
      <c r="D416" s="30"/>
      <c r="E416" s="30"/>
      <c r="F416" s="30"/>
    </row>
    <row r="417" ht="15.75" customHeight="1">
      <c r="A417" s="30"/>
      <c r="B417" s="30"/>
      <c r="C417" s="30"/>
      <c r="D417" s="30"/>
      <c r="E417" s="30"/>
      <c r="F417" s="30"/>
    </row>
    <row r="418" ht="15.75" customHeight="1">
      <c r="A418" s="30"/>
      <c r="B418" s="30"/>
      <c r="C418" s="30"/>
      <c r="D418" s="30"/>
      <c r="E418" s="30"/>
      <c r="F418" s="30"/>
    </row>
    <row r="419" ht="15.75" customHeight="1">
      <c r="A419" s="30"/>
      <c r="B419" s="30"/>
      <c r="C419" s="30"/>
      <c r="D419" s="30"/>
      <c r="E419" s="30"/>
      <c r="F419" s="30"/>
    </row>
    <row r="420" ht="15.75" customHeight="1">
      <c r="A420" s="30"/>
      <c r="B420" s="30"/>
      <c r="C420" s="30"/>
      <c r="D420" s="30"/>
      <c r="E420" s="30"/>
      <c r="F420" s="30"/>
    </row>
    <row r="421" ht="15.75" customHeight="1">
      <c r="A421" s="30"/>
      <c r="B421" s="30"/>
      <c r="C421" s="30"/>
      <c r="D421" s="30"/>
      <c r="E421" s="30"/>
      <c r="F421" s="30"/>
    </row>
    <row r="422" ht="15.75" customHeight="1">
      <c r="A422" s="30"/>
      <c r="B422" s="30"/>
      <c r="C422" s="30"/>
      <c r="D422" s="30"/>
      <c r="E422" s="30"/>
      <c r="F422" s="30"/>
    </row>
    <row r="423" ht="15.75" customHeight="1">
      <c r="A423" s="30"/>
      <c r="B423" s="30"/>
      <c r="C423" s="30"/>
      <c r="D423" s="30"/>
      <c r="E423" s="30"/>
      <c r="F423" s="30"/>
    </row>
    <row r="424" ht="15.75" customHeight="1">
      <c r="A424" s="30"/>
      <c r="B424" s="30"/>
      <c r="C424" s="30"/>
      <c r="D424" s="30"/>
      <c r="E424" s="30"/>
      <c r="F424" s="30"/>
    </row>
    <row r="425" ht="15.75" customHeight="1">
      <c r="A425" s="30"/>
      <c r="B425" s="30"/>
      <c r="C425" s="30"/>
      <c r="D425" s="30"/>
      <c r="E425" s="30"/>
      <c r="F425" s="30"/>
    </row>
    <row r="426" ht="15.75" customHeight="1">
      <c r="A426" s="30"/>
      <c r="B426" s="30"/>
      <c r="C426" s="30"/>
      <c r="D426" s="30"/>
      <c r="E426" s="30"/>
      <c r="F426" s="30"/>
    </row>
    <row r="427" ht="15.75" customHeight="1">
      <c r="A427" s="30"/>
      <c r="B427" s="30"/>
      <c r="C427" s="30"/>
      <c r="D427" s="30"/>
      <c r="E427" s="30"/>
      <c r="F427" s="30"/>
    </row>
    <row r="428" ht="15.75" customHeight="1">
      <c r="A428" s="30"/>
      <c r="B428" s="30"/>
      <c r="C428" s="30"/>
      <c r="D428" s="30"/>
      <c r="E428" s="30"/>
      <c r="F428" s="30"/>
    </row>
    <row r="429" ht="15.75" customHeight="1">
      <c r="A429" s="30"/>
      <c r="B429" s="30"/>
      <c r="C429" s="30"/>
      <c r="D429" s="30"/>
      <c r="E429" s="30"/>
      <c r="F429" s="30"/>
    </row>
    <row r="430" ht="15.75" customHeight="1">
      <c r="A430" s="30"/>
      <c r="B430" s="30"/>
      <c r="C430" s="30"/>
      <c r="D430" s="30"/>
      <c r="E430" s="30"/>
      <c r="F430" s="30"/>
    </row>
    <row r="431" ht="15.75" customHeight="1">
      <c r="A431" s="30"/>
      <c r="B431" s="30"/>
      <c r="C431" s="30"/>
      <c r="D431" s="30"/>
      <c r="E431" s="30"/>
      <c r="F431" s="30"/>
    </row>
    <row r="432" ht="15.75" customHeight="1">
      <c r="A432" s="30"/>
      <c r="B432" s="30"/>
      <c r="C432" s="30"/>
      <c r="D432" s="30"/>
      <c r="E432" s="30"/>
      <c r="F432" s="30"/>
    </row>
    <row r="433" ht="15.75" customHeight="1">
      <c r="A433" s="30"/>
      <c r="B433" s="30"/>
      <c r="C433" s="30"/>
      <c r="D433" s="30"/>
      <c r="E433" s="30"/>
      <c r="F433" s="30"/>
    </row>
    <row r="434" ht="15.75" customHeight="1">
      <c r="A434" s="30"/>
      <c r="B434" s="30"/>
      <c r="C434" s="30"/>
      <c r="D434" s="30"/>
      <c r="E434" s="30"/>
      <c r="F434" s="30"/>
    </row>
    <row r="435" ht="15.75" customHeight="1">
      <c r="A435" s="30"/>
      <c r="B435" s="30"/>
      <c r="C435" s="30"/>
      <c r="D435" s="30"/>
      <c r="E435" s="30"/>
      <c r="F435" s="30"/>
    </row>
    <row r="436" ht="15.75" customHeight="1">
      <c r="A436" s="30"/>
      <c r="B436" s="30"/>
      <c r="C436" s="30"/>
      <c r="D436" s="30"/>
      <c r="E436" s="30"/>
      <c r="F436" s="30"/>
    </row>
    <row r="437" ht="15.75" customHeight="1">
      <c r="A437" s="30"/>
      <c r="B437" s="30"/>
      <c r="C437" s="30"/>
      <c r="D437" s="30"/>
      <c r="E437" s="30"/>
      <c r="F437" s="30"/>
    </row>
    <row r="438" ht="15.75" customHeight="1">
      <c r="A438" s="30"/>
      <c r="B438" s="30"/>
      <c r="C438" s="30"/>
      <c r="D438" s="30"/>
      <c r="E438" s="30"/>
      <c r="F438" s="30"/>
    </row>
    <row r="439" ht="15.75" customHeight="1">
      <c r="A439" s="30"/>
      <c r="B439" s="30"/>
      <c r="C439" s="30"/>
      <c r="D439" s="30"/>
      <c r="E439" s="30"/>
      <c r="F439" s="30"/>
    </row>
    <row r="440" ht="15.75" customHeight="1">
      <c r="A440" s="30"/>
      <c r="B440" s="30"/>
      <c r="C440" s="30"/>
      <c r="D440" s="30"/>
      <c r="E440" s="30"/>
      <c r="F440" s="30"/>
    </row>
    <row r="441" ht="15.75" customHeight="1">
      <c r="A441" s="30"/>
      <c r="B441" s="30"/>
      <c r="C441" s="30"/>
      <c r="D441" s="30"/>
      <c r="E441" s="30"/>
      <c r="F441" s="30"/>
    </row>
    <row r="442" ht="15.75" customHeight="1">
      <c r="A442" s="30"/>
      <c r="B442" s="30"/>
      <c r="C442" s="30"/>
      <c r="D442" s="30"/>
      <c r="E442" s="30"/>
      <c r="F442" s="30"/>
    </row>
    <row r="443" ht="15.75" customHeight="1">
      <c r="A443" s="30"/>
      <c r="B443" s="30"/>
      <c r="C443" s="30"/>
      <c r="D443" s="30"/>
      <c r="E443" s="30"/>
      <c r="F443" s="30"/>
    </row>
    <row r="444" ht="15.75" customHeight="1">
      <c r="A444" s="30"/>
      <c r="B444" s="30"/>
      <c r="C444" s="30"/>
      <c r="D444" s="30"/>
      <c r="E444" s="30"/>
      <c r="F444" s="30"/>
    </row>
    <row r="445" ht="15.75" customHeight="1">
      <c r="A445" s="30"/>
      <c r="B445" s="30"/>
      <c r="C445" s="30"/>
      <c r="D445" s="30"/>
      <c r="E445" s="30"/>
      <c r="F445" s="30"/>
    </row>
    <row r="446" ht="15.75" customHeight="1">
      <c r="A446" s="30"/>
      <c r="B446" s="30"/>
      <c r="C446" s="30"/>
      <c r="D446" s="30"/>
      <c r="E446" s="30"/>
      <c r="F446" s="30"/>
    </row>
    <row r="447" ht="15.75" customHeight="1">
      <c r="A447" s="30"/>
      <c r="B447" s="30"/>
      <c r="C447" s="30"/>
      <c r="D447" s="30"/>
      <c r="E447" s="30"/>
      <c r="F447" s="30"/>
    </row>
    <row r="448" ht="15.75" customHeight="1">
      <c r="A448" s="30"/>
      <c r="B448" s="30"/>
      <c r="C448" s="30"/>
      <c r="D448" s="30"/>
      <c r="E448" s="30"/>
      <c r="F448" s="30"/>
    </row>
    <row r="449" ht="15.75" customHeight="1">
      <c r="A449" s="30"/>
      <c r="B449" s="30"/>
      <c r="C449" s="30"/>
      <c r="D449" s="30"/>
      <c r="E449" s="30"/>
      <c r="F449" s="30"/>
    </row>
    <row r="450" ht="15.75" customHeight="1">
      <c r="A450" s="30"/>
      <c r="B450" s="30"/>
      <c r="C450" s="30"/>
      <c r="D450" s="30"/>
      <c r="E450" s="30"/>
      <c r="F450" s="30"/>
    </row>
    <row r="451" ht="15.75" customHeight="1">
      <c r="A451" s="30"/>
      <c r="B451" s="30"/>
      <c r="C451" s="30"/>
      <c r="D451" s="30"/>
      <c r="E451" s="30"/>
      <c r="F451" s="30"/>
    </row>
    <row r="452" ht="15.75" customHeight="1">
      <c r="A452" s="30"/>
      <c r="B452" s="30"/>
      <c r="C452" s="30"/>
      <c r="D452" s="30"/>
      <c r="E452" s="30"/>
      <c r="F452" s="30"/>
    </row>
    <row r="453" ht="15.75" customHeight="1">
      <c r="A453" s="30"/>
      <c r="B453" s="30"/>
      <c r="C453" s="30"/>
      <c r="D453" s="30"/>
      <c r="E453" s="30"/>
      <c r="F453" s="30"/>
    </row>
    <row r="454" ht="15.75" customHeight="1">
      <c r="A454" s="30"/>
      <c r="B454" s="30"/>
      <c r="C454" s="30"/>
      <c r="D454" s="30"/>
      <c r="E454" s="30"/>
      <c r="F454" s="30"/>
    </row>
    <row r="455" ht="15.75" customHeight="1">
      <c r="A455" s="30"/>
      <c r="B455" s="30"/>
      <c r="C455" s="30"/>
      <c r="D455" s="30"/>
      <c r="E455" s="30"/>
      <c r="F455" s="30"/>
    </row>
    <row r="456" ht="15.75" customHeight="1">
      <c r="A456" s="30"/>
      <c r="B456" s="30"/>
      <c r="C456" s="30"/>
      <c r="D456" s="30"/>
      <c r="E456" s="30"/>
      <c r="F456" s="30"/>
    </row>
    <row r="457" ht="15.75" customHeight="1">
      <c r="A457" s="30"/>
      <c r="B457" s="30"/>
      <c r="C457" s="30"/>
      <c r="D457" s="30"/>
      <c r="E457" s="30"/>
      <c r="F457" s="30"/>
    </row>
    <row r="458" ht="15.75" customHeight="1">
      <c r="A458" s="30"/>
      <c r="B458" s="30"/>
      <c r="C458" s="30"/>
      <c r="D458" s="30"/>
      <c r="E458" s="30"/>
      <c r="F458" s="30"/>
    </row>
    <row r="459" ht="15.75" customHeight="1">
      <c r="A459" s="30"/>
      <c r="B459" s="30"/>
      <c r="C459" s="30"/>
      <c r="D459" s="30"/>
      <c r="E459" s="30"/>
      <c r="F459" s="30"/>
    </row>
    <row r="460" ht="15.75" customHeight="1">
      <c r="A460" s="30"/>
      <c r="B460" s="30"/>
      <c r="C460" s="30"/>
      <c r="D460" s="30"/>
      <c r="E460" s="30"/>
      <c r="F460" s="30"/>
    </row>
    <row r="461" ht="15.75" customHeight="1">
      <c r="A461" s="30"/>
      <c r="B461" s="30"/>
      <c r="C461" s="30"/>
      <c r="D461" s="30"/>
      <c r="E461" s="30"/>
      <c r="F461" s="30"/>
    </row>
    <row r="462" ht="15.75" customHeight="1">
      <c r="A462" s="30"/>
      <c r="B462" s="30"/>
      <c r="C462" s="30"/>
      <c r="D462" s="30"/>
      <c r="E462" s="30"/>
      <c r="F462" s="30"/>
    </row>
    <row r="463" ht="15.75" customHeight="1">
      <c r="A463" s="30"/>
      <c r="B463" s="30"/>
      <c r="C463" s="30"/>
      <c r="D463" s="30"/>
      <c r="E463" s="30"/>
      <c r="F463" s="30"/>
    </row>
    <row r="464" ht="15.75" customHeight="1">
      <c r="A464" s="30"/>
      <c r="B464" s="30"/>
      <c r="C464" s="30"/>
      <c r="D464" s="30"/>
      <c r="E464" s="30"/>
      <c r="F464" s="30"/>
    </row>
    <row r="465" ht="15.75" customHeight="1">
      <c r="A465" s="30"/>
      <c r="B465" s="30"/>
      <c r="C465" s="30"/>
      <c r="D465" s="30"/>
      <c r="E465" s="30"/>
      <c r="F465" s="30"/>
    </row>
    <row r="466" ht="15.75" customHeight="1">
      <c r="A466" s="30"/>
      <c r="B466" s="30"/>
      <c r="C466" s="30"/>
      <c r="D466" s="30"/>
      <c r="E466" s="30"/>
      <c r="F466" s="30"/>
    </row>
    <row r="467" ht="15.75" customHeight="1">
      <c r="A467" s="30"/>
      <c r="B467" s="30"/>
      <c r="C467" s="30"/>
      <c r="D467" s="30"/>
      <c r="E467" s="30"/>
      <c r="F467" s="30"/>
    </row>
    <row r="468" ht="15.75" customHeight="1">
      <c r="A468" s="30"/>
      <c r="B468" s="30"/>
      <c r="C468" s="30"/>
      <c r="D468" s="30"/>
      <c r="E468" s="30"/>
      <c r="F468" s="30"/>
    </row>
    <row r="469" ht="15.75" customHeight="1">
      <c r="A469" s="30"/>
      <c r="B469" s="30"/>
      <c r="C469" s="30"/>
      <c r="D469" s="30"/>
      <c r="E469" s="30"/>
      <c r="F469" s="30"/>
    </row>
    <row r="470" ht="15.75" customHeight="1">
      <c r="A470" s="30"/>
      <c r="B470" s="30"/>
      <c r="C470" s="30"/>
      <c r="D470" s="30"/>
      <c r="E470" s="30"/>
      <c r="F470" s="30"/>
    </row>
    <row r="471" ht="15.75" customHeight="1">
      <c r="A471" s="30"/>
      <c r="B471" s="30"/>
      <c r="C471" s="30"/>
      <c r="D471" s="30"/>
      <c r="E471" s="30"/>
      <c r="F471" s="30"/>
    </row>
    <row r="472" ht="15.75" customHeight="1">
      <c r="A472" s="30"/>
      <c r="B472" s="30"/>
      <c r="C472" s="30"/>
      <c r="D472" s="30"/>
      <c r="E472" s="30"/>
      <c r="F472" s="30"/>
    </row>
    <row r="473" ht="15.75" customHeight="1">
      <c r="A473" s="30"/>
      <c r="B473" s="30"/>
      <c r="C473" s="30"/>
      <c r="D473" s="30"/>
      <c r="E473" s="30"/>
      <c r="F473" s="30"/>
    </row>
    <row r="474" ht="15.75" customHeight="1">
      <c r="A474" s="30"/>
      <c r="B474" s="30"/>
      <c r="C474" s="30"/>
      <c r="D474" s="30"/>
      <c r="E474" s="30"/>
      <c r="F474" s="30"/>
    </row>
    <row r="475" ht="15.75" customHeight="1">
      <c r="A475" s="30"/>
      <c r="B475" s="30"/>
      <c r="C475" s="30"/>
      <c r="D475" s="30"/>
      <c r="E475" s="30"/>
      <c r="F475" s="30"/>
    </row>
    <row r="476" ht="15.75" customHeight="1">
      <c r="A476" s="30"/>
      <c r="B476" s="30"/>
      <c r="C476" s="30"/>
      <c r="D476" s="30"/>
      <c r="E476" s="30"/>
      <c r="F476" s="30"/>
    </row>
    <row r="477" ht="15.75" customHeight="1">
      <c r="A477" s="30"/>
      <c r="B477" s="30"/>
      <c r="C477" s="30"/>
      <c r="D477" s="30"/>
      <c r="E477" s="30"/>
      <c r="F477" s="30"/>
    </row>
    <row r="478" ht="15.75" customHeight="1">
      <c r="A478" s="30"/>
      <c r="B478" s="30"/>
      <c r="C478" s="30"/>
      <c r="D478" s="30"/>
      <c r="E478" s="30"/>
      <c r="F478" s="30"/>
    </row>
    <row r="479" ht="15.75" customHeight="1">
      <c r="A479" s="30"/>
      <c r="B479" s="30"/>
      <c r="C479" s="30"/>
      <c r="D479" s="30"/>
      <c r="E479" s="30"/>
      <c r="F479" s="30"/>
    </row>
    <row r="480" ht="15.75" customHeight="1">
      <c r="A480" s="30"/>
      <c r="B480" s="30"/>
      <c r="C480" s="30"/>
      <c r="D480" s="30"/>
      <c r="E480" s="30"/>
      <c r="F480" s="30"/>
    </row>
    <row r="481" ht="15.75" customHeight="1">
      <c r="A481" s="30"/>
      <c r="B481" s="30"/>
      <c r="C481" s="30"/>
      <c r="D481" s="30"/>
      <c r="E481" s="30"/>
      <c r="F481" s="30"/>
    </row>
    <row r="482" ht="15.75" customHeight="1">
      <c r="A482" s="30"/>
      <c r="B482" s="30"/>
      <c r="C482" s="30"/>
      <c r="D482" s="30"/>
      <c r="E482" s="30"/>
      <c r="F482" s="30"/>
    </row>
    <row r="483" ht="15.75" customHeight="1">
      <c r="A483" s="30"/>
      <c r="B483" s="30"/>
      <c r="C483" s="30"/>
      <c r="D483" s="30"/>
      <c r="E483" s="30"/>
      <c r="F483" s="30"/>
    </row>
    <row r="484" ht="15.75" customHeight="1">
      <c r="A484" s="30"/>
      <c r="B484" s="30"/>
      <c r="C484" s="30"/>
      <c r="D484" s="30"/>
      <c r="E484" s="30"/>
      <c r="F484" s="30"/>
    </row>
    <row r="485" ht="15.75" customHeight="1">
      <c r="A485" s="30"/>
      <c r="B485" s="30"/>
      <c r="C485" s="30"/>
      <c r="D485" s="30"/>
      <c r="E485" s="30"/>
      <c r="F485" s="30"/>
    </row>
    <row r="486" ht="15.75" customHeight="1">
      <c r="A486" s="30"/>
      <c r="B486" s="30"/>
      <c r="C486" s="30"/>
      <c r="D486" s="30"/>
      <c r="E486" s="30"/>
      <c r="F486" s="30"/>
    </row>
    <row r="487" ht="15.75" customHeight="1">
      <c r="A487" s="30"/>
      <c r="B487" s="30"/>
      <c r="C487" s="30"/>
      <c r="D487" s="30"/>
      <c r="E487" s="30"/>
      <c r="F487" s="30"/>
    </row>
    <row r="488" ht="15.75" customHeight="1">
      <c r="A488" s="30"/>
      <c r="B488" s="30"/>
      <c r="C488" s="30"/>
      <c r="D488" s="30"/>
      <c r="E488" s="30"/>
      <c r="F488" s="30"/>
    </row>
    <row r="489" ht="15.75" customHeight="1">
      <c r="A489" s="30"/>
      <c r="B489" s="30"/>
      <c r="C489" s="30"/>
      <c r="D489" s="30"/>
      <c r="E489" s="30"/>
      <c r="F489" s="30"/>
    </row>
    <row r="490" ht="15.75" customHeight="1">
      <c r="A490" s="30"/>
      <c r="B490" s="30"/>
      <c r="C490" s="30"/>
      <c r="D490" s="30"/>
      <c r="E490" s="30"/>
      <c r="F490" s="30"/>
    </row>
    <row r="491" ht="15.75" customHeight="1">
      <c r="A491" s="30"/>
      <c r="B491" s="30"/>
      <c r="C491" s="30"/>
      <c r="D491" s="30"/>
      <c r="E491" s="30"/>
      <c r="F491" s="30"/>
    </row>
    <row r="492" ht="15.75" customHeight="1">
      <c r="A492" s="30"/>
      <c r="B492" s="30"/>
      <c r="C492" s="30"/>
      <c r="D492" s="30"/>
      <c r="E492" s="30"/>
      <c r="F492" s="30"/>
    </row>
    <row r="493" ht="15.75" customHeight="1">
      <c r="A493" s="30"/>
      <c r="B493" s="30"/>
      <c r="C493" s="30"/>
      <c r="D493" s="30"/>
      <c r="E493" s="30"/>
      <c r="F493" s="30"/>
    </row>
    <row r="494" ht="15.75" customHeight="1">
      <c r="A494" s="30"/>
      <c r="B494" s="30"/>
      <c r="C494" s="30"/>
      <c r="D494" s="30"/>
      <c r="E494" s="30"/>
      <c r="F494" s="30"/>
    </row>
    <row r="495" ht="15.75" customHeight="1">
      <c r="A495" s="30"/>
      <c r="B495" s="30"/>
      <c r="C495" s="30"/>
      <c r="D495" s="30"/>
      <c r="E495" s="30"/>
      <c r="F495" s="30"/>
    </row>
    <row r="496" ht="15.75" customHeight="1">
      <c r="A496" s="30"/>
      <c r="B496" s="30"/>
      <c r="C496" s="30"/>
      <c r="D496" s="30"/>
      <c r="E496" s="30"/>
      <c r="F496" s="30"/>
    </row>
    <row r="497" ht="15.75" customHeight="1">
      <c r="A497" s="30"/>
      <c r="B497" s="30"/>
      <c r="C497" s="30"/>
      <c r="D497" s="30"/>
      <c r="E497" s="30"/>
      <c r="F497" s="30"/>
    </row>
    <row r="498" ht="15.75" customHeight="1">
      <c r="A498" s="30"/>
      <c r="B498" s="30"/>
      <c r="C498" s="30"/>
      <c r="D498" s="30"/>
      <c r="E498" s="30"/>
      <c r="F498" s="30"/>
    </row>
    <row r="499" ht="15.75" customHeight="1">
      <c r="A499" s="30"/>
      <c r="B499" s="30"/>
      <c r="C499" s="30"/>
      <c r="D499" s="30"/>
      <c r="E499" s="30"/>
      <c r="F499" s="30"/>
    </row>
    <row r="500" ht="15.75" customHeight="1">
      <c r="A500" s="30"/>
      <c r="B500" s="30"/>
      <c r="C500" s="30"/>
      <c r="D500" s="30"/>
      <c r="E500" s="30"/>
      <c r="F500" s="30"/>
    </row>
    <row r="501" ht="15.75" customHeight="1">
      <c r="A501" s="30"/>
      <c r="B501" s="30"/>
      <c r="C501" s="30"/>
      <c r="D501" s="30"/>
      <c r="E501" s="30"/>
      <c r="F501" s="30"/>
    </row>
    <row r="502" ht="15.75" customHeight="1">
      <c r="A502" s="30"/>
      <c r="B502" s="30"/>
      <c r="C502" s="30"/>
      <c r="D502" s="30"/>
      <c r="E502" s="30"/>
      <c r="F502" s="30"/>
    </row>
    <row r="503" ht="15.75" customHeight="1">
      <c r="A503" s="30"/>
      <c r="B503" s="30"/>
      <c r="C503" s="30"/>
      <c r="D503" s="30"/>
      <c r="E503" s="30"/>
      <c r="F503" s="30"/>
    </row>
    <row r="504" ht="15.75" customHeight="1">
      <c r="A504" s="30"/>
      <c r="B504" s="30"/>
      <c r="C504" s="30"/>
      <c r="D504" s="30"/>
      <c r="E504" s="30"/>
      <c r="F504" s="30"/>
    </row>
    <row r="505" ht="15.75" customHeight="1">
      <c r="A505" s="30"/>
      <c r="B505" s="30"/>
      <c r="C505" s="30"/>
      <c r="D505" s="30"/>
      <c r="E505" s="30"/>
      <c r="F505" s="30"/>
    </row>
    <row r="506" ht="15.75" customHeight="1">
      <c r="A506" s="30"/>
      <c r="B506" s="30"/>
      <c r="C506" s="30"/>
      <c r="D506" s="30"/>
      <c r="E506" s="30"/>
      <c r="F506" s="30"/>
    </row>
    <row r="507" ht="15.75" customHeight="1">
      <c r="A507" s="30"/>
      <c r="B507" s="30"/>
      <c r="C507" s="30"/>
      <c r="D507" s="30"/>
      <c r="E507" s="30"/>
      <c r="F507" s="30"/>
    </row>
    <row r="508" ht="15.75" customHeight="1">
      <c r="A508" s="30"/>
      <c r="B508" s="30"/>
      <c r="C508" s="30"/>
      <c r="D508" s="30"/>
      <c r="E508" s="30"/>
      <c r="F508" s="30"/>
    </row>
    <row r="509" ht="15.75" customHeight="1">
      <c r="A509" s="30"/>
      <c r="B509" s="30"/>
      <c r="C509" s="30"/>
      <c r="D509" s="30"/>
      <c r="E509" s="30"/>
      <c r="F509" s="30"/>
    </row>
    <row r="510" ht="15.75" customHeight="1">
      <c r="A510" s="30"/>
      <c r="B510" s="30"/>
      <c r="C510" s="30"/>
      <c r="D510" s="30"/>
      <c r="E510" s="30"/>
      <c r="F510" s="30"/>
    </row>
    <row r="511" ht="15.75" customHeight="1">
      <c r="A511" s="30"/>
      <c r="B511" s="30"/>
      <c r="C511" s="30"/>
      <c r="D511" s="30"/>
      <c r="E511" s="30"/>
      <c r="F511" s="30"/>
    </row>
    <row r="512" ht="15.75" customHeight="1">
      <c r="A512" s="30"/>
      <c r="B512" s="30"/>
      <c r="C512" s="30"/>
      <c r="D512" s="30"/>
      <c r="E512" s="30"/>
      <c r="F512" s="30"/>
    </row>
    <row r="513" ht="15.75" customHeight="1">
      <c r="A513" s="30"/>
      <c r="B513" s="30"/>
      <c r="C513" s="30"/>
      <c r="D513" s="30"/>
      <c r="E513" s="30"/>
      <c r="F513" s="30"/>
    </row>
    <row r="514" ht="15.75" customHeight="1">
      <c r="A514" s="30"/>
      <c r="B514" s="30"/>
      <c r="C514" s="30"/>
      <c r="D514" s="30"/>
      <c r="E514" s="30"/>
      <c r="F514" s="30"/>
    </row>
    <row r="515" ht="15.75" customHeight="1">
      <c r="A515" s="30"/>
      <c r="B515" s="30"/>
      <c r="C515" s="30"/>
      <c r="D515" s="30"/>
      <c r="E515" s="30"/>
      <c r="F515" s="30"/>
    </row>
    <row r="516" ht="15.75" customHeight="1">
      <c r="A516" s="30"/>
      <c r="B516" s="30"/>
      <c r="C516" s="30"/>
      <c r="D516" s="30"/>
      <c r="E516" s="30"/>
      <c r="F516" s="30"/>
    </row>
    <row r="517" ht="15.75" customHeight="1">
      <c r="A517" s="30"/>
      <c r="B517" s="30"/>
      <c r="C517" s="30"/>
      <c r="D517" s="30"/>
      <c r="E517" s="30"/>
      <c r="F517" s="30"/>
    </row>
    <row r="518" ht="15.75" customHeight="1">
      <c r="A518" s="30"/>
      <c r="B518" s="30"/>
      <c r="C518" s="30"/>
      <c r="D518" s="30"/>
      <c r="E518" s="30"/>
      <c r="F518" s="30"/>
    </row>
    <row r="519" ht="15.75" customHeight="1">
      <c r="A519" s="30"/>
      <c r="B519" s="30"/>
      <c r="C519" s="30"/>
      <c r="D519" s="30"/>
      <c r="E519" s="30"/>
      <c r="F519" s="30"/>
    </row>
    <row r="520" ht="15.75" customHeight="1">
      <c r="A520" s="30"/>
      <c r="B520" s="30"/>
      <c r="C520" s="30"/>
      <c r="D520" s="30"/>
      <c r="E520" s="30"/>
      <c r="F520" s="30"/>
    </row>
    <row r="521" ht="15.75" customHeight="1">
      <c r="A521" s="30"/>
      <c r="B521" s="30"/>
      <c r="C521" s="30"/>
      <c r="D521" s="30"/>
      <c r="E521" s="30"/>
      <c r="F521" s="30"/>
    </row>
    <row r="522" ht="15.75" customHeight="1">
      <c r="A522" s="30"/>
      <c r="B522" s="30"/>
      <c r="C522" s="30"/>
      <c r="D522" s="30"/>
      <c r="E522" s="30"/>
      <c r="F522" s="30"/>
    </row>
    <row r="523" ht="15.75" customHeight="1">
      <c r="A523" s="30"/>
      <c r="B523" s="30"/>
      <c r="C523" s="30"/>
      <c r="D523" s="30"/>
      <c r="E523" s="30"/>
      <c r="F523" s="30"/>
    </row>
    <row r="524" ht="15.75" customHeight="1">
      <c r="A524" s="30"/>
      <c r="B524" s="30"/>
      <c r="C524" s="30"/>
      <c r="D524" s="30"/>
      <c r="E524" s="30"/>
      <c r="F524" s="30"/>
    </row>
    <row r="525" ht="15.75" customHeight="1">
      <c r="A525" s="30"/>
      <c r="B525" s="30"/>
      <c r="C525" s="30"/>
      <c r="D525" s="30"/>
      <c r="E525" s="30"/>
      <c r="F525" s="30"/>
    </row>
    <row r="526" ht="15.75" customHeight="1">
      <c r="A526" s="30"/>
      <c r="B526" s="30"/>
      <c r="C526" s="30"/>
      <c r="D526" s="30"/>
      <c r="E526" s="30"/>
      <c r="F526" s="30"/>
    </row>
    <row r="527" ht="15.75" customHeight="1">
      <c r="A527" s="30"/>
      <c r="B527" s="30"/>
      <c r="C527" s="30"/>
      <c r="D527" s="30"/>
      <c r="E527" s="30"/>
      <c r="F527" s="30"/>
    </row>
    <row r="528" ht="15.75" customHeight="1">
      <c r="A528" s="30"/>
      <c r="B528" s="30"/>
      <c r="C528" s="30"/>
      <c r="D528" s="30"/>
      <c r="E528" s="30"/>
      <c r="F528" s="30"/>
    </row>
    <row r="529" ht="15.75" customHeight="1">
      <c r="A529" s="30"/>
      <c r="B529" s="30"/>
      <c r="C529" s="30"/>
      <c r="D529" s="30"/>
      <c r="E529" s="30"/>
      <c r="F529" s="30"/>
    </row>
    <row r="530" ht="15.75" customHeight="1">
      <c r="A530" s="30"/>
      <c r="B530" s="30"/>
      <c r="C530" s="30"/>
      <c r="D530" s="30"/>
      <c r="E530" s="30"/>
      <c r="F530" s="30"/>
    </row>
    <row r="531" ht="15.75" customHeight="1">
      <c r="A531" s="30"/>
      <c r="B531" s="30"/>
      <c r="C531" s="30"/>
      <c r="D531" s="30"/>
      <c r="E531" s="30"/>
      <c r="F531" s="30"/>
    </row>
    <row r="532" ht="15.75" customHeight="1">
      <c r="A532" s="30"/>
      <c r="B532" s="30"/>
      <c r="C532" s="30"/>
      <c r="D532" s="30"/>
      <c r="E532" s="30"/>
      <c r="F532" s="30"/>
    </row>
    <row r="533" ht="15.75" customHeight="1">
      <c r="A533" s="30"/>
      <c r="B533" s="30"/>
      <c r="C533" s="30"/>
      <c r="D533" s="30"/>
      <c r="E533" s="30"/>
      <c r="F533" s="30"/>
    </row>
    <row r="534" ht="15.75" customHeight="1">
      <c r="A534" s="30"/>
      <c r="B534" s="30"/>
      <c r="C534" s="30"/>
      <c r="D534" s="30"/>
      <c r="E534" s="30"/>
      <c r="F534" s="30"/>
    </row>
    <row r="535" ht="15.75" customHeight="1">
      <c r="A535" s="30"/>
      <c r="B535" s="30"/>
      <c r="C535" s="30"/>
      <c r="D535" s="30"/>
      <c r="E535" s="30"/>
      <c r="F535" s="30"/>
    </row>
    <row r="536" ht="15.75" customHeight="1">
      <c r="A536" s="30"/>
      <c r="B536" s="30"/>
      <c r="C536" s="30"/>
      <c r="D536" s="30"/>
      <c r="E536" s="30"/>
      <c r="F536" s="30"/>
    </row>
    <row r="537" ht="15.75" customHeight="1">
      <c r="A537" s="30"/>
      <c r="B537" s="30"/>
      <c r="C537" s="30"/>
      <c r="D537" s="30"/>
      <c r="E537" s="30"/>
      <c r="F537" s="30"/>
    </row>
    <row r="538" ht="15.75" customHeight="1">
      <c r="A538" s="30"/>
      <c r="B538" s="30"/>
      <c r="C538" s="30"/>
      <c r="D538" s="30"/>
      <c r="E538" s="30"/>
      <c r="F538" s="30"/>
    </row>
    <row r="539" ht="15.75" customHeight="1">
      <c r="A539" s="30"/>
      <c r="B539" s="30"/>
      <c r="C539" s="30"/>
      <c r="D539" s="30"/>
      <c r="E539" s="30"/>
      <c r="F539" s="30"/>
    </row>
    <row r="540" ht="15.75" customHeight="1">
      <c r="A540" s="30"/>
      <c r="B540" s="30"/>
      <c r="C540" s="30"/>
      <c r="D540" s="30"/>
      <c r="E540" s="30"/>
      <c r="F540" s="30"/>
    </row>
    <row r="541" ht="15.75" customHeight="1">
      <c r="A541" s="30"/>
      <c r="B541" s="30"/>
      <c r="C541" s="30"/>
      <c r="D541" s="30"/>
      <c r="E541" s="30"/>
      <c r="F541" s="30"/>
    </row>
    <row r="542" ht="15.75" customHeight="1">
      <c r="A542" s="30"/>
      <c r="B542" s="30"/>
      <c r="C542" s="30"/>
      <c r="D542" s="30"/>
      <c r="E542" s="30"/>
      <c r="F542" s="30"/>
    </row>
    <row r="543" ht="15.75" customHeight="1">
      <c r="A543" s="30"/>
      <c r="B543" s="30"/>
      <c r="C543" s="30"/>
      <c r="D543" s="30"/>
      <c r="E543" s="30"/>
      <c r="F543" s="30"/>
    </row>
    <row r="544" ht="15.75" customHeight="1">
      <c r="A544" s="30"/>
      <c r="B544" s="30"/>
      <c r="C544" s="30"/>
      <c r="D544" s="30"/>
      <c r="E544" s="30"/>
      <c r="F544" s="30"/>
    </row>
    <row r="545" ht="15.75" customHeight="1">
      <c r="A545" s="30"/>
      <c r="B545" s="30"/>
      <c r="C545" s="30"/>
      <c r="D545" s="30"/>
      <c r="E545" s="30"/>
      <c r="F545" s="30"/>
    </row>
    <row r="546" ht="15.75" customHeight="1">
      <c r="A546" s="30"/>
      <c r="B546" s="30"/>
      <c r="C546" s="30"/>
      <c r="D546" s="30"/>
      <c r="E546" s="30"/>
      <c r="F546" s="30"/>
    </row>
    <row r="547" ht="15.75" customHeight="1">
      <c r="A547" s="30"/>
      <c r="B547" s="30"/>
      <c r="C547" s="30"/>
      <c r="D547" s="30"/>
      <c r="E547" s="30"/>
      <c r="F547" s="30"/>
    </row>
    <row r="548" ht="15.75" customHeight="1">
      <c r="A548" s="30"/>
      <c r="B548" s="30"/>
      <c r="C548" s="30"/>
      <c r="D548" s="30"/>
      <c r="E548" s="30"/>
      <c r="F548" s="30"/>
    </row>
    <row r="549" ht="15.75" customHeight="1">
      <c r="A549" s="30"/>
      <c r="B549" s="30"/>
      <c r="C549" s="30"/>
      <c r="D549" s="30"/>
      <c r="E549" s="30"/>
      <c r="F549" s="30"/>
    </row>
    <row r="550" ht="15.75" customHeight="1">
      <c r="A550" s="30"/>
      <c r="B550" s="30"/>
      <c r="C550" s="30"/>
      <c r="D550" s="30"/>
      <c r="E550" s="30"/>
      <c r="F550" s="30"/>
    </row>
    <row r="551" ht="15.75" customHeight="1">
      <c r="A551" s="30"/>
      <c r="B551" s="30"/>
      <c r="C551" s="30"/>
      <c r="D551" s="30"/>
      <c r="E551" s="30"/>
      <c r="F551" s="30"/>
    </row>
    <row r="552" ht="15.75" customHeight="1">
      <c r="A552" s="30"/>
      <c r="B552" s="30"/>
      <c r="C552" s="30"/>
      <c r="D552" s="30"/>
      <c r="E552" s="30"/>
      <c r="F552" s="30"/>
    </row>
    <row r="553" ht="15.75" customHeight="1">
      <c r="A553" s="30"/>
      <c r="B553" s="30"/>
      <c r="C553" s="30"/>
      <c r="D553" s="30"/>
      <c r="E553" s="30"/>
      <c r="F553" s="30"/>
    </row>
    <row r="554" ht="15.75" customHeight="1">
      <c r="A554" s="30"/>
      <c r="B554" s="30"/>
      <c r="C554" s="30"/>
      <c r="D554" s="30"/>
      <c r="E554" s="30"/>
      <c r="F554" s="30"/>
    </row>
    <row r="555" ht="15.75" customHeight="1">
      <c r="A555" s="30"/>
      <c r="B555" s="30"/>
      <c r="C555" s="30"/>
      <c r="D555" s="30"/>
      <c r="E555" s="30"/>
      <c r="F555" s="30"/>
    </row>
    <row r="556" ht="15.75" customHeight="1">
      <c r="A556" s="30"/>
      <c r="B556" s="30"/>
      <c r="C556" s="30"/>
      <c r="D556" s="30"/>
      <c r="E556" s="30"/>
      <c r="F556" s="30"/>
    </row>
    <row r="557" ht="15.75" customHeight="1">
      <c r="A557" s="30"/>
      <c r="B557" s="30"/>
      <c r="C557" s="30"/>
      <c r="D557" s="30"/>
      <c r="E557" s="30"/>
      <c r="F557" s="30"/>
    </row>
    <row r="558" ht="15.75" customHeight="1">
      <c r="A558" s="30"/>
      <c r="B558" s="30"/>
      <c r="C558" s="30"/>
      <c r="D558" s="30"/>
      <c r="E558" s="30"/>
      <c r="F558" s="30"/>
    </row>
    <row r="559" ht="15.75" customHeight="1">
      <c r="A559" s="30"/>
      <c r="B559" s="30"/>
      <c r="C559" s="30"/>
      <c r="D559" s="30"/>
      <c r="E559" s="30"/>
      <c r="F559" s="30"/>
    </row>
    <row r="560" ht="15.75" customHeight="1">
      <c r="A560" s="30"/>
      <c r="B560" s="30"/>
      <c r="C560" s="30"/>
      <c r="D560" s="30"/>
      <c r="E560" s="30"/>
      <c r="F560" s="30"/>
    </row>
    <row r="561" ht="15.75" customHeight="1">
      <c r="A561" s="30"/>
      <c r="B561" s="30"/>
      <c r="C561" s="30"/>
      <c r="D561" s="30"/>
      <c r="E561" s="30"/>
      <c r="F561" s="30"/>
    </row>
    <row r="562" ht="15.75" customHeight="1">
      <c r="A562" s="30"/>
      <c r="B562" s="30"/>
      <c r="C562" s="30"/>
      <c r="D562" s="30"/>
      <c r="E562" s="30"/>
      <c r="F562" s="30"/>
    </row>
    <row r="563" ht="15.75" customHeight="1">
      <c r="A563" s="30"/>
      <c r="B563" s="30"/>
      <c r="C563" s="30"/>
      <c r="D563" s="30"/>
      <c r="E563" s="30"/>
      <c r="F563" s="30"/>
    </row>
    <row r="564" ht="15.75" customHeight="1">
      <c r="A564" s="30"/>
      <c r="B564" s="30"/>
      <c r="C564" s="30"/>
      <c r="D564" s="30"/>
      <c r="E564" s="30"/>
      <c r="F564" s="30"/>
    </row>
    <row r="565" ht="15.75" customHeight="1">
      <c r="A565" s="30"/>
      <c r="B565" s="30"/>
      <c r="C565" s="30"/>
      <c r="D565" s="30"/>
      <c r="E565" s="30"/>
      <c r="F565" s="30"/>
    </row>
    <row r="566" ht="15.75" customHeight="1">
      <c r="A566" s="30"/>
      <c r="B566" s="30"/>
      <c r="C566" s="30"/>
      <c r="D566" s="30"/>
      <c r="E566" s="30"/>
      <c r="F566" s="30"/>
    </row>
    <row r="567" ht="15.75" customHeight="1">
      <c r="A567" s="30"/>
      <c r="B567" s="30"/>
      <c r="C567" s="30"/>
      <c r="D567" s="30"/>
      <c r="E567" s="30"/>
      <c r="F567" s="30"/>
    </row>
    <row r="568" ht="15.75" customHeight="1">
      <c r="A568" s="30"/>
      <c r="B568" s="30"/>
      <c r="C568" s="30"/>
      <c r="D568" s="30"/>
      <c r="E568" s="30"/>
      <c r="F568" s="30"/>
    </row>
    <row r="569" ht="15.75" customHeight="1">
      <c r="A569" s="30"/>
      <c r="B569" s="30"/>
      <c r="C569" s="30"/>
      <c r="D569" s="30"/>
      <c r="E569" s="30"/>
      <c r="F569" s="30"/>
    </row>
    <row r="570" ht="15.75" customHeight="1">
      <c r="A570" s="30"/>
      <c r="B570" s="30"/>
      <c r="C570" s="30"/>
      <c r="D570" s="30"/>
      <c r="E570" s="30"/>
      <c r="F570" s="30"/>
    </row>
    <row r="571" ht="15.75" customHeight="1">
      <c r="A571" s="30"/>
      <c r="B571" s="30"/>
      <c r="C571" s="30"/>
      <c r="D571" s="30"/>
      <c r="E571" s="30"/>
      <c r="F571" s="30"/>
    </row>
    <row r="572" ht="15.75" customHeight="1">
      <c r="A572" s="30"/>
      <c r="B572" s="30"/>
      <c r="C572" s="30"/>
      <c r="D572" s="30"/>
      <c r="E572" s="30"/>
      <c r="F572" s="30"/>
    </row>
    <row r="573" ht="15.75" customHeight="1">
      <c r="A573" s="30"/>
      <c r="B573" s="30"/>
      <c r="C573" s="30"/>
      <c r="D573" s="30"/>
      <c r="E573" s="30"/>
      <c r="F573" s="30"/>
    </row>
    <row r="574" ht="15.75" customHeight="1">
      <c r="A574" s="30"/>
      <c r="B574" s="30"/>
      <c r="C574" s="30"/>
      <c r="D574" s="30"/>
      <c r="E574" s="30"/>
      <c r="F574" s="30"/>
    </row>
    <row r="575" ht="15.75" customHeight="1">
      <c r="A575" s="30"/>
      <c r="B575" s="30"/>
      <c r="C575" s="30"/>
      <c r="D575" s="30"/>
      <c r="E575" s="30"/>
      <c r="F575" s="30"/>
    </row>
    <row r="576" ht="15.75" customHeight="1">
      <c r="A576" s="30"/>
      <c r="B576" s="30"/>
      <c r="C576" s="30"/>
      <c r="D576" s="30"/>
      <c r="E576" s="30"/>
      <c r="F576" s="30"/>
    </row>
    <row r="577" ht="15.75" customHeight="1">
      <c r="A577" s="30"/>
      <c r="B577" s="30"/>
      <c r="C577" s="30"/>
      <c r="D577" s="30"/>
      <c r="E577" s="30"/>
      <c r="F577" s="30"/>
    </row>
    <row r="578" ht="15.75" customHeight="1">
      <c r="A578" s="30"/>
      <c r="B578" s="30"/>
      <c r="C578" s="30"/>
      <c r="D578" s="30"/>
      <c r="E578" s="30"/>
      <c r="F578" s="30"/>
    </row>
    <row r="579" ht="15.75" customHeight="1">
      <c r="A579" s="30"/>
      <c r="B579" s="30"/>
      <c r="C579" s="30"/>
      <c r="D579" s="30"/>
      <c r="E579" s="30"/>
      <c r="F579" s="30"/>
    </row>
    <row r="580" ht="15.75" customHeight="1">
      <c r="A580" s="30"/>
      <c r="B580" s="30"/>
      <c r="C580" s="30"/>
      <c r="D580" s="30"/>
      <c r="E580" s="30"/>
      <c r="F580" s="30"/>
    </row>
    <row r="581" ht="15.75" customHeight="1">
      <c r="A581" s="30"/>
      <c r="B581" s="30"/>
      <c r="C581" s="30"/>
      <c r="D581" s="30"/>
      <c r="E581" s="30"/>
      <c r="F581" s="30"/>
    </row>
    <row r="582" ht="15.75" customHeight="1">
      <c r="A582" s="30"/>
      <c r="B582" s="30"/>
      <c r="C582" s="30"/>
      <c r="D582" s="30"/>
      <c r="E582" s="30"/>
      <c r="F582" s="30"/>
    </row>
    <row r="583" ht="15.75" customHeight="1">
      <c r="A583" s="30"/>
      <c r="B583" s="30"/>
      <c r="C583" s="30"/>
      <c r="D583" s="30"/>
      <c r="E583" s="30"/>
      <c r="F583" s="30"/>
    </row>
    <row r="584" ht="15.75" customHeight="1">
      <c r="A584" s="30"/>
      <c r="B584" s="30"/>
      <c r="C584" s="30"/>
      <c r="D584" s="30"/>
      <c r="E584" s="30"/>
      <c r="F584" s="30"/>
    </row>
    <row r="585" ht="15.75" customHeight="1">
      <c r="A585" s="30"/>
      <c r="B585" s="30"/>
      <c r="C585" s="30"/>
      <c r="D585" s="30"/>
      <c r="E585" s="30"/>
      <c r="F585" s="30"/>
    </row>
    <row r="586" ht="15.75" customHeight="1">
      <c r="A586" s="30"/>
      <c r="B586" s="30"/>
      <c r="C586" s="30"/>
      <c r="D586" s="30"/>
      <c r="E586" s="30"/>
      <c r="F586" s="30"/>
    </row>
    <row r="587" ht="15.75" customHeight="1">
      <c r="A587" s="30"/>
      <c r="B587" s="30"/>
      <c r="C587" s="30"/>
      <c r="D587" s="30"/>
      <c r="E587" s="30"/>
      <c r="F587" s="30"/>
    </row>
    <row r="588" ht="15.75" customHeight="1">
      <c r="A588" s="30"/>
      <c r="B588" s="30"/>
      <c r="C588" s="30"/>
      <c r="D588" s="30"/>
      <c r="E588" s="30"/>
      <c r="F588" s="30"/>
    </row>
    <row r="589" ht="15.75" customHeight="1">
      <c r="A589" s="30"/>
      <c r="B589" s="30"/>
      <c r="C589" s="30"/>
      <c r="D589" s="30"/>
      <c r="E589" s="30"/>
      <c r="F589" s="30"/>
    </row>
    <row r="590" ht="15.75" customHeight="1">
      <c r="A590" s="30"/>
      <c r="B590" s="30"/>
      <c r="C590" s="30"/>
      <c r="D590" s="30"/>
      <c r="E590" s="30"/>
      <c r="F590" s="30"/>
    </row>
    <row r="591" ht="15.75" customHeight="1">
      <c r="A591" s="30"/>
      <c r="B591" s="30"/>
      <c r="C591" s="30"/>
      <c r="D591" s="30"/>
      <c r="E591" s="30"/>
      <c r="F591" s="30"/>
    </row>
    <row r="592" ht="15.75" customHeight="1">
      <c r="A592" s="30"/>
      <c r="B592" s="30"/>
      <c r="C592" s="30"/>
      <c r="D592" s="30"/>
      <c r="E592" s="30"/>
      <c r="F592" s="30"/>
    </row>
    <row r="593" ht="15.75" customHeight="1">
      <c r="A593" s="30"/>
      <c r="B593" s="30"/>
      <c r="C593" s="30"/>
      <c r="D593" s="30"/>
      <c r="E593" s="30"/>
      <c r="F593" s="30"/>
    </row>
    <row r="594" ht="15.75" customHeight="1">
      <c r="A594" s="30"/>
      <c r="B594" s="30"/>
      <c r="C594" s="30"/>
      <c r="D594" s="30"/>
      <c r="E594" s="30"/>
      <c r="F594" s="30"/>
    </row>
    <row r="595" ht="15.75" customHeight="1">
      <c r="A595" s="30"/>
      <c r="B595" s="30"/>
      <c r="C595" s="30"/>
      <c r="D595" s="30"/>
      <c r="E595" s="30"/>
      <c r="F595" s="30"/>
    </row>
    <row r="596" ht="15.75" customHeight="1">
      <c r="A596" s="30"/>
      <c r="B596" s="30"/>
      <c r="C596" s="30"/>
      <c r="D596" s="30"/>
      <c r="E596" s="30"/>
      <c r="F596" s="30"/>
    </row>
    <row r="597" ht="15.75" customHeight="1">
      <c r="A597" s="30"/>
      <c r="B597" s="30"/>
      <c r="C597" s="30"/>
      <c r="D597" s="30"/>
      <c r="E597" s="30"/>
      <c r="F597" s="30"/>
    </row>
    <row r="598" ht="15.75" customHeight="1">
      <c r="A598" s="30"/>
      <c r="B598" s="30"/>
      <c r="C598" s="30"/>
      <c r="D598" s="30"/>
      <c r="E598" s="30"/>
      <c r="F598" s="30"/>
    </row>
    <row r="599" ht="15.75" customHeight="1">
      <c r="A599" s="30"/>
      <c r="B599" s="30"/>
      <c r="C599" s="30"/>
      <c r="D599" s="30"/>
      <c r="E599" s="30"/>
      <c r="F599" s="30"/>
    </row>
    <row r="600" ht="15.75" customHeight="1">
      <c r="A600" s="30"/>
      <c r="B600" s="30"/>
      <c r="C600" s="30"/>
      <c r="D600" s="30"/>
      <c r="E600" s="30"/>
      <c r="F600" s="30"/>
    </row>
    <row r="601" ht="15.75" customHeight="1">
      <c r="A601" s="30"/>
      <c r="B601" s="30"/>
      <c r="C601" s="30"/>
      <c r="D601" s="30"/>
      <c r="E601" s="30"/>
      <c r="F601" s="30"/>
    </row>
    <row r="602" ht="15.75" customHeight="1">
      <c r="A602" s="30"/>
      <c r="B602" s="30"/>
      <c r="C602" s="30"/>
      <c r="D602" s="30"/>
      <c r="E602" s="30"/>
      <c r="F602" s="30"/>
    </row>
    <row r="603" ht="15.75" customHeight="1">
      <c r="A603" s="30"/>
      <c r="B603" s="30"/>
      <c r="C603" s="30"/>
      <c r="D603" s="30"/>
      <c r="E603" s="30"/>
      <c r="F603" s="30"/>
    </row>
    <row r="604" ht="15.75" customHeight="1">
      <c r="A604" s="30"/>
      <c r="B604" s="30"/>
      <c r="C604" s="30"/>
      <c r="D604" s="30"/>
      <c r="E604" s="30"/>
      <c r="F604" s="30"/>
    </row>
    <row r="605" ht="15.75" customHeight="1">
      <c r="A605" s="30"/>
      <c r="B605" s="30"/>
      <c r="C605" s="30"/>
      <c r="D605" s="30"/>
      <c r="E605" s="30"/>
      <c r="F605" s="30"/>
    </row>
    <row r="606" ht="15.75" customHeight="1">
      <c r="A606" s="30"/>
      <c r="B606" s="30"/>
      <c r="C606" s="30"/>
      <c r="D606" s="30"/>
      <c r="E606" s="30"/>
      <c r="F606" s="30"/>
    </row>
    <row r="607" ht="15.75" customHeight="1">
      <c r="A607" s="30"/>
      <c r="B607" s="30"/>
      <c r="C607" s="30"/>
      <c r="D607" s="30"/>
      <c r="E607" s="30"/>
      <c r="F607" s="30"/>
    </row>
    <row r="608" ht="15.75" customHeight="1">
      <c r="A608" s="30"/>
      <c r="B608" s="30"/>
      <c r="C608" s="30"/>
      <c r="D608" s="30"/>
      <c r="E608" s="30"/>
      <c r="F608" s="30"/>
    </row>
    <row r="609" ht="15.75" customHeight="1">
      <c r="A609" s="30"/>
      <c r="B609" s="30"/>
      <c r="C609" s="30"/>
      <c r="D609" s="30"/>
      <c r="E609" s="30"/>
      <c r="F609" s="30"/>
    </row>
    <row r="610" ht="15.75" customHeight="1">
      <c r="A610" s="30"/>
      <c r="B610" s="30"/>
      <c r="C610" s="30"/>
      <c r="D610" s="30"/>
      <c r="E610" s="30"/>
      <c r="F610" s="30"/>
    </row>
    <row r="611" ht="15.75" customHeight="1">
      <c r="A611" s="30"/>
      <c r="B611" s="30"/>
      <c r="C611" s="30"/>
      <c r="D611" s="30"/>
      <c r="E611" s="30"/>
      <c r="F611" s="30"/>
    </row>
    <row r="612" ht="15.75" customHeight="1">
      <c r="A612" s="30"/>
      <c r="B612" s="30"/>
      <c r="C612" s="30"/>
      <c r="D612" s="30"/>
      <c r="E612" s="30"/>
      <c r="F612" s="30"/>
    </row>
    <row r="613" ht="15.75" customHeight="1">
      <c r="A613" s="30"/>
      <c r="B613" s="30"/>
      <c r="C613" s="30"/>
      <c r="D613" s="30"/>
      <c r="E613" s="30"/>
      <c r="F613" s="30"/>
    </row>
    <row r="614" ht="15.75" customHeight="1">
      <c r="A614" s="30"/>
      <c r="B614" s="30"/>
      <c r="C614" s="30"/>
      <c r="D614" s="30"/>
      <c r="E614" s="30"/>
      <c r="F614" s="30"/>
    </row>
    <row r="615" ht="15.75" customHeight="1">
      <c r="A615" s="30"/>
      <c r="B615" s="30"/>
      <c r="C615" s="30"/>
      <c r="D615" s="30"/>
      <c r="E615" s="30"/>
      <c r="F615" s="30"/>
    </row>
    <row r="616" ht="15.75" customHeight="1">
      <c r="A616" s="30"/>
      <c r="B616" s="30"/>
      <c r="C616" s="30"/>
      <c r="D616" s="30"/>
      <c r="E616" s="30"/>
      <c r="F616" s="30"/>
    </row>
    <row r="617" ht="15.75" customHeight="1">
      <c r="A617" s="30"/>
      <c r="B617" s="30"/>
      <c r="C617" s="30"/>
      <c r="D617" s="30"/>
      <c r="E617" s="30"/>
      <c r="F617" s="30"/>
    </row>
    <row r="618" ht="15.75" customHeight="1">
      <c r="A618" s="30"/>
      <c r="B618" s="30"/>
      <c r="C618" s="30"/>
      <c r="D618" s="30"/>
      <c r="E618" s="30"/>
      <c r="F618" s="30"/>
    </row>
    <row r="619" ht="15.75" customHeight="1">
      <c r="A619" s="30"/>
      <c r="B619" s="30"/>
      <c r="C619" s="30"/>
      <c r="D619" s="30"/>
      <c r="E619" s="30"/>
      <c r="F619" s="30"/>
    </row>
    <row r="620" ht="15.75" customHeight="1">
      <c r="A620" s="30"/>
      <c r="B620" s="30"/>
      <c r="C620" s="30"/>
      <c r="D620" s="30"/>
      <c r="E620" s="30"/>
      <c r="F620" s="30"/>
    </row>
    <row r="621" ht="15.75" customHeight="1">
      <c r="A621" s="30"/>
      <c r="B621" s="30"/>
      <c r="C621" s="30"/>
      <c r="D621" s="30"/>
      <c r="E621" s="30"/>
      <c r="F621" s="30"/>
    </row>
    <row r="622" ht="15.75" customHeight="1">
      <c r="A622" s="30"/>
      <c r="B622" s="30"/>
      <c r="C622" s="30"/>
      <c r="D622" s="30"/>
      <c r="E622" s="30"/>
      <c r="F622" s="30"/>
    </row>
    <row r="623" ht="15.75" customHeight="1">
      <c r="A623" s="30"/>
      <c r="B623" s="30"/>
      <c r="C623" s="30"/>
      <c r="D623" s="30"/>
      <c r="E623" s="30"/>
      <c r="F623" s="30"/>
    </row>
    <row r="624" ht="15.75" customHeight="1">
      <c r="A624" s="30"/>
      <c r="B624" s="30"/>
      <c r="C624" s="30"/>
      <c r="D624" s="30"/>
      <c r="E624" s="30"/>
      <c r="F624" s="30"/>
    </row>
    <row r="625" ht="15.75" customHeight="1">
      <c r="A625" s="30"/>
      <c r="B625" s="30"/>
      <c r="C625" s="30"/>
      <c r="D625" s="30"/>
      <c r="E625" s="30"/>
      <c r="F625" s="30"/>
    </row>
    <row r="626" ht="15.75" customHeight="1">
      <c r="A626" s="30"/>
      <c r="B626" s="30"/>
      <c r="C626" s="30"/>
      <c r="D626" s="30"/>
      <c r="E626" s="30"/>
      <c r="F626" s="30"/>
    </row>
    <row r="627" ht="15.75" customHeight="1">
      <c r="A627" s="30"/>
      <c r="B627" s="30"/>
      <c r="C627" s="30"/>
      <c r="D627" s="30"/>
      <c r="E627" s="30"/>
      <c r="F627" s="30"/>
    </row>
    <row r="628" ht="15.75" customHeight="1">
      <c r="A628" s="30"/>
      <c r="B628" s="30"/>
      <c r="C628" s="30"/>
      <c r="D628" s="30"/>
      <c r="E628" s="30"/>
      <c r="F628" s="30"/>
    </row>
    <row r="629" ht="15.75" customHeight="1">
      <c r="A629" s="30"/>
      <c r="B629" s="30"/>
      <c r="C629" s="30"/>
      <c r="D629" s="30"/>
      <c r="E629" s="30"/>
      <c r="F629" s="30"/>
    </row>
    <row r="630" ht="15.75" customHeight="1">
      <c r="A630" s="30"/>
      <c r="B630" s="30"/>
      <c r="C630" s="30"/>
      <c r="D630" s="30"/>
      <c r="E630" s="30"/>
      <c r="F630" s="30"/>
    </row>
    <row r="631" ht="15.75" customHeight="1">
      <c r="A631" s="30"/>
      <c r="B631" s="30"/>
      <c r="C631" s="30"/>
      <c r="D631" s="30"/>
      <c r="E631" s="30"/>
      <c r="F631" s="30"/>
    </row>
    <row r="632" ht="15.75" customHeight="1">
      <c r="A632" s="30"/>
      <c r="B632" s="30"/>
      <c r="C632" s="30"/>
      <c r="D632" s="30"/>
      <c r="E632" s="30"/>
      <c r="F632" s="30"/>
    </row>
    <row r="633" ht="15.75" customHeight="1">
      <c r="A633" s="30"/>
      <c r="B633" s="30"/>
      <c r="C633" s="30"/>
      <c r="D633" s="30"/>
      <c r="E633" s="30"/>
      <c r="F633" s="30"/>
    </row>
    <row r="634" ht="15.75" customHeight="1">
      <c r="A634" s="30"/>
      <c r="B634" s="30"/>
      <c r="C634" s="30"/>
      <c r="D634" s="30"/>
      <c r="E634" s="30"/>
      <c r="F634" s="30"/>
    </row>
    <row r="635" ht="15.75" customHeight="1">
      <c r="A635" s="30"/>
      <c r="B635" s="30"/>
      <c r="C635" s="30"/>
      <c r="D635" s="30"/>
      <c r="E635" s="30"/>
      <c r="F635" s="30"/>
    </row>
    <row r="636" ht="15.75" customHeight="1">
      <c r="A636" s="30"/>
      <c r="B636" s="30"/>
      <c r="C636" s="30"/>
      <c r="D636" s="30"/>
      <c r="E636" s="30"/>
      <c r="F636" s="30"/>
    </row>
    <row r="637" ht="15.75" customHeight="1">
      <c r="A637" s="30"/>
      <c r="B637" s="30"/>
      <c r="C637" s="30"/>
      <c r="D637" s="30"/>
      <c r="E637" s="30"/>
      <c r="F637" s="30"/>
    </row>
    <row r="638" ht="15.75" customHeight="1">
      <c r="A638" s="30"/>
      <c r="B638" s="30"/>
      <c r="C638" s="30"/>
      <c r="D638" s="30"/>
      <c r="E638" s="30"/>
      <c r="F638" s="30"/>
    </row>
    <row r="639" ht="15.75" customHeight="1">
      <c r="A639" s="30"/>
      <c r="B639" s="30"/>
      <c r="C639" s="30"/>
      <c r="D639" s="30"/>
      <c r="E639" s="30"/>
      <c r="F639" s="30"/>
    </row>
    <row r="640" ht="15.75" customHeight="1">
      <c r="A640" s="30"/>
      <c r="B640" s="30"/>
      <c r="C640" s="30"/>
      <c r="D640" s="30"/>
      <c r="E640" s="30"/>
      <c r="F640" s="30"/>
    </row>
    <row r="641" ht="15.75" customHeight="1">
      <c r="A641" s="30"/>
      <c r="B641" s="30"/>
      <c r="C641" s="30"/>
      <c r="D641" s="30"/>
      <c r="E641" s="30"/>
      <c r="F641" s="30"/>
    </row>
    <row r="642" ht="15.75" customHeight="1">
      <c r="A642" s="30"/>
      <c r="B642" s="30"/>
      <c r="C642" s="30"/>
      <c r="D642" s="30"/>
      <c r="E642" s="30"/>
      <c r="F642" s="30"/>
    </row>
    <row r="643" ht="15.75" customHeight="1">
      <c r="A643" s="30"/>
      <c r="B643" s="30"/>
      <c r="C643" s="30"/>
      <c r="D643" s="30"/>
      <c r="E643" s="30"/>
      <c r="F643" s="30"/>
    </row>
    <row r="644" ht="15.75" customHeight="1">
      <c r="A644" s="30"/>
      <c r="B644" s="30"/>
      <c r="C644" s="30"/>
      <c r="D644" s="30"/>
      <c r="E644" s="30"/>
      <c r="F644" s="30"/>
    </row>
    <row r="645" ht="15.75" customHeight="1">
      <c r="A645" s="30"/>
      <c r="B645" s="30"/>
      <c r="C645" s="30"/>
      <c r="D645" s="30"/>
      <c r="E645" s="30"/>
      <c r="F645" s="30"/>
    </row>
    <row r="646" ht="15.75" customHeight="1">
      <c r="A646" s="30"/>
      <c r="B646" s="30"/>
      <c r="C646" s="30"/>
      <c r="D646" s="30"/>
      <c r="E646" s="30"/>
      <c r="F646" s="30"/>
    </row>
    <row r="647" ht="15.75" customHeight="1">
      <c r="A647" s="30"/>
      <c r="B647" s="30"/>
      <c r="C647" s="30"/>
      <c r="D647" s="30"/>
      <c r="E647" s="30"/>
      <c r="F647" s="30"/>
    </row>
    <row r="648" ht="15.75" customHeight="1">
      <c r="A648" s="30"/>
      <c r="B648" s="30"/>
      <c r="C648" s="30"/>
      <c r="D648" s="30"/>
      <c r="E648" s="30"/>
      <c r="F648" s="30"/>
    </row>
    <row r="649" ht="15.75" customHeight="1">
      <c r="A649" s="30"/>
      <c r="B649" s="30"/>
      <c r="C649" s="30"/>
      <c r="D649" s="30"/>
      <c r="E649" s="30"/>
      <c r="F649" s="30"/>
    </row>
    <row r="650" ht="15.75" customHeight="1">
      <c r="A650" s="30"/>
      <c r="B650" s="30"/>
      <c r="C650" s="30"/>
      <c r="D650" s="30"/>
      <c r="E650" s="30"/>
      <c r="F650" s="30"/>
    </row>
    <row r="651" ht="15.75" customHeight="1">
      <c r="A651" s="30"/>
      <c r="B651" s="30"/>
      <c r="C651" s="30"/>
      <c r="D651" s="30"/>
      <c r="E651" s="30"/>
      <c r="F651" s="30"/>
    </row>
    <row r="652" ht="15.75" customHeight="1">
      <c r="A652" s="30"/>
      <c r="B652" s="30"/>
      <c r="C652" s="30"/>
      <c r="D652" s="30"/>
      <c r="E652" s="30"/>
      <c r="F652" s="30"/>
    </row>
    <row r="653" ht="15.75" customHeight="1">
      <c r="A653" s="30"/>
      <c r="B653" s="30"/>
      <c r="C653" s="30"/>
      <c r="D653" s="30"/>
      <c r="E653" s="30"/>
      <c r="F653" s="30"/>
    </row>
    <row r="654" ht="15.75" customHeight="1">
      <c r="A654" s="30"/>
      <c r="B654" s="30"/>
      <c r="C654" s="30"/>
      <c r="D654" s="30"/>
      <c r="E654" s="30"/>
      <c r="F654" s="30"/>
    </row>
    <row r="655" ht="15.75" customHeight="1">
      <c r="A655" s="30"/>
      <c r="B655" s="30"/>
      <c r="C655" s="30"/>
      <c r="D655" s="30"/>
      <c r="E655" s="30"/>
      <c r="F655" s="30"/>
    </row>
    <row r="656" ht="15.75" customHeight="1">
      <c r="A656" s="30"/>
      <c r="B656" s="30"/>
      <c r="C656" s="30"/>
      <c r="D656" s="30"/>
      <c r="E656" s="30"/>
      <c r="F656" s="30"/>
    </row>
    <row r="657" ht="15.75" customHeight="1">
      <c r="A657" s="30"/>
      <c r="B657" s="30"/>
      <c r="C657" s="30"/>
      <c r="D657" s="30"/>
      <c r="E657" s="30"/>
      <c r="F657" s="30"/>
    </row>
    <row r="658" ht="15.75" customHeight="1">
      <c r="A658" s="30"/>
      <c r="B658" s="30"/>
      <c r="C658" s="30"/>
      <c r="D658" s="30"/>
      <c r="E658" s="30"/>
      <c r="F658" s="30"/>
    </row>
    <row r="659" ht="15.75" customHeight="1">
      <c r="A659" s="30"/>
      <c r="B659" s="30"/>
      <c r="C659" s="30"/>
      <c r="D659" s="30"/>
      <c r="E659" s="30"/>
      <c r="F659" s="30"/>
    </row>
    <row r="660" ht="15.75" customHeight="1">
      <c r="A660" s="30"/>
      <c r="B660" s="30"/>
      <c r="C660" s="30"/>
      <c r="D660" s="30"/>
      <c r="E660" s="30"/>
      <c r="F660" s="30"/>
    </row>
    <row r="661" ht="15.75" customHeight="1">
      <c r="A661" s="30"/>
      <c r="B661" s="30"/>
      <c r="C661" s="30"/>
      <c r="D661" s="30"/>
      <c r="E661" s="30"/>
      <c r="F661" s="30"/>
    </row>
    <row r="662" ht="15.75" customHeight="1">
      <c r="A662" s="30"/>
      <c r="B662" s="30"/>
      <c r="C662" s="30"/>
      <c r="D662" s="30"/>
      <c r="E662" s="30"/>
      <c r="F662" s="30"/>
    </row>
    <row r="663" ht="15.75" customHeight="1">
      <c r="A663" s="30"/>
      <c r="B663" s="30"/>
      <c r="C663" s="30"/>
      <c r="D663" s="30"/>
      <c r="E663" s="30"/>
      <c r="F663" s="30"/>
    </row>
    <row r="664" ht="15.75" customHeight="1">
      <c r="A664" s="30"/>
      <c r="B664" s="30"/>
      <c r="C664" s="30"/>
      <c r="D664" s="30"/>
      <c r="E664" s="30"/>
      <c r="F664" s="30"/>
    </row>
    <row r="665" ht="15.75" customHeight="1">
      <c r="A665" s="30"/>
      <c r="B665" s="30"/>
      <c r="C665" s="30"/>
      <c r="D665" s="30"/>
      <c r="E665" s="30"/>
      <c r="F665" s="30"/>
    </row>
    <row r="666" ht="15.75" customHeight="1">
      <c r="A666" s="30"/>
      <c r="B666" s="30"/>
      <c r="C666" s="30"/>
      <c r="D666" s="30"/>
      <c r="E666" s="30"/>
      <c r="F666" s="30"/>
    </row>
    <row r="667" ht="15.75" customHeight="1">
      <c r="A667" s="30"/>
      <c r="B667" s="30"/>
      <c r="C667" s="30"/>
      <c r="D667" s="30"/>
      <c r="E667" s="30"/>
      <c r="F667" s="30"/>
    </row>
    <row r="668" ht="15.75" customHeight="1">
      <c r="A668" s="30"/>
      <c r="B668" s="30"/>
      <c r="C668" s="30"/>
      <c r="D668" s="30"/>
      <c r="E668" s="30"/>
      <c r="F668" s="30"/>
    </row>
    <row r="669" ht="15.75" customHeight="1">
      <c r="A669" s="30"/>
      <c r="B669" s="30"/>
      <c r="C669" s="30"/>
      <c r="D669" s="30"/>
      <c r="E669" s="30"/>
      <c r="F669" s="30"/>
    </row>
    <row r="670" ht="15.75" customHeight="1">
      <c r="A670" s="30"/>
      <c r="B670" s="30"/>
      <c r="C670" s="30"/>
      <c r="D670" s="30"/>
      <c r="E670" s="30"/>
      <c r="F670" s="30"/>
    </row>
    <row r="671" ht="15.75" customHeight="1">
      <c r="A671" s="30"/>
      <c r="B671" s="30"/>
      <c r="C671" s="30"/>
      <c r="D671" s="30"/>
      <c r="E671" s="30"/>
      <c r="F671" s="30"/>
    </row>
    <row r="672" ht="15.75" customHeight="1">
      <c r="A672" s="30"/>
      <c r="B672" s="30"/>
      <c r="C672" s="30"/>
      <c r="D672" s="30"/>
      <c r="E672" s="30"/>
      <c r="F672" s="30"/>
    </row>
    <row r="673" ht="15.75" customHeight="1">
      <c r="A673" s="30"/>
      <c r="B673" s="30"/>
      <c r="C673" s="30"/>
      <c r="D673" s="30"/>
      <c r="E673" s="30"/>
      <c r="F673" s="30"/>
    </row>
    <row r="674" ht="15.75" customHeight="1">
      <c r="A674" s="30"/>
      <c r="B674" s="30"/>
      <c r="C674" s="30"/>
      <c r="D674" s="30"/>
      <c r="E674" s="30"/>
      <c r="F674" s="30"/>
    </row>
    <row r="675" ht="15.75" customHeight="1">
      <c r="A675" s="30"/>
      <c r="B675" s="30"/>
      <c r="C675" s="30"/>
      <c r="D675" s="30"/>
      <c r="E675" s="30"/>
      <c r="F675" s="30"/>
    </row>
    <row r="676" ht="15.75" customHeight="1">
      <c r="A676" s="30"/>
      <c r="B676" s="30"/>
      <c r="C676" s="30"/>
      <c r="D676" s="30"/>
      <c r="E676" s="30"/>
      <c r="F676" s="30"/>
    </row>
    <row r="677" ht="15.75" customHeight="1">
      <c r="A677" s="30"/>
      <c r="B677" s="30"/>
      <c r="C677" s="30"/>
      <c r="D677" s="30"/>
      <c r="E677" s="30"/>
      <c r="F677" s="30"/>
    </row>
    <row r="678" ht="15.75" customHeight="1">
      <c r="A678" s="30"/>
      <c r="B678" s="30"/>
      <c r="C678" s="30"/>
      <c r="D678" s="30"/>
      <c r="E678" s="30"/>
      <c r="F678" s="30"/>
    </row>
    <row r="679" ht="15.75" customHeight="1">
      <c r="A679" s="30"/>
      <c r="B679" s="30"/>
      <c r="C679" s="30"/>
      <c r="D679" s="30"/>
      <c r="E679" s="30"/>
      <c r="F679" s="30"/>
    </row>
    <row r="680" ht="15.75" customHeight="1">
      <c r="A680" s="30"/>
      <c r="B680" s="30"/>
      <c r="C680" s="30"/>
      <c r="D680" s="30"/>
      <c r="E680" s="30"/>
      <c r="F680" s="30"/>
    </row>
    <row r="681" ht="15.75" customHeight="1">
      <c r="A681" s="30"/>
      <c r="B681" s="30"/>
      <c r="C681" s="30"/>
      <c r="D681" s="30"/>
      <c r="E681" s="30"/>
      <c r="F681" s="30"/>
    </row>
    <row r="682" ht="15.75" customHeight="1">
      <c r="A682" s="30"/>
      <c r="B682" s="30"/>
      <c r="C682" s="30"/>
      <c r="D682" s="30"/>
      <c r="E682" s="30"/>
      <c r="F682" s="30"/>
    </row>
    <row r="683" ht="15.75" customHeight="1">
      <c r="A683" s="30"/>
      <c r="B683" s="30"/>
      <c r="C683" s="30"/>
      <c r="D683" s="30"/>
      <c r="E683" s="30"/>
      <c r="F683" s="30"/>
    </row>
    <row r="684" ht="15.75" customHeight="1">
      <c r="A684" s="30"/>
      <c r="B684" s="30"/>
      <c r="C684" s="30"/>
      <c r="D684" s="30"/>
      <c r="E684" s="30"/>
      <c r="F684" s="30"/>
    </row>
    <row r="685" ht="15.75" customHeight="1">
      <c r="A685" s="30"/>
      <c r="B685" s="30"/>
      <c r="C685" s="30"/>
      <c r="D685" s="30"/>
      <c r="E685" s="30"/>
      <c r="F685" s="30"/>
    </row>
    <row r="686" ht="15.75" customHeight="1">
      <c r="A686" s="30"/>
      <c r="B686" s="30"/>
      <c r="C686" s="30"/>
      <c r="D686" s="30"/>
      <c r="E686" s="30"/>
      <c r="F686" s="30"/>
    </row>
    <row r="687" ht="15.75" customHeight="1">
      <c r="A687" s="30"/>
      <c r="B687" s="30"/>
      <c r="C687" s="30"/>
      <c r="D687" s="30"/>
      <c r="E687" s="30"/>
      <c r="F687" s="30"/>
    </row>
    <row r="688" ht="15.75" customHeight="1">
      <c r="A688" s="30"/>
      <c r="B688" s="30"/>
      <c r="C688" s="30"/>
      <c r="D688" s="30"/>
      <c r="E688" s="30"/>
      <c r="F688" s="30"/>
    </row>
    <row r="689" ht="15.75" customHeight="1">
      <c r="A689" s="30"/>
      <c r="B689" s="30"/>
      <c r="C689" s="30"/>
      <c r="D689" s="30"/>
      <c r="E689" s="30"/>
      <c r="F689" s="30"/>
    </row>
    <row r="690" ht="15.75" customHeight="1">
      <c r="A690" s="30"/>
      <c r="B690" s="30"/>
      <c r="C690" s="30"/>
      <c r="D690" s="30"/>
      <c r="E690" s="30"/>
      <c r="F690" s="30"/>
    </row>
    <row r="691" ht="15.75" customHeight="1">
      <c r="A691" s="30"/>
      <c r="B691" s="30"/>
      <c r="C691" s="30"/>
      <c r="D691" s="30"/>
      <c r="E691" s="30"/>
      <c r="F691" s="30"/>
    </row>
    <row r="692" ht="15.75" customHeight="1">
      <c r="A692" s="30"/>
      <c r="B692" s="30"/>
      <c r="C692" s="30"/>
      <c r="D692" s="30"/>
      <c r="E692" s="30"/>
      <c r="F692" s="30"/>
    </row>
    <row r="693" ht="15.75" customHeight="1">
      <c r="A693" s="30"/>
      <c r="B693" s="30"/>
      <c r="C693" s="30"/>
      <c r="D693" s="30"/>
      <c r="E693" s="30"/>
      <c r="F693" s="30"/>
    </row>
    <row r="694" ht="15.75" customHeight="1">
      <c r="A694" s="30"/>
      <c r="B694" s="30"/>
      <c r="C694" s="30"/>
      <c r="D694" s="30"/>
      <c r="E694" s="30"/>
      <c r="F694" s="30"/>
    </row>
    <row r="695" ht="15.75" customHeight="1">
      <c r="A695" s="30"/>
      <c r="B695" s="30"/>
      <c r="C695" s="30"/>
      <c r="D695" s="30"/>
      <c r="E695" s="30"/>
      <c r="F695" s="30"/>
    </row>
    <row r="696" ht="15.75" customHeight="1">
      <c r="A696" s="30"/>
      <c r="B696" s="30"/>
      <c r="C696" s="30"/>
      <c r="D696" s="30"/>
      <c r="E696" s="30"/>
      <c r="F696" s="30"/>
    </row>
    <row r="697" ht="15.75" customHeight="1">
      <c r="A697" s="30"/>
      <c r="B697" s="30"/>
      <c r="C697" s="30"/>
      <c r="D697" s="30"/>
      <c r="E697" s="30"/>
      <c r="F697" s="30"/>
    </row>
    <row r="698" ht="15.75" customHeight="1">
      <c r="A698" s="30"/>
      <c r="B698" s="30"/>
      <c r="C698" s="30"/>
      <c r="D698" s="30"/>
      <c r="E698" s="30"/>
      <c r="F698" s="30"/>
    </row>
    <row r="699" ht="15.75" customHeight="1">
      <c r="A699" s="30"/>
      <c r="B699" s="30"/>
      <c r="C699" s="30"/>
      <c r="D699" s="30"/>
      <c r="E699" s="30"/>
      <c r="F699" s="30"/>
    </row>
    <row r="700" ht="15.75" customHeight="1">
      <c r="A700" s="30"/>
      <c r="B700" s="30"/>
      <c r="C700" s="30"/>
      <c r="D700" s="30"/>
      <c r="E700" s="30"/>
      <c r="F700" s="30"/>
    </row>
    <row r="701" ht="15.75" customHeight="1">
      <c r="A701" s="30"/>
      <c r="B701" s="30"/>
      <c r="C701" s="30"/>
      <c r="D701" s="30"/>
      <c r="E701" s="30"/>
      <c r="F701" s="30"/>
    </row>
    <row r="702" ht="15.75" customHeight="1">
      <c r="A702" s="30"/>
      <c r="B702" s="30"/>
      <c r="C702" s="30"/>
      <c r="D702" s="30"/>
      <c r="E702" s="30"/>
      <c r="F702" s="30"/>
    </row>
    <row r="703" ht="15.75" customHeight="1">
      <c r="A703" s="30"/>
      <c r="B703" s="30"/>
      <c r="C703" s="30"/>
      <c r="D703" s="30"/>
      <c r="E703" s="30"/>
      <c r="F703" s="30"/>
    </row>
    <row r="704" ht="15.75" customHeight="1">
      <c r="A704" s="30"/>
      <c r="B704" s="30"/>
      <c r="C704" s="30"/>
      <c r="D704" s="30"/>
      <c r="E704" s="30"/>
      <c r="F704" s="30"/>
    </row>
    <row r="705" ht="15.75" customHeight="1">
      <c r="A705" s="30"/>
      <c r="B705" s="30"/>
      <c r="C705" s="30"/>
      <c r="D705" s="30"/>
      <c r="E705" s="30"/>
      <c r="F705" s="30"/>
    </row>
    <row r="706" ht="15.75" customHeight="1">
      <c r="A706" s="30"/>
      <c r="B706" s="30"/>
      <c r="C706" s="30"/>
      <c r="D706" s="30"/>
      <c r="E706" s="30"/>
      <c r="F706" s="30"/>
    </row>
    <row r="707" ht="15.75" customHeight="1">
      <c r="A707" s="30"/>
      <c r="B707" s="30"/>
      <c r="C707" s="30"/>
      <c r="D707" s="30"/>
      <c r="E707" s="30"/>
      <c r="F707" s="30"/>
    </row>
    <row r="708" ht="15.75" customHeight="1">
      <c r="A708" s="30"/>
      <c r="B708" s="30"/>
      <c r="C708" s="30"/>
      <c r="D708" s="30"/>
      <c r="E708" s="30"/>
      <c r="F708" s="30"/>
    </row>
    <row r="709" ht="15.75" customHeight="1">
      <c r="A709" s="30"/>
      <c r="B709" s="30"/>
      <c r="C709" s="30"/>
      <c r="D709" s="30"/>
      <c r="E709" s="30"/>
      <c r="F709" s="30"/>
    </row>
    <row r="710" ht="15.75" customHeight="1">
      <c r="A710" s="30"/>
      <c r="B710" s="30"/>
      <c r="C710" s="30"/>
      <c r="D710" s="30"/>
      <c r="E710" s="30"/>
      <c r="F710" s="30"/>
    </row>
    <row r="711" ht="15.75" customHeight="1">
      <c r="A711" s="30"/>
      <c r="B711" s="30"/>
      <c r="C711" s="30"/>
      <c r="D711" s="30"/>
      <c r="E711" s="30"/>
      <c r="F711" s="30"/>
    </row>
    <row r="712" ht="15.75" customHeight="1">
      <c r="A712" s="30"/>
      <c r="B712" s="30"/>
      <c r="C712" s="30"/>
      <c r="D712" s="30"/>
      <c r="E712" s="30"/>
      <c r="F712" s="30"/>
    </row>
    <row r="713" ht="15.75" customHeight="1">
      <c r="A713" s="30"/>
      <c r="B713" s="30"/>
      <c r="C713" s="30"/>
      <c r="D713" s="30"/>
      <c r="E713" s="30"/>
      <c r="F713" s="30"/>
    </row>
    <row r="714" ht="15.75" customHeight="1">
      <c r="A714" s="30"/>
      <c r="B714" s="30"/>
      <c r="C714" s="30"/>
      <c r="D714" s="30"/>
      <c r="E714" s="30"/>
      <c r="F714" s="30"/>
    </row>
    <row r="715" ht="15.75" customHeight="1">
      <c r="A715" s="30"/>
      <c r="B715" s="30"/>
      <c r="C715" s="30"/>
      <c r="D715" s="30"/>
      <c r="E715" s="30"/>
      <c r="F715" s="30"/>
    </row>
    <row r="716" ht="15.75" customHeight="1">
      <c r="A716" s="30"/>
      <c r="B716" s="30"/>
      <c r="C716" s="30"/>
      <c r="D716" s="30"/>
      <c r="E716" s="30"/>
      <c r="F716" s="30"/>
    </row>
    <row r="717" ht="15.75" customHeight="1">
      <c r="A717" s="30"/>
      <c r="B717" s="30"/>
      <c r="C717" s="30"/>
      <c r="D717" s="30"/>
      <c r="E717" s="30"/>
      <c r="F717" s="30"/>
    </row>
    <row r="718" ht="15.75" customHeight="1">
      <c r="A718" s="30"/>
      <c r="B718" s="30"/>
      <c r="C718" s="30"/>
      <c r="D718" s="30"/>
      <c r="E718" s="30"/>
      <c r="F718" s="30"/>
    </row>
    <row r="719" ht="15.75" customHeight="1">
      <c r="A719" s="30"/>
      <c r="B719" s="30"/>
      <c r="C719" s="30"/>
      <c r="D719" s="30"/>
      <c r="E719" s="30"/>
      <c r="F719" s="30"/>
    </row>
    <row r="720" ht="15.75" customHeight="1">
      <c r="A720" s="30"/>
      <c r="B720" s="30"/>
      <c r="C720" s="30"/>
      <c r="D720" s="30"/>
      <c r="E720" s="30"/>
      <c r="F720" s="30"/>
    </row>
    <row r="721" ht="15.75" customHeight="1">
      <c r="A721" s="30"/>
      <c r="B721" s="30"/>
      <c r="C721" s="30"/>
      <c r="D721" s="30"/>
      <c r="E721" s="30"/>
      <c r="F721" s="30"/>
    </row>
    <row r="722" ht="15.75" customHeight="1">
      <c r="A722" s="30"/>
      <c r="B722" s="30"/>
      <c r="C722" s="30"/>
      <c r="D722" s="30"/>
      <c r="E722" s="30"/>
      <c r="F722" s="30"/>
    </row>
    <row r="723" ht="15.75" customHeight="1">
      <c r="A723" s="30"/>
      <c r="B723" s="30"/>
      <c r="C723" s="30"/>
      <c r="D723" s="30"/>
      <c r="E723" s="30"/>
      <c r="F723" s="30"/>
    </row>
    <row r="724" ht="15.75" customHeight="1">
      <c r="A724" s="30"/>
      <c r="B724" s="30"/>
      <c r="C724" s="30"/>
      <c r="D724" s="30"/>
      <c r="E724" s="30"/>
      <c r="F724" s="30"/>
    </row>
    <row r="725" ht="15.75" customHeight="1">
      <c r="A725" s="30"/>
      <c r="B725" s="30"/>
      <c r="C725" s="30"/>
      <c r="D725" s="30"/>
      <c r="E725" s="30"/>
      <c r="F725" s="30"/>
    </row>
    <row r="726" ht="15.75" customHeight="1">
      <c r="A726" s="30"/>
      <c r="B726" s="30"/>
      <c r="C726" s="30"/>
      <c r="D726" s="30"/>
      <c r="E726" s="30"/>
      <c r="F726" s="30"/>
    </row>
    <row r="727" ht="15.75" customHeight="1">
      <c r="A727" s="30"/>
      <c r="B727" s="30"/>
      <c r="C727" s="30"/>
      <c r="D727" s="30"/>
      <c r="E727" s="30"/>
      <c r="F727" s="30"/>
    </row>
    <row r="728" ht="15.75" customHeight="1">
      <c r="A728" s="30"/>
      <c r="B728" s="30"/>
      <c r="C728" s="30"/>
      <c r="D728" s="30"/>
      <c r="E728" s="30"/>
      <c r="F728" s="30"/>
    </row>
    <row r="729" ht="15.75" customHeight="1">
      <c r="A729" s="30"/>
      <c r="B729" s="30"/>
      <c r="C729" s="30"/>
      <c r="D729" s="30"/>
      <c r="E729" s="30"/>
      <c r="F729" s="30"/>
    </row>
    <row r="730" ht="15.75" customHeight="1">
      <c r="A730" s="30"/>
      <c r="B730" s="30"/>
      <c r="C730" s="30"/>
      <c r="D730" s="30"/>
      <c r="E730" s="30"/>
      <c r="F730" s="30"/>
    </row>
    <row r="731" ht="15.75" customHeight="1">
      <c r="A731" s="30"/>
      <c r="B731" s="30"/>
      <c r="C731" s="30"/>
      <c r="D731" s="30"/>
      <c r="E731" s="30"/>
      <c r="F731" s="30"/>
    </row>
    <row r="732" ht="15.75" customHeight="1">
      <c r="A732" s="30"/>
      <c r="B732" s="30"/>
      <c r="C732" s="30"/>
      <c r="D732" s="30"/>
      <c r="E732" s="30"/>
      <c r="F732" s="30"/>
    </row>
    <row r="733" ht="15.75" customHeight="1">
      <c r="A733" s="30"/>
      <c r="B733" s="30"/>
      <c r="C733" s="30"/>
      <c r="D733" s="30"/>
      <c r="E733" s="30"/>
      <c r="F733" s="30"/>
    </row>
    <row r="734" ht="15.75" customHeight="1">
      <c r="A734" s="30"/>
      <c r="B734" s="30"/>
      <c r="C734" s="30"/>
      <c r="D734" s="30"/>
      <c r="E734" s="30"/>
      <c r="F734" s="30"/>
    </row>
    <row r="735" ht="15.75" customHeight="1">
      <c r="A735" s="30"/>
      <c r="B735" s="30"/>
      <c r="C735" s="30"/>
      <c r="D735" s="30"/>
      <c r="E735" s="30"/>
      <c r="F735" s="30"/>
    </row>
    <row r="736" ht="15.75" customHeight="1">
      <c r="A736" s="30"/>
      <c r="B736" s="30"/>
      <c r="C736" s="30"/>
      <c r="D736" s="30"/>
      <c r="E736" s="30"/>
      <c r="F736" s="30"/>
    </row>
    <row r="737" ht="15.75" customHeight="1">
      <c r="A737" s="30"/>
      <c r="B737" s="30"/>
      <c r="C737" s="30"/>
      <c r="D737" s="30"/>
      <c r="E737" s="30"/>
      <c r="F737" s="30"/>
    </row>
    <row r="738" ht="15.75" customHeight="1">
      <c r="A738" s="30"/>
      <c r="B738" s="30"/>
      <c r="C738" s="30"/>
      <c r="D738" s="30"/>
      <c r="E738" s="30"/>
      <c r="F738" s="30"/>
    </row>
    <row r="739" ht="15.75" customHeight="1">
      <c r="A739" s="30"/>
      <c r="B739" s="30"/>
      <c r="C739" s="30"/>
      <c r="D739" s="30"/>
      <c r="E739" s="30"/>
      <c r="F739" s="30"/>
    </row>
    <row r="740" ht="15.75" customHeight="1">
      <c r="A740" s="30"/>
      <c r="B740" s="30"/>
      <c r="C740" s="30"/>
      <c r="D740" s="30"/>
      <c r="E740" s="30"/>
      <c r="F740" s="30"/>
    </row>
    <row r="741" ht="15.75" customHeight="1">
      <c r="A741" s="30"/>
      <c r="B741" s="30"/>
      <c r="C741" s="30"/>
      <c r="D741" s="30"/>
      <c r="E741" s="30"/>
      <c r="F741" s="30"/>
    </row>
    <row r="742" ht="15.75" customHeight="1">
      <c r="A742" s="30"/>
      <c r="B742" s="30"/>
      <c r="C742" s="30"/>
      <c r="D742" s="30"/>
      <c r="E742" s="30"/>
      <c r="F742" s="30"/>
    </row>
    <row r="743" ht="15.75" customHeight="1">
      <c r="A743" s="30"/>
      <c r="B743" s="30"/>
      <c r="C743" s="30"/>
      <c r="D743" s="30"/>
      <c r="E743" s="30"/>
      <c r="F743" s="30"/>
    </row>
    <row r="744" ht="15.75" customHeight="1">
      <c r="A744" s="30"/>
      <c r="B744" s="30"/>
      <c r="C744" s="30"/>
      <c r="D744" s="30"/>
      <c r="E744" s="30"/>
      <c r="F744" s="30"/>
    </row>
    <row r="745" ht="15.75" customHeight="1">
      <c r="A745" s="30"/>
      <c r="B745" s="30"/>
      <c r="C745" s="30"/>
      <c r="D745" s="30"/>
      <c r="E745" s="30"/>
      <c r="F745" s="30"/>
    </row>
    <row r="746" ht="15.75" customHeight="1">
      <c r="A746" s="30"/>
      <c r="B746" s="30"/>
      <c r="C746" s="30"/>
      <c r="D746" s="30"/>
      <c r="E746" s="30"/>
      <c r="F746" s="30"/>
    </row>
    <row r="747" ht="15.75" customHeight="1">
      <c r="A747" s="30"/>
      <c r="B747" s="30"/>
      <c r="C747" s="30"/>
      <c r="D747" s="30"/>
      <c r="E747" s="30"/>
      <c r="F747" s="30"/>
    </row>
    <row r="748" ht="15.75" customHeight="1">
      <c r="A748" s="30"/>
      <c r="B748" s="30"/>
      <c r="C748" s="30"/>
      <c r="D748" s="30"/>
      <c r="E748" s="30"/>
      <c r="F748" s="30"/>
    </row>
    <row r="749" ht="15.75" customHeight="1">
      <c r="A749" s="30"/>
      <c r="B749" s="30"/>
      <c r="C749" s="30"/>
      <c r="D749" s="30"/>
      <c r="E749" s="30"/>
      <c r="F749" s="30"/>
    </row>
    <row r="750" ht="15.75" customHeight="1">
      <c r="A750" s="30"/>
      <c r="B750" s="30"/>
      <c r="C750" s="30"/>
      <c r="D750" s="30"/>
      <c r="E750" s="30"/>
      <c r="F750" s="30"/>
    </row>
    <row r="751" ht="15.75" customHeight="1">
      <c r="A751" s="30"/>
      <c r="B751" s="30"/>
      <c r="C751" s="30"/>
      <c r="D751" s="30"/>
      <c r="E751" s="30"/>
      <c r="F751" s="30"/>
    </row>
    <row r="752" ht="15.75" customHeight="1">
      <c r="A752" s="30"/>
      <c r="B752" s="30"/>
      <c r="C752" s="30"/>
      <c r="D752" s="30"/>
      <c r="E752" s="30"/>
      <c r="F752" s="30"/>
    </row>
    <row r="753" ht="15.75" customHeight="1">
      <c r="A753" s="30"/>
      <c r="B753" s="30"/>
      <c r="C753" s="30"/>
      <c r="D753" s="30"/>
      <c r="E753" s="30"/>
      <c r="F753" s="30"/>
    </row>
    <row r="754" ht="15.75" customHeight="1">
      <c r="A754" s="30"/>
      <c r="B754" s="30"/>
      <c r="C754" s="30"/>
      <c r="D754" s="30"/>
      <c r="E754" s="30"/>
      <c r="F754" s="30"/>
    </row>
    <row r="755" ht="15.75" customHeight="1">
      <c r="A755" s="30"/>
      <c r="B755" s="30"/>
      <c r="C755" s="30"/>
      <c r="D755" s="30"/>
      <c r="E755" s="30"/>
      <c r="F755" s="30"/>
    </row>
    <row r="756" ht="15.75" customHeight="1">
      <c r="A756" s="30"/>
      <c r="B756" s="30"/>
      <c r="C756" s="30"/>
      <c r="D756" s="30"/>
      <c r="E756" s="30"/>
      <c r="F756" s="30"/>
    </row>
    <row r="757" ht="15.75" customHeight="1">
      <c r="A757" s="30"/>
      <c r="B757" s="30"/>
      <c r="C757" s="30"/>
      <c r="D757" s="30"/>
      <c r="E757" s="30"/>
      <c r="F757" s="30"/>
    </row>
    <row r="758" ht="15.75" customHeight="1">
      <c r="A758" s="30"/>
      <c r="B758" s="30"/>
      <c r="C758" s="30"/>
      <c r="D758" s="30"/>
      <c r="E758" s="30"/>
      <c r="F758" s="30"/>
    </row>
    <row r="759" ht="15.75" customHeight="1">
      <c r="A759" s="30"/>
      <c r="B759" s="30"/>
      <c r="C759" s="30"/>
      <c r="D759" s="30"/>
      <c r="E759" s="30"/>
      <c r="F759" s="30"/>
    </row>
    <row r="760" ht="15.75" customHeight="1">
      <c r="A760" s="30"/>
      <c r="B760" s="30"/>
      <c r="C760" s="30"/>
      <c r="D760" s="30"/>
      <c r="E760" s="30"/>
      <c r="F760" s="30"/>
    </row>
    <row r="761" ht="15.75" customHeight="1">
      <c r="A761" s="30"/>
      <c r="B761" s="30"/>
      <c r="C761" s="30"/>
      <c r="D761" s="30"/>
      <c r="E761" s="30"/>
      <c r="F761" s="30"/>
    </row>
    <row r="762" ht="15.75" customHeight="1">
      <c r="A762" s="30"/>
      <c r="B762" s="30"/>
      <c r="C762" s="30"/>
      <c r="D762" s="30"/>
      <c r="E762" s="30"/>
      <c r="F762" s="30"/>
    </row>
    <row r="763" ht="15.75" customHeight="1">
      <c r="A763" s="30"/>
      <c r="B763" s="30"/>
      <c r="C763" s="30"/>
      <c r="D763" s="30"/>
      <c r="E763" s="30"/>
      <c r="F763" s="30"/>
    </row>
    <row r="764" ht="15.75" customHeight="1">
      <c r="A764" s="30"/>
      <c r="B764" s="30"/>
      <c r="C764" s="30"/>
      <c r="D764" s="30"/>
      <c r="E764" s="30"/>
      <c r="F764" s="30"/>
    </row>
    <row r="765" ht="15.75" customHeight="1">
      <c r="A765" s="30"/>
      <c r="B765" s="30"/>
      <c r="C765" s="30"/>
      <c r="D765" s="30"/>
      <c r="E765" s="30"/>
      <c r="F765" s="30"/>
    </row>
    <row r="766" ht="15.75" customHeight="1">
      <c r="A766" s="30"/>
      <c r="B766" s="30"/>
      <c r="C766" s="30"/>
      <c r="D766" s="30"/>
      <c r="E766" s="30"/>
      <c r="F766" s="30"/>
    </row>
    <row r="767" ht="15.75" customHeight="1">
      <c r="A767" s="30"/>
      <c r="B767" s="30"/>
      <c r="C767" s="30"/>
      <c r="D767" s="30"/>
      <c r="E767" s="30"/>
      <c r="F767" s="30"/>
    </row>
    <row r="768" ht="15.75" customHeight="1">
      <c r="A768" s="30"/>
      <c r="B768" s="30"/>
      <c r="C768" s="30"/>
      <c r="D768" s="30"/>
      <c r="E768" s="30"/>
      <c r="F768" s="30"/>
    </row>
    <row r="769" ht="15.75" customHeight="1">
      <c r="A769" s="30"/>
      <c r="B769" s="30"/>
      <c r="C769" s="30"/>
      <c r="D769" s="30"/>
      <c r="E769" s="30"/>
      <c r="F769" s="30"/>
    </row>
    <row r="770" ht="15.75" customHeight="1">
      <c r="A770" s="30"/>
      <c r="B770" s="30"/>
      <c r="C770" s="30"/>
      <c r="D770" s="30"/>
      <c r="E770" s="30"/>
      <c r="F770" s="30"/>
    </row>
    <row r="771" ht="15.75" customHeight="1">
      <c r="A771" s="30"/>
      <c r="B771" s="30"/>
      <c r="C771" s="30"/>
      <c r="D771" s="30"/>
      <c r="E771" s="30"/>
      <c r="F771" s="30"/>
    </row>
    <row r="772" ht="15.75" customHeight="1">
      <c r="A772" s="30"/>
      <c r="B772" s="30"/>
      <c r="C772" s="30"/>
      <c r="D772" s="30"/>
      <c r="E772" s="30"/>
      <c r="F772" s="30"/>
    </row>
    <row r="773" ht="15.75" customHeight="1">
      <c r="A773" s="30"/>
      <c r="B773" s="30"/>
      <c r="C773" s="30"/>
      <c r="D773" s="30"/>
      <c r="E773" s="30"/>
      <c r="F773" s="30"/>
    </row>
    <row r="774" ht="15.75" customHeight="1">
      <c r="A774" s="30"/>
      <c r="B774" s="30"/>
      <c r="C774" s="30"/>
      <c r="D774" s="30"/>
      <c r="E774" s="30"/>
      <c r="F774" s="30"/>
    </row>
    <row r="775" ht="15.75" customHeight="1">
      <c r="A775" s="30"/>
      <c r="B775" s="30"/>
      <c r="C775" s="30"/>
      <c r="D775" s="30"/>
      <c r="E775" s="30"/>
      <c r="F775" s="30"/>
    </row>
    <row r="776" ht="15.75" customHeight="1">
      <c r="A776" s="30"/>
      <c r="B776" s="30"/>
      <c r="C776" s="30"/>
      <c r="D776" s="30"/>
      <c r="E776" s="30"/>
      <c r="F776" s="30"/>
    </row>
    <row r="777" ht="15.75" customHeight="1">
      <c r="A777" s="30"/>
      <c r="B777" s="30"/>
      <c r="C777" s="30"/>
      <c r="D777" s="30"/>
      <c r="E777" s="30"/>
      <c r="F777" s="30"/>
    </row>
    <row r="778" ht="15.75" customHeight="1">
      <c r="A778" s="30"/>
      <c r="B778" s="30"/>
      <c r="C778" s="30"/>
      <c r="D778" s="30"/>
      <c r="E778" s="30"/>
      <c r="F778" s="30"/>
    </row>
    <row r="779" ht="15.75" customHeight="1">
      <c r="A779" s="30"/>
      <c r="B779" s="30"/>
      <c r="C779" s="30"/>
      <c r="D779" s="30"/>
      <c r="E779" s="30"/>
      <c r="F779" s="30"/>
    </row>
    <row r="780" ht="15.75" customHeight="1">
      <c r="A780" s="30"/>
      <c r="B780" s="30"/>
      <c r="C780" s="30"/>
      <c r="D780" s="30"/>
      <c r="E780" s="30"/>
      <c r="F780" s="30"/>
    </row>
    <row r="781" ht="15.75" customHeight="1">
      <c r="A781" s="30"/>
      <c r="B781" s="30"/>
      <c r="C781" s="30"/>
      <c r="D781" s="30"/>
      <c r="E781" s="30"/>
      <c r="F781" s="30"/>
    </row>
    <row r="782" ht="15.75" customHeight="1">
      <c r="A782" s="30"/>
      <c r="B782" s="30"/>
      <c r="C782" s="30"/>
      <c r="D782" s="30"/>
      <c r="E782" s="30"/>
      <c r="F782" s="30"/>
    </row>
    <row r="783" ht="15.75" customHeight="1">
      <c r="A783" s="30"/>
      <c r="B783" s="30"/>
      <c r="C783" s="30"/>
      <c r="D783" s="30"/>
      <c r="E783" s="30"/>
      <c r="F783" s="30"/>
    </row>
    <row r="784" ht="15.75" customHeight="1">
      <c r="A784" s="30"/>
      <c r="B784" s="30"/>
      <c r="C784" s="30"/>
      <c r="D784" s="30"/>
      <c r="E784" s="30"/>
      <c r="F784" s="30"/>
    </row>
    <row r="785" ht="15.75" customHeight="1">
      <c r="A785" s="30"/>
      <c r="B785" s="30"/>
      <c r="C785" s="30"/>
      <c r="D785" s="30"/>
      <c r="E785" s="30"/>
      <c r="F785" s="30"/>
    </row>
    <row r="786" ht="15.75" customHeight="1">
      <c r="A786" s="30"/>
      <c r="B786" s="30"/>
      <c r="C786" s="30"/>
      <c r="D786" s="30"/>
      <c r="E786" s="30"/>
      <c r="F786" s="30"/>
    </row>
    <row r="787" ht="15.75" customHeight="1">
      <c r="A787" s="30"/>
      <c r="B787" s="30"/>
      <c r="C787" s="30"/>
      <c r="D787" s="30"/>
      <c r="E787" s="30"/>
      <c r="F787" s="30"/>
    </row>
    <row r="788" ht="15.75" customHeight="1">
      <c r="A788" s="30"/>
      <c r="B788" s="30"/>
      <c r="C788" s="30"/>
      <c r="D788" s="30"/>
      <c r="E788" s="30"/>
      <c r="F788" s="30"/>
    </row>
    <row r="789" ht="15.75" customHeight="1">
      <c r="A789" s="30"/>
      <c r="B789" s="30"/>
      <c r="C789" s="30"/>
      <c r="D789" s="30"/>
      <c r="E789" s="30"/>
      <c r="F789" s="30"/>
    </row>
    <row r="790" ht="15.75" customHeight="1">
      <c r="A790" s="30"/>
      <c r="B790" s="30"/>
      <c r="C790" s="30"/>
      <c r="D790" s="30"/>
      <c r="E790" s="30"/>
      <c r="F790" s="30"/>
    </row>
    <row r="791" ht="15.75" customHeight="1">
      <c r="A791" s="30"/>
      <c r="B791" s="30"/>
      <c r="C791" s="30"/>
      <c r="D791" s="30"/>
      <c r="E791" s="30"/>
      <c r="F791" s="30"/>
    </row>
    <row r="792" ht="15.75" customHeight="1">
      <c r="A792" s="30"/>
      <c r="B792" s="30"/>
      <c r="C792" s="30"/>
      <c r="D792" s="30"/>
      <c r="E792" s="30"/>
      <c r="F792" s="30"/>
    </row>
    <row r="793" ht="15.75" customHeight="1">
      <c r="A793" s="30"/>
      <c r="B793" s="30"/>
      <c r="C793" s="30"/>
      <c r="D793" s="30"/>
      <c r="E793" s="30"/>
      <c r="F793" s="30"/>
    </row>
    <row r="794" ht="15.75" customHeight="1">
      <c r="A794" s="30"/>
      <c r="B794" s="30"/>
      <c r="C794" s="30"/>
      <c r="D794" s="30"/>
      <c r="E794" s="30"/>
      <c r="F794" s="30"/>
    </row>
    <row r="795" ht="15.75" customHeight="1">
      <c r="A795" s="30"/>
      <c r="B795" s="30"/>
      <c r="C795" s="30"/>
      <c r="D795" s="30"/>
      <c r="E795" s="30"/>
      <c r="F795" s="30"/>
    </row>
    <row r="796" ht="15.75" customHeight="1">
      <c r="A796" s="30"/>
      <c r="B796" s="30"/>
      <c r="C796" s="30"/>
      <c r="D796" s="30"/>
      <c r="E796" s="30"/>
      <c r="F796" s="30"/>
    </row>
    <row r="797" ht="15.75" customHeight="1">
      <c r="A797" s="30"/>
      <c r="B797" s="30"/>
      <c r="C797" s="30"/>
      <c r="D797" s="30"/>
      <c r="E797" s="30"/>
      <c r="F797" s="30"/>
    </row>
    <row r="798" ht="15.75" customHeight="1">
      <c r="A798" s="30"/>
      <c r="B798" s="30"/>
      <c r="C798" s="30"/>
      <c r="D798" s="30"/>
      <c r="E798" s="30"/>
      <c r="F798" s="30"/>
    </row>
    <row r="799" ht="15.75" customHeight="1">
      <c r="A799" s="30"/>
      <c r="B799" s="30"/>
      <c r="C799" s="30"/>
      <c r="D799" s="30"/>
      <c r="E799" s="30"/>
      <c r="F799" s="30"/>
    </row>
    <row r="800" ht="15.75" customHeight="1">
      <c r="A800" s="30"/>
      <c r="B800" s="30"/>
      <c r="C800" s="30"/>
      <c r="D800" s="30"/>
      <c r="E800" s="30"/>
      <c r="F800" s="30"/>
    </row>
    <row r="801" ht="15.75" customHeight="1">
      <c r="A801" s="30"/>
      <c r="B801" s="30"/>
      <c r="C801" s="30"/>
      <c r="D801" s="30"/>
      <c r="E801" s="30"/>
      <c r="F801" s="30"/>
    </row>
    <row r="802" ht="15.75" customHeight="1">
      <c r="A802" s="30"/>
      <c r="B802" s="30"/>
      <c r="C802" s="30"/>
      <c r="D802" s="30"/>
      <c r="E802" s="30"/>
      <c r="F802" s="30"/>
    </row>
    <row r="803" ht="15.75" customHeight="1">
      <c r="A803" s="30"/>
      <c r="B803" s="30"/>
      <c r="C803" s="30"/>
      <c r="D803" s="30"/>
      <c r="E803" s="30"/>
      <c r="F803" s="30"/>
    </row>
    <row r="804" ht="15.75" customHeight="1">
      <c r="A804" s="30"/>
      <c r="B804" s="30"/>
      <c r="C804" s="30"/>
      <c r="D804" s="30"/>
      <c r="E804" s="30"/>
      <c r="F804" s="30"/>
    </row>
    <row r="805" ht="15.75" customHeight="1">
      <c r="A805" s="30"/>
      <c r="B805" s="30"/>
      <c r="C805" s="30"/>
      <c r="D805" s="30"/>
      <c r="E805" s="30"/>
      <c r="F805" s="30"/>
    </row>
    <row r="806" ht="15.75" customHeight="1">
      <c r="A806" s="30"/>
      <c r="B806" s="30"/>
      <c r="C806" s="30"/>
      <c r="D806" s="30"/>
      <c r="E806" s="30"/>
      <c r="F806" s="30"/>
    </row>
    <row r="807" ht="15.75" customHeight="1">
      <c r="A807" s="30"/>
      <c r="B807" s="30"/>
      <c r="C807" s="30"/>
      <c r="D807" s="30"/>
      <c r="E807" s="30"/>
      <c r="F807" s="30"/>
    </row>
    <row r="808" ht="15.75" customHeight="1">
      <c r="A808" s="30"/>
      <c r="B808" s="30"/>
      <c r="C808" s="30"/>
      <c r="D808" s="30"/>
      <c r="E808" s="30"/>
      <c r="F808" s="30"/>
    </row>
    <row r="809" ht="15.75" customHeight="1">
      <c r="A809" s="30"/>
      <c r="B809" s="30"/>
      <c r="C809" s="30"/>
      <c r="D809" s="30"/>
      <c r="E809" s="30"/>
      <c r="F809" s="30"/>
    </row>
    <row r="810" ht="15.75" customHeight="1">
      <c r="A810" s="30"/>
      <c r="B810" s="30"/>
      <c r="C810" s="30"/>
      <c r="D810" s="30"/>
      <c r="E810" s="30"/>
      <c r="F810" s="30"/>
    </row>
    <row r="811" ht="15.75" customHeight="1">
      <c r="A811" s="30"/>
      <c r="B811" s="30"/>
      <c r="C811" s="30"/>
      <c r="D811" s="30"/>
      <c r="E811" s="30"/>
      <c r="F811" s="30"/>
    </row>
    <row r="812" ht="15.75" customHeight="1">
      <c r="A812" s="30"/>
      <c r="B812" s="30"/>
      <c r="C812" s="30"/>
      <c r="D812" s="30"/>
      <c r="E812" s="30"/>
      <c r="F812" s="30"/>
    </row>
    <row r="813" ht="15.75" customHeight="1">
      <c r="A813" s="30"/>
      <c r="B813" s="30"/>
      <c r="C813" s="30"/>
      <c r="D813" s="30"/>
      <c r="E813" s="30"/>
      <c r="F813" s="30"/>
    </row>
    <row r="814" ht="15.75" customHeight="1">
      <c r="A814" s="30"/>
      <c r="B814" s="30"/>
      <c r="C814" s="30"/>
      <c r="D814" s="30"/>
      <c r="E814" s="30"/>
      <c r="F814" s="30"/>
    </row>
    <row r="815" ht="15.75" customHeight="1">
      <c r="A815" s="30"/>
      <c r="B815" s="30"/>
      <c r="C815" s="30"/>
      <c r="D815" s="30"/>
      <c r="E815" s="30"/>
      <c r="F815" s="30"/>
    </row>
    <row r="816" ht="15.75" customHeight="1">
      <c r="A816" s="30"/>
      <c r="B816" s="30"/>
      <c r="C816" s="30"/>
      <c r="D816" s="30"/>
      <c r="E816" s="30"/>
      <c r="F816" s="30"/>
    </row>
    <row r="817" ht="15.75" customHeight="1">
      <c r="A817" s="30"/>
      <c r="B817" s="30"/>
      <c r="C817" s="30"/>
      <c r="D817" s="30"/>
      <c r="E817" s="30"/>
      <c r="F817" s="30"/>
    </row>
    <row r="818" ht="15.75" customHeight="1">
      <c r="A818" s="30"/>
      <c r="B818" s="30"/>
      <c r="C818" s="30"/>
      <c r="D818" s="30"/>
      <c r="E818" s="30"/>
      <c r="F818" s="30"/>
    </row>
    <row r="819" ht="15.75" customHeight="1">
      <c r="A819" s="30"/>
      <c r="B819" s="30"/>
      <c r="C819" s="30"/>
      <c r="D819" s="30"/>
      <c r="E819" s="30"/>
      <c r="F819" s="30"/>
    </row>
    <row r="820" ht="15.75" customHeight="1">
      <c r="A820" s="30"/>
      <c r="B820" s="30"/>
      <c r="C820" s="30"/>
      <c r="D820" s="30"/>
      <c r="E820" s="30"/>
      <c r="F820" s="30"/>
    </row>
    <row r="821" ht="15.75" customHeight="1">
      <c r="A821" s="30"/>
      <c r="B821" s="30"/>
      <c r="C821" s="30"/>
      <c r="D821" s="30"/>
      <c r="E821" s="30"/>
      <c r="F821" s="30"/>
    </row>
    <row r="822" ht="15.75" customHeight="1">
      <c r="A822" s="30"/>
      <c r="B822" s="30"/>
      <c r="C822" s="30"/>
      <c r="D822" s="30"/>
      <c r="E822" s="30"/>
      <c r="F822" s="30"/>
    </row>
    <row r="823" ht="15.75" customHeight="1">
      <c r="A823" s="30"/>
      <c r="B823" s="30"/>
      <c r="C823" s="30"/>
      <c r="D823" s="30"/>
      <c r="E823" s="30"/>
      <c r="F823" s="30"/>
    </row>
    <row r="824" ht="15.75" customHeight="1">
      <c r="A824" s="30"/>
      <c r="B824" s="30"/>
      <c r="C824" s="30"/>
      <c r="D824" s="30"/>
      <c r="E824" s="30"/>
      <c r="F824" s="30"/>
    </row>
    <row r="825" ht="15.75" customHeight="1">
      <c r="A825" s="30"/>
      <c r="B825" s="30"/>
      <c r="C825" s="30"/>
      <c r="D825" s="30"/>
      <c r="E825" s="30"/>
      <c r="F825" s="30"/>
    </row>
    <row r="826" ht="15.75" customHeight="1">
      <c r="A826" s="30"/>
      <c r="B826" s="30"/>
      <c r="C826" s="30"/>
      <c r="D826" s="30"/>
      <c r="E826" s="30"/>
      <c r="F826" s="30"/>
    </row>
    <row r="827" ht="15.75" customHeight="1">
      <c r="A827" s="30"/>
      <c r="B827" s="30"/>
      <c r="C827" s="30"/>
      <c r="D827" s="30"/>
      <c r="E827" s="30"/>
      <c r="F827" s="30"/>
    </row>
    <row r="828" ht="15.75" customHeight="1">
      <c r="A828" s="30"/>
      <c r="B828" s="30"/>
      <c r="C828" s="30"/>
      <c r="D828" s="30"/>
      <c r="E828" s="30"/>
      <c r="F828" s="30"/>
    </row>
    <row r="829" ht="15.75" customHeight="1">
      <c r="A829" s="30"/>
      <c r="B829" s="30"/>
      <c r="C829" s="30"/>
      <c r="D829" s="30"/>
      <c r="E829" s="30"/>
      <c r="F829" s="30"/>
    </row>
    <row r="830" ht="15.75" customHeight="1">
      <c r="A830" s="30"/>
      <c r="B830" s="30"/>
      <c r="C830" s="30"/>
      <c r="D830" s="30"/>
      <c r="E830" s="30"/>
      <c r="F830" s="30"/>
    </row>
    <row r="831" ht="15.75" customHeight="1">
      <c r="A831" s="30"/>
      <c r="B831" s="30"/>
      <c r="C831" s="30"/>
      <c r="D831" s="30"/>
      <c r="E831" s="30"/>
      <c r="F831" s="30"/>
    </row>
    <row r="832" ht="15.75" customHeight="1">
      <c r="A832" s="30"/>
      <c r="B832" s="30"/>
      <c r="C832" s="30"/>
      <c r="D832" s="30"/>
      <c r="E832" s="30"/>
      <c r="F832" s="30"/>
    </row>
    <row r="833" ht="15.75" customHeight="1">
      <c r="A833" s="30"/>
      <c r="B833" s="30"/>
      <c r="C833" s="30"/>
      <c r="D833" s="30"/>
      <c r="E833" s="30"/>
      <c r="F833" s="30"/>
    </row>
    <row r="834" ht="15.75" customHeight="1">
      <c r="A834" s="30"/>
      <c r="B834" s="30"/>
      <c r="C834" s="30"/>
      <c r="D834" s="30"/>
      <c r="E834" s="30"/>
      <c r="F834" s="30"/>
    </row>
    <row r="835" ht="15.75" customHeight="1">
      <c r="A835" s="30"/>
      <c r="B835" s="30"/>
      <c r="C835" s="30"/>
      <c r="D835" s="30"/>
      <c r="E835" s="30"/>
      <c r="F835" s="30"/>
    </row>
    <row r="836" ht="15.75" customHeight="1">
      <c r="A836" s="30"/>
      <c r="B836" s="30"/>
      <c r="C836" s="30"/>
      <c r="D836" s="30"/>
      <c r="E836" s="30"/>
      <c r="F836" s="30"/>
    </row>
    <row r="837" ht="15.75" customHeight="1">
      <c r="A837" s="30"/>
      <c r="B837" s="30"/>
      <c r="C837" s="30"/>
      <c r="D837" s="30"/>
      <c r="E837" s="30"/>
      <c r="F837" s="30"/>
    </row>
    <row r="838" ht="15.75" customHeight="1">
      <c r="A838" s="30"/>
      <c r="B838" s="30"/>
      <c r="C838" s="30"/>
      <c r="D838" s="30"/>
      <c r="E838" s="30"/>
      <c r="F838" s="30"/>
    </row>
    <row r="839" ht="15.75" customHeight="1">
      <c r="A839" s="30"/>
      <c r="B839" s="30"/>
      <c r="C839" s="30"/>
      <c r="D839" s="30"/>
      <c r="E839" s="30"/>
      <c r="F839" s="30"/>
    </row>
    <row r="840" ht="15.75" customHeight="1">
      <c r="A840" s="30"/>
      <c r="B840" s="30"/>
      <c r="C840" s="30"/>
      <c r="D840" s="30"/>
      <c r="E840" s="30"/>
      <c r="F840" s="30"/>
    </row>
    <row r="841" ht="15.75" customHeight="1">
      <c r="A841" s="30"/>
      <c r="B841" s="30"/>
      <c r="C841" s="30"/>
      <c r="D841" s="30"/>
      <c r="E841" s="30"/>
      <c r="F841" s="30"/>
    </row>
    <row r="842" ht="15.75" customHeight="1">
      <c r="A842" s="30"/>
      <c r="B842" s="30"/>
      <c r="C842" s="30"/>
      <c r="D842" s="30"/>
      <c r="E842" s="30"/>
      <c r="F842" s="30"/>
    </row>
    <row r="843" ht="15.75" customHeight="1">
      <c r="A843" s="30"/>
      <c r="B843" s="30"/>
      <c r="C843" s="30"/>
      <c r="D843" s="30"/>
      <c r="E843" s="30"/>
      <c r="F843" s="30"/>
    </row>
    <row r="844" ht="15.75" customHeight="1">
      <c r="A844" s="30"/>
      <c r="B844" s="30"/>
      <c r="C844" s="30"/>
      <c r="D844" s="30"/>
      <c r="E844" s="30"/>
      <c r="F844" s="30"/>
    </row>
    <row r="845" ht="15.75" customHeight="1">
      <c r="A845" s="30"/>
      <c r="B845" s="30"/>
      <c r="C845" s="30"/>
      <c r="D845" s="30"/>
      <c r="E845" s="30"/>
      <c r="F845" s="30"/>
    </row>
    <row r="846" ht="15.75" customHeight="1">
      <c r="A846" s="30"/>
      <c r="B846" s="30"/>
      <c r="C846" s="30"/>
      <c r="D846" s="30"/>
      <c r="E846" s="30"/>
      <c r="F846" s="30"/>
    </row>
    <row r="847" ht="15.75" customHeight="1">
      <c r="A847" s="30"/>
      <c r="B847" s="30"/>
      <c r="C847" s="30"/>
      <c r="D847" s="30"/>
      <c r="E847" s="30"/>
      <c r="F847" s="30"/>
    </row>
    <row r="848" ht="15.75" customHeight="1">
      <c r="A848" s="30"/>
      <c r="B848" s="30"/>
      <c r="C848" s="30"/>
      <c r="D848" s="30"/>
      <c r="E848" s="30"/>
      <c r="F848" s="30"/>
    </row>
    <row r="849" ht="15.75" customHeight="1">
      <c r="A849" s="30"/>
      <c r="B849" s="30"/>
      <c r="C849" s="30"/>
      <c r="D849" s="30"/>
      <c r="E849" s="30"/>
      <c r="F849" s="30"/>
    </row>
    <row r="850" ht="15.75" customHeight="1">
      <c r="A850" s="30"/>
      <c r="B850" s="30"/>
      <c r="C850" s="30"/>
      <c r="D850" s="30"/>
      <c r="E850" s="30"/>
      <c r="F850" s="30"/>
    </row>
    <row r="851" ht="15.75" customHeight="1">
      <c r="A851" s="30"/>
      <c r="B851" s="30"/>
      <c r="C851" s="30"/>
      <c r="D851" s="30"/>
      <c r="E851" s="30"/>
      <c r="F851" s="30"/>
    </row>
    <row r="852" ht="15.75" customHeight="1">
      <c r="A852" s="30"/>
      <c r="B852" s="30"/>
      <c r="C852" s="30"/>
      <c r="D852" s="30"/>
      <c r="E852" s="30"/>
      <c r="F852" s="30"/>
    </row>
    <row r="853" ht="15.75" customHeight="1">
      <c r="A853" s="30"/>
      <c r="B853" s="30"/>
      <c r="C853" s="30"/>
      <c r="D853" s="30"/>
      <c r="E853" s="30"/>
      <c r="F853" s="30"/>
    </row>
    <row r="854" ht="15.75" customHeight="1">
      <c r="A854" s="30"/>
      <c r="B854" s="30"/>
      <c r="C854" s="30"/>
      <c r="D854" s="30"/>
      <c r="E854" s="30"/>
      <c r="F854" s="30"/>
    </row>
    <row r="855" ht="15.75" customHeight="1">
      <c r="A855" s="30"/>
      <c r="B855" s="30"/>
      <c r="C855" s="30"/>
      <c r="D855" s="30"/>
      <c r="E855" s="30"/>
      <c r="F855" s="30"/>
    </row>
    <row r="856" ht="15.75" customHeight="1">
      <c r="A856" s="30"/>
      <c r="B856" s="30"/>
      <c r="C856" s="30"/>
      <c r="D856" s="30"/>
      <c r="E856" s="30"/>
      <c r="F856" s="30"/>
    </row>
    <row r="857" ht="15.75" customHeight="1">
      <c r="A857" s="30"/>
      <c r="B857" s="30"/>
      <c r="C857" s="30"/>
      <c r="D857" s="30"/>
      <c r="E857" s="30"/>
      <c r="F857" s="30"/>
    </row>
    <row r="858" ht="15.75" customHeight="1">
      <c r="A858" s="30"/>
      <c r="B858" s="30"/>
      <c r="C858" s="30"/>
      <c r="D858" s="30"/>
      <c r="E858" s="30"/>
      <c r="F858" s="30"/>
    </row>
    <row r="859" ht="15.75" customHeight="1">
      <c r="A859" s="30"/>
      <c r="B859" s="30"/>
      <c r="C859" s="30"/>
      <c r="D859" s="30"/>
      <c r="E859" s="30"/>
      <c r="F859" s="30"/>
    </row>
    <row r="860" ht="15.75" customHeight="1">
      <c r="A860" s="30"/>
      <c r="B860" s="30"/>
      <c r="C860" s="30"/>
      <c r="D860" s="30"/>
      <c r="E860" s="30"/>
      <c r="F860" s="30"/>
    </row>
    <row r="861" ht="15.75" customHeight="1">
      <c r="A861" s="30"/>
      <c r="B861" s="30"/>
      <c r="C861" s="30"/>
      <c r="D861" s="30"/>
      <c r="E861" s="30"/>
      <c r="F861" s="30"/>
    </row>
    <row r="862" ht="15.75" customHeight="1">
      <c r="A862" s="30"/>
      <c r="B862" s="30"/>
      <c r="C862" s="30"/>
      <c r="D862" s="30"/>
      <c r="E862" s="30"/>
      <c r="F862" s="30"/>
    </row>
    <row r="863" ht="15.75" customHeight="1">
      <c r="A863" s="30"/>
      <c r="B863" s="30"/>
      <c r="C863" s="30"/>
      <c r="D863" s="30"/>
      <c r="E863" s="30"/>
      <c r="F863" s="30"/>
    </row>
    <row r="864" ht="15.75" customHeight="1">
      <c r="A864" s="30"/>
      <c r="B864" s="30"/>
      <c r="C864" s="30"/>
      <c r="D864" s="30"/>
      <c r="E864" s="30"/>
      <c r="F864" s="30"/>
    </row>
    <row r="865" ht="15.75" customHeight="1">
      <c r="A865" s="30"/>
      <c r="B865" s="30"/>
      <c r="C865" s="30"/>
      <c r="D865" s="30"/>
      <c r="E865" s="30"/>
      <c r="F865" s="30"/>
    </row>
    <row r="866" ht="15.75" customHeight="1">
      <c r="A866" s="30"/>
      <c r="B866" s="30"/>
      <c r="C866" s="30"/>
      <c r="D866" s="30"/>
      <c r="E866" s="30"/>
      <c r="F866" s="30"/>
    </row>
    <row r="867" ht="15.75" customHeight="1">
      <c r="A867" s="30"/>
      <c r="B867" s="30"/>
      <c r="C867" s="30"/>
      <c r="D867" s="30"/>
      <c r="E867" s="30"/>
      <c r="F867" s="30"/>
    </row>
    <row r="868" ht="15.75" customHeight="1">
      <c r="A868" s="30"/>
      <c r="B868" s="30"/>
      <c r="C868" s="30"/>
      <c r="D868" s="30"/>
      <c r="E868" s="30"/>
      <c r="F868" s="30"/>
    </row>
    <row r="869" ht="15.75" customHeight="1">
      <c r="A869" s="30"/>
      <c r="B869" s="30"/>
      <c r="C869" s="30"/>
      <c r="D869" s="30"/>
      <c r="E869" s="30"/>
      <c r="F869" s="30"/>
    </row>
    <row r="870" ht="15.75" customHeight="1">
      <c r="A870" s="30"/>
      <c r="B870" s="30"/>
      <c r="C870" s="30"/>
      <c r="D870" s="30"/>
      <c r="E870" s="30"/>
      <c r="F870" s="30"/>
    </row>
    <row r="871" ht="15.75" customHeight="1">
      <c r="A871" s="30"/>
      <c r="B871" s="30"/>
      <c r="C871" s="30"/>
      <c r="D871" s="30"/>
      <c r="E871" s="30"/>
      <c r="F871" s="30"/>
    </row>
    <row r="872" ht="15.75" customHeight="1">
      <c r="A872" s="30"/>
      <c r="B872" s="30"/>
      <c r="C872" s="30"/>
      <c r="D872" s="30"/>
      <c r="E872" s="30"/>
      <c r="F872" s="30"/>
    </row>
    <row r="873" ht="15.75" customHeight="1">
      <c r="A873" s="30"/>
      <c r="B873" s="30"/>
      <c r="C873" s="30"/>
      <c r="D873" s="30"/>
      <c r="E873" s="30"/>
      <c r="F873" s="30"/>
    </row>
    <row r="874" ht="15.75" customHeight="1">
      <c r="A874" s="30"/>
      <c r="B874" s="30"/>
      <c r="C874" s="30"/>
      <c r="D874" s="30"/>
      <c r="E874" s="30"/>
      <c r="F874" s="30"/>
    </row>
    <row r="875" ht="15.75" customHeight="1">
      <c r="A875" s="30"/>
      <c r="B875" s="30"/>
      <c r="C875" s="30"/>
      <c r="D875" s="30"/>
      <c r="E875" s="30"/>
      <c r="F875" s="30"/>
    </row>
    <row r="876" ht="15.75" customHeight="1">
      <c r="A876" s="30"/>
      <c r="B876" s="30"/>
      <c r="C876" s="30"/>
      <c r="D876" s="30"/>
      <c r="E876" s="30"/>
      <c r="F876" s="30"/>
    </row>
    <row r="877" ht="15.75" customHeight="1">
      <c r="A877" s="30"/>
      <c r="B877" s="30"/>
      <c r="C877" s="30"/>
      <c r="D877" s="30"/>
      <c r="E877" s="30"/>
      <c r="F877" s="30"/>
    </row>
    <row r="878" ht="15.75" customHeight="1">
      <c r="A878" s="30"/>
      <c r="B878" s="30"/>
      <c r="C878" s="30"/>
      <c r="D878" s="30"/>
      <c r="E878" s="30"/>
      <c r="F878" s="30"/>
    </row>
    <row r="879" ht="15.75" customHeight="1">
      <c r="A879" s="30"/>
      <c r="B879" s="30"/>
      <c r="C879" s="30"/>
      <c r="D879" s="30"/>
      <c r="E879" s="30"/>
      <c r="F879" s="30"/>
    </row>
    <row r="880" ht="15.75" customHeight="1">
      <c r="A880" s="30"/>
      <c r="B880" s="30"/>
      <c r="C880" s="30"/>
      <c r="D880" s="30"/>
      <c r="E880" s="30"/>
      <c r="F880" s="30"/>
    </row>
    <row r="881" ht="15.75" customHeight="1">
      <c r="A881" s="30"/>
      <c r="B881" s="30"/>
      <c r="C881" s="30"/>
      <c r="D881" s="30"/>
      <c r="E881" s="30"/>
      <c r="F881" s="30"/>
    </row>
    <row r="882" ht="15.75" customHeight="1">
      <c r="A882" s="30"/>
      <c r="B882" s="30"/>
      <c r="C882" s="30"/>
      <c r="D882" s="30"/>
      <c r="E882" s="30"/>
      <c r="F882" s="30"/>
    </row>
    <row r="883" ht="15.75" customHeight="1">
      <c r="A883" s="30"/>
      <c r="B883" s="30"/>
      <c r="C883" s="30"/>
      <c r="D883" s="30"/>
      <c r="E883" s="30"/>
      <c r="F883" s="30"/>
    </row>
    <row r="884" ht="15.75" customHeight="1">
      <c r="A884" s="30"/>
      <c r="B884" s="30"/>
      <c r="C884" s="30"/>
      <c r="D884" s="30"/>
      <c r="E884" s="30"/>
      <c r="F884" s="30"/>
    </row>
    <row r="885" ht="15.75" customHeight="1">
      <c r="A885" s="30"/>
      <c r="B885" s="30"/>
      <c r="C885" s="30"/>
      <c r="D885" s="30"/>
      <c r="E885" s="30"/>
      <c r="F885" s="30"/>
    </row>
    <row r="886" ht="15.75" customHeight="1">
      <c r="A886" s="30"/>
      <c r="B886" s="30"/>
      <c r="C886" s="30"/>
      <c r="D886" s="30"/>
      <c r="E886" s="30"/>
      <c r="F886" s="30"/>
    </row>
    <row r="887" ht="15.75" customHeight="1">
      <c r="A887" s="30"/>
      <c r="B887" s="30"/>
      <c r="C887" s="30"/>
      <c r="D887" s="30"/>
      <c r="E887" s="30"/>
      <c r="F887" s="30"/>
    </row>
    <row r="888" ht="15.75" customHeight="1">
      <c r="A888" s="30"/>
      <c r="B888" s="30"/>
      <c r="C888" s="30"/>
      <c r="D888" s="30"/>
      <c r="E888" s="30"/>
      <c r="F888" s="30"/>
    </row>
    <row r="889" ht="15.75" customHeight="1">
      <c r="A889" s="30"/>
      <c r="B889" s="30"/>
      <c r="C889" s="30"/>
      <c r="D889" s="30"/>
      <c r="E889" s="30"/>
      <c r="F889" s="30"/>
    </row>
    <row r="890" ht="15.75" customHeight="1">
      <c r="A890" s="30"/>
      <c r="B890" s="30"/>
      <c r="C890" s="30"/>
      <c r="D890" s="30"/>
      <c r="E890" s="30"/>
      <c r="F890" s="30"/>
    </row>
    <row r="891" ht="15.75" customHeight="1">
      <c r="A891" s="30"/>
      <c r="B891" s="30"/>
      <c r="C891" s="30"/>
      <c r="D891" s="30"/>
      <c r="E891" s="30"/>
      <c r="F891" s="30"/>
    </row>
    <row r="892" ht="15.75" customHeight="1">
      <c r="A892" s="30"/>
      <c r="B892" s="30"/>
      <c r="C892" s="30"/>
      <c r="D892" s="30"/>
      <c r="E892" s="30"/>
      <c r="F892" s="30"/>
    </row>
    <row r="893" ht="15.75" customHeight="1">
      <c r="A893" s="30"/>
      <c r="B893" s="30"/>
      <c r="C893" s="30"/>
      <c r="D893" s="30"/>
      <c r="E893" s="30"/>
      <c r="F893" s="30"/>
    </row>
    <row r="894" ht="15.75" customHeight="1">
      <c r="A894" s="30"/>
      <c r="B894" s="30"/>
      <c r="C894" s="30"/>
      <c r="D894" s="30"/>
      <c r="E894" s="30"/>
      <c r="F894" s="30"/>
    </row>
    <row r="895" ht="15.75" customHeight="1">
      <c r="A895" s="30"/>
      <c r="B895" s="30"/>
      <c r="C895" s="30"/>
      <c r="D895" s="30"/>
      <c r="E895" s="30"/>
      <c r="F895" s="30"/>
    </row>
    <row r="896" ht="15.75" customHeight="1">
      <c r="A896" s="30"/>
      <c r="B896" s="30"/>
      <c r="C896" s="30"/>
      <c r="D896" s="30"/>
      <c r="E896" s="30"/>
      <c r="F896" s="30"/>
    </row>
    <row r="897" ht="15.75" customHeight="1">
      <c r="A897" s="30"/>
      <c r="B897" s="30"/>
      <c r="C897" s="30"/>
      <c r="D897" s="30"/>
      <c r="E897" s="30"/>
      <c r="F897" s="30"/>
    </row>
    <row r="898" ht="15.75" customHeight="1">
      <c r="A898" s="30"/>
      <c r="B898" s="30"/>
      <c r="C898" s="30"/>
      <c r="D898" s="30"/>
      <c r="E898" s="30"/>
      <c r="F898" s="30"/>
    </row>
    <row r="899" ht="15.75" customHeight="1">
      <c r="A899" s="30"/>
      <c r="B899" s="30"/>
      <c r="C899" s="30"/>
      <c r="D899" s="30"/>
      <c r="E899" s="30"/>
      <c r="F899" s="30"/>
    </row>
    <row r="900" ht="15.75" customHeight="1">
      <c r="A900" s="30"/>
      <c r="B900" s="30"/>
      <c r="C900" s="30"/>
      <c r="D900" s="30"/>
      <c r="E900" s="30"/>
      <c r="F900" s="30"/>
    </row>
    <row r="901" ht="15.75" customHeight="1">
      <c r="A901" s="30"/>
      <c r="B901" s="30"/>
      <c r="C901" s="30"/>
      <c r="D901" s="30"/>
      <c r="E901" s="30"/>
      <c r="F901" s="30"/>
    </row>
    <row r="902" ht="15.75" customHeight="1">
      <c r="A902" s="30"/>
      <c r="B902" s="30"/>
      <c r="C902" s="30"/>
      <c r="D902" s="30"/>
      <c r="E902" s="30"/>
      <c r="F902" s="30"/>
    </row>
    <row r="903" ht="15.75" customHeight="1">
      <c r="A903" s="30"/>
      <c r="B903" s="30"/>
      <c r="C903" s="30"/>
      <c r="D903" s="30"/>
      <c r="E903" s="30"/>
      <c r="F903" s="30"/>
    </row>
    <row r="904" ht="15.75" customHeight="1">
      <c r="A904" s="30"/>
      <c r="B904" s="30"/>
      <c r="C904" s="30"/>
      <c r="D904" s="30"/>
      <c r="E904" s="30"/>
      <c r="F904" s="30"/>
    </row>
    <row r="905" ht="15.75" customHeight="1">
      <c r="A905" s="30"/>
      <c r="B905" s="30"/>
      <c r="C905" s="30"/>
      <c r="D905" s="30"/>
      <c r="E905" s="30"/>
      <c r="F905" s="30"/>
    </row>
    <row r="906" ht="15.75" customHeight="1">
      <c r="A906" s="30"/>
      <c r="B906" s="30"/>
      <c r="C906" s="30"/>
      <c r="D906" s="30"/>
      <c r="E906" s="30"/>
      <c r="F906" s="30"/>
    </row>
    <row r="907" ht="15.75" customHeight="1">
      <c r="A907" s="30"/>
      <c r="B907" s="30"/>
      <c r="C907" s="30"/>
      <c r="D907" s="30"/>
      <c r="E907" s="30"/>
      <c r="F907" s="30"/>
    </row>
    <row r="908" ht="15.75" customHeight="1">
      <c r="A908" s="30"/>
      <c r="B908" s="30"/>
      <c r="C908" s="30"/>
      <c r="D908" s="30"/>
      <c r="E908" s="30"/>
      <c r="F908" s="30"/>
    </row>
    <row r="909" ht="15.75" customHeight="1">
      <c r="A909" s="30"/>
      <c r="B909" s="30"/>
      <c r="C909" s="30"/>
      <c r="D909" s="30"/>
      <c r="E909" s="30"/>
      <c r="F909" s="30"/>
    </row>
    <row r="910" ht="15.75" customHeight="1">
      <c r="A910" s="30"/>
      <c r="B910" s="30"/>
      <c r="C910" s="30"/>
      <c r="D910" s="30"/>
      <c r="E910" s="30"/>
      <c r="F910" s="30"/>
    </row>
    <row r="911" ht="15.75" customHeight="1">
      <c r="A911" s="30"/>
      <c r="B911" s="30"/>
      <c r="C911" s="30"/>
      <c r="D911" s="30"/>
      <c r="E911" s="30"/>
      <c r="F911" s="30"/>
    </row>
    <row r="912" ht="15.75" customHeight="1">
      <c r="A912" s="30"/>
      <c r="B912" s="30"/>
      <c r="C912" s="30"/>
      <c r="D912" s="30"/>
      <c r="E912" s="30"/>
      <c r="F912" s="30"/>
    </row>
    <row r="913" ht="15.75" customHeight="1">
      <c r="A913" s="30"/>
      <c r="B913" s="30"/>
      <c r="C913" s="30"/>
      <c r="D913" s="30"/>
      <c r="E913" s="30"/>
      <c r="F913" s="30"/>
    </row>
    <row r="914" ht="15.75" customHeight="1">
      <c r="A914" s="30"/>
      <c r="B914" s="30"/>
      <c r="C914" s="30"/>
      <c r="D914" s="30"/>
      <c r="E914" s="30"/>
      <c r="F914" s="30"/>
    </row>
    <row r="915" ht="15.75" customHeight="1">
      <c r="A915" s="30"/>
      <c r="B915" s="30"/>
      <c r="C915" s="30"/>
      <c r="D915" s="30"/>
      <c r="E915" s="30"/>
      <c r="F915" s="30"/>
    </row>
    <row r="916" ht="15.75" customHeight="1">
      <c r="A916" s="30"/>
      <c r="B916" s="30"/>
      <c r="C916" s="30"/>
      <c r="D916" s="30"/>
      <c r="E916" s="30"/>
      <c r="F916" s="30"/>
    </row>
    <row r="917" ht="15.75" customHeight="1">
      <c r="A917" s="30"/>
      <c r="B917" s="30"/>
      <c r="C917" s="30"/>
      <c r="D917" s="30"/>
      <c r="E917" s="30"/>
      <c r="F917" s="30"/>
    </row>
    <row r="918" ht="15.75" customHeight="1">
      <c r="A918" s="30"/>
      <c r="B918" s="30"/>
      <c r="C918" s="30"/>
      <c r="D918" s="30"/>
      <c r="E918" s="30"/>
      <c r="F918" s="30"/>
    </row>
    <row r="919" ht="15.75" customHeight="1">
      <c r="A919" s="30"/>
      <c r="B919" s="30"/>
      <c r="C919" s="30"/>
      <c r="D919" s="30"/>
      <c r="E919" s="30"/>
      <c r="F919" s="30"/>
    </row>
    <row r="920" ht="15.75" customHeight="1">
      <c r="A920" s="30"/>
      <c r="B920" s="30"/>
      <c r="C920" s="30"/>
      <c r="D920" s="30"/>
      <c r="E920" s="30"/>
      <c r="F920" s="30"/>
    </row>
    <row r="921" ht="15.75" customHeight="1">
      <c r="A921" s="30"/>
      <c r="B921" s="30"/>
      <c r="C921" s="30"/>
      <c r="D921" s="30"/>
      <c r="E921" s="30"/>
      <c r="F921" s="30"/>
    </row>
    <row r="922" ht="15.75" customHeight="1">
      <c r="A922" s="30"/>
      <c r="B922" s="30"/>
      <c r="C922" s="30"/>
      <c r="D922" s="30"/>
      <c r="E922" s="30"/>
      <c r="F922" s="30"/>
    </row>
    <row r="923" ht="15.75" customHeight="1">
      <c r="A923" s="30"/>
      <c r="B923" s="30"/>
      <c r="C923" s="30"/>
      <c r="D923" s="30"/>
      <c r="E923" s="30"/>
      <c r="F923" s="30"/>
    </row>
    <row r="924" ht="15.75" customHeight="1">
      <c r="A924" s="30"/>
      <c r="B924" s="30"/>
      <c r="C924" s="30"/>
      <c r="D924" s="30"/>
      <c r="E924" s="30"/>
      <c r="F924" s="30"/>
    </row>
    <row r="925" ht="15.75" customHeight="1">
      <c r="A925" s="30"/>
      <c r="B925" s="30"/>
      <c r="C925" s="30"/>
      <c r="D925" s="30"/>
      <c r="E925" s="30"/>
      <c r="F925" s="30"/>
    </row>
    <row r="926" ht="15.75" customHeight="1">
      <c r="A926" s="30"/>
      <c r="B926" s="30"/>
      <c r="C926" s="30"/>
      <c r="D926" s="30"/>
      <c r="E926" s="30"/>
      <c r="F926" s="30"/>
    </row>
    <row r="927" ht="15.75" customHeight="1">
      <c r="A927" s="30"/>
      <c r="B927" s="30"/>
      <c r="C927" s="30"/>
      <c r="D927" s="30"/>
      <c r="E927" s="30"/>
      <c r="F927" s="30"/>
    </row>
    <row r="928" ht="15.75" customHeight="1">
      <c r="A928" s="30"/>
      <c r="B928" s="30"/>
      <c r="C928" s="30"/>
      <c r="D928" s="30"/>
      <c r="E928" s="30"/>
      <c r="F928" s="30"/>
    </row>
    <row r="929" ht="15.75" customHeight="1">
      <c r="A929" s="30"/>
      <c r="B929" s="30"/>
      <c r="C929" s="30"/>
      <c r="D929" s="30"/>
      <c r="E929" s="30"/>
      <c r="F929" s="30"/>
    </row>
    <row r="930" ht="15.75" customHeight="1">
      <c r="A930" s="30"/>
      <c r="B930" s="30"/>
      <c r="C930" s="30"/>
      <c r="D930" s="30"/>
      <c r="E930" s="30"/>
      <c r="F930" s="30"/>
    </row>
    <row r="931" ht="15.75" customHeight="1">
      <c r="A931" s="30"/>
      <c r="B931" s="30"/>
      <c r="C931" s="30"/>
      <c r="D931" s="30"/>
      <c r="E931" s="30"/>
      <c r="F931" s="30"/>
    </row>
    <row r="932" ht="15.75" customHeight="1">
      <c r="A932" s="30"/>
      <c r="B932" s="30"/>
      <c r="C932" s="30"/>
      <c r="D932" s="30"/>
      <c r="E932" s="30"/>
      <c r="F932" s="30"/>
    </row>
    <row r="933" ht="15.75" customHeight="1">
      <c r="A933" s="30"/>
      <c r="B933" s="30"/>
      <c r="C933" s="30"/>
      <c r="D933" s="30"/>
      <c r="E933" s="30"/>
      <c r="F933" s="30"/>
    </row>
    <row r="934" ht="15.75" customHeight="1">
      <c r="A934" s="30"/>
      <c r="B934" s="30"/>
      <c r="C934" s="30"/>
      <c r="D934" s="30"/>
      <c r="E934" s="30"/>
      <c r="F934" s="30"/>
    </row>
    <row r="935" ht="15.75" customHeight="1">
      <c r="A935" s="30"/>
      <c r="B935" s="30"/>
      <c r="C935" s="30"/>
      <c r="D935" s="30"/>
      <c r="E935" s="30"/>
      <c r="F935" s="30"/>
    </row>
    <row r="936" ht="15.75" customHeight="1">
      <c r="A936" s="30"/>
      <c r="B936" s="30"/>
      <c r="C936" s="30"/>
      <c r="D936" s="30"/>
      <c r="E936" s="30"/>
      <c r="F936" s="30"/>
    </row>
    <row r="937" ht="15.75" customHeight="1">
      <c r="A937" s="30"/>
      <c r="B937" s="30"/>
      <c r="C937" s="30"/>
      <c r="D937" s="30"/>
      <c r="E937" s="30"/>
      <c r="F937" s="30"/>
    </row>
    <row r="938" ht="15.75" customHeight="1">
      <c r="A938" s="30"/>
      <c r="B938" s="30"/>
      <c r="C938" s="30"/>
      <c r="D938" s="30"/>
      <c r="E938" s="30"/>
      <c r="F938" s="30"/>
    </row>
    <row r="939" ht="15.75" customHeight="1">
      <c r="A939" s="30"/>
      <c r="B939" s="30"/>
      <c r="C939" s="30"/>
      <c r="D939" s="30"/>
      <c r="E939" s="30"/>
      <c r="F939" s="30"/>
    </row>
    <row r="940" ht="15.75" customHeight="1">
      <c r="A940" s="30"/>
      <c r="B940" s="30"/>
      <c r="C940" s="30"/>
      <c r="D940" s="30"/>
      <c r="E940" s="30"/>
      <c r="F940" s="30"/>
    </row>
    <row r="941" ht="15.75" customHeight="1">
      <c r="A941" s="30"/>
      <c r="B941" s="30"/>
      <c r="C941" s="30"/>
      <c r="D941" s="30"/>
      <c r="E941" s="30"/>
      <c r="F941" s="30"/>
    </row>
    <row r="942" ht="15.75" customHeight="1">
      <c r="A942" s="30"/>
      <c r="B942" s="30"/>
      <c r="C942" s="30"/>
      <c r="D942" s="30"/>
      <c r="E942" s="30"/>
      <c r="F942" s="30"/>
    </row>
    <row r="943" ht="15.75" customHeight="1">
      <c r="A943" s="30"/>
      <c r="B943" s="30"/>
      <c r="C943" s="30"/>
      <c r="D943" s="30"/>
      <c r="E943" s="30"/>
      <c r="F943" s="30"/>
    </row>
    <row r="944" ht="15.75" customHeight="1">
      <c r="A944" s="30"/>
      <c r="B944" s="30"/>
      <c r="C944" s="30"/>
      <c r="D944" s="30"/>
      <c r="E944" s="30"/>
      <c r="F944" s="30"/>
    </row>
    <row r="945" ht="15.75" customHeight="1">
      <c r="A945" s="30"/>
      <c r="B945" s="30"/>
      <c r="C945" s="30"/>
      <c r="D945" s="30"/>
      <c r="E945" s="30"/>
      <c r="F945" s="30"/>
    </row>
    <row r="946" ht="15.75" customHeight="1">
      <c r="A946" s="30"/>
      <c r="B946" s="30"/>
      <c r="C946" s="30"/>
      <c r="D946" s="30"/>
      <c r="E946" s="30"/>
      <c r="F946" s="30"/>
    </row>
    <row r="947" ht="15.75" customHeight="1">
      <c r="A947" s="30"/>
      <c r="B947" s="30"/>
      <c r="C947" s="30"/>
      <c r="D947" s="30"/>
      <c r="E947" s="30"/>
      <c r="F947" s="30"/>
    </row>
    <row r="948" ht="15.75" customHeight="1">
      <c r="A948" s="30"/>
      <c r="B948" s="30"/>
      <c r="C948" s="30"/>
      <c r="D948" s="30"/>
      <c r="E948" s="30"/>
      <c r="F948" s="30"/>
    </row>
    <row r="949" ht="15.75" customHeight="1">
      <c r="A949" s="30"/>
      <c r="B949" s="30"/>
      <c r="C949" s="30"/>
      <c r="D949" s="30"/>
      <c r="E949" s="30"/>
      <c r="F949" s="30"/>
    </row>
    <row r="950" ht="15.75" customHeight="1">
      <c r="A950" s="30"/>
      <c r="B950" s="30"/>
      <c r="C950" s="30"/>
      <c r="D950" s="30"/>
      <c r="E950" s="30"/>
      <c r="F950" s="30"/>
    </row>
    <row r="951" ht="15.75" customHeight="1">
      <c r="A951" s="30"/>
      <c r="B951" s="30"/>
      <c r="C951" s="30"/>
      <c r="D951" s="30"/>
      <c r="E951" s="30"/>
      <c r="F951" s="30"/>
    </row>
    <row r="952" ht="15.75" customHeight="1">
      <c r="A952" s="30"/>
      <c r="B952" s="30"/>
      <c r="C952" s="30"/>
      <c r="D952" s="30"/>
      <c r="E952" s="30"/>
      <c r="F952" s="30"/>
    </row>
    <row r="953" ht="15.75" customHeight="1">
      <c r="A953" s="30"/>
      <c r="B953" s="30"/>
      <c r="C953" s="30"/>
      <c r="D953" s="30"/>
      <c r="E953" s="30"/>
      <c r="F953" s="30"/>
    </row>
    <row r="954" ht="15.75" customHeight="1">
      <c r="A954" s="30"/>
      <c r="B954" s="30"/>
      <c r="C954" s="30"/>
      <c r="D954" s="30"/>
      <c r="E954" s="30"/>
      <c r="F954" s="30"/>
    </row>
    <row r="955" ht="15.75" customHeight="1">
      <c r="A955" s="30"/>
      <c r="B955" s="30"/>
      <c r="C955" s="30"/>
      <c r="D955" s="30"/>
      <c r="E955" s="30"/>
      <c r="F955" s="30"/>
    </row>
    <row r="956" ht="15.75" customHeight="1">
      <c r="A956" s="30"/>
      <c r="B956" s="30"/>
      <c r="C956" s="30"/>
      <c r="D956" s="30"/>
      <c r="E956" s="30"/>
      <c r="F956" s="30"/>
    </row>
    <row r="957" ht="15.75" customHeight="1">
      <c r="A957" s="30"/>
      <c r="B957" s="30"/>
      <c r="C957" s="30"/>
      <c r="D957" s="30"/>
      <c r="E957" s="30"/>
      <c r="F957" s="30"/>
    </row>
    <row r="958" ht="15.75" customHeight="1">
      <c r="A958" s="30"/>
      <c r="B958" s="30"/>
      <c r="C958" s="30"/>
      <c r="D958" s="30"/>
      <c r="E958" s="30"/>
      <c r="F958" s="30"/>
    </row>
    <row r="959" ht="15.75" customHeight="1">
      <c r="A959" s="30"/>
      <c r="B959" s="30"/>
      <c r="C959" s="30"/>
      <c r="D959" s="30"/>
      <c r="E959" s="30"/>
      <c r="F959" s="30"/>
    </row>
    <row r="960" ht="15.75" customHeight="1">
      <c r="A960" s="30"/>
      <c r="B960" s="30"/>
      <c r="C960" s="30"/>
      <c r="D960" s="30"/>
      <c r="E960" s="30"/>
      <c r="F960" s="30"/>
    </row>
    <row r="961" ht="15.75" customHeight="1">
      <c r="A961" s="30"/>
      <c r="B961" s="30"/>
      <c r="C961" s="30"/>
      <c r="D961" s="30"/>
      <c r="E961" s="30"/>
      <c r="F961" s="30"/>
    </row>
    <row r="962" ht="15.75" customHeight="1">
      <c r="A962" s="30"/>
      <c r="B962" s="30"/>
      <c r="C962" s="30"/>
      <c r="D962" s="30"/>
      <c r="E962" s="30"/>
      <c r="F962" s="30"/>
    </row>
    <row r="963" ht="15.75" customHeight="1">
      <c r="A963" s="30"/>
      <c r="B963" s="30"/>
      <c r="C963" s="30"/>
      <c r="D963" s="30"/>
      <c r="E963" s="30"/>
      <c r="F963" s="30"/>
    </row>
    <row r="964" ht="15.75" customHeight="1">
      <c r="A964" s="30"/>
      <c r="B964" s="30"/>
      <c r="C964" s="30"/>
      <c r="D964" s="30"/>
      <c r="E964" s="30"/>
      <c r="F964" s="30"/>
    </row>
    <row r="965" ht="15.75" customHeight="1">
      <c r="A965" s="30"/>
      <c r="B965" s="30"/>
      <c r="C965" s="30"/>
      <c r="D965" s="30"/>
      <c r="E965" s="30"/>
      <c r="F965" s="30"/>
    </row>
    <row r="966" ht="15.75" customHeight="1">
      <c r="A966" s="30"/>
      <c r="B966" s="30"/>
      <c r="C966" s="30"/>
      <c r="D966" s="30"/>
      <c r="E966" s="30"/>
      <c r="F966" s="30"/>
    </row>
    <row r="967" ht="15.75" customHeight="1">
      <c r="A967" s="30"/>
      <c r="B967" s="30"/>
      <c r="C967" s="30"/>
      <c r="D967" s="30"/>
      <c r="E967" s="30"/>
      <c r="F967" s="30"/>
    </row>
    <row r="968" ht="15.75" customHeight="1">
      <c r="A968" s="30"/>
      <c r="B968" s="30"/>
      <c r="C968" s="30"/>
      <c r="D968" s="30"/>
      <c r="E968" s="30"/>
      <c r="F968" s="30"/>
    </row>
    <row r="969" ht="15.75" customHeight="1">
      <c r="A969" s="30"/>
      <c r="B969" s="30"/>
      <c r="C969" s="30"/>
      <c r="D969" s="30"/>
      <c r="E969" s="30"/>
      <c r="F969" s="30"/>
    </row>
    <row r="970" ht="15.75" customHeight="1">
      <c r="A970" s="30"/>
      <c r="B970" s="30"/>
      <c r="C970" s="30"/>
      <c r="D970" s="30"/>
      <c r="E970" s="30"/>
      <c r="F970" s="30"/>
    </row>
    <row r="971" ht="15.75" customHeight="1">
      <c r="A971" s="30"/>
      <c r="B971" s="30"/>
      <c r="C971" s="30"/>
      <c r="D971" s="30"/>
      <c r="E971" s="30"/>
      <c r="F971" s="30"/>
    </row>
    <row r="972" ht="15.75" customHeight="1">
      <c r="A972" s="30"/>
      <c r="B972" s="30"/>
      <c r="C972" s="30"/>
      <c r="D972" s="30"/>
      <c r="E972" s="30"/>
      <c r="F972" s="30"/>
    </row>
    <row r="973" ht="15.75" customHeight="1">
      <c r="A973" s="30"/>
      <c r="B973" s="30"/>
      <c r="C973" s="30"/>
      <c r="D973" s="30"/>
      <c r="E973" s="30"/>
      <c r="F973" s="30"/>
    </row>
    <row r="974" ht="15.75" customHeight="1">
      <c r="A974" s="30"/>
      <c r="B974" s="30"/>
      <c r="C974" s="30"/>
      <c r="D974" s="30"/>
      <c r="E974" s="30"/>
      <c r="F974" s="30"/>
    </row>
    <row r="975" ht="15.75" customHeight="1">
      <c r="A975" s="30"/>
      <c r="B975" s="30"/>
      <c r="C975" s="30"/>
      <c r="D975" s="30"/>
      <c r="E975" s="30"/>
      <c r="F975" s="30"/>
    </row>
    <row r="976" ht="15.75" customHeight="1">
      <c r="A976" s="30"/>
      <c r="B976" s="30"/>
      <c r="C976" s="30"/>
      <c r="D976" s="30"/>
      <c r="E976" s="30"/>
      <c r="F976" s="30"/>
    </row>
    <row r="977" ht="15.75" customHeight="1">
      <c r="A977" s="30"/>
      <c r="B977" s="30"/>
      <c r="C977" s="30"/>
      <c r="D977" s="30"/>
      <c r="E977" s="30"/>
      <c r="F977" s="30"/>
    </row>
    <row r="978" ht="15.75" customHeight="1">
      <c r="A978" s="30"/>
      <c r="B978" s="30"/>
      <c r="C978" s="30"/>
      <c r="D978" s="30"/>
      <c r="E978" s="30"/>
      <c r="F978" s="30"/>
    </row>
    <row r="979" ht="15.75" customHeight="1">
      <c r="A979" s="30"/>
      <c r="B979" s="30"/>
      <c r="C979" s="30"/>
      <c r="D979" s="30"/>
      <c r="E979" s="30"/>
      <c r="F979" s="30"/>
    </row>
    <row r="980" ht="15.75" customHeight="1">
      <c r="A980" s="30"/>
      <c r="B980" s="30"/>
      <c r="C980" s="30"/>
      <c r="D980" s="30"/>
      <c r="E980" s="30"/>
      <c r="F980" s="30"/>
    </row>
    <row r="981" ht="15.75" customHeight="1">
      <c r="A981" s="30"/>
      <c r="B981" s="30"/>
      <c r="C981" s="30"/>
      <c r="D981" s="30"/>
      <c r="E981" s="30"/>
      <c r="F981" s="30"/>
    </row>
    <row r="982" ht="15.75" customHeight="1">
      <c r="A982" s="30"/>
      <c r="B982" s="30"/>
      <c r="C982" s="30"/>
      <c r="D982" s="30"/>
      <c r="E982" s="30"/>
      <c r="F982" s="30"/>
    </row>
    <row r="983" ht="15.75" customHeight="1">
      <c r="A983" s="30"/>
      <c r="B983" s="30"/>
      <c r="C983" s="30"/>
      <c r="D983" s="30"/>
      <c r="E983" s="30"/>
      <c r="F983" s="30"/>
    </row>
    <row r="984" ht="15.75" customHeight="1">
      <c r="A984" s="30"/>
      <c r="B984" s="30"/>
      <c r="C984" s="30"/>
      <c r="D984" s="30"/>
      <c r="E984" s="30"/>
      <c r="F984" s="30"/>
    </row>
    <row r="985" ht="15.75" customHeight="1">
      <c r="A985" s="30"/>
      <c r="B985" s="30"/>
      <c r="C985" s="30"/>
      <c r="D985" s="30"/>
      <c r="E985" s="30"/>
      <c r="F985" s="30"/>
    </row>
    <row r="986" ht="15.75" customHeight="1">
      <c r="A986" s="30"/>
      <c r="B986" s="30"/>
      <c r="C986" s="30"/>
      <c r="D986" s="30"/>
      <c r="E986" s="30"/>
      <c r="F986" s="30"/>
    </row>
    <row r="987" ht="15.75" customHeight="1">
      <c r="A987" s="30"/>
      <c r="B987" s="30"/>
      <c r="C987" s="30"/>
      <c r="D987" s="30"/>
      <c r="E987" s="30"/>
      <c r="F987" s="30"/>
    </row>
    <row r="988" ht="15.75" customHeight="1">
      <c r="A988" s="30"/>
      <c r="B988" s="30"/>
      <c r="C988" s="30"/>
      <c r="D988" s="30"/>
      <c r="E988" s="30"/>
      <c r="F988" s="30"/>
    </row>
    <row r="989" ht="15.75" customHeight="1">
      <c r="A989" s="30"/>
      <c r="B989" s="30"/>
      <c r="C989" s="30"/>
      <c r="D989" s="30"/>
      <c r="E989" s="30"/>
      <c r="F989" s="30"/>
    </row>
    <row r="990" ht="15.75" customHeight="1">
      <c r="A990" s="30"/>
      <c r="B990" s="30"/>
      <c r="C990" s="30"/>
      <c r="D990" s="30"/>
      <c r="E990" s="30"/>
      <c r="F990" s="30"/>
    </row>
    <row r="991" ht="15.75" customHeight="1">
      <c r="A991" s="30"/>
      <c r="B991" s="30"/>
      <c r="C991" s="30"/>
      <c r="D991" s="30"/>
      <c r="E991" s="30"/>
      <c r="F991" s="30"/>
    </row>
    <row r="992" ht="15.75" customHeight="1">
      <c r="A992" s="30"/>
      <c r="B992" s="30"/>
      <c r="C992" s="30"/>
      <c r="D992" s="30"/>
      <c r="E992" s="30"/>
      <c r="F992" s="30"/>
    </row>
    <row r="993" ht="15.75" customHeight="1">
      <c r="A993" s="30"/>
      <c r="B993" s="30"/>
      <c r="C993" s="30"/>
      <c r="D993" s="30"/>
      <c r="E993" s="30"/>
      <c r="F993" s="30"/>
    </row>
    <row r="994" ht="15.75" customHeight="1">
      <c r="A994" s="30"/>
      <c r="B994" s="30"/>
      <c r="C994" s="30"/>
      <c r="D994" s="30"/>
      <c r="E994" s="30"/>
      <c r="F994" s="30"/>
    </row>
    <row r="995" ht="15.75" customHeight="1">
      <c r="A995" s="30"/>
      <c r="B995" s="30"/>
      <c r="C995" s="30"/>
      <c r="D995" s="30"/>
      <c r="E995" s="30"/>
      <c r="F995" s="30"/>
    </row>
    <row r="996" ht="15.75" customHeight="1">
      <c r="A996" s="30"/>
      <c r="B996" s="30"/>
      <c r="C996" s="30"/>
      <c r="D996" s="30"/>
      <c r="E996" s="30"/>
      <c r="F996" s="30"/>
    </row>
    <row r="997" ht="15.75" customHeight="1">
      <c r="A997" s="30"/>
      <c r="B997" s="30"/>
      <c r="C997" s="30"/>
      <c r="D997" s="30"/>
      <c r="E997" s="30"/>
      <c r="F997" s="30"/>
    </row>
    <row r="998" ht="15.75" customHeight="1">
      <c r="A998" s="30"/>
      <c r="B998" s="30"/>
      <c r="C998" s="30"/>
      <c r="D998" s="30"/>
      <c r="E998" s="30"/>
      <c r="F998" s="30"/>
    </row>
    <row r="999" ht="15.75" customHeight="1">
      <c r="A999" s="30"/>
      <c r="B999" s="30"/>
      <c r="C999" s="30"/>
      <c r="D999" s="30"/>
      <c r="E999" s="30"/>
      <c r="F999" s="30"/>
    </row>
    <row r="1000" ht="15.75" customHeight="1">
      <c r="A1000" s="30"/>
      <c r="B1000" s="30"/>
      <c r="C1000" s="30"/>
      <c r="D1000" s="30"/>
      <c r="E1000" s="30"/>
      <c r="F1000" s="30"/>
    </row>
  </sheetData>
  <mergeCells count="11">
    <mergeCell ref="A30:E30"/>
    <mergeCell ref="A33:E33"/>
    <mergeCell ref="A38:E38"/>
    <mergeCell ref="A40:E40"/>
    <mergeCell ref="A3:E3"/>
    <mergeCell ref="A5:E5"/>
    <mergeCell ref="A17:E17"/>
    <mergeCell ref="A19:E19"/>
    <mergeCell ref="A21:E21"/>
    <mergeCell ref="A25:E25"/>
    <mergeCell ref="A28:E28"/>
  </mergeCells>
  <conditionalFormatting sqref="E6:E50">
    <cfRule type="cellIs" dxfId="7" priority="1" operator="equal">
      <formula>"Active"</formula>
    </cfRule>
  </conditionalFormatting>
  <conditionalFormatting sqref="E6:E50">
    <cfRule type="cellIs" dxfId="8" priority="2" operator="equal">
      <formula>"Pending"</formula>
    </cfRule>
  </conditionalFormatting>
  <conditionalFormatting sqref="E6:E50">
    <cfRule type="cellIs" dxfId="9" priority="3" operator="equal">
      <formula>"Excluded"</formula>
    </cfRule>
  </conditionalFormatting>
  <dataValidations>
    <dataValidation type="list" allowBlank="1" showInputMessage="1" prompt="Status - Active = being tested | Pending = not yet | Excluded = out of scope" sqref="E4 E6:E16 E18 E20 E22:E24 E26:E27 E29 E31:E32 E34:E37 E39 E41:E50">
      <formula1>"Active,Pending,Excluded"</formula1>
    </dataValidation>
  </dataValidation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2026-05-20T08:37:58Z</dcterms:created>
  <dc:creator>openpyxl</dc:creator>
</cp:coreProperties>
</file>